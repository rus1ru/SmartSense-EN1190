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heet01" sheetId="1" r:id="rId5"/>
    <sheet state="visible" name="1201-1500" sheetId="2" r:id="rId6"/>
    <sheet state="visible" name="901-1200" sheetId="3" r:id="rId7"/>
    <sheet state="visible" name="601-900" sheetId="4" r:id="rId8"/>
    <sheet state="visible" name="0-600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tc={2a78564d-de2b-4c63-866c-34a081e3cf4e}</author>
    <author>tc={96a727c4-290d-447c-95fc-dfdd8c5501d8}</author>
    <author>tc={c767a55d-da84-4453-b9ea-fed975259a29}</author>
  </authors>
  <commentList>
    <comment authorId="0" xr:uid="{2a78564d-de2b-4c63-866c-34a081e3cf4e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Accelerometer values wala atleast eka axis ekaka 200ms athulatha acceleration difference eka 0.0003
ta wadi nm 1
</t>
      </text>
    </comment>
    <comment authorId="1" xr:uid="{96a727c4-290d-447c-95fc-dfdd8c5501d8}" ref="V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Gyrascope values wala atleast eka axis ekaka 200ms athulatha acceleration difference eka 0.0003 ta wadi nm 1
</t>
      </text>
    </comment>
    <comment authorId="2" xr:uid="{c767a55d-da84-4453-b9ea-fed975259a29}" ref="W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Api gedaradi kala wage 60n 60 kadala hadala thiyenne 
first 60 komath 1
</t>
      </text>
    </comment>
  </commentList>
</comments>
</file>

<file path=xl/sharedStrings.xml><?xml version="1.0" encoding="utf-8"?>
<sst xmlns="http://schemas.openxmlformats.org/spreadsheetml/2006/main" count="209" uniqueCount="46">
  <si>
    <t>Serial No</t>
  </si>
  <si>
    <t>Time(ms)</t>
  </si>
  <si>
    <t>Accel_X</t>
  </si>
  <si>
    <t>Accel_Y</t>
  </si>
  <si>
    <t>Accel_Z</t>
  </si>
  <si>
    <t>Gyro_X</t>
  </si>
  <si>
    <t>Gyro_Y</t>
  </si>
  <si>
    <t>Gyro_Z</t>
  </si>
  <si>
    <t>Temp(C)</t>
  </si>
  <si>
    <t>Diff_Accel_X</t>
  </si>
  <si>
    <t>Diff_Accel_Y</t>
  </si>
  <si>
    <t>Diff_Accel_Z</t>
  </si>
  <si>
    <t>Diff_Gyro_X</t>
  </si>
  <si>
    <t>Diff_Gyro_Y</t>
  </si>
  <si>
    <t>Diff_Gyro_Z</t>
  </si>
  <si>
    <t>Diff_Mag_Gyro</t>
  </si>
  <si>
    <t>Diff_Mag_Accel</t>
  </si>
  <si>
    <t>Magnitude_Accel</t>
  </si>
  <si>
    <t>Magnitude_Gyro</t>
  </si>
  <si>
    <t>Column 1</t>
  </si>
  <si>
    <t>Column 2</t>
  </si>
  <si>
    <t>ON/ OFF signal from Acclerometer</t>
  </si>
  <si>
    <t>ON/OFF signal from Gyro</t>
  </si>
  <si>
    <t>First Input</t>
  </si>
  <si>
    <t>Final Output</t>
  </si>
  <si>
    <t>Column 24</t>
  </si>
  <si>
    <t>Column 25</t>
  </si>
  <si>
    <t>Column 26</t>
  </si>
  <si>
    <t>Column 27</t>
  </si>
  <si>
    <t>Column 28</t>
  </si>
  <si>
    <t>Column 29</t>
  </si>
  <si>
    <t>Column 30</t>
  </si>
  <si>
    <t>Column 31</t>
  </si>
  <si>
    <t>Column 32</t>
  </si>
  <si>
    <t>Column 33</t>
  </si>
  <si>
    <t>Column 34</t>
  </si>
  <si>
    <t>Column 35</t>
  </si>
  <si>
    <t>NORMAL WORKING</t>
  </si>
  <si>
    <t>HORIZONTAL RESTING</t>
  </si>
  <si>
    <t>VERTICAL RESTING</t>
  </si>
  <si>
    <t>SLOW IRONING</t>
  </si>
  <si>
    <t>MEAN</t>
  </si>
  <si>
    <t>STD</t>
  </si>
  <si>
    <t>COUNT</t>
  </si>
  <si>
    <t>MIN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</si>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</sst>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000000"/>
    <numFmt numFmtId="166" formatCode="0.00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Trebuchet MS"/>
    </font>
    <font>
      <sz val="11.0"/>
      <color theme="1"/>
      <name val="Trebuchet MS"/>
    </font>
    <font>
      <sz val="35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textRotation="255" vertical="center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9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Dataheet0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01-150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901-120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01-90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-60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Dataheet01!$K$1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Dataheet01!$B$2:$B$1501</c:f>
            </c:strRef>
          </c:cat>
          <c:val>
            <c:numRef>
              <c:f>Dataheet01!$K$2:$K$1501</c:f>
              <c:numCache/>
            </c:numRef>
          </c:val>
          <c:smooth val="0"/>
        </c:ser>
        <c:ser>
          <c:idx val="1"/>
          <c:order val="1"/>
          <c:tx>
            <c:strRef>
              <c:f>Dataheet01!$L$1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Dataheet01!$B$2:$B$1501</c:f>
            </c:strRef>
          </c:cat>
          <c:val>
            <c:numRef>
              <c:f>Dataheet01!$L$2:$L$1501</c:f>
              <c:numCache/>
            </c:numRef>
          </c:val>
          <c:smooth val="0"/>
        </c:ser>
        <c:ser>
          <c:idx val="2"/>
          <c:order val="2"/>
          <c:tx>
            <c:strRef>
              <c:f>Dataheet01!$M$1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Dataheet01!$B$2:$B$1501</c:f>
            </c:strRef>
          </c:cat>
          <c:val>
            <c:numRef>
              <c:f>Dataheet01!$M$2:$M$1501</c:f>
              <c:numCache/>
            </c:numRef>
          </c:val>
          <c:smooth val="0"/>
        </c:ser>
        <c:axId val="1031126530"/>
        <c:axId val="1443826462"/>
      </c:lineChart>
      <c:catAx>
        <c:axId val="1031126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3826462"/>
      </c:catAx>
      <c:valAx>
        <c:axId val="1443826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0311265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Comic Sans MS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Dataheet01!$P$1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Dataheet01!$B$2:$B$1501</c:f>
            </c:strRef>
          </c:cat>
          <c:val>
            <c:numRef>
              <c:f>Dataheet01!$P$2:$P$1501</c:f>
              <c:numCache/>
            </c:numRef>
          </c:val>
          <c:smooth val="0"/>
        </c:ser>
        <c:ser>
          <c:idx val="1"/>
          <c:order val="1"/>
          <c:tx>
            <c:strRef>
              <c:f>Dataheet01!$O$1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Dataheet01!$B$2:$B$1501</c:f>
            </c:strRef>
          </c:cat>
          <c:val>
            <c:numRef>
              <c:f>Dataheet01!$O$2:$O$1501</c:f>
              <c:numCache/>
            </c:numRef>
          </c:val>
          <c:smooth val="0"/>
        </c:ser>
        <c:ser>
          <c:idx val="2"/>
          <c:order val="2"/>
          <c:tx>
            <c:strRef>
              <c:f>Dataheet01!$P$1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Dataheet01!$B$2:$B$1501</c:f>
            </c:strRef>
          </c:cat>
          <c:val>
            <c:numRef>
              <c:f>Dataheet01!$P$2:$P$1501</c:f>
              <c:numCache/>
            </c:numRef>
          </c:val>
          <c:smooth val="0"/>
        </c:ser>
        <c:axId val="1818385331"/>
        <c:axId val="513708266"/>
      </c:lineChart>
      <c:catAx>
        <c:axId val="1818385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3708266"/>
      </c:catAx>
      <c:valAx>
        <c:axId val="513708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83853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Dataheet01!$S$1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Dataheet01!$B$2:$B$1501</c:f>
            </c:strRef>
          </c:cat>
          <c:val>
            <c:numRef>
              <c:f>Dataheet01!$S$2:$S$1501</c:f>
              <c:numCache/>
            </c:numRef>
          </c:val>
          <c:smooth val="0"/>
        </c:ser>
        <c:axId val="851323238"/>
        <c:axId val="743241788"/>
      </c:lineChart>
      <c:catAx>
        <c:axId val="851323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Mag_Accel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3241788"/>
      </c:catAx>
      <c:valAx>
        <c:axId val="7432417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13232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Dataheet01!$T$1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Dataheet01!$B$2:$B$1501</c:f>
            </c:strRef>
          </c:cat>
          <c:val>
            <c:numRef>
              <c:f>Dataheet01!$T$2:$T$1501</c:f>
              <c:numCache/>
            </c:numRef>
          </c:val>
          <c:smooth val="0"/>
        </c:ser>
        <c:axId val="560789951"/>
        <c:axId val="756061811"/>
      </c:lineChart>
      <c:catAx>
        <c:axId val="560789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Mag_Gyro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6061811"/>
      </c:catAx>
      <c:valAx>
        <c:axId val="7560618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07899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Dataheet01!$W$1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Dataheet01!$B$2:$B$1528</c:f>
            </c:strRef>
          </c:cat>
          <c:val>
            <c:numRef>
              <c:f>Dataheet01!$W$2:$W$1528</c:f>
              <c:numCache/>
            </c:numRef>
          </c:val>
          <c:smooth val="0"/>
        </c:ser>
        <c:ser>
          <c:idx val="1"/>
          <c:order val="1"/>
          <c:tx>
            <c:strRef>
              <c:f>Dataheet01!$X$1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Dataheet01!$B$2:$B$1528</c:f>
            </c:strRef>
          </c:cat>
          <c:val>
            <c:numRef>
              <c:f>Dataheet01!$X$2:$X$1528</c:f>
              <c:numCache/>
            </c:numRef>
          </c:val>
          <c:smooth val="0"/>
        </c:ser>
        <c:ser>
          <c:idx val="2"/>
          <c:order val="2"/>
          <c:tx>
            <c:strRef>
              <c:f>Dataheet01!$Y$1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Dataheet01!$B$2:$B$1528</c:f>
            </c:strRef>
          </c:cat>
          <c:val>
            <c:numRef>
              <c:f>Dataheet01!$Y$2:$Y$1528</c:f>
              <c:numCache/>
            </c:numRef>
          </c:val>
          <c:smooth val="0"/>
        </c:ser>
        <c:axId val="1794272094"/>
        <c:axId val="1143065841"/>
      </c:lineChart>
      <c:catAx>
        <c:axId val="1794272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3065841"/>
      </c:catAx>
      <c:valAx>
        <c:axId val="1143065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42720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Diff_Mag_Acclr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Dataheet01!$R$1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Dataheet01!$B$2:$B$1528</c:f>
            </c:strRef>
          </c:cat>
          <c:val>
            <c:numRef>
              <c:f>Dataheet01!$R$2:$R$1528</c:f>
              <c:numCache/>
            </c:numRef>
          </c:val>
          <c:smooth val="0"/>
        </c:ser>
        <c:axId val="790913032"/>
        <c:axId val="957560191"/>
      </c:lineChart>
      <c:catAx>
        <c:axId val="790913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7560191"/>
      </c:catAx>
      <c:valAx>
        <c:axId val="9575601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09130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Diff_Mag_Gyro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Dataheet01!$Q$1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Dataheet01!$B$2:$B$1528</c:f>
            </c:strRef>
          </c:cat>
          <c:val>
            <c:numRef>
              <c:f>Dataheet01!$Q$2:$Q$1528</c:f>
              <c:numCache/>
            </c:numRef>
          </c:val>
          <c:smooth val="0"/>
        </c:ser>
        <c:axId val="598962969"/>
        <c:axId val="1219426082"/>
      </c:lineChart>
      <c:catAx>
        <c:axId val="5989629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9426082"/>
      </c:catAx>
      <c:valAx>
        <c:axId val="1219426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89629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'1201-1500'!$J$1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'1201-1500'!$A$2:$A$309</c:f>
            </c:strRef>
          </c:cat>
          <c:val>
            <c:numRef>
              <c:f>'1201-1500'!$J$2:$J$309</c:f>
              <c:numCache/>
            </c:numRef>
          </c:val>
          <c:smooth val="0"/>
        </c:ser>
        <c:ser>
          <c:idx val="1"/>
          <c:order val="1"/>
          <c:tx>
            <c:strRef>
              <c:f>'1201-1500'!$K$1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'1201-1500'!$A$2:$A$309</c:f>
            </c:strRef>
          </c:cat>
          <c:val>
            <c:numRef>
              <c:f>'1201-1500'!$K$2:$K$309</c:f>
              <c:numCache/>
            </c:numRef>
          </c:val>
          <c:smooth val="0"/>
        </c:ser>
        <c:ser>
          <c:idx val="2"/>
          <c:order val="2"/>
          <c:tx>
            <c:strRef>
              <c:f>'1201-1500'!$L$1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'1201-1500'!$A$2:$A$309</c:f>
            </c:strRef>
          </c:cat>
          <c:val>
            <c:numRef>
              <c:f>'1201-1500'!$L$2:$L$309</c:f>
              <c:numCache/>
            </c:numRef>
          </c:val>
          <c:smooth val="0"/>
        </c:ser>
        <c:axId val="245220304"/>
        <c:axId val="390271407"/>
      </c:lineChart>
      <c:catAx>
        <c:axId val="2452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271407"/>
      </c:catAx>
      <c:valAx>
        <c:axId val="390271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2452203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Comic Sans MS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'1201-1500'!$O$1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'1201-1500'!$A$2:$A$309</c:f>
            </c:strRef>
          </c:cat>
          <c:val>
            <c:numRef>
              <c:f>'1201-1500'!$O$2:$O$309</c:f>
              <c:numCache/>
            </c:numRef>
          </c:val>
          <c:smooth val="0"/>
        </c:ser>
        <c:ser>
          <c:idx val="1"/>
          <c:order val="1"/>
          <c:tx>
            <c:strRef>
              <c:f>'1201-1500'!$N$1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'1201-1500'!$A$2:$A$309</c:f>
            </c:strRef>
          </c:cat>
          <c:val>
            <c:numRef>
              <c:f>'1201-1500'!$N$2:$N$309</c:f>
              <c:numCache/>
            </c:numRef>
          </c:val>
          <c:smooth val="0"/>
        </c:ser>
        <c:ser>
          <c:idx val="2"/>
          <c:order val="2"/>
          <c:tx>
            <c:strRef>
              <c:f>'1201-1500'!$O$1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'1201-1500'!$A$2:$A$309</c:f>
            </c:strRef>
          </c:cat>
          <c:val>
            <c:numRef>
              <c:f>'1201-1500'!$O$2:$O$309</c:f>
              <c:numCache/>
            </c:numRef>
          </c:val>
          <c:smooth val="0"/>
        </c:ser>
        <c:axId val="1680217060"/>
        <c:axId val="139929598"/>
      </c:lineChart>
      <c:catAx>
        <c:axId val="1680217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929598"/>
      </c:catAx>
      <c:valAx>
        <c:axId val="1399295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02170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'1201-1500'!$R$1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'1201-1500'!$A$2:$A$309</c:f>
            </c:strRef>
          </c:cat>
          <c:val>
            <c:numRef>
              <c:f>'1201-1500'!$R$2:$R$309</c:f>
              <c:numCache/>
            </c:numRef>
          </c:val>
          <c:smooth val="0"/>
        </c:ser>
        <c:axId val="265095701"/>
        <c:axId val="734939356"/>
      </c:lineChart>
      <c:catAx>
        <c:axId val="265095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Mag_Accel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4939356"/>
      </c:catAx>
      <c:valAx>
        <c:axId val="7349393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50957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'1201-1500'!$S$1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'1201-1500'!$A$2:$A$309</c:f>
            </c:strRef>
          </c:cat>
          <c:val>
            <c:numRef>
              <c:f>'1201-1500'!$S$2:$S$309</c:f>
              <c:numCache/>
            </c:numRef>
          </c:val>
          <c:smooth val="0"/>
        </c:ser>
        <c:axId val="374059661"/>
        <c:axId val="1472973503"/>
      </c:lineChart>
      <c:catAx>
        <c:axId val="3740596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Mag_Gyro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973503"/>
      </c:catAx>
      <c:valAx>
        <c:axId val="1472973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0596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'1201-1500'!$V$1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'1201-1500'!$A$2:$A$328</c:f>
            </c:strRef>
          </c:cat>
          <c:val>
            <c:numRef>
              <c:f>'1201-1500'!$V$2:$V$328</c:f>
              <c:numCache/>
            </c:numRef>
          </c:val>
          <c:smooth val="0"/>
        </c:ser>
        <c:ser>
          <c:idx val="1"/>
          <c:order val="1"/>
          <c:tx>
            <c:strRef>
              <c:f>'1201-1500'!$W$1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'1201-1500'!$A$2:$A$328</c:f>
            </c:strRef>
          </c:cat>
          <c:val>
            <c:numRef>
              <c:f>'1201-1500'!$W$2:$W$328</c:f>
              <c:numCache/>
            </c:numRef>
          </c:val>
          <c:smooth val="0"/>
        </c:ser>
        <c:ser>
          <c:idx val="2"/>
          <c:order val="2"/>
          <c:tx>
            <c:strRef>
              <c:f>'1201-1500'!$X$1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'1201-1500'!$A$2:$A$328</c:f>
            </c:strRef>
          </c:cat>
          <c:val>
            <c:numRef>
              <c:f>'1201-1500'!$X$2:$X$328</c:f>
              <c:numCache/>
            </c:numRef>
          </c:val>
          <c:smooth val="0"/>
        </c:ser>
        <c:axId val="950230396"/>
        <c:axId val="1723391937"/>
      </c:lineChart>
      <c:catAx>
        <c:axId val="950230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3391937"/>
      </c:catAx>
      <c:valAx>
        <c:axId val="17233919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02303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Diff_Mag_Acclr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'1201-1500'!$Q$1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'1201-1500'!$A$2:$A$328</c:f>
            </c:strRef>
          </c:cat>
          <c:val>
            <c:numRef>
              <c:f>'1201-1500'!$Q$2:$Q$328</c:f>
              <c:numCache/>
            </c:numRef>
          </c:val>
          <c:smooth val="0"/>
        </c:ser>
        <c:axId val="1787665251"/>
        <c:axId val="799436400"/>
      </c:lineChart>
      <c:catAx>
        <c:axId val="1787665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9436400"/>
      </c:catAx>
      <c:valAx>
        <c:axId val="7994364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76652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Diff_Mag_Gyro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'1201-1500'!$P$1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'1201-1500'!$A$2:$A$328</c:f>
            </c:strRef>
          </c:cat>
          <c:val>
            <c:numRef>
              <c:f>'1201-1500'!$P$2:$P$328</c:f>
              <c:numCache/>
            </c:numRef>
          </c:val>
          <c:smooth val="0"/>
        </c:ser>
        <c:axId val="953832905"/>
        <c:axId val="368492415"/>
      </c:lineChart>
      <c:catAx>
        <c:axId val="953832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8492415"/>
      </c:catAx>
      <c:valAx>
        <c:axId val="3684924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8329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'901-1200'!$J$1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'901-1200'!$A$2:$A$309</c:f>
            </c:strRef>
          </c:cat>
          <c:val>
            <c:numRef>
              <c:f>'901-1200'!$J$2:$J$309</c:f>
              <c:numCache/>
            </c:numRef>
          </c:val>
          <c:smooth val="0"/>
        </c:ser>
        <c:ser>
          <c:idx val="1"/>
          <c:order val="1"/>
          <c:tx>
            <c:strRef>
              <c:f>'901-1200'!$K$1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'901-1200'!$A$2:$A$309</c:f>
            </c:strRef>
          </c:cat>
          <c:val>
            <c:numRef>
              <c:f>'901-1200'!$K$2:$K$309</c:f>
              <c:numCache/>
            </c:numRef>
          </c:val>
          <c:smooth val="0"/>
        </c:ser>
        <c:ser>
          <c:idx val="2"/>
          <c:order val="2"/>
          <c:tx>
            <c:strRef>
              <c:f>'901-1200'!$L$1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'901-1200'!$A$2:$A$309</c:f>
            </c:strRef>
          </c:cat>
          <c:val>
            <c:numRef>
              <c:f>'901-1200'!$L$2:$L$309</c:f>
              <c:numCache/>
            </c:numRef>
          </c:val>
          <c:smooth val="0"/>
        </c:ser>
        <c:axId val="440912052"/>
        <c:axId val="161828713"/>
      </c:lineChart>
      <c:catAx>
        <c:axId val="4409120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828713"/>
      </c:catAx>
      <c:valAx>
        <c:axId val="161828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4409120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Comic Sans MS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'901-1200'!$O$1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'901-1200'!$A$2:$A$309</c:f>
            </c:strRef>
          </c:cat>
          <c:val>
            <c:numRef>
              <c:f>'901-1200'!$O$2:$O$309</c:f>
              <c:numCache/>
            </c:numRef>
          </c:val>
          <c:smooth val="0"/>
        </c:ser>
        <c:ser>
          <c:idx val="1"/>
          <c:order val="1"/>
          <c:tx>
            <c:strRef>
              <c:f>'901-1200'!$N$1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'901-1200'!$A$2:$A$309</c:f>
            </c:strRef>
          </c:cat>
          <c:val>
            <c:numRef>
              <c:f>'901-1200'!$N$2:$N$309</c:f>
              <c:numCache/>
            </c:numRef>
          </c:val>
          <c:smooth val="0"/>
        </c:ser>
        <c:ser>
          <c:idx val="2"/>
          <c:order val="2"/>
          <c:tx>
            <c:strRef>
              <c:f>'901-1200'!$O$1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'901-1200'!$A$2:$A$309</c:f>
            </c:strRef>
          </c:cat>
          <c:val>
            <c:numRef>
              <c:f>'901-1200'!$O$2:$O$309</c:f>
              <c:numCache/>
            </c:numRef>
          </c:val>
          <c:smooth val="0"/>
        </c:ser>
        <c:axId val="1054357228"/>
        <c:axId val="1960758289"/>
      </c:lineChart>
      <c:catAx>
        <c:axId val="1054357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0758289"/>
      </c:catAx>
      <c:valAx>
        <c:axId val="19607582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43572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'901-1200'!$R$1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'901-1200'!$A$2:$A$309</c:f>
            </c:strRef>
          </c:cat>
          <c:val>
            <c:numRef>
              <c:f>'901-1200'!$R$2:$R$309</c:f>
              <c:numCache/>
            </c:numRef>
          </c:val>
          <c:smooth val="0"/>
        </c:ser>
        <c:axId val="844831784"/>
        <c:axId val="1183164358"/>
      </c:lineChart>
      <c:catAx>
        <c:axId val="844831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Mag_Accel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3164358"/>
      </c:catAx>
      <c:valAx>
        <c:axId val="11831643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48317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'901-1200'!$S$1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'901-1200'!$A$2:$A$309</c:f>
            </c:strRef>
          </c:cat>
          <c:val>
            <c:numRef>
              <c:f>'901-1200'!$S$2:$S$309</c:f>
              <c:numCache/>
            </c:numRef>
          </c:val>
          <c:smooth val="0"/>
        </c:ser>
        <c:axId val="347405069"/>
        <c:axId val="464830311"/>
      </c:lineChart>
      <c:catAx>
        <c:axId val="3474050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Mag_Gyro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4830311"/>
      </c:catAx>
      <c:valAx>
        <c:axId val="464830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74050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'901-1200'!$V$1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'901-1200'!$A$2:$A$328</c:f>
            </c:strRef>
          </c:cat>
          <c:val>
            <c:numRef>
              <c:f>'901-1200'!$V$2:$V$328</c:f>
              <c:numCache/>
            </c:numRef>
          </c:val>
          <c:smooth val="0"/>
        </c:ser>
        <c:ser>
          <c:idx val="1"/>
          <c:order val="1"/>
          <c:tx>
            <c:strRef>
              <c:f>'901-1200'!$W$1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'901-1200'!$A$2:$A$328</c:f>
            </c:strRef>
          </c:cat>
          <c:val>
            <c:numRef>
              <c:f>'901-1200'!$W$2:$W$328</c:f>
              <c:numCache/>
            </c:numRef>
          </c:val>
          <c:smooth val="0"/>
        </c:ser>
        <c:ser>
          <c:idx val="2"/>
          <c:order val="2"/>
          <c:tx>
            <c:strRef>
              <c:f>'901-1200'!$X$1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'901-1200'!$A$2:$A$328</c:f>
            </c:strRef>
          </c:cat>
          <c:val>
            <c:numRef>
              <c:f>'901-1200'!$X$2:$X$328</c:f>
              <c:numCache/>
            </c:numRef>
          </c:val>
          <c:smooth val="0"/>
        </c:ser>
        <c:axId val="116383344"/>
        <c:axId val="1129856486"/>
      </c:lineChart>
      <c:catAx>
        <c:axId val="11638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9856486"/>
      </c:catAx>
      <c:valAx>
        <c:axId val="11298564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3833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Diff_Mag_Acclr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'901-1200'!$Q$1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'901-1200'!$A$2:$A$328</c:f>
            </c:strRef>
          </c:cat>
          <c:val>
            <c:numRef>
              <c:f>'901-1200'!$Q$2:$Q$328</c:f>
              <c:numCache/>
            </c:numRef>
          </c:val>
          <c:smooth val="0"/>
        </c:ser>
        <c:axId val="700660807"/>
        <c:axId val="1408592417"/>
      </c:lineChart>
      <c:catAx>
        <c:axId val="700660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8592417"/>
      </c:catAx>
      <c:valAx>
        <c:axId val="14085924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06608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Diff_Mag_Gyro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'901-1200'!$P$1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'901-1200'!$A$2:$A$328</c:f>
            </c:strRef>
          </c:cat>
          <c:val>
            <c:numRef>
              <c:f>'901-1200'!$P$2:$P$328</c:f>
              <c:numCache/>
            </c:numRef>
          </c:val>
          <c:smooth val="0"/>
        </c:ser>
        <c:axId val="455260894"/>
        <c:axId val="388672223"/>
      </c:lineChart>
      <c:catAx>
        <c:axId val="4552608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672223"/>
      </c:catAx>
      <c:valAx>
        <c:axId val="3886722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52608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'601-900'!$J$1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'601-900'!$A$2:$A$309</c:f>
            </c:strRef>
          </c:cat>
          <c:val>
            <c:numRef>
              <c:f>'601-900'!$J$2:$J$309</c:f>
              <c:numCache/>
            </c:numRef>
          </c:val>
          <c:smooth val="0"/>
        </c:ser>
        <c:ser>
          <c:idx val="1"/>
          <c:order val="1"/>
          <c:tx>
            <c:strRef>
              <c:f>'601-900'!$K$1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'601-900'!$A$2:$A$309</c:f>
            </c:strRef>
          </c:cat>
          <c:val>
            <c:numRef>
              <c:f>'601-900'!$K$2:$K$309</c:f>
              <c:numCache/>
            </c:numRef>
          </c:val>
          <c:smooth val="0"/>
        </c:ser>
        <c:ser>
          <c:idx val="2"/>
          <c:order val="2"/>
          <c:tx>
            <c:strRef>
              <c:f>'601-900'!$L$1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'601-900'!$A$2:$A$309</c:f>
            </c:strRef>
          </c:cat>
          <c:val>
            <c:numRef>
              <c:f>'601-900'!$L$2:$L$309</c:f>
              <c:numCache/>
            </c:numRef>
          </c:val>
          <c:smooth val="0"/>
        </c:ser>
        <c:axId val="1574512581"/>
        <c:axId val="1217877514"/>
      </c:lineChart>
      <c:catAx>
        <c:axId val="15745125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7877514"/>
      </c:catAx>
      <c:valAx>
        <c:axId val="1217877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5745125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Comic Sans MS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'601-900'!$O$1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'601-900'!$A$2:$A$309</c:f>
            </c:strRef>
          </c:cat>
          <c:val>
            <c:numRef>
              <c:f>'601-900'!$O$2:$O$309</c:f>
              <c:numCache/>
            </c:numRef>
          </c:val>
          <c:smooth val="0"/>
        </c:ser>
        <c:ser>
          <c:idx val="1"/>
          <c:order val="1"/>
          <c:tx>
            <c:strRef>
              <c:f>'601-900'!$N$1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'601-900'!$A$2:$A$309</c:f>
            </c:strRef>
          </c:cat>
          <c:val>
            <c:numRef>
              <c:f>'601-900'!$N$2:$N$309</c:f>
              <c:numCache/>
            </c:numRef>
          </c:val>
          <c:smooth val="0"/>
        </c:ser>
        <c:ser>
          <c:idx val="2"/>
          <c:order val="2"/>
          <c:tx>
            <c:strRef>
              <c:f>'601-900'!$O$1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'601-900'!$A$2:$A$309</c:f>
            </c:strRef>
          </c:cat>
          <c:val>
            <c:numRef>
              <c:f>'601-900'!$O$2:$O$309</c:f>
              <c:numCache/>
            </c:numRef>
          </c:val>
          <c:smooth val="0"/>
        </c:ser>
        <c:axId val="1727459268"/>
        <c:axId val="1844134126"/>
      </c:lineChart>
      <c:catAx>
        <c:axId val="17274592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4134126"/>
      </c:catAx>
      <c:valAx>
        <c:axId val="18441341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74592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'601-900'!$R$1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'601-900'!$A$2:$A$309</c:f>
            </c:strRef>
          </c:cat>
          <c:val>
            <c:numRef>
              <c:f>'601-900'!$R$2:$R$309</c:f>
              <c:numCache/>
            </c:numRef>
          </c:val>
          <c:smooth val="0"/>
        </c:ser>
        <c:axId val="917388143"/>
        <c:axId val="540198737"/>
      </c:lineChart>
      <c:catAx>
        <c:axId val="917388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Mag_Accel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0198737"/>
      </c:catAx>
      <c:valAx>
        <c:axId val="540198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73881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'601-900'!$S$1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'601-900'!$A$2:$A$309</c:f>
            </c:strRef>
          </c:cat>
          <c:val>
            <c:numRef>
              <c:f>'601-900'!$S$2:$S$309</c:f>
              <c:numCache/>
            </c:numRef>
          </c:val>
          <c:smooth val="0"/>
        </c:ser>
        <c:axId val="1233962680"/>
        <c:axId val="162202162"/>
      </c:lineChart>
      <c:catAx>
        <c:axId val="1233962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Mag_Gyro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202162"/>
      </c:catAx>
      <c:valAx>
        <c:axId val="1622021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39626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'601-900'!$V$1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'601-900'!$A$2:$A$328</c:f>
            </c:strRef>
          </c:cat>
          <c:val>
            <c:numRef>
              <c:f>'601-900'!$V$2:$V$328</c:f>
              <c:numCache/>
            </c:numRef>
          </c:val>
          <c:smooth val="0"/>
        </c:ser>
        <c:ser>
          <c:idx val="1"/>
          <c:order val="1"/>
          <c:tx>
            <c:strRef>
              <c:f>'601-900'!$W$1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'601-900'!$A$2:$A$328</c:f>
            </c:strRef>
          </c:cat>
          <c:val>
            <c:numRef>
              <c:f>'601-900'!$W$2:$W$328</c:f>
              <c:numCache/>
            </c:numRef>
          </c:val>
          <c:smooth val="0"/>
        </c:ser>
        <c:ser>
          <c:idx val="2"/>
          <c:order val="2"/>
          <c:tx>
            <c:strRef>
              <c:f>'601-900'!$X$1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'601-900'!$A$2:$A$328</c:f>
            </c:strRef>
          </c:cat>
          <c:val>
            <c:numRef>
              <c:f>'601-900'!$X$2:$X$328</c:f>
              <c:numCache/>
            </c:numRef>
          </c:val>
          <c:smooth val="0"/>
        </c:ser>
        <c:axId val="331546371"/>
        <c:axId val="1632356917"/>
      </c:lineChart>
      <c:catAx>
        <c:axId val="3315463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2356917"/>
      </c:catAx>
      <c:valAx>
        <c:axId val="1632356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15463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Diff_Mag_Acclr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'601-900'!$Q$1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'601-900'!$A$2:$A$328</c:f>
            </c:strRef>
          </c:cat>
          <c:val>
            <c:numRef>
              <c:f>'601-900'!$Q$2:$Q$328</c:f>
              <c:numCache/>
            </c:numRef>
          </c:val>
          <c:smooth val="0"/>
        </c:ser>
        <c:axId val="401650211"/>
        <c:axId val="1349482530"/>
      </c:lineChart>
      <c:catAx>
        <c:axId val="401650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9482530"/>
      </c:catAx>
      <c:valAx>
        <c:axId val="13494825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16502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Diff_Mag_Gyro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'601-900'!$P$1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'601-900'!$A$2:$A$328</c:f>
            </c:strRef>
          </c:cat>
          <c:val>
            <c:numRef>
              <c:f>'601-900'!$P$2:$P$328</c:f>
              <c:numCache/>
            </c:numRef>
          </c:val>
          <c:smooth val="0"/>
        </c:ser>
        <c:axId val="583243622"/>
        <c:axId val="627576372"/>
      </c:lineChart>
      <c:catAx>
        <c:axId val="583243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576372"/>
      </c:catAx>
      <c:valAx>
        <c:axId val="627576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32436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'0-600'!$J$1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'0-600'!$A$2:$A$609</c:f>
            </c:strRef>
          </c:cat>
          <c:val>
            <c:numRef>
              <c:f>'0-600'!$J$2:$J$609</c:f>
              <c:numCache/>
            </c:numRef>
          </c:val>
          <c:smooth val="0"/>
        </c:ser>
        <c:ser>
          <c:idx val="1"/>
          <c:order val="1"/>
          <c:tx>
            <c:strRef>
              <c:f>'0-600'!$K$1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'0-600'!$A$2:$A$609</c:f>
            </c:strRef>
          </c:cat>
          <c:val>
            <c:numRef>
              <c:f>'0-600'!$K$2:$K$609</c:f>
              <c:numCache/>
            </c:numRef>
          </c:val>
          <c:smooth val="0"/>
        </c:ser>
        <c:ser>
          <c:idx val="2"/>
          <c:order val="2"/>
          <c:tx>
            <c:strRef>
              <c:f>'0-600'!$L$1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'0-600'!$A$2:$A$609</c:f>
            </c:strRef>
          </c:cat>
          <c:val>
            <c:numRef>
              <c:f>'0-600'!$L$2:$L$609</c:f>
              <c:numCache/>
            </c:numRef>
          </c:val>
          <c:smooth val="0"/>
        </c:ser>
        <c:axId val="1611645350"/>
        <c:axId val="154523121"/>
      </c:lineChart>
      <c:catAx>
        <c:axId val="16116453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523121"/>
      </c:catAx>
      <c:valAx>
        <c:axId val="1545231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6116453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Comic Sans MS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'0-600'!$O$1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'0-600'!$A$2:$A$609</c:f>
            </c:strRef>
          </c:cat>
          <c:val>
            <c:numRef>
              <c:f>'0-600'!$O$2:$O$609</c:f>
              <c:numCache/>
            </c:numRef>
          </c:val>
          <c:smooth val="0"/>
        </c:ser>
        <c:ser>
          <c:idx val="1"/>
          <c:order val="1"/>
          <c:tx>
            <c:strRef>
              <c:f>'0-600'!$N$1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'0-600'!$A$2:$A$609</c:f>
            </c:strRef>
          </c:cat>
          <c:val>
            <c:numRef>
              <c:f>'0-600'!$N$2:$N$609</c:f>
              <c:numCache/>
            </c:numRef>
          </c:val>
          <c:smooth val="0"/>
        </c:ser>
        <c:ser>
          <c:idx val="2"/>
          <c:order val="2"/>
          <c:tx>
            <c:strRef>
              <c:f>'0-600'!$O$1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'0-600'!$A$2:$A$609</c:f>
            </c:strRef>
          </c:cat>
          <c:val>
            <c:numRef>
              <c:f>'0-600'!$O$2:$O$609</c:f>
              <c:numCache/>
            </c:numRef>
          </c:val>
          <c:smooth val="0"/>
        </c:ser>
        <c:axId val="1325090668"/>
        <c:axId val="112620630"/>
      </c:lineChart>
      <c:catAx>
        <c:axId val="1325090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620630"/>
      </c:catAx>
      <c:valAx>
        <c:axId val="1126206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50906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'0-600'!$R$1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'0-600'!$A$2:$A$609</c:f>
            </c:strRef>
          </c:cat>
          <c:val>
            <c:numRef>
              <c:f>'0-600'!$R$2:$R$609</c:f>
              <c:numCache/>
            </c:numRef>
          </c:val>
          <c:smooth val="0"/>
        </c:ser>
        <c:axId val="883644910"/>
        <c:axId val="2005680951"/>
      </c:lineChart>
      <c:catAx>
        <c:axId val="8836449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Mag_Accel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5680951"/>
      </c:catAx>
      <c:valAx>
        <c:axId val="2005680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36449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'0-600'!$S$1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'0-600'!$A$2:$A$609</c:f>
            </c:strRef>
          </c:cat>
          <c:val>
            <c:numRef>
              <c:f>'0-600'!$S$2:$S$609</c:f>
              <c:numCache/>
            </c:numRef>
          </c:val>
          <c:smooth val="0"/>
        </c:ser>
        <c:axId val="1559197666"/>
        <c:axId val="1599219019"/>
      </c:lineChart>
      <c:catAx>
        <c:axId val="15591976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Mag_Gyro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9219019"/>
      </c:catAx>
      <c:valAx>
        <c:axId val="1599219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91976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'0-600'!$V$1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'0-600'!$A$2:$A$628</c:f>
            </c:strRef>
          </c:cat>
          <c:val>
            <c:numRef>
              <c:f>'0-600'!$V$2:$V$628</c:f>
              <c:numCache/>
            </c:numRef>
          </c:val>
          <c:smooth val="0"/>
        </c:ser>
        <c:ser>
          <c:idx val="1"/>
          <c:order val="1"/>
          <c:tx>
            <c:strRef>
              <c:f>'0-600'!$W$1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'0-600'!$A$2:$A$628</c:f>
            </c:strRef>
          </c:cat>
          <c:val>
            <c:numRef>
              <c:f>'0-600'!$W$2:$W$628</c:f>
              <c:numCache/>
            </c:numRef>
          </c:val>
          <c:smooth val="0"/>
        </c:ser>
        <c:ser>
          <c:idx val="2"/>
          <c:order val="2"/>
          <c:tx>
            <c:strRef>
              <c:f>'0-600'!$X$1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'0-600'!$A$2:$A$628</c:f>
            </c:strRef>
          </c:cat>
          <c:val>
            <c:numRef>
              <c:f>'0-600'!$X$2:$X$628</c:f>
              <c:numCache/>
            </c:numRef>
          </c:val>
          <c:smooth val="0"/>
        </c:ser>
        <c:axId val="232951907"/>
        <c:axId val="1371904048"/>
      </c:lineChart>
      <c:catAx>
        <c:axId val="232951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1904048"/>
      </c:catAx>
      <c:valAx>
        <c:axId val="1371904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29519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Diff_Mag_Acclr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'0-600'!$Q$1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'0-600'!$A$2:$A$628</c:f>
            </c:strRef>
          </c:cat>
          <c:val>
            <c:numRef>
              <c:f>'0-600'!$Q$2:$Q$628</c:f>
              <c:numCache/>
            </c:numRef>
          </c:val>
          <c:smooth val="0"/>
        </c:ser>
        <c:axId val="652784040"/>
        <c:axId val="419289734"/>
      </c:lineChart>
      <c:catAx>
        <c:axId val="652784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9289734"/>
      </c:catAx>
      <c:valAx>
        <c:axId val="419289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784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Diff_Mag_Gyro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'0-600'!$P$1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'0-600'!$A$2:$A$628</c:f>
            </c:strRef>
          </c:cat>
          <c:val>
            <c:numRef>
              <c:f>'0-600'!$P$2:$P$628</c:f>
              <c:numCache/>
            </c:numRef>
          </c:val>
          <c:smooth val="0"/>
        </c:ser>
        <c:axId val="2042929267"/>
        <c:axId val="239944533"/>
      </c:lineChart>
      <c:catAx>
        <c:axId val="2042929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Serial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9944533"/>
      </c:catAx>
      <c:valAx>
        <c:axId val="239944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29292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Relationship Id="rId5" Type="http://schemas.openxmlformats.org/officeDocument/2006/relationships/chart" Target="../charts/chart19.xml"/><Relationship Id="rId6" Type="http://schemas.openxmlformats.org/officeDocument/2006/relationships/chart" Target="../charts/chart20.xml"/><Relationship Id="rId7" Type="http://schemas.openxmlformats.org/officeDocument/2006/relationships/chart" Target="../charts/chart2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Relationship Id="rId4" Type="http://schemas.openxmlformats.org/officeDocument/2006/relationships/chart" Target="../charts/chart25.xml"/><Relationship Id="rId5" Type="http://schemas.openxmlformats.org/officeDocument/2006/relationships/chart" Target="../charts/chart26.xml"/><Relationship Id="rId6" Type="http://schemas.openxmlformats.org/officeDocument/2006/relationships/chart" Target="../charts/chart27.xml"/><Relationship Id="rId7" Type="http://schemas.openxmlformats.org/officeDocument/2006/relationships/chart" Target="../charts/chart2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Relationship Id="rId4" Type="http://schemas.openxmlformats.org/officeDocument/2006/relationships/chart" Target="../charts/chart32.xml"/><Relationship Id="rId5" Type="http://schemas.openxmlformats.org/officeDocument/2006/relationships/chart" Target="../charts/chart33.xml"/><Relationship Id="rId6" Type="http://schemas.openxmlformats.org/officeDocument/2006/relationships/chart" Target="../charts/chart34.xml"/><Relationship Id="rId7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30</xdr:col>
      <xdr:colOff>333375</xdr:colOff>
      <xdr:row>1</xdr:row>
      <xdr:rowOff>285750</xdr:rowOff>
    </xdr:from>
    <xdr:ext cx="6753225" cy="4181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30</xdr:col>
      <xdr:colOff>333375</xdr:colOff>
      <xdr:row>20</xdr:row>
      <xdr:rowOff>28575</xdr:rowOff>
    </xdr:from>
    <xdr:ext cx="6753225" cy="41814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30</xdr:col>
      <xdr:colOff>333375</xdr:colOff>
      <xdr:row>36</xdr:row>
      <xdr:rowOff>47625</xdr:rowOff>
    </xdr:from>
    <xdr:ext cx="6753225" cy="41814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30</xdr:col>
      <xdr:colOff>333375</xdr:colOff>
      <xdr:row>52</xdr:row>
      <xdr:rowOff>66675</xdr:rowOff>
    </xdr:from>
    <xdr:ext cx="6753225" cy="41814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30</xdr:col>
      <xdr:colOff>342900</xdr:colOff>
      <xdr:row>69</xdr:row>
      <xdr:rowOff>190500</xdr:rowOff>
    </xdr:from>
    <xdr:ext cx="6753225" cy="40767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30</xdr:col>
      <xdr:colOff>342900</xdr:colOff>
      <xdr:row>85</xdr:row>
      <xdr:rowOff>238125</xdr:rowOff>
    </xdr:from>
    <xdr:ext cx="6753225" cy="41814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30</xdr:col>
      <xdr:colOff>352425</xdr:colOff>
      <xdr:row>102</xdr:row>
      <xdr:rowOff>104775</xdr:rowOff>
    </xdr:from>
    <xdr:ext cx="6753225" cy="41814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333375</xdr:colOff>
      <xdr:row>1</xdr:row>
      <xdr:rowOff>285750</xdr:rowOff>
    </xdr:from>
    <xdr:ext cx="6753225" cy="41814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29</xdr:col>
      <xdr:colOff>333375</xdr:colOff>
      <xdr:row>1</xdr:row>
      <xdr:rowOff>28575</xdr:rowOff>
    </xdr:from>
    <xdr:ext cx="6753225" cy="41814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29</xdr:col>
      <xdr:colOff>333375</xdr:colOff>
      <xdr:row>1</xdr:row>
      <xdr:rowOff>47625</xdr:rowOff>
    </xdr:from>
    <xdr:ext cx="6753225" cy="41814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29</xdr:col>
      <xdr:colOff>333375</xdr:colOff>
      <xdr:row>1</xdr:row>
      <xdr:rowOff>66675</xdr:rowOff>
    </xdr:from>
    <xdr:ext cx="6753225" cy="41814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29</xdr:col>
      <xdr:colOff>342900</xdr:colOff>
      <xdr:row>1</xdr:row>
      <xdr:rowOff>190500</xdr:rowOff>
    </xdr:from>
    <xdr:ext cx="6753225" cy="40767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29</xdr:col>
      <xdr:colOff>342900</xdr:colOff>
      <xdr:row>1</xdr:row>
      <xdr:rowOff>238125</xdr:rowOff>
    </xdr:from>
    <xdr:ext cx="6753225" cy="41814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29</xdr:col>
      <xdr:colOff>352425</xdr:colOff>
      <xdr:row>1</xdr:row>
      <xdr:rowOff>104775</xdr:rowOff>
    </xdr:from>
    <xdr:ext cx="6753225" cy="41814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333375</xdr:colOff>
      <xdr:row>1</xdr:row>
      <xdr:rowOff>285750</xdr:rowOff>
    </xdr:from>
    <xdr:ext cx="6753225" cy="41814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29</xdr:col>
      <xdr:colOff>333375</xdr:colOff>
      <xdr:row>1</xdr:row>
      <xdr:rowOff>28575</xdr:rowOff>
    </xdr:from>
    <xdr:ext cx="6753225" cy="41814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29</xdr:col>
      <xdr:colOff>333375</xdr:colOff>
      <xdr:row>1</xdr:row>
      <xdr:rowOff>47625</xdr:rowOff>
    </xdr:from>
    <xdr:ext cx="6753225" cy="41814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29</xdr:col>
      <xdr:colOff>333375</xdr:colOff>
      <xdr:row>1</xdr:row>
      <xdr:rowOff>66675</xdr:rowOff>
    </xdr:from>
    <xdr:ext cx="6753225" cy="41814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29</xdr:col>
      <xdr:colOff>342900</xdr:colOff>
      <xdr:row>1</xdr:row>
      <xdr:rowOff>190500</xdr:rowOff>
    </xdr:from>
    <xdr:ext cx="6753225" cy="407670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29</xdr:col>
      <xdr:colOff>342900</xdr:colOff>
      <xdr:row>1</xdr:row>
      <xdr:rowOff>238125</xdr:rowOff>
    </xdr:from>
    <xdr:ext cx="6753225" cy="41814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29</xdr:col>
      <xdr:colOff>352425</xdr:colOff>
      <xdr:row>1</xdr:row>
      <xdr:rowOff>104775</xdr:rowOff>
    </xdr:from>
    <xdr:ext cx="6753225" cy="41814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333375</xdr:colOff>
      <xdr:row>1</xdr:row>
      <xdr:rowOff>285750</xdr:rowOff>
    </xdr:from>
    <xdr:ext cx="6753225" cy="41814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29</xdr:col>
      <xdr:colOff>333375</xdr:colOff>
      <xdr:row>1</xdr:row>
      <xdr:rowOff>28575</xdr:rowOff>
    </xdr:from>
    <xdr:ext cx="6753225" cy="41814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29</xdr:col>
      <xdr:colOff>333375</xdr:colOff>
      <xdr:row>1</xdr:row>
      <xdr:rowOff>47625</xdr:rowOff>
    </xdr:from>
    <xdr:ext cx="6753225" cy="41814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29</xdr:col>
      <xdr:colOff>333375</xdr:colOff>
      <xdr:row>1</xdr:row>
      <xdr:rowOff>66675</xdr:rowOff>
    </xdr:from>
    <xdr:ext cx="6753225" cy="418147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29</xdr:col>
      <xdr:colOff>342900</xdr:colOff>
      <xdr:row>1</xdr:row>
      <xdr:rowOff>190500</xdr:rowOff>
    </xdr:from>
    <xdr:ext cx="6753225" cy="4076700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29</xdr:col>
      <xdr:colOff>342900</xdr:colOff>
      <xdr:row>1</xdr:row>
      <xdr:rowOff>238125</xdr:rowOff>
    </xdr:from>
    <xdr:ext cx="6753225" cy="418147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29</xdr:col>
      <xdr:colOff>352425</xdr:colOff>
      <xdr:row>1</xdr:row>
      <xdr:rowOff>104775</xdr:rowOff>
    </xdr:from>
    <xdr:ext cx="6753225" cy="4181475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333375</xdr:colOff>
      <xdr:row>1</xdr:row>
      <xdr:rowOff>285750</xdr:rowOff>
    </xdr:from>
    <xdr:ext cx="6753225" cy="4181475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29</xdr:col>
      <xdr:colOff>333375</xdr:colOff>
      <xdr:row>20</xdr:row>
      <xdr:rowOff>28575</xdr:rowOff>
    </xdr:from>
    <xdr:ext cx="6753225" cy="4181475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29</xdr:col>
      <xdr:colOff>333375</xdr:colOff>
      <xdr:row>36</xdr:row>
      <xdr:rowOff>47625</xdr:rowOff>
    </xdr:from>
    <xdr:ext cx="6753225" cy="4181475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29</xdr:col>
      <xdr:colOff>333375</xdr:colOff>
      <xdr:row>52</xdr:row>
      <xdr:rowOff>66675</xdr:rowOff>
    </xdr:from>
    <xdr:ext cx="6753225" cy="4181475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29</xdr:col>
      <xdr:colOff>342900</xdr:colOff>
      <xdr:row>69</xdr:row>
      <xdr:rowOff>190500</xdr:rowOff>
    </xdr:from>
    <xdr:ext cx="6753225" cy="4076700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29</xdr:col>
      <xdr:colOff>342900</xdr:colOff>
      <xdr:row>85</xdr:row>
      <xdr:rowOff>238125</xdr:rowOff>
    </xdr:from>
    <xdr:ext cx="6753225" cy="4181475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29</xdr:col>
      <xdr:colOff>352425</xdr:colOff>
      <xdr:row>102</xdr:row>
      <xdr:rowOff>104775</xdr:rowOff>
    </xdr:from>
    <xdr:ext cx="6753225" cy="4181475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Minaya Fernando" id="{feb8102e-01a8-43ff-99ac-b49e457b99a2}" providerId="google-sheets"/>
</x18tc:personList>
</file>

<file path=xl/tables/table1.xml><?xml version="1.0" encoding="utf-8"?>
<table xmlns="http://schemas.openxmlformats.org/spreadsheetml/2006/main" ref="B1:AL1501" displayName="Table1" name="Table1" id="1">
  <tableColumns count="37">
    <tableColumn name="Serial No" id="1"/>
    <tableColumn name="Time(ms)" id="2"/>
    <tableColumn name="Accel_X" id="3"/>
    <tableColumn name="Accel_Y" id="4"/>
    <tableColumn name="Accel_Z" id="5"/>
    <tableColumn name="Gyro_X" id="6"/>
    <tableColumn name="Gyro_Y" id="7"/>
    <tableColumn name="Gyro_Z" id="8"/>
    <tableColumn name="Temp(C)" id="9"/>
    <tableColumn name="Diff_Accel_X" id="10"/>
    <tableColumn name="Diff_Accel_Y" id="11"/>
    <tableColumn name="Diff_Accel_Z" id="12"/>
    <tableColumn name="Diff_Gyro_X" id="13"/>
    <tableColumn name="Diff_Gyro_Y" id="14"/>
    <tableColumn name="Diff_Gyro_Z" id="15"/>
    <tableColumn name="Diff_Mag_Gyro" id="16"/>
    <tableColumn name="Diff_Mag_Accel" id="17"/>
    <tableColumn name="Magnitude_Accel" id="18"/>
    <tableColumn name="Magnitude_Gyro" id="19"/>
    <tableColumn name="Column 1" id="20"/>
    <tableColumn name="Column 2" id="21"/>
    <tableColumn name="ON/ OFF signal from Acclerometer" id="22"/>
    <tableColumn name="ON/OFF signal from Gyro" id="23"/>
    <tableColumn name="First Input" id="24"/>
    <tableColumn name="Final Output" id="25"/>
    <tableColumn name="Column 24" id="26"/>
    <tableColumn name="Column 25" id="27"/>
    <tableColumn name="Column 26" id="28"/>
    <tableColumn name="Column 27" id="29"/>
    <tableColumn name="Column 28" id="30"/>
    <tableColumn name="Column 29" id="31"/>
    <tableColumn name="Column 30" id="32"/>
    <tableColumn name="Column 31" id="33"/>
    <tableColumn name="Column 32" id="34"/>
    <tableColumn name="Column 33" id="35"/>
    <tableColumn name="Column 34" id="36"/>
    <tableColumn name="Column 35" id="37"/>
  </tableColumns>
  <tableStyleInfo name="Dataheet01-style" showColumnStripes="0" showFirstColumn="1" showLastColumn="1" showRowStripes="1"/>
</table>
</file>

<file path=xl/tables/table2.xml><?xml version="1.0" encoding="utf-8"?>
<table xmlns="http://schemas.openxmlformats.org/spreadsheetml/2006/main" ref="A1:AK309" displayName="Table1_5" name="Table1_5" id="2">
  <tableColumns count="37">
    <tableColumn name="Serial No" id="1"/>
    <tableColumn name="Time(ms)" id="2"/>
    <tableColumn name="Accel_X" id="3"/>
    <tableColumn name="Accel_Y" id="4"/>
    <tableColumn name="Accel_Z" id="5"/>
    <tableColumn name="Gyro_X" id="6"/>
    <tableColumn name="Gyro_Y" id="7"/>
    <tableColumn name="Gyro_Z" id="8"/>
    <tableColumn name="Temp(C)" id="9"/>
    <tableColumn name="Diff_Accel_X" id="10"/>
    <tableColumn name="Diff_Accel_Y" id="11"/>
    <tableColumn name="Diff_Accel_Z" id="12"/>
    <tableColumn name="Diff_Gyro_X" id="13"/>
    <tableColumn name="Diff_Gyro_Y" id="14"/>
    <tableColumn name="Diff_Gyro_Z" id="15"/>
    <tableColumn name="Diff_Mag_Gyro" id="16"/>
    <tableColumn name="Diff_Mag_Accel" id="17"/>
    <tableColumn name="Magnitude_Accel" id="18"/>
    <tableColumn name="Magnitude_Gyro" id="19"/>
    <tableColumn name="Column 1" id="20"/>
    <tableColumn name="Column 2" id="21"/>
    <tableColumn name="ON/ OFF signal from Acclerometer" id="22"/>
    <tableColumn name="ON/OFF signal from Gyro" id="23"/>
    <tableColumn name="First Input" id="24"/>
    <tableColumn name="Final Output" id="25"/>
    <tableColumn name="Column 24" id="26"/>
    <tableColumn name="Column 25" id="27"/>
    <tableColumn name="Column 26" id="28"/>
    <tableColumn name="Column 27" id="29"/>
    <tableColumn name="Column 28" id="30"/>
    <tableColumn name="Column 29" id="31"/>
    <tableColumn name="Column 30" id="32"/>
    <tableColumn name="Column 31" id="33"/>
    <tableColumn name="Column 32" id="34"/>
    <tableColumn name="Column 33" id="35"/>
    <tableColumn name="Column 34" id="36"/>
    <tableColumn name="Column 35" id="37"/>
  </tableColumns>
  <tableStyleInfo name="1201-1500-style" showColumnStripes="0" showFirstColumn="1" showLastColumn="1" showRowStripes="1"/>
</table>
</file>

<file path=xl/tables/table3.xml><?xml version="1.0" encoding="utf-8"?>
<table xmlns="http://schemas.openxmlformats.org/spreadsheetml/2006/main" ref="A1:AK309" displayName="Table1_4" name="Table1_4" id="3">
  <tableColumns count="37">
    <tableColumn name="Serial No" id="1"/>
    <tableColumn name="Time(ms)" id="2"/>
    <tableColumn name="Accel_X" id="3"/>
    <tableColumn name="Accel_Y" id="4"/>
    <tableColumn name="Accel_Z" id="5"/>
    <tableColumn name="Gyro_X" id="6"/>
    <tableColumn name="Gyro_Y" id="7"/>
    <tableColumn name="Gyro_Z" id="8"/>
    <tableColumn name="Temp(C)" id="9"/>
    <tableColumn name="Diff_Accel_X" id="10"/>
    <tableColumn name="Diff_Accel_Y" id="11"/>
    <tableColumn name="Diff_Accel_Z" id="12"/>
    <tableColumn name="Diff_Gyro_X" id="13"/>
    <tableColumn name="Diff_Gyro_Y" id="14"/>
    <tableColumn name="Diff_Gyro_Z" id="15"/>
    <tableColumn name="Diff_Mag_Gyro" id="16"/>
    <tableColumn name="Diff_Mag_Accel" id="17"/>
    <tableColumn name="Magnitude_Accel" id="18"/>
    <tableColumn name="Magnitude_Gyro" id="19"/>
    <tableColumn name="Column 1" id="20"/>
    <tableColumn name="Column 2" id="21"/>
    <tableColumn name="ON/ OFF signal from Acclerometer" id="22"/>
    <tableColumn name="ON/OFF signal from Gyro" id="23"/>
    <tableColumn name="First Input" id="24"/>
    <tableColumn name="Final Output" id="25"/>
    <tableColumn name="Column 24" id="26"/>
    <tableColumn name="Column 25" id="27"/>
    <tableColumn name="Column 26" id="28"/>
    <tableColumn name="Column 27" id="29"/>
    <tableColumn name="Column 28" id="30"/>
    <tableColumn name="Column 29" id="31"/>
    <tableColumn name="Column 30" id="32"/>
    <tableColumn name="Column 31" id="33"/>
    <tableColumn name="Column 32" id="34"/>
    <tableColumn name="Column 33" id="35"/>
    <tableColumn name="Column 34" id="36"/>
    <tableColumn name="Column 35" id="37"/>
  </tableColumns>
  <tableStyleInfo name="901-1200-style" showColumnStripes="0" showFirstColumn="1" showLastColumn="1" showRowStripes="1"/>
</table>
</file>

<file path=xl/tables/table4.xml><?xml version="1.0" encoding="utf-8"?>
<table xmlns="http://schemas.openxmlformats.org/spreadsheetml/2006/main" ref="A1:AK309" displayName="Table1_3" name="Table1_3" id="4">
  <tableColumns count="37">
    <tableColumn name="Serial No" id="1"/>
    <tableColumn name="Time(ms)" id="2"/>
    <tableColumn name="Accel_X" id="3"/>
    <tableColumn name="Accel_Y" id="4"/>
    <tableColumn name="Accel_Z" id="5"/>
    <tableColumn name="Gyro_X" id="6"/>
    <tableColumn name="Gyro_Y" id="7"/>
    <tableColumn name="Gyro_Z" id="8"/>
    <tableColumn name="Temp(C)" id="9"/>
    <tableColumn name="Diff_Accel_X" id="10"/>
    <tableColumn name="Diff_Accel_Y" id="11"/>
    <tableColumn name="Diff_Accel_Z" id="12"/>
    <tableColumn name="Diff_Gyro_X" id="13"/>
    <tableColumn name="Diff_Gyro_Y" id="14"/>
    <tableColumn name="Diff_Gyro_Z" id="15"/>
    <tableColumn name="Diff_Mag_Gyro" id="16"/>
    <tableColumn name="Diff_Mag_Accel" id="17"/>
    <tableColumn name="Magnitude_Accel" id="18"/>
    <tableColumn name="Magnitude_Gyro" id="19"/>
    <tableColumn name="Column 1" id="20"/>
    <tableColumn name="Column 2" id="21"/>
    <tableColumn name="ON/ OFF signal from Acclerometer" id="22"/>
    <tableColumn name="ON/OFF signal from Gyro" id="23"/>
    <tableColumn name="First Input" id="24"/>
    <tableColumn name="Final Output" id="25"/>
    <tableColumn name="Column 24" id="26"/>
    <tableColumn name="Column 25" id="27"/>
    <tableColumn name="Column 26" id="28"/>
    <tableColumn name="Column 27" id="29"/>
    <tableColumn name="Column 28" id="30"/>
    <tableColumn name="Column 29" id="31"/>
    <tableColumn name="Column 30" id="32"/>
    <tableColumn name="Column 31" id="33"/>
    <tableColumn name="Column 32" id="34"/>
    <tableColumn name="Column 33" id="35"/>
    <tableColumn name="Column 34" id="36"/>
    <tableColumn name="Column 35" id="37"/>
  </tableColumns>
  <tableStyleInfo name="601-900-style" showColumnStripes="0" showFirstColumn="1" showLastColumn="1" showRowStripes="1"/>
</table>
</file>

<file path=xl/tables/table5.xml><?xml version="1.0" encoding="utf-8"?>
<table xmlns="http://schemas.openxmlformats.org/spreadsheetml/2006/main" ref="A1:AK609" displayName="Table1_2" name="Table1_2" id="5">
  <tableColumns count="37">
    <tableColumn name="Serial No" id="1"/>
    <tableColumn name="Time(ms)" id="2"/>
    <tableColumn name="Accel_X" id="3"/>
    <tableColumn name="Accel_Y" id="4"/>
    <tableColumn name="Accel_Z" id="5"/>
    <tableColumn name="Gyro_X" id="6"/>
    <tableColumn name="Gyro_Y" id="7"/>
    <tableColumn name="Gyro_Z" id="8"/>
    <tableColumn name="Temp(C)" id="9"/>
    <tableColumn name="Diff_Accel_X" id="10"/>
    <tableColumn name="Diff_Accel_Y" id="11"/>
    <tableColumn name="Diff_Accel_Z" id="12"/>
    <tableColumn name="Diff_Gyro_X" id="13"/>
    <tableColumn name="Diff_Gyro_Y" id="14"/>
    <tableColumn name="Diff_Gyro_Z" id="15"/>
    <tableColumn name="Diff_Mag_Gyro" id="16"/>
    <tableColumn name="Diff_Mag_Accel" id="17"/>
    <tableColumn name="Magnitude_Accel" id="18"/>
    <tableColumn name="Magnitude_Gyro" id="19"/>
    <tableColumn name="Column 1" id="20"/>
    <tableColumn name="Column 2" id="21"/>
    <tableColumn name="ON/ OFF signal from Acclerometer" id="22"/>
    <tableColumn name="ON/OFF signal from Gyro" id="23"/>
    <tableColumn name="First Input" id="24"/>
    <tableColumn name="Final Output" id="25"/>
    <tableColumn name="Column 24" id="26"/>
    <tableColumn name="Column 25" id="27"/>
    <tableColumn name="Column 26" id="28"/>
    <tableColumn name="Column 27" id="29"/>
    <tableColumn name="Column 28" id="30"/>
    <tableColumn name="Column 29" id="31"/>
    <tableColumn name="Column 30" id="32"/>
    <tableColumn name="Column 31" id="33"/>
    <tableColumn name="Column 32" id="34"/>
    <tableColumn name="Column 33" id="35"/>
    <tableColumn name="Column 34" id="36"/>
    <tableColumn name="Column 35" id="37"/>
  </tableColumns>
  <tableStyleInfo name="0-60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1" dT="2025-05-11T16:43:41.00" personId="{feb8102e-01a8-43ff-99ac-b49e457b99a2}" id="{c767a55d-da84-4453-b9ea-fed975259a29}" done="0">
    <x18tc:text xml:space="preserve">Api gedaradi kala wage 60n 60 kadala hadala thiyenne 
first 60 komath 1</x18tc:text>
  </x18tc:threadedComment>
  <x18tc:threadedComment ref="V1" dT="2025-05-11T16:23:38.00" personId="{feb8102e-01a8-43ff-99ac-b49e457b99a2}" id="{96a727c4-290d-447c-95fc-dfdd8c5501d8}" done="0">
    <x18tc:text xml:space="preserve">Gyrascope values wala atleast eka axis ekaka 200ms athulatha acceleration difference eka 0.0003 ta wadi nm 1</x18tc:text>
  </x18tc:threadedComment>
  <x18tc:threadedComment ref="U1" dT="2025-05-11T16:23:55.00" personId="{feb8102e-01a8-43ff-99ac-b49e457b99a2}" id="{2a78564d-de2b-4c63-866c-34a081e3cf4e}" done="0">
    <x18tc:text xml:space="preserve">Accelerometer values wala atleast eka axis ekaka 200ms athulatha acceleration difference eka 0.0003
ta wadi nm 1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20" width="15.5"/>
    <col customWidth="1" min="21" max="21" width="33.88"/>
    <col customWidth="1" min="22" max="22" width="26.13"/>
    <col customWidth="1" min="23" max="38" width="15.5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3" t="s">
        <v>16</v>
      </c>
      <c r="S1" s="4" t="s">
        <v>17</v>
      </c>
      <c r="T1" s="4" t="s">
        <v>18</v>
      </c>
      <c r="U1" s="2" t="s">
        <v>19</v>
      </c>
      <c r="V1" s="2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</row>
    <row r="2" ht="22.5" customHeight="1">
      <c r="A2" s="5" t="s">
        <v>37</v>
      </c>
      <c r="B2" s="6">
        <v>1.0</v>
      </c>
      <c r="C2" s="6">
        <v>443.0</v>
      </c>
      <c r="D2" s="6">
        <v>-1.63</v>
      </c>
      <c r="E2" s="6">
        <v>-1.25</v>
      </c>
      <c r="F2" s="6">
        <v>10.4</v>
      </c>
      <c r="G2" s="6">
        <v>0.18</v>
      </c>
      <c r="H2" s="6">
        <v>-0.1</v>
      </c>
      <c r="I2" s="6">
        <v>3.07</v>
      </c>
      <c r="J2" s="6">
        <v>33.15</v>
      </c>
      <c r="K2" s="7"/>
      <c r="L2" s="7"/>
      <c r="M2" s="7"/>
      <c r="N2" s="7"/>
      <c r="O2" s="7"/>
      <c r="P2" s="7"/>
      <c r="Q2" s="7"/>
      <c r="R2" s="7"/>
      <c r="S2" s="7">
        <f t="shared" ref="S2:S1501" si="2">((D2*D2)+(E2*E2)+(F2*F2))^0.5 - 9.8</f>
        <v>0.8009150548</v>
      </c>
      <c r="T2" s="7">
        <f t="shared" ref="T2:T1501" si="3">((G2*G2)+(H2*H2)+(I2*I2))^0.5</f>
        <v>3.076897788</v>
      </c>
      <c r="U2" s="7">
        <f t="shared" ref="U2:U1501" si="4">IF(OR(K2&gt;0.0003, L2&gt;0.0003, M2&gt;0.0003), 1, 0)</f>
        <v>0</v>
      </c>
      <c r="V2" s="7">
        <f t="shared" ref="V2:V1501" si="5">IF(OR(N2&gt;0.0003, O2&gt;0.0003, P2&gt;0.0003), 1, 0)</f>
        <v>0</v>
      </c>
      <c r="W2" s="8">
        <v>1.0</v>
      </c>
      <c r="X2" s="8">
        <v>1.0</v>
      </c>
      <c r="Y2" s="8">
        <v>1.0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ht="22.5" customHeight="1">
      <c r="B3" s="6">
        <v>2.0</v>
      </c>
      <c r="C3" s="6">
        <v>647.0</v>
      </c>
      <c r="D3" s="6">
        <v>1.7</v>
      </c>
      <c r="E3" s="6">
        <v>-0.34</v>
      </c>
      <c r="F3" s="6">
        <v>10.64</v>
      </c>
      <c r="G3" s="6">
        <v>-0.1</v>
      </c>
      <c r="H3" s="6">
        <v>0.0</v>
      </c>
      <c r="I3" s="6">
        <v>-0.01</v>
      </c>
      <c r="J3" s="6">
        <v>33.16</v>
      </c>
      <c r="K3" s="7">
        <f t="shared" ref="K3:P3" si="1">abs(D3-D2)/200</f>
        <v>0.01665</v>
      </c>
      <c r="L3" s="7">
        <f t="shared" si="1"/>
        <v>0.00455</v>
      </c>
      <c r="M3" s="7">
        <f t="shared" si="1"/>
        <v>0.0012</v>
      </c>
      <c r="N3" s="7">
        <f t="shared" si="1"/>
        <v>0.0014</v>
      </c>
      <c r="O3" s="7">
        <f t="shared" si="1"/>
        <v>0.0005</v>
      </c>
      <c r="P3" s="7">
        <f t="shared" si="1"/>
        <v>0.0154</v>
      </c>
      <c r="Q3" s="7">
        <f t="shared" ref="Q3:Q1501" si="7">abs(T3 - T2)</f>
        <v>2.976399032</v>
      </c>
      <c r="R3" s="7">
        <f t="shared" ref="R3:R1501" si="8">abs(S3-S2)</f>
        <v>0.1794003394</v>
      </c>
      <c r="S3" s="7">
        <f t="shared" si="2"/>
        <v>0.9803153943</v>
      </c>
      <c r="T3" s="7">
        <f t="shared" si="3"/>
        <v>0.1004987562</v>
      </c>
      <c r="U3" s="7">
        <f t="shared" si="4"/>
        <v>1</v>
      </c>
      <c r="V3" s="6">
        <f t="shared" si="5"/>
        <v>1</v>
      </c>
      <c r="W3" s="8">
        <v>1.0</v>
      </c>
      <c r="X3" s="8">
        <v>1.0</v>
      </c>
      <c r="Y3" s="8">
        <v>1.0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ht="22.5" customHeight="1">
      <c r="B4" s="6">
        <v>3.0</v>
      </c>
      <c r="C4" s="6">
        <v>851.0</v>
      </c>
      <c r="D4" s="6">
        <v>1.95</v>
      </c>
      <c r="E4" s="6">
        <v>-0.24</v>
      </c>
      <c r="F4" s="6">
        <v>10.63</v>
      </c>
      <c r="G4" s="6">
        <v>-0.09</v>
      </c>
      <c r="H4" s="6">
        <v>0.04</v>
      </c>
      <c r="I4" s="6">
        <v>-0.08</v>
      </c>
      <c r="J4" s="6">
        <v>33.18</v>
      </c>
      <c r="K4" s="7">
        <f t="shared" ref="K4:P4" si="6">abs(D4-D3)/200</f>
        <v>0.00125</v>
      </c>
      <c r="L4" s="7">
        <f t="shared" si="6"/>
        <v>0.0005</v>
      </c>
      <c r="M4" s="7">
        <f t="shared" si="6"/>
        <v>0.00005</v>
      </c>
      <c r="N4" s="7">
        <f t="shared" si="6"/>
        <v>0.00005</v>
      </c>
      <c r="O4" s="7">
        <f t="shared" si="6"/>
        <v>0.0002</v>
      </c>
      <c r="P4" s="7">
        <f t="shared" si="6"/>
        <v>0.00035</v>
      </c>
      <c r="Q4" s="7">
        <f t="shared" si="7"/>
        <v>0.02638701919</v>
      </c>
      <c r="R4" s="7">
        <f t="shared" si="8"/>
        <v>0.02972623377</v>
      </c>
      <c r="S4" s="7">
        <f t="shared" si="2"/>
        <v>1.010041628</v>
      </c>
      <c r="T4" s="7">
        <f t="shared" si="3"/>
        <v>0.1268857754</v>
      </c>
      <c r="U4" s="7">
        <f t="shared" si="4"/>
        <v>1</v>
      </c>
      <c r="V4" s="7">
        <f t="shared" si="5"/>
        <v>1</v>
      </c>
      <c r="W4" s="8">
        <v>1.0</v>
      </c>
      <c r="X4" s="8">
        <v>1.0</v>
      </c>
      <c r="Y4" s="8">
        <v>1.0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</row>
    <row r="5" ht="22.5" customHeight="1">
      <c r="B5" s="6">
        <v>4.0</v>
      </c>
      <c r="C5" s="6">
        <v>1055.0</v>
      </c>
      <c r="D5" s="6">
        <v>0.38</v>
      </c>
      <c r="E5" s="6">
        <v>-0.84</v>
      </c>
      <c r="F5" s="6">
        <v>10.68</v>
      </c>
      <c r="G5" s="6">
        <v>-0.26</v>
      </c>
      <c r="H5" s="6">
        <v>-0.02</v>
      </c>
      <c r="I5" s="6">
        <v>-1.94</v>
      </c>
      <c r="J5" s="6">
        <v>33.18</v>
      </c>
      <c r="K5" s="7">
        <f t="shared" ref="K5:P5" si="9">abs(D5-D4)/200</f>
        <v>0.00785</v>
      </c>
      <c r="L5" s="7">
        <f t="shared" si="9"/>
        <v>0.003</v>
      </c>
      <c r="M5" s="7">
        <f t="shared" si="9"/>
        <v>0.00025</v>
      </c>
      <c r="N5" s="7">
        <f t="shared" si="9"/>
        <v>0.00085</v>
      </c>
      <c r="O5" s="7">
        <f t="shared" si="9"/>
        <v>0.0003</v>
      </c>
      <c r="P5" s="7">
        <f t="shared" si="9"/>
        <v>0.0093</v>
      </c>
      <c r="Q5" s="7">
        <f t="shared" si="7"/>
        <v>1.830561542</v>
      </c>
      <c r="R5" s="7">
        <f t="shared" si="8"/>
        <v>0.09032148244</v>
      </c>
      <c r="S5" s="7">
        <f t="shared" si="2"/>
        <v>0.9197201456</v>
      </c>
      <c r="T5" s="7">
        <f t="shared" si="3"/>
        <v>1.957447317</v>
      </c>
      <c r="U5" s="7">
        <f t="shared" si="4"/>
        <v>1</v>
      </c>
      <c r="V5" s="7">
        <f t="shared" si="5"/>
        <v>1</v>
      </c>
      <c r="W5" s="8">
        <v>1.0</v>
      </c>
      <c r="X5" s="8">
        <v>1.0</v>
      </c>
      <c r="Y5" s="8">
        <v>1.0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ht="22.5" customHeight="1">
      <c r="B6" s="6">
        <v>5.0</v>
      </c>
      <c r="C6" s="6">
        <v>1259.0</v>
      </c>
      <c r="D6" s="6">
        <v>3.88</v>
      </c>
      <c r="E6" s="6">
        <v>-0.23</v>
      </c>
      <c r="F6" s="6">
        <v>11.03</v>
      </c>
      <c r="G6" s="6">
        <v>-0.06</v>
      </c>
      <c r="H6" s="6">
        <v>0.07</v>
      </c>
      <c r="I6" s="6">
        <v>0.29</v>
      </c>
      <c r="J6" s="6">
        <v>33.18</v>
      </c>
      <c r="K6" s="7">
        <f t="shared" ref="K6:P6" si="10">abs(D6-D5)/200</f>
        <v>0.0175</v>
      </c>
      <c r="L6" s="7">
        <f t="shared" si="10"/>
        <v>0.00305</v>
      </c>
      <c r="M6" s="7">
        <f t="shared" si="10"/>
        <v>0.00175</v>
      </c>
      <c r="N6" s="7">
        <f t="shared" si="10"/>
        <v>0.001</v>
      </c>
      <c r="O6" s="7">
        <f t="shared" si="10"/>
        <v>0.00045</v>
      </c>
      <c r="P6" s="7">
        <f t="shared" si="10"/>
        <v>0.01115</v>
      </c>
      <c r="Q6" s="7">
        <f t="shared" si="7"/>
        <v>1.653144836</v>
      </c>
      <c r="R6" s="7">
        <f t="shared" si="8"/>
        <v>0.9750735678</v>
      </c>
      <c r="S6" s="7">
        <f t="shared" si="2"/>
        <v>1.894793713</v>
      </c>
      <c r="T6" s="7">
        <f t="shared" si="3"/>
        <v>0.3043024811</v>
      </c>
      <c r="U6" s="7">
        <f t="shared" si="4"/>
        <v>1</v>
      </c>
      <c r="V6" s="7">
        <f t="shared" si="5"/>
        <v>1</v>
      </c>
      <c r="W6" s="8">
        <v>1.0</v>
      </c>
      <c r="X6" s="8">
        <v>1.0</v>
      </c>
      <c r="Y6" s="8">
        <v>1.0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</row>
    <row r="7" ht="22.5" customHeight="1">
      <c r="B7" s="6">
        <v>6.0</v>
      </c>
      <c r="C7" s="6">
        <v>1463.0</v>
      </c>
      <c r="D7" s="6">
        <v>4.67</v>
      </c>
      <c r="E7" s="6">
        <v>-0.06</v>
      </c>
      <c r="F7" s="6">
        <v>10.74</v>
      </c>
      <c r="G7" s="6">
        <v>-0.31</v>
      </c>
      <c r="H7" s="6">
        <v>-0.12</v>
      </c>
      <c r="I7" s="6">
        <v>-1.97</v>
      </c>
      <c r="J7" s="6">
        <v>33.19</v>
      </c>
      <c r="K7" s="7">
        <f t="shared" ref="K7:P7" si="11">abs(D7-D6)/200</f>
        <v>0.00395</v>
      </c>
      <c r="L7" s="7">
        <f t="shared" si="11"/>
        <v>0.00085</v>
      </c>
      <c r="M7" s="7">
        <f t="shared" si="11"/>
        <v>0.00145</v>
      </c>
      <c r="N7" s="7">
        <f t="shared" si="11"/>
        <v>0.00125</v>
      </c>
      <c r="O7" s="7">
        <f t="shared" si="11"/>
        <v>0.00095</v>
      </c>
      <c r="P7" s="7">
        <f t="shared" si="11"/>
        <v>0.0113</v>
      </c>
      <c r="Q7" s="7">
        <f t="shared" si="7"/>
        <v>1.693546362</v>
      </c>
      <c r="R7" s="7">
        <f t="shared" si="8"/>
        <v>0.01674333342</v>
      </c>
      <c r="S7" s="7">
        <f t="shared" si="2"/>
        <v>1.911537047</v>
      </c>
      <c r="T7" s="7">
        <f t="shared" si="3"/>
        <v>1.997848843</v>
      </c>
      <c r="U7" s="7">
        <f t="shared" si="4"/>
        <v>1</v>
      </c>
      <c r="V7" s="7">
        <f t="shared" si="5"/>
        <v>1</v>
      </c>
      <c r="W7" s="8">
        <v>1.0</v>
      </c>
      <c r="X7" s="8">
        <v>1.0</v>
      </c>
      <c r="Y7" s="8">
        <v>1.0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ht="22.5" customHeight="1">
      <c r="B8" s="6">
        <v>7.0</v>
      </c>
      <c r="C8" s="6">
        <v>1667.0</v>
      </c>
      <c r="D8" s="6">
        <v>-4.06</v>
      </c>
      <c r="E8" s="6">
        <v>0.48</v>
      </c>
      <c r="F8" s="6">
        <v>11.23</v>
      </c>
      <c r="G8" s="6">
        <v>-0.13</v>
      </c>
      <c r="H8" s="6">
        <v>0.32</v>
      </c>
      <c r="I8" s="6">
        <v>-0.35</v>
      </c>
      <c r="J8" s="6">
        <v>33.19</v>
      </c>
      <c r="K8" s="7">
        <f t="shared" ref="K8:P8" si="12">abs(D8-D7)/200</f>
        <v>0.04365</v>
      </c>
      <c r="L8" s="7">
        <f t="shared" si="12"/>
        <v>0.0027</v>
      </c>
      <c r="M8" s="7">
        <f t="shared" si="12"/>
        <v>0.00245</v>
      </c>
      <c r="N8" s="7">
        <f t="shared" si="12"/>
        <v>0.0009</v>
      </c>
      <c r="O8" s="7">
        <f t="shared" si="12"/>
        <v>0.0022</v>
      </c>
      <c r="P8" s="7">
        <f t="shared" si="12"/>
        <v>0.0081</v>
      </c>
      <c r="Q8" s="7">
        <f t="shared" si="7"/>
        <v>1.506117209</v>
      </c>
      <c r="R8" s="7">
        <f t="shared" si="8"/>
        <v>0.23948383</v>
      </c>
      <c r="S8" s="7">
        <f t="shared" si="2"/>
        <v>2.151020877</v>
      </c>
      <c r="T8" s="7">
        <f t="shared" si="3"/>
        <v>0.4917316341</v>
      </c>
      <c r="U8" s="7">
        <f t="shared" si="4"/>
        <v>1</v>
      </c>
      <c r="V8" s="7">
        <f t="shared" si="5"/>
        <v>1</v>
      </c>
      <c r="W8" s="8">
        <v>1.0</v>
      </c>
      <c r="X8" s="8">
        <v>1.0</v>
      </c>
      <c r="Y8" s="8">
        <v>1.0</v>
      </c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ht="22.5" customHeight="1">
      <c r="B9" s="6">
        <v>8.0</v>
      </c>
      <c r="C9" s="6">
        <v>1871.0</v>
      </c>
      <c r="D9" s="6">
        <v>-0.9</v>
      </c>
      <c r="E9" s="6">
        <v>-1.49</v>
      </c>
      <c r="F9" s="6">
        <v>10.98</v>
      </c>
      <c r="G9" s="6">
        <v>0.1</v>
      </c>
      <c r="H9" s="6">
        <v>-0.12</v>
      </c>
      <c r="I9" s="6">
        <v>0.85</v>
      </c>
      <c r="J9" s="6">
        <v>33.19</v>
      </c>
      <c r="K9" s="7">
        <f t="shared" ref="K9:P9" si="13">abs(D9-D8)/200</f>
        <v>0.0158</v>
      </c>
      <c r="L9" s="7">
        <f t="shared" si="13"/>
        <v>0.00985</v>
      </c>
      <c r="M9" s="7">
        <f t="shared" si="13"/>
        <v>0.00125</v>
      </c>
      <c r="N9" s="7">
        <f t="shared" si="13"/>
        <v>0.00115</v>
      </c>
      <c r="O9" s="7">
        <f t="shared" si="13"/>
        <v>0.0022</v>
      </c>
      <c r="P9" s="7">
        <f t="shared" si="13"/>
        <v>0.006</v>
      </c>
      <c r="Q9" s="7">
        <f t="shared" si="7"/>
        <v>0.3725021305</v>
      </c>
      <c r="R9" s="7">
        <f t="shared" si="8"/>
        <v>0.8338944496</v>
      </c>
      <c r="S9" s="7">
        <f t="shared" si="2"/>
        <v>1.317126427</v>
      </c>
      <c r="T9" s="7">
        <f t="shared" si="3"/>
        <v>0.8642337647</v>
      </c>
      <c r="U9" s="7">
        <f t="shared" si="4"/>
        <v>1</v>
      </c>
      <c r="V9" s="7">
        <f t="shared" si="5"/>
        <v>1</v>
      </c>
      <c r="W9" s="8">
        <v>1.0</v>
      </c>
      <c r="X9" s="8">
        <v>1.0</v>
      </c>
      <c r="Y9" s="8">
        <v>1.0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ht="22.5" customHeight="1">
      <c r="B10" s="6">
        <v>9.0</v>
      </c>
      <c r="C10" s="6">
        <v>2075.0</v>
      </c>
      <c r="D10" s="6">
        <v>7.2</v>
      </c>
      <c r="E10" s="6">
        <v>-1.86</v>
      </c>
      <c r="F10" s="6">
        <v>10.47</v>
      </c>
      <c r="G10" s="6">
        <v>0.07</v>
      </c>
      <c r="H10" s="6">
        <v>0.23</v>
      </c>
      <c r="I10" s="6">
        <v>1.55</v>
      </c>
      <c r="J10" s="6">
        <v>33.2</v>
      </c>
      <c r="K10" s="7">
        <f t="shared" ref="K10:P10" si="14">abs(D10-D9)/200</f>
        <v>0.0405</v>
      </c>
      <c r="L10" s="7">
        <f t="shared" si="14"/>
        <v>0.00185</v>
      </c>
      <c r="M10" s="7">
        <f t="shared" si="14"/>
        <v>0.00255</v>
      </c>
      <c r="N10" s="7">
        <f t="shared" si="14"/>
        <v>0.00015</v>
      </c>
      <c r="O10" s="7">
        <f t="shared" si="14"/>
        <v>0.00175</v>
      </c>
      <c r="P10" s="7">
        <f t="shared" si="14"/>
        <v>0.0035</v>
      </c>
      <c r="Q10" s="7">
        <f t="shared" si="7"/>
        <v>0.7043005831</v>
      </c>
      <c r="R10" s="7">
        <f t="shared" si="8"/>
        <v>1.725011245</v>
      </c>
      <c r="S10" s="7">
        <f t="shared" si="2"/>
        <v>3.042137673</v>
      </c>
      <c r="T10" s="7">
        <f t="shared" si="3"/>
        <v>1.568534348</v>
      </c>
      <c r="U10" s="7">
        <f t="shared" si="4"/>
        <v>1</v>
      </c>
      <c r="V10" s="7">
        <f t="shared" si="5"/>
        <v>1</v>
      </c>
      <c r="W10" s="8">
        <v>1.0</v>
      </c>
      <c r="X10" s="8">
        <v>1.0</v>
      </c>
      <c r="Y10" s="8">
        <v>1.0</v>
      </c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ht="22.5" customHeight="1">
      <c r="B11" s="6">
        <v>10.0</v>
      </c>
      <c r="C11" s="6">
        <v>2279.0</v>
      </c>
      <c r="D11" s="6">
        <v>5.65</v>
      </c>
      <c r="E11" s="6">
        <v>-1.33</v>
      </c>
      <c r="F11" s="6">
        <v>10.41</v>
      </c>
      <c r="G11" s="6">
        <v>-0.27</v>
      </c>
      <c r="H11" s="6">
        <v>-0.19</v>
      </c>
      <c r="I11" s="6">
        <v>-0.5</v>
      </c>
      <c r="J11" s="6">
        <v>33.2</v>
      </c>
      <c r="K11" s="7">
        <f t="shared" ref="K11:P11" si="15">abs(D11-D10)/200</f>
        <v>0.00775</v>
      </c>
      <c r="L11" s="7">
        <f t="shared" si="15"/>
        <v>0.00265</v>
      </c>
      <c r="M11" s="7">
        <f t="shared" si="15"/>
        <v>0.0003</v>
      </c>
      <c r="N11" s="7">
        <f t="shared" si="15"/>
        <v>0.0017</v>
      </c>
      <c r="O11" s="7">
        <f t="shared" si="15"/>
        <v>0.0021</v>
      </c>
      <c r="P11" s="7">
        <f t="shared" si="15"/>
        <v>0.01025</v>
      </c>
      <c r="Q11" s="7">
        <f t="shared" si="7"/>
        <v>0.9693682606</v>
      </c>
      <c r="R11" s="7">
        <f t="shared" si="8"/>
        <v>0.9232660816</v>
      </c>
      <c r="S11" s="7">
        <f t="shared" si="2"/>
        <v>2.118871591</v>
      </c>
      <c r="T11" s="7">
        <f t="shared" si="3"/>
        <v>0.5991660872</v>
      </c>
      <c r="U11" s="7">
        <f t="shared" si="4"/>
        <v>1</v>
      </c>
      <c r="V11" s="7">
        <f t="shared" si="5"/>
        <v>1</v>
      </c>
      <c r="W11" s="8">
        <v>1.0</v>
      </c>
      <c r="X11" s="8">
        <v>1.0</v>
      </c>
      <c r="Y11" s="8">
        <v>1.0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ht="22.5" customHeight="1">
      <c r="B12" s="6">
        <v>11.0</v>
      </c>
      <c r="C12" s="6">
        <v>2483.0</v>
      </c>
      <c r="D12" s="6">
        <v>-2.7</v>
      </c>
      <c r="E12" s="6">
        <v>2.58</v>
      </c>
      <c r="F12" s="6">
        <v>11.23</v>
      </c>
      <c r="G12" s="6">
        <v>-0.08</v>
      </c>
      <c r="H12" s="6">
        <v>0.05</v>
      </c>
      <c r="I12" s="6">
        <v>-0.37</v>
      </c>
      <c r="J12" s="6">
        <v>33.2</v>
      </c>
      <c r="K12" s="7">
        <f t="shared" ref="K12:P12" si="16">abs(D12-D11)/200</f>
        <v>0.04175</v>
      </c>
      <c r="L12" s="7">
        <f t="shared" si="16"/>
        <v>0.01955</v>
      </c>
      <c r="M12" s="7">
        <f t="shared" si="16"/>
        <v>0.0041</v>
      </c>
      <c r="N12" s="7">
        <f t="shared" si="16"/>
        <v>0.00095</v>
      </c>
      <c r="O12" s="7">
        <f t="shared" si="16"/>
        <v>0.0012</v>
      </c>
      <c r="P12" s="7">
        <f t="shared" si="16"/>
        <v>0.00065</v>
      </c>
      <c r="Q12" s="7">
        <f t="shared" si="7"/>
        <v>0.2173284253</v>
      </c>
      <c r="R12" s="7">
        <f t="shared" si="8"/>
        <v>0.08420640762</v>
      </c>
      <c r="S12" s="7">
        <f t="shared" si="2"/>
        <v>2.034665183</v>
      </c>
      <c r="T12" s="7">
        <f t="shared" si="3"/>
        <v>0.3818376618</v>
      </c>
      <c r="U12" s="7">
        <f t="shared" si="4"/>
        <v>1</v>
      </c>
      <c r="V12" s="7">
        <f t="shared" si="5"/>
        <v>1</v>
      </c>
      <c r="W12" s="8">
        <v>1.0</v>
      </c>
      <c r="X12" s="8">
        <v>1.0</v>
      </c>
      <c r="Y12" s="8">
        <v>1.0</v>
      </c>
      <c r="Z12" s="8">
        <v>1.0</v>
      </c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ht="22.5" customHeight="1">
      <c r="B13" s="6">
        <v>12.0</v>
      </c>
      <c r="C13" s="6">
        <v>2687.0</v>
      </c>
      <c r="D13" s="6">
        <v>-0.48</v>
      </c>
      <c r="E13" s="6">
        <v>0.16</v>
      </c>
      <c r="F13" s="6">
        <v>10.85</v>
      </c>
      <c r="G13" s="6">
        <v>0.07</v>
      </c>
      <c r="H13" s="6">
        <v>-0.09</v>
      </c>
      <c r="I13" s="6">
        <v>1.07</v>
      </c>
      <c r="J13" s="6">
        <v>33.21</v>
      </c>
      <c r="K13" s="7">
        <f t="shared" ref="K13:P13" si="17">abs(D13-D12)/200</f>
        <v>0.0111</v>
      </c>
      <c r="L13" s="7">
        <f t="shared" si="17"/>
        <v>0.0121</v>
      </c>
      <c r="M13" s="7">
        <f t="shared" si="17"/>
        <v>0.0019</v>
      </c>
      <c r="N13" s="7">
        <f t="shared" si="17"/>
        <v>0.00075</v>
      </c>
      <c r="O13" s="7">
        <f t="shared" si="17"/>
        <v>0.0007</v>
      </c>
      <c r="P13" s="7">
        <f t="shared" si="17"/>
        <v>0.0072</v>
      </c>
      <c r="Q13" s="7">
        <f t="shared" si="7"/>
        <v>0.6942199574</v>
      </c>
      <c r="R13" s="7">
        <f t="shared" si="8"/>
        <v>0.9728743549</v>
      </c>
      <c r="S13" s="7">
        <f t="shared" si="2"/>
        <v>1.061790828</v>
      </c>
      <c r="T13" s="7">
        <f t="shared" si="3"/>
        <v>1.076057619</v>
      </c>
      <c r="U13" s="7">
        <f t="shared" si="4"/>
        <v>1</v>
      </c>
      <c r="V13" s="7">
        <f t="shared" si="5"/>
        <v>1</v>
      </c>
      <c r="W13" s="8">
        <v>1.0</v>
      </c>
      <c r="X13" s="8">
        <v>1.0</v>
      </c>
      <c r="Y13" s="8">
        <v>1.0</v>
      </c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ht="22.5" customHeight="1">
      <c r="B14" s="6">
        <v>13.0</v>
      </c>
      <c r="C14" s="6">
        <v>2891.0</v>
      </c>
      <c r="D14" s="6">
        <v>3.61</v>
      </c>
      <c r="E14" s="6">
        <v>-2.35</v>
      </c>
      <c r="F14" s="6">
        <v>10.62</v>
      </c>
      <c r="G14" s="6">
        <v>-0.01</v>
      </c>
      <c r="H14" s="6">
        <v>-0.11</v>
      </c>
      <c r="I14" s="6">
        <v>0.69</v>
      </c>
      <c r="J14" s="6">
        <v>33.22</v>
      </c>
      <c r="K14" s="7">
        <f t="shared" ref="K14:P14" si="18">abs(D14-D13)/200</f>
        <v>0.02045</v>
      </c>
      <c r="L14" s="7">
        <f t="shared" si="18"/>
        <v>0.01255</v>
      </c>
      <c r="M14" s="7">
        <f t="shared" si="18"/>
        <v>0.00115</v>
      </c>
      <c r="N14" s="7">
        <f t="shared" si="18"/>
        <v>0.0004</v>
      </c>
      <c r="O14" s="7">
        <f t="shared" si="18"/>
        <v>0.0001</v>
      </c>
      <c r="P14" s="7">
        <f t="shared" si="18"/>
        <v>0.0019</v>
      </c>
      <c r="Q14" s="7">
        <f t="shared" si="7"/>
        <v>0.37727296</v>
      </c>
      <c r="R14" s="7">
        <f t="shared" si="8"/>
        <v>0.5985320292</v>
      </c>
      <c r="S14" s="7">
        <f t="shared" si="2"/>
        <v>1.660322858</v>
      </c>
      <c r="T14" s="7">
        <f t="shared" si="3"/>
        <v>0.6987846592</v>
      </c>
      <c r="U14" s="7">
        <f t="shared" si="4"/>
        <v>1</v>
      </c>
      <c r="V14" s="7">
        <f t="shared" si="5"/>
        <v>1</v>
      </c>
      <c r="W14" s="8">
        <v>1.0</v>
      </c>
      <c r="X14" s="8">
        <v>1.0</v>
      </c>
      <c r="Y14" s="8">
        <v>1.0</v>
      </c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ht="22.5" customHeight="1">
      <c r="B15" s="6">
        <v>14.0</v>
      </c>
      <c r="C15" s="6">
        <v>3095.0</v>
      </c>
      <c r="D15" s="6">
        <v>2.7</v>
      </c>
      <c r="E15" s="6">
        <v>-2.33</v>
      </c>
      <c r="F15" s="6">
        <v>10.76</v>
      </c>
      <c r="G15" s="6">
        <v>-0.35</v>
      </c>
      <c r="H15" s="6">
        <v>-0.13</v>
      </c>
      <c r="I15" s="6">
        <v>-1.72</v>
      </c>
      <c r="J15" s="6">
        <v>33.2</v>
      </c>
      <c r="K15" s="7">
        <f t="shared" ref="K15:P15" si="19">abs(D15-D14)/200</f>
        <v>0.00455</v>
      </c>
      <c r="L15" s="7">
        <f t="shared" si="19"/>
        <v>0.0001</v>
      </c>
      <c r="M15" s="7">
        <f t="shared" si="19"/>
        <v>0.0007</v>
      </c>
      <c r="N15" s="7">
        <f t="shared" si="19"/>
        <v>0.0017</v>
      </c>
      <c r="O15" s="7">
        <f t="shared" si="19"/>
        <v>0.0001</v>
      </c>
      <c r="P15" s="7">
        <f t="shared" si="19"/>
        <v>0.01205</v>
      </c>
      <c r="Q15" s="7">
        <f t="shared" si="7"/>
        <v>1.061272158</v>
      </c>
      <c r="R15" s="7">
        <f t="shared" si="8"/>
        <v>0.1246931883</v>
      </c>
      <c r="S15" s="7">
        <f t="shared" si="2"/>
        <v>1.535629669</v>
      </c>
      <c r="T15" s="7">
        <f t="shared" si="3"/>
        <v>1.760056817</v>
      </c>
      <c r="U15" s="7">
        <f t="shared" si="4"/>
        <v>1</v>
      </c>
      <c r="V15" s="7">
        <f t="shared" si="5"/>
        <v>1</v>
      </c>
      <c r="W15" s="8">
        <v>1.0</v>
      </c>
      <c r="X15" s="8">
        <v>1.0</v>
      </c>
      <c r="Y15" s="8">
        <v>1.0</v>
      </c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ht="22.5" customHeight="1">
      <c r="B16" s="6">
        <v>15.0</v>
      </c>
      <c r="C16" s="6">
        <v>3299.0</v>
      </c>
      <c r="D16" s="6">
        <v>-1.01</v>
      </c>
      <c r="E16" s="6">
        <v>2.99</v>
      </c>
      <c r="F16" s="6">
        <v>9.96</v>
      </c>
      <c r="G16" s="6">
        <v>-0.13</v>
      </c>
      <c r="H16" s="6">
        <v>0.02</v>
      </c>
      <c r="I16" s="6">
        <v>-0.38</v>
      </c>
      <c r="J16" s="6">
        <v>33.2</v>
      </c>
      <c r="K16" s="7">
        <f t="shared" ref="K16:P16" si="20">abs(D16-D15)/200</f>
        <v>0.01855</v>
      </c>
      <c r="L16" s="7">
        <f t="shared" si="20"/>
        <v>0.0266</v>
      </c>
      <c r="M16" s="7">
        <f t="shared" si="20"/>
        <v>0.004</v>
      </c>
      <c r="N16" s="7">
        <f t="shared" si="20"/>
        <v>0.0011</v>
      </c>
      <c r="O16" s="7">
        <f t="shared" si="20"/>
        <v>0.00075</v>
      </c>
      <c r="P16" s="7">
        <f t="shared" si="20"/>
        <v>0.0067</v>
      </c>
      <c r="Q16" s="7">
        <f t="shared" si="7"/>
        <v>1.357937432</v>
      </c>
      <c r="R16" s="7">
        <f t="shared" si="8"/>
        <v>0.8875772192</v>
      </c>
      <c r="S16" s="7">
        <f t="shared" si="2"/>
        <v>0.6480524501</v>
      </c>
      <c r="T16" s="7">
        <f t="shared" si="3"/>
        <v>0.4021193853</v>
      </c>
      <c r="U16" s="7">
        <f t="shared" si="4"/>
        <v>1</v>
      </c>
      <c r="V16" s="7">
        <f t="shared" si="5"/>
        <v>1</v>
      </c>
      <c r="W16" s="8">
        <v>1.0</v>
      </c>
      <c r="X16" s="8">
        <v>1.0</v>
      </c>
      <c r="Y16" s="8">
        <v>1.0</v>
      </c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ht="22.5" customHeight="1">
      <c r="B17" s="6">
        <v>16.0</v>
      </c>
      <c r="C17" s="6">
        <v>3503.0</v>
      </c>
      <c r="D17" s="6">
        <v>0.72</v>
      </c>
      <c r="E17" s="6">
        <v>0.18</v>
      </c>
      <c r="F17" s="6">
        <v>10.83</v>
      </c>
      <c r="G17" s="6">
        <v>0.11</v>
      </c>
      <c r="H17" s="6">
        <v>-0.1</v>
      </c>
      <c r="I17" s="6">
        <v>0.77</v>
      </c>
      <c r="J17" s="6">
        <v>33.22</v>
      </c>
      <c r="K17" s="7">
        <f t="shared" ref="K17:P17" si="21">abs(D17-D16)/200</f>
        <v>0.00865</v>
      </c>
      <c r="L17" s="7">
        <f t="shared" si="21"/>
        <v>0.01405</v>
      </c>
      <c r="M17" s="7">
        <f t="shared" si="21"/>
        <v>0.00435</v>
      </c>
      <c r="N17" s="7">
        <f t="shared" si="21"/>
        <v>0.0012</v>
      </c>
      <c r="O17" s="7">
        <f t="shared" si="21"/>
        <v>0.0006</v>
      </c>
      <c r="P17" s="7">
        <f t="shared" si="21"/>
        <v>0.00575</v>
      </c>
      <c r="Q17" s="7">
        <f t="shared" si="7"/>
        <v>0.3820999718</v>
      </c>
      <c r="R17" s="7">
        <f t="shared" si="8"/>
        <v>0.407347128</v>
      </c>
      <c r="S17" s="7">
        <f t="shared" si="2"/>
        <v>1.055399578</v>
      </c>
      <c r="T17" s="7">
        <f t="shared" si="3"/>
        <v>0.7842193571</v>
      </c>
      <c r="U17" s="7">
        <f t="shared" si="4"/>
        <v>1</v>
      </c>
      <c r="V17" s="7">
        <f t="shared" si="5"/>
        <v>1</v>
      </c>
      <c r="W17" s="8">
        <v>1.0</v>
      </c>
      <c r="X17" s="8">
        <v>1.0</v>
      </c>
      <c r="Y17" s="8">
        <v>1.0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ht="22.5" customHeight="1">
      <c r="B18" s="6">
        <v>17.0</v>
      </c>
      <c r="C18" s="6">
        <v>3707.0</v>
      </c>
      <c r="D18" s="6">
        <v>3.16</v>
      </c>
      <c r="E18" s="6">
        <v>-2.03</v>
      </c>
      <c r="F18" s="6">
        <v>11.02</v>
      </c>
      <c r="G18" s="6">
        <v>-0.08</v>
      </c>
      <c r="H18" s="6">
        <v>0.08</v>
      </c>
      <c r="I18" s="6">
        <v>0.3</v>
      </c>
      <c r="J18" s="6">
        <v>33.21</v>
      </c>
      <c r="K18" s="7">
        <f t="shared" ref="K18:P18" si="22">abs(D18-D17)/200</f>
        <v>0.0122</v>
      </c>
      <c r="L18" s="7">
        <f t="shared" si="22"/>
        <v>0.01105</v>
      </c>
      <c r="M18" s="7">
        <f t="shared" si="22"/>
        <v>0.00095</v>
      </c>
      <c r="N18" s="7">
        <f t="shared" si="22"/>
        <v>0.00095</v>
      </c>
      <c r="O18" s="7">
        <f t="shared" si="22"/>
        <v>0.0009</v>
      </c>
      <c r="P18" s="7">
        <f t="shared" si="22"/>
        <v>0.00235</v>
      </c>
      <c r="Q18" s="7">
        <f t="shared" si="7"/>
        <v>0.4635949662</v>
      </c>
      <c r="R18" s="7">
        <f t="shared" si="8"/>
        <v>0.7870615019</v>
      </c>
      <c r="S18" s="7">
        <f t="shared" si="2"/>
        <v>1.84246108</v>
      </c>
      <c r="T18" s="7">
        <f t="shared" si="3"/>
        <v>0.3206243908</v>
      </c>
      <c r="U18" s="7">
        <f t="shared" si="4"/>
        <v>1</v>
      </c>
      <c r="V18" s="7">
        <f t="shared" si="5"/>
        <v>1</v>
      </c>
      <c r="W18" s="8">
        <v>1.0</v>
      </c>
      <c r="X18" s="8">
        <v>1.0</v>
      </c>
      <c r="Y18" s="8">
        <v>1.0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ht="22.5" customHeight="1">
      <c r="B19" s="6">
        <v>18.0</v>
      </c>
      <c r="C19" s="6">
        <v>3911.0</v>
      </c>
      <c r="D19" s="6">
        <v>2.4</v>
      </c>
      <c r="E19" s="6">
        <v>-1.97</v>
      </c>
      <c r="F19" s="6">
        <v>10.67</v>
      </c>
      <c r="G19" s="6">
        <v>-0.21</v>
      </c>
      <c r="H19" s="6">
        <v>0.06</v>
      </c>
      <c r="I19" s="6">
        <v>-0.74</v>
      </c>
      <c r="J19" s="6">
        <v>33.22</v>
      </c>
      <c r="K19" s="7">
        <f t="shared" ref="K19:P19" si="23">abs(D19-D18)/200</f>
        <v>0.0038</v>
      </c>
      <c r="L19" s="7">
        <f t="shared" si="23"/>
        <v>0.0003</v>
      </c>
      <c r="M19" s="7">
        <f t="shared" si="23"/>
        <v>0.00175</v>
      </c>
      <c r="N19" s="7">
        <f t="shared" si="23"/>
        <v>0.00065</v>
      </c>
      <c r="O19" s="7">
        <f t="shared" si="23"/>
        <v>0.0001</v>
      </c>
      <c r="P19" s="7">
        <f t="shared" si="23"/>
        <v>0.0052</v>
      </c>
      <c r="Q19" s="7">
        <f t="shared" si="7"/>
        <v>0.4509324768</v>
      </c>
      <c r="R19" s="7">
        <f t="shared" si="8"/>
        <v>0.5298646238</v>
      </c>
      <c r="S19" s="7">
        <f t="shared" si="2"/>
        <v>1.312596456</v>
      </c>
      <c r="T19" s="7">
        <f t="shared" si="3"/>
        <v>0.7715568676</v>
      </c>
      <c r="U19" s="7">
        <f t="shared" si="4"/>
        <v>1</v>
      </c>
      <c r="V19" s="7">
        <f t="shared" si="5"/>
        <v>1</v>
      </c>
      <c r="W19" s="8">
        <v>1.0</v>
      </c>
      <c r="X19" s="8">
        <v>1.0</v>
      </c>
      <c r="Y19" s="8">
        <v>1.0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</row>
    <row r="20" ht="22.5" customHeight="1">
      <c r="B20" s="6">
        <v>19.0</v>
      </c>
      <c r="C20" s="6">
        <v>4115.0</v>
      </c>
      <c r="D20" s="6">
        <v>-1.06</v>
      </c>
      <c r="E20" s="6">
        <v>3.55</v>
      </c>
      <c r="F20" s="6">
        <v>10.76</v>
      </c>
      <c r="G20" s="6">
        <v>-0.26</v>
      </c>
      <c r="H20" s="6">
        <v>0.11</v>
      </c>
      <c r="I20" s="6">
        <v>-0.69</v>
      </c>
      <c r="J20" s="6">
        <v>33.22</v>
      </c>
      <c r="K20" s="7">
        <f t="shared" ref="K20:P20" si="24">abs(D20-D19)/200</f>
        <v>0.0173</v>
      </c>
      <c r="L20" s="7">
        <f t="shared" si="24"/>
        <v>0.0276</v>
      </c>
      <c r="M20" s="7">
        <f t="shared" si="24"/>
        <v>0.00045</v>
      </c>
      <c r="N20" s="7">
        <f t="shared" si="24"/>
        <v>0.00025</v>
      </c>
      <c r="O20" s="7">
        <f t="shared" si="24"/>
        <v>0.00025</v>
      </c>
      <c r="P20" s="7">
        <f t="shared" si="24"/>
        <v>0.00025</v>
      </c>
      <c r="Q20" s="7">
        <f t="shared" si="7"/>
        <v>0.02603691485</v>
      </c>
      <c r="R20" s="7">
        <f t="shared" si="8"/>
        <v>0.267372788</v>
      </c>
      <c r="S20" s="7">
        <f t="shared" si="2"/>
        <v>1.579969244</v>
      </c>
      <c r="T20" s="7">
        <f t="shared" si="3"/>
        <v>0.7455199528</v>
      </c>
      <c r="U20" s="7">
        <f t="shared" si="4"/>
        <v>1</v>
      </c>
      <c r="V20" s="7">
        <f t="shared" si="5"/>
        <v>0</v>
      </c>
      <c r="W20" s="8">
        <v>1.0</v>
      </c>
      <c r="X20" s="8">
        <v>1.0</v>
      </c>
      <c r="Y20" s="8">
        <v>1.0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ht="22.5" customHeight="1">
      <c r="B21" s="6">
        <v>20.0</v>
      </c>
      <c r="C21" s="6">
        <v>4319.0</v>
      </c>
      <c r="D21" s="6">
        <v>-0.15</v>
      </c>
      <c r="E21" s="6">
        <v>1.88</v>
      </c>
      <c r="F21" s="6">
        <v>10.53</v>
      </c>
      <c r="G21" s="6">
        <v>0.06</v>
      </c>
      <c r="H21" s="6">
        <v>0.02</v>
      </c>
      <c r="I21" s="6">
        <v>0.32</v>
      </c>
      <c r="J21" s="6">
        <v>33.21</v>
      </c>
      <c r="K21" s="7">
        <f t="shared" ref="K21:P21" si="25">abs(D21-D20)/200</f>
        <v>0.00455</v>
      </c>
      <c r="L21" s="7">
        <f t="shared" si="25"/>
        <v>0.00835</v>
      </c>
      <c r="M21" s="7">
        <f t="shared" si="25"/>
        <v>0.00115</v>
      </c>
      <c r="N21" s="7">
        <f t="shared" si="25"/>
        <v>0.0016</v>
      </c>
      <c r="O21" s="7">
        <f t="shared" si="25"/>
        <v>0.00045</v>
      </c>
      <c r="P21" s="7">
        <f t="shared" si="25"/>
        <v>0.00505</v>
      </c>
      <c r="Q21" s="7">
        <f t="shared" si="7"/>
        <v>0.4193298242</v>
      </c>
      <c r="R21" s="7">
        <f t="shared" si="8"/>
        <v>0.6824087747</v>
      </c>
      <c r="S21" s="7">
        <f t="shared" si="2"/>
        <v>0.8975604696</v>
      </c>
      <c r="T21" s="7">
        <f t="shared" si="3"/>
        <v>0.3261901286</v>
      </c>
      <c r="U21" s="7">
        <f t="shared" si="4"/>
        <v>1</v>
      </c>
      <c r="V21" s="7">
        <f t="shared" si="5"/>
        <v>1</v>
      </c>
      <c r="W21" s="8">
        <v>1.0</v>
      </c>
      <c r="X21" s="8">
        <v>1.0</v>
      </c>
      <c r="Y21" s="8">
        <v>1.0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</row>
    <row r="22" ht="22.5" customHeight="1">
      <c r="B22" s="6">
        <v>21.0</v>
      </c>
      <c r="C22" s="6">
        <v>4523.0</v>
      </c>
      <c r="D22" s="6">
        <v>2.98</v>
      </c>
      <c r="E22" s="6">
        <v>-1.89</v>
      </c>
      <c r="F22" s="6">
        <v>10.68</v>
      </c>
      <c r="G22" s="6">
        <v>-0.02</v>
      </c>
      <c r="H22" s="6">
        <v>-0.06</v>
      </c>
      <c r="I22" s="6">
        <v>0.83</v>
      </c>
      <c r="J22" s="6">
        <v>33.21</v>
      </c>
      <c r="K22" s="7">
        <f t="shared" ref="K22:P22" si="26">abs(D22-D21)/200</f>
        <v>0.01565</v>
      </c>
      <c r="L22" s="7">
        <f t="shared" si="26"/>
        <v>0.01885</v>
      </c>
      <c r="M22" s="7">
        <f t="shared" si="26"/>
        <v>0.00075</v>
      </c>
      <c r="N22" s="7">
        <f t="shared" si="26"/>
        <v>0.0004</v>
      </c>
      <c r="O22" s="7">
        <f t="shared" si="26"/>
        <v>0.0004</v>
      </c>
      <c r="P22" s="7">
        <f t="shared" si="26"/>
        <v>0.00255</v>
      </c>
      <c r="Q22" s="7">
        <f t="shared" si="7"/>
        <v>0.5062160223</v>
      </c>
      <c r="R22" s="7">
        <f t="shared" si="8"/>
        <v>0.5503237759</v>
      </c>
      <c r="S22" s="7">
        <f t="shared" si="2"/>
        <v>1.447884245</v>
      </c>
      <c r="T22" s="7">
        <f t="shared" si="3"/>
        <v>0.8324061509</v>
      </c>
      <c r="U22" s="7">
        <f t="shared" si="4"/>
        <v>1</v>
      </c>
      <c r="V22" s="7">
        <f t="shared" si="5"/>
        <v>1</v>
      </c>
      <c r="W22" s="8">
        <v>1.0</v>
      </c>
      <c r="X22" s="8">
        <v>1.0</v>
      </c>
      <c r="Y22" s="8">
        <v>1.0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ht="22.5" customHeight="1">
      <c r="B23" s="6">
        <v>22.0</v>
      </c>
      <c r="C23" s="6">
        <v>4727.0</v>
      </c>
      <c r="D23" s="6">
        <v>3.88</v>
      </c>
      <c r="E23" s="6">
        <v>-3.08</v>
      </c>
      <c r="F23" s="6">
        <v>10.32</v>
      </c>
      <c r="G23" s="6">
        <v>-0.13</v>
      </c>
      <c r="H23" s="6">
        <v>-0.08</v>
      </c>
      <c r="I23" s="6">
        <v>0.02</v>
      </c>
      <c r="J23" s="6">
        <v>33.21</v>
      </c>
      <c r="K23" s="7">
        <f t="shared" ref="K23:P23" si="27">abs(D23-D22)/200</f>
        <v>0.0045</v>
      </c>
      <c r="L23" s="7">
        <f t="shared" si="27"/>
        <v>0.00595</v>
      </c>
      <c r="M23" s="7">
        <f t="shared" si="27"/>
        <v>0.0018</v>
      </c>
      <c r="N23" s="7">
        <f t="shared" si="27"/>
        <v>0.00055</v>
      </c>
      <c r="O23" s="7">
        <f t="shared" si="27"/>
        <v>0.0001</v>
      </c>
      <c r="P23" s="7">
        <f t="shared" si="27"/>
        <v>0.00405</v>
      </c>
      <c r="Q23" s="7">
        <f t="shared" si="7"/>
        <v>0.6784581077</v>
      </c>
      <c r="R23" s="7">
        <f t="shared" si="8"/>
        <v>0.199525942</v>
      </c>
      <c r="S23" s="7">
        <f t="shared" si="2"/>
        <v>1.647410187</v>
      </c>
      <c r="T23" s="7">
        <f t="shared" si="3"/>
        <v>0.1539480432</v>
      </c>
      <c r="U23" s="7">
        <f t="shared" si="4"/>
        <v>1</v>
      </c>
      <c r="V23" s="7">
        <f t="shared" si="5"/>
        <v>1</v>
      </c>
      <c r="W23" s="8">
        <v>1.0</v>
      </c>
      <c r="X23" s="8">
        <v>1.0</v>
      </c>
      <c r="Y23" s="8">
        <v>1.0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ht="22.5" customHeight="1">
      <c r="B24" s="6">
        <v>23.0</v>
      </c>
      <c r="C24" s="6">
        <v>7175.0</v>
      </c>
      <c r="D24" s="6">
        <v>2.67</v>
      </c>
      <c r="E24" s="6">
        <v>-1.39</v>
      </c>
      <c r="F24" s="6">
        <v>10.57</v>
      </c>
      <c r="G24" s="6">
        <v>-0.19</v>
      </c>
      <c r="H24" s="6">
        <v>-0.05</v>
      </c>
      <c r="I24" s="6">
        <v>-0.11</v>
      </c>
      <c r="J24" s="6">
        <v>33.22</v>
      </c>
      <c r="K24" s="7">
        <f t="shared" ref="K24:P24" si="28">abs(D24-D23)/200</f>
        <v>0.00605</v>
      </c>
      <c r="L24" s="7">
        <f t="shared" si="28"/>
        <v>0.00845</v>
      </c>
      <c r="M24" s="7">
        <f t="shared" si="28"/>
        <v>0.00125</v>
      </c>
      <c r="N24" s="7">
        <f t="shared" si="28"/>
        <v>0.0003</v>
      </c>
      <c r="O24" s="7">
        <f t="shared" si="28"/>
        <v>0.00015</v>
      </c>
      <c r="P24" s="7">
        <f t="shared" si="28"/>
        <v>0.00065</v>
      </c>
      <c r="Q24" s="7">
        <f t="shared" si="7"/>
        <v>0.0712185618</v>
      </c>
      <c r="R24" s="7">
        <f t="shared" si="8"/>
        <v>0.4571463144</v>
      </c>
      <c r="S24" s="7">
        <f t="shared" si="2"/>
        <v>1.190263873</v>
      </c>
      <c r="T24" s="7">
        <f t="shared" si="3"/>
        <v>0.225166605</v>
      </c>
      <c r="U24" s="7">
        <f t="shared" si="4"/>
        <v>1</v>
      </c>
      <c r="V24" s="7">
        <f t="shared" si="5"/>
        <v>1</v>
      </c>
      <c r="W24" s="8">
        <v>1.0</v>
      </c>
      <c r="X24" s="8">
        <v>1.0</v>
      </c>
      <c r="Y24" s="8">
        <v>1.0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ht="22.5" customHeight="1">
      <c r="B25" s="6">
        <v>24.0</v>
      </c>
      <c r="C25" s="6">
        <v>7379.0</v>
      </c>
      <c r="D25" s="6">
        <v>0.85</v>
      </c>
      <c r="E25" s="6">
        <v>1.53</v>
      </c>
      <c r="F25" s="6">
        <v>10.62</v>
      </c>
      <c r="G25" s="6">
        <v>-0.12</v>
      </c>
      <c r="H25" s="6">
        <v>0.0</v>
      </c>
      <c r="I25" s="6">
        <v>-0.05</v>
      </c>
      <c r="J25" s="6">
        <v>33.23</v>
      </c>
      <c r="K25" s="7">
        <f t="shared" ref="K25:P25" si="29">abs(D25-D24)/200</f>
        <v>0.0091</v>
      </c>
      <c r="L25" s="7">
        <f t="shared" si="29"/>
        <v>0.0146</v>
      </c>
      <c r="M25" s="7">
        <f t="shared" si="29"/>
        <v>0.00025</v>
      </c>
      <c r="N25" s="7">
        <f t="shared" si="29"/>
        <v>0.00035</v>
      </c>
      <c r="O25" s="7">
        <f t="shared" si="29"/>
        <v>0.00025</v>
      </c>
      <c r="P25" s="7">
        <f t="shared" si="29"/>
        <v>0.0003</v>
      </c>
      <c r="Q25" s="7">
        <f t="shared" si="7"/>
        <v>0.09516660498</v>
      </c>
      <c r="R25" s="7">
        <f t="shared" si="8"/>
        <v>0.2270022856</v>
      </c>
      <c r="S25" s="7">
        <f t="shared" si="2"/>
        <v>0.9632615875</v>
      </c>
      <c r="T25" s="7">
        <f t="shared" si="3"/>
        <v>0.13</v>
      </c>
      <c r="U25" s="7">
        <f t="shared" si="4"/>
        <v>1</v>
      </c>
      <c r="V25" s="7">
        <f t="shared" si="5"/>
        <v>1</v>
      </c>
      <c r="W25" s="8">
        <v>1.0</v>
      </c>
      <c r="X25" s="8">
        <v>1.0</v>
      </c>
      <c r="Y25" s="8">
        <v>1.0</v>
      </c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ht="22.5" customHeight="1">
      <c r="B26" s="6">
        <v>25.0</v>
      </c>
      <c r="C26" s="6">
        <v>7583.0</v>
      </c>
      <c r="D26" s="6">
        <v>0.98</v>
      </c>
      <c r="E26" s="6">
        <v>1.45</v>
      </c>
      <c r="F26" s="6">
        <v>10.71</v>
      </c>
      <c r="G26" s="6">
        <v>0.02</v>
      </c>
      <c r="H26" s="6">
        <v>0.09</v>
      </c>
      <c r="I26" s="6">
        <v>-0.04</v>
      </c>
      <c r="J26" s="6">
        <v>33.22</v>
      </c>
      <c r="K26" s="7">
        <f t="shared" ref="K26:P26" si="30">abs(D26-D25)/200</f>
        <v>0.00065</v>
      </c>
      <c r="L26" s="7">
        <f t="shared" si="30"/>
        <v>0.0004</v>
      </c>
      <c r="M26" s="7">
        <f t="shared" si="30"/>
        <v>0.00045</v>
      </c>
      <c r="N26" s="7">
        <f t="shared" si="30"/>
        <v>0.0007</v>
      </c>
      <c r="O26" s="7">
        <f t="shared" si="30"/>
        <v>0.00045</v>
      </c>
      <c r="P26" s="7">
        <f t="shared" si="30"/>
        <v>0.00005</v>
      </c>
      <c r="Q26" s="7">
        <f t="shared" si="7"/>
        <v>0.02950124379</v>
      </c>
      <c r="R26" s="7">
        <f t="shared" si="8"/>
        <v>0.08878891003</v>
      </c>
      <c r="S26" s="7">
        <f t="shared" si="2"/>
        <v>1.052050497</v>
      </c>
      <c r="T26" s="7">
        <f t="shared" si="3"/>
        <v>0.1004987562</v>
      </c>
      <c r="U26" s="7">
        <f t="shared" si="4"/>
        <v>1</v>
      </c>
      <c r="V26" s="7">
        <f t="shared" si="5"/>
        <v>1</v>
      </c>
      <c r="W26" s="8">
        <v>1.0</v>
      </c>
      <c r="X26" s="8">
        <v>1.0</v>
      </c>
      <c r="Y26" s="8">
        <v>1.0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ht="22.5" customHeight="1">
      <c r="B27" s="6">
        <v>26.0</v>
      </c>
      <c r="C27" s="6">
        <v>7787.0</v>
      </c>
      <c r="D27" s="6">
        <v>3.02</v>
      </c>
      <c r="E27" s="6">
        <v>-1.88</v>
      </c>
      <c r="F27" s="6">
        <v>10.71</v>
      </c>
      <c r="G27" s="6">
        <v>-0.13</v>
      </c>
      <c r="H27" s="6">
        <v>-0.04</v>
      </c>
      <c r="I27" s="6">
        <v>0.02</v>
      </c>
      <c r="J27" s="6">
        <v>33.22</v>
      </c>
      <c r="K27" s="7">
        <f t="shared" ref="K27:P27" si="31">abs(D27-D26)/200</f>
        <v>0.0102</v>
      </c>
      <c r="L27" s="7">
        <f t="shared" si="31"/>
        <v>0.01665</v>
      </c>
      <c r="M27" s="7">
        <f t="shared" si="31"/>
        <v>0</v>
      </c>
      <c r="N27" s="7">
        <f t="shared" si="31"/>
        <v>0.00075</v>
      </c>
      <c r="O27" s="7">
        <f t="shared" si="31"/>
        <v>0.00065</v>
      </c>
      <c r="P27" s="7">
        <f t="shared" si="31"/>
        <v>0.0003</v>
      </c>
      <c r="Q27" s="7">
        <f t="shared" si="7"/>
        <v>0.03697851464</v>
      </c>
      <c r="R27" s="7">
        <f t="shared" si="8"/>
        <v>0.4332895506</v>
      </c>
      <c r="S27" s="7">
        <f t="shared" si="2"/>
        <v>1.485340048</v>
      </c>
      <c r="T27" s="7">
        <f t="shared" si="3"/>
        <v>0.1374772708</v>
      </c>
      <c r="U27" s="7">
        <f t="shared" si="4"/>
        <v>1</v>
      </c>
      <c r="V27" s="7">
        <f t="shared" si="5"/>
        <v>1</v>
      </c>
      <c r="W27" s="8">
        <v>1.0</v>
      </c>
      <c r="X27" s="8">
        <v>1.0</v>
      </c>
      <c r="Y27" s="8">
        <v>1.0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ht="22.5" customHeight="1">
      <c r="B28" s="6">
        <v>27.0</v>
      </c>
      <c r="C28" s="6">
        <v>7991.0</v>
      </c>
      <c r="D28" s="6">
        <v>3.08</v>
      </c>
      <c r="E28" s="6">
        <v>-1.46</v>
      </c>
      <c r="F28" s="6">
        <v>10.71</v>
      </c>
      <c r="G28" s="6">
        <v>-0.27</v>
      </c>
      <c r="H28" s="6">
        <v>-0.13</v>
      </c>
      <c r="I28" s="6">
        <v>-0.49</v>
      </c>
      <c r="J28" s="6">
        <v>33.21</v>
      </c>
      <c r="K28" s="7">
        <f t="shared" ref="K28:P28" si="32">abs(D28-D27)/200</f>
        <v>0.0003</v>
      </c>
      <c r="L28" s="7">
        <f t="shared" si="32"/>
        <v>0.0021</v>
      </c>
      <c r="M28" s="7">
        <f t="shared" si="32"/>
        <v>0</v>
      </c>
      <c r="N28" s="7">
        <f t="shared" si="32"/>
        <v>0.0007</v>
      </c>
      <c r="O28" s="7">
        <f t="shared" si="32"/>
        <v>0.00045</v>
      </c>
      <c r="P28" s="7">
        <f t="shared" si="32"/>
        <v>0.00255</v>
      </c>
      <c r="Q28" s="7">
        <f t="shared" si="7"/>
        <v>0.4368919484</v>
      </c>
      <c r="R28" s="7">
        <f t="shared" si="8"/>
        <v>0.04602957097</v>
      </c>
      <c r="S28" s="7">
        <f t="shared" si="2"/>
        <v>1.439310477</v>
      </c>
      <c r="T28" s="7">
        <f t="shared" si="3"/>
        <v>0.5743692192</v>
      </c>
      <c r="U28" s="7">
        <f t="shared" si="4"/>
        <v>1</v>
      </c>
      <c r="V28" s="7">
        <f t="shared" si="5"/>
        <v>1</v>
      </c>
      <c r="W28" s="8">
        <v>1.0</v>
      </c>
      <c r="X28" s="8">
        <v>1.0</v>
      </c>
      <c r="Y28" s="8">
        <v>1.0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 ht="22.5" customHeight="1">
      <c r="B29" s="6">
        <v>28.0</v>
      </c>
      <c r="C29" s="6">
        <v>8195.0</v>
      </c>
      <c r="D29" s="6">
        <v>-1.0</v>
      </c>
      <c r="E29" s="6">
        <v>3.09</v>
      </c>
      <c r="F29" s="6">
        <v>10.33</v>
      </c>
      <c r="G29" s="6">
        <v>-0.16</v>
      </c>
      <c r="H29" s="6">
        <v>-0.11</v>
      </c>
      <c r="I29" s="6">
        <v>-0.45</v>
      </c>
      <c r="J29" s="6">
        <v>33.22</v>
      </c>
      <c r="K29" s="7">
        <f t="shared" ref="K29:P29" si="33">abs(D29-D28)/200</f>
        <v>0.0204</v>
      </c>
      <c r="L29" s="7">
        <f t="shared" si="33"/>
        <v>0.02275</v>
      </c>
      <c r="M29" s="7">
        <f t="shared" si="33"/>
        <v>0.0019</v>
      </c>
      <c r="N29" s="7">
        <f t="shared" si="33"/>
        <v>0.00055</v>
      </c>
      <c r="O29" s="7">
        <f t="shared" si="33"/>
        <v>0.0001</v>
      </c>
      <c r="P29" s="7">
        <f t="shared" si="33"/>
        <v>0.0002</v>
      </c>
      <c r="Q29" s="7">
        <f t="shared" si="7"/>
        <v>0.08426718904</v>
      </c>
      <c r="R29" s="7">
        <f t="shared" si="8"/>
        <v>0.4107833381</v>
      </c>
      <c r="S29" s="7">
        <f t="shared" si="2"/>
        <v>1.028527139</v>
      </c>
      <c r="T29" s="7">
        <f t="shared" si="3"/>
        <v>0.4901020302</v>
      </c>
      <c r="U29" s="7">
        <f t="shared" si="4"/>
        <v>1</v>
      </c>
      <c r="V29" s="7">
        <f t="shared" si="5"/>
        <v>1</v>
      </c>
      <c r="W29" s="8">
        <v>1.0</v>
      </c>
      <c r="X29" s="8">
        <v>1.0</v>
      </c>
      <c r="Y29" s="8">
        <v>1.0</v>
      </c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ht="22.5" customHeight="1">
      <c r="B30" s="6">
        <v>29.0</v>
      </c>
      <c r="C30" s="6">
        <v>8399.0</v>
      </c>
      <c r="D30" s="6">
        <v>0.06</v>
      </c>
      <c r="E30" s="6">
        <v>-0.06</v>
      </c>
      <c r="F30" s="6">
        <v>10.98</v>
      </c>
      <c r="G30" s="6">
        <v>0.12</v>
      </c>
      <c r="H30" s="6">
        <v>0.09</v>
      </c>
      <c r="I30" s="6">
        <v>0.54</v>
      </c>
      <c r="J30" s="6">
        <v>33.22</v>
      </c>
      <c r="K30" s="7">
        <f t="shared" ref="K30:P30" si="34">abs(D30-D29)/200</f>
        <v>0.0053</v>
      </c>
      <c r="L30" s="7">
        <f t="shared" si="34"/>
        <v>0.01575</v>
      </c>
      <c r="M30" s="7">
        <f t="shared" si="34"/>
        <v>0.00325</v>
      </c>
      <c r="N30" s="7">
        <f t="shared" si="34"/>
        <v>0.0014</v>
      </c>
      <c r="O30" s="7">
        <f t="shared" si="34"/>
        <v>0.001</v>
      </c>
      <c r="P30" s="7">
        <f t="shared" si="34"/>
        <v>0.00495</v>
      </c>
      <c r="Q30" s="7">
        <f t="shared" si="7"/>
        <v>0.07034422057</v>
      </c>
      <c r="R30" s="7">
        <f t="shared" si="8"/>
        <v>0.151800725</v>
      </c>
      <c r="S30" s="7">
        <f t="shared" si="2"/>
        <v>1.180327864</v>
      </c>
      <c r="T30" s="7">
        <f t="shared" si="3"/>
        <v>0.5604462508</v>
      </c>
      <c r="U30" s="7">
        <f t="shared" si="4"/>
        <v>1</v>
      </c>
      <c r="V30" s="7">
        <f t="shared" si="5"/>
        <v>1</v>
      </c>
      <c r="W30" s="8">
        <v>1.0</v>
      </c>
      <c r="X30" s="8">
        <v>1.0</v>
      </c>
      <c r="Y30" s="8">
        <v>1.0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 ht="22.5" customHeight="1">
      <c r="B31" s="6">
        <v>30.0</v>
      </c>
      <c r="C31" s="6">
        <v>8603.0</v>
      </c>
      <c r="D31" s="6">
        <v>3.93</v>
      </c>
      <c r="E31" s="6">
        <v>-2.76</v>
      </c>
      <c r="F31" s="6">
        <v>10.26</v>
      </c>
      <c r="G31" s="6">
        <v>0.01</v>
      </c>
      <c r="H31" s="6">
        <v>-0.18</v>
      </c>
      <c r="I31" s="6">
        <v>1.13</v>
      </c>
      <c r="J31" s="6">
        <v>33.22</v>
      </c>
      <c r="K31" s="7">
        <f t="shared" ref="K31:P31" si="35">abs(D31-D30)/200</f>
        <v>0.01935</v>
      </c>
      <c r="L31" s="7">
        <f t="shared" si="35"/>
        <v>0.0135</v>
      </c>
      <c r="M31" s="7">
        <f t="shared" si="35"/>
        <v>0.0036</v>
      </c>
      <c r="N31" s="7">
        <f t="shared" si="35"/>
        <v>0.00055</v>
      </c>
      <c r="O31" s="7">
        <f t="shared" si="35"/>
        <v>0.00135</v>
      </c>
      <c r="P31" s="7">
        <f t="shared" si="35"/>
        <v>0.00295</v>
      </c>
      <c r="Q31" s="7">
        <f t="shared" si="7"/>
        <v>0.5838439222</v>
      </c>
      <c r="R31" s="7">
        <f t="shared" si="8"/>
        <v>0.3479597383</v>
      </c>
      <c r="S31" s="7">
        <f t="shared" si="2"/>
        <v>1.528287602</v>
      </c>
      <c r="T31" s="7">
        <f t="shared" si="3"/>
        <v>1.144290173</v>
      </c>
      <c r="U31" s="7">
        <f t="shared" si="4"/>
        <v>1</v>
      </c>
      <c r="V31" s="7">
        <f t="shared" si="5"/>
        <v>1</v>
      </c>
      <c r="W31" s="8">
        <v>1.0</v>
      </c>
      <c r="X31" s="8">
        <v>1.0</v>
      </c>
      <c r="Y31" s="8">
        <v>1.0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ht="22.5" customHeight="1">
      <c r="B32" s="6">
        <v>31.0</v>
      </c>
      <c r="C32" s="6">
        <v>8807.0</v>
      </c>
      <c r="D32" s="6">
        <v>0.3</v>
      </c>
      <c r="E32" s="6">
        <v>-0.65</v>
      </c>
      <c r="F32" s="6">
        <v>10.53</v>
      </c>
      <c r="G32" s="6">
        <v>-0.43</v>
      </c>
      <c r="H32" s="6">
        <v>0.23</v>
      </c>
      <c r="I32" s="6">
        <v>-2.11</v>
      </c>
      <c r="J32" s="6">
        <v>33.23</v>
      </c>
      <c r="K32" s="7">
        <f t="shared" ref="K32:P32" si="36">abs(D32-D31)/200</f>
        <v>0.01815</v>
      </c>
      <c r="L32" s="7">
        <f t="shared" si="36"/>
        <v>0.01055</v>
      </c>
      <c r="M32" s="7">
        <f t="shared" si="36"/>
        <v>0.00135</v>
      </c>
      <c r="N32" s="7">
        <f t="shared" si="36"/>
        <v>0.0022</v>
      </c>
      <c r="O32" s="7">
        <f t="shared" si="36"/>
        <v>0.00205</v>
      </c>
      <c r="P32" s="7">
        <f t="shared" si="36"/>
        <v>0.0162</v>
      </c>
      <c r="Q32" s="7">
        <f t="shared" si="7"/>
        <v>1.021327522</v>
      </c>
      <c r="R32" s="7">
        <f t="shared" si="8"/>
        <v>0.7739804246</v>
      </c>
      <c r="S32" s="7">
        <f t="shared" si="2"/>
        <v>0.7543071776</v>
      </c>
      <c r="T32" s="7">
        <f t="shared" si="3"/>
        <v>2.165617695</v>
      </c>
      <c r="U32" s="7">
        <f t="shared" si="4"/>
        <v>1</v>
      </c>
      <c r="V32" s="7">
        <f t="shared" si="5"/>
        <v>1</v>
      </c>
      <c r="W32" s="8">
        <v>1.0</v>
      </c>
      <c r="X32" s="8">
        <v>1.0</v>
      </c>
      <c r="Y32" s="8">
        <v>1.0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ht="22.5" customHeight="1">
      <c r="B33" s="6">
        <v>32.0</v>
      </c>
      <c r="C33" s="6">
        <v>9011.0</v>
      </c>
      <c r="D33" s="6">
        <v>-1.53</v>
      </c>
      <c r="E33" s="6">
        <v>4.2</v>
      </c>
      <c r="F33" s="6">
        <v>10.9</v>
      </c>
      <c r="G33" s="6">
        <v>-0.03</v>
      </c>
      <c r="H33" s="6">
        <v>0.03</v>
      </c>
      <c r="I33" s="6">
        <v>0.14</v>
      </c>
      <c r="J33" s="6">
        <v>33.24</v>
      </c>
      <c r="K33" s="7">
        <f t="shared" ref="K33:P33" si="37">abs(D33-D32)/200</f>
        <v>0.00915</v>
      </c>
      <c r="L33" s="7">
        <f t="shared" si="37"/>
        <v>0.02425</v>
      </c>
      <c r="M33" s="7">
        <f t="shared" si="37"/>
        <v>0.00185</v>
      </c>
      <c r="N33" s="7">
        <f t="shared" si="37"/>
        <v>0.002</v>
      </c>
      <c r="O33" s="7">
        <f t="shared" si="37"/>
        <v>0.001</v>
      </c>
      <c r="P33" s="7">
        <f t="shared" si="37"/>
        <v>0.01125</v>
      </c>
      <c r="Q33" s="7">
        <f t="shared" si="7"/>
        <v>2.019330306</v>
      </c>
      <c r="R33" s="7">
        <f t="shared" si="8"/>
        <v>1.226647792</v>
      </c>
      <c r="S33" s="7">
        <f t="shared" si="2"/>
        <v>1.98095497</v>
      </c>
      <c r="T33" s="7">
        <f t="shared" si="3"/>
        <v>0.1462873884</v>
      </c>
      <c r="U33" s="7">
        <f t="shared" si="4"/>
        <v>1</v>
      </c>
      <c r="V33" s="7">
        <f t="shared" si="5"/>
        <v>1</v>
      </c>
      <c r="W33" s="8">
        <v>1.0</v>
      </c>
      <c r="X33" s="8">
        <v>1.0</v>
      </c>
      <c r="Y33" s="8">
        <v>1.0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ht="22.5" customHeight="1">
      <c r="B34" s="6">
        <v>33.0</v>
      </c>
      <c r="C34" s="6">
        <v>9215.0</v>
      </c>
      <c r="D34" s="6">
        <v>2.95</v>
      </c>
      <c r="E34" s="6">
        <v>-3.31</v>
      </c>
      <c r="F34" s="6">
        <v>10.85</v>
      </c>
      <c r="G34" s="6">
        <v>0.15</v>
      </c>
      <c r="H34" s="6">
        <v>0.03</v>
      </c>
      <c r="I34" s="6">
        <v>2.29</v>
      </c>
      <c r="J34" s="6">
        <v>33.23</v>
      </c>
      <c r="K34" s="7">
        <f t="shared" ref="K34:P34" si="38">abs(D34-D33)/200</f>
        <v>0.0224</v>
      </c>
      <c r="L34" s="7">
        <f t="shared" si="38"/>
        <v>0.03755</v>
      </c>
      <c r="M34" s="7">
        <f t="shared" si="38"/>
        <v>0.00025</v>
      </c>
      <c r="N34" s="7">
        <f t="shared" si="38"/>
        <v>0.0009</v>
      </c>
      <c r="O34" s="7">
        <f t="shared" si="38"/>
        <v>0</v>
      </c>
      <c r="P34" s="7">
        <f t="shared" si="38"/>
        <v>0.01075</v>
      </c>
      <c r="Q34" s="7">
        <f t="shared" si="7"/>
        <v>2.148816095</v>
      </c>
      <c r="R34" s="7">
        <f t="shared" si="8"/>
        <v>0.05998657975</v>
      </c>
      <c r="S34" s="7">
        <f t="shared" si="2"/>
        <v>1.92096839</v>
      </c>
      <c r="T34" s="7">
        <f t="shared" si="3"/>
        <v>2.295103484</v>
      </c>
      <c r="U34" s="7">
        <f t="shared" si="4"/>
        <v>1</v>
      </c>
      <c r="V34" s="7">
        <f t="shared" si="5"/>
        <v>1</v>
      </c>
      <c r="W34" s="8">
        <v>1.0</v>
      </c>
      <c r="X34" s="8">
        <v>1.0</v>
      </c>
      <c r="Y34" s="8">
        <v>1.0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ht="22.5" customHeight="1">
      <c r="B35" s="6">
        <v>34.0</v>
      </c>
      <c r="C35" s="6">
        <v>9419.0</v>
      </c>
      <c r="D35" s="6">
        <v>4.21</v>
      </c>
      <c r="E35" s="6">
        <v>-2.95</v>
      </c>
      <c r="F35" s="6">
        <v>10.26</v>
      </c>
      <c r="G35" s="6">
        <v>-0.19</v>
      </c>
      <c r="H35" s="6">
        <v>-0.12</v>
      </c>
      <c r="I35" s="6">
        <v>-0.21</v>
      </c>
      <c r="J35" s="6">
        <v>33.24</v>
      </c>
      <c r="K35" s="7">
        <f t="shared" ref="K35:P35" si="39">abs(D35-D34)/200</f>
        <v>0.0063</v>
      </c>
      <c r="L35" s="7">
        <f t="shared" si="39"/>
        <v>0.0018</v>
      </c>
      <c r="M35" s="7">
        <f t="shared" si="39"/>
        <v>0.00295</v>
      </c>
      <c r="N35" s="7">
        <f t="shared" si="39"/>
        <v>0.0017</v>
      </c>
      <c r="O35" s="7">
        <f t="shared" si="39"/>
        <v>0.00075</v>
      </c>
      <c r="P35" s="7">
        <f t="shared" si="39"/>
        <v>0.0125</v>
      </c>
      <c r="Q35" s="7">
        <f t="shared" si="7"/>
        <v>1.987532354</v>
      </c>
      <c r="R35" s="7">
        <f t="shared" si="8"/>
        <v>0.2451590504</v>
      </c>
      <c r="S35" s="7">
        <f t="shared" si="2"/>
        <v>1.67580934</v>
      </c>
      <c r="T35" s="7">
        <f t="shared" si="3"/>
        <v>0.30757113</v>
      </c>
      <c r="U35" s="7">
        <f t="shared" si="4"/>
        <v>1</v>
      </c>
      <c r="V35" s="7">
        <f t="shared" si="5"/>
        <v>1</v>
      </c>
      <c r="W35" s="8">
        <v>1.0</v>
      </c>
      <c r="X35" s="8">
        <v>1.0</v>
      </c>
      <c r="Y35" s="8">
        <v>1.0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ht="22.5" customHeight="1">
      <c r="B36" s="6">
        <v>35.0</v>
      </c>
      <c r="C36" s="6">
        <v>9623.0</v>
      </c>
      <c r="D36" s="6">
        <v>1.41</v>
      </c>
      <c r="E36" s="6">
        <v>1.09</v>
      </c>
      <c r="F36" s="6">
        <v>10.69</v>
      </c>
      <c r="G36" s="6">
        <v>-0.39</v>
      </c>
      <c r="H36" s="6">
        <v>0.06</v>
      </c>
      <c r="I36" s="6">
        <v>-1.61</v>
      </c>
      <c r="J36" s="6">
        <v>33.24</v>
      </c>
      <c r="K36" s="7">
        <f t="shared" ref="K36:P36" si="40">abs(D36-D35)/200</f>
        <v>0.014</v>
      </c>
      <c r="L36" s="7">
        <f t="shared" si="40"/>
        <v>0.0202</v>
      </c>
      <c r="M36" s="7">
        <f t="shared" si="40"/>
        <v>0.00215</v>
      </c>
      <c r="N36" s="7">
        <f t="shared" si="40"/>
        <v>0.001</v>
      </c>
      <c r="O36" s="7">
        <f t="shared" si="40"/>
        <v>0.0009</v>
      </c>
      <c r="P36" s="7">
        <f t="shared" si="40"/>
        <v>0.007</v>
      </c>
      <c r="Q36" s="7">
        <f t="shared" si="7"/>
        <v>1.350077808</v>
      </c>
      <c r="R36" s="7">
        <f t="shared" si="8"/>
        <v>0.6382681056</v>
      </c>
      <c r="S36" s="7">
        <f t="shared" si="2"/>
        <v>1.037541234</v>
      </c>
      <c r="T36" s="7">
        <f t="shared" si="3"/>
        <v>1.657648938</v>
      </c>
      <c r="U36" s="7">
        <f t="shared" si="4"/>
        <v>1</v>
      </c>
      <c r="V36" s="7">
        <f t="shared" si="5"/>
        <v>1</v>
      </c>
      <c r="W36" s="8">
        <v>1.0</v>
      </c>
      <c r="X36" s="8">
        <v>1.0</v>
      </c>
      <c r="Y36" s="8">
        <v>1.0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ht="22.5" customHeight="1">
      <c r="B37" s="6">
        <v>36.0</v>
      </c>
      <c r="C37" s="6">
        <v>9827.0</v>
      </c>
      <c r="D37" s="6">
        <v>-2.24</v>
      </c>
      <c r="E37" s="6">
        <v>2.94</v>
      </c>
      <c r="F37" s="6">
        <v>10.98</v>
      </c>
      <c r="G37" s="6">
        <v>0.03</v>
      </c>
      <c r="H37" s="6">
        <v>0.03</v>
      </c>
      <c r="I37" s="6">
        <v>-0.12</v>
      </c>
      <c r="J37" s="6">
        <v>33.24</v>
      </c>
      <c r="K37" s="7">
        <f t="shared" ref="K37:P37" si="41">abs(D37-D36)/200</f>
        <v>0.01825</v>
      </c>
      <c r="L37" s="7">
        <f t="shared" si="41"/>
        <v>0.00925</v>
      </c>
      <c r="M37" s="7">
        <f t="shared" si="41"/>
        <v>0.00145</v>
      </c>
      <c r="N37" s="7">
        <f t="shared" si="41"/>
        <v>0.0021</v>
      </c>
      <c r="O37" s="7">
        <f t="shared" si="41"/>
        <v>0.00015</v>
      </c>
      <c r="P37" s="7">
        <f t="shared" si="41"/>
        <v>0.00745</v>
      </c>
      <c r="Q37" s="7">
        <f t="shared" si="7"/>
        <v>1.530369717</v>
      </c>
      <c r="R37" s="7">
        <f t="shared" si="8"/>
        <v>0.7478633769</v>
      </c>
      <c r="S37" s="7">
        <f t="shared" si="2"/>
        <v>1.785404611</v>
      </c>
      <c r="T37" s="7">
        <f t="shared" si="3"/>
        <v>0.1272792206</v>
      </c>
      <c r="U37" s="7">
        <f t="shared" si="4"/>
        <v>1</v>
      </c>
      <c r="V37" s="7">
        <f t="shared" si="5"/>
        <v>1</v>
      </c>
      <c r="W37" s="8">
        <v>1.0</v>
      </c>
      <c r="X37" s="8">
        <v>1.0</v>
      </c>
      <c r="Y37" s="8">
        <v>1.0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ht="22.5" customHeight="1">
      <c r="B38" s="6">
        <v>37.0</v>
      </c>
      <c r="C38" s="6">
        <v>10031.0</v>
      </c>
      <c r="D38" s="6">
        <v>6.42</v>
      </c>
      <c r="E38" s="6">
        <v>-3.27</v>
      </c>
      <c r="F38" s="6">
        <v>10.37</v>
      </c>
      <c r="G38" s="6">
        <v>0.17</v>
      </c>
      <c r="H38" s="6">
        <v>0.16</v>
      </c>
      <c r="I38" s="6">
        <v>2.09</v>
      </c>
      <c r="J38" s="6">
        <v>33.25</v>
      </c>
      <c r="K38" s="7">
        <f t="shared" ref="K38:P38" si="42">abs(D38-D37)/200</f>
        <v>0.0433</v>
      </c>
      <c r="L38" s="7">
        <f t="shared" si="42"/>
        <v>0.03105</v>
      </c>
      <c r="M38" s="7">
        <f t="shared" si="42"/>
        <v>0.00305</v>
      </c>
      <c r="N38" s="7">
        <f t="shared" si="42"/>
        <v>0.0007</v>
      </c>
      <c r="O38" s="7">
        <f t="shared" si="42"/>
        <v>0.00065</v>
      </c>
      <c r="P38" s="7">
        <f t="shared" si="42"/>
        <v>0.01105</v>
      </c>
      <c r="Q38" s="7">
        <f t="shared" si="7"/>
        <v>1.97571864</v>
      </c>
      <c r="R38" s="7">
        <f t="shared" si="8"/>
        <v>1.041796187</v>
      </c>
      <c r="S38" s="7">
        <f t="shared" si="2"/>
        <v>2.827200798</v>
      </c>
      <c r="T38" s="7">
        <f t="shared" si="3"/>
        <v>2.10299786</v>
      </c>
      <c r="U38" s="7">
        <f t="shared" si="4"/>
        <v>1</v>
      </c>
      <c r="V38" s="7">
        <f t="shared" si="5"/>
        <v>1</v>
      </c>
      <c r="W38" s="8">
        <v>1.0</v>
      </c>
      <c r="X38" s="8">
        <v>1.0</v>
      </c>
      <c r="Y38" s="8">
        <v>1.0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ht="22.5" customHeight="1">
      <c r="B39" s="6">
        <v>38.0</v>
      </c>
      <c r="C39" s="6">
        <v>10235.0</v>
      </c>
      <c r="D39" s="6">
        <v>4.02</v>
      </c>
      <c r="E39" s="6">
        <v>-2.68</v>
      </c>
      <c r="F39" s="6">
        <v>10.43</v>
      </c>
      <c r="G39" s="6">
        <v>-0.21</v>
      </c>
      <c r="H39" s="6">
        <v>-0.15</v>
      </c>
      <c r="I39" s="6">
        <v>-0.08</v>
      </c>
      <c r="J39" s="6">
        <v>33.24</v>
      </c>
      <c r="K39" s="7">
        <f t="shared" ref="K39:P39" si="43">abs(D39-D38)/200</f>
        <v>0.012</v>
      </c>
      <c r="L39" s="7">
        <f t="shared" si="43"/>
        <v>0.00295</v>
      </c>
      <c r="M39" s="7">
        <f t="shared" si="43"/>
        <v>0.0003</v>
      </c>
      <c r="N39" s="7">
        <f t="shared" si="43"/>
        <v>0.0019</v>
      </c>
      <c r="O39" s="7">
        <f t="shared" si="43"/>
        <v>0.00155</v>
      </c>
      <c r="P39" s="7">
        <f t="shared" si="43"/>
        <v>0.01085</v>
      </c>
      <c r="Q39" s="7">
        <f t="shared" si="7"/>
        <v>1.832812738</v>
      </c>
      <c r="R39" s="7">
        <f t="shared" si="8"/>
        <v>1.132519419</v>
      </c>
      <c r="S39" s="7">
        <f t="shared" si="2"/>
        <v>1.694681379</v>
      </c>
      <c r="T39" s="7">
        <f t="shared" si="3"/>
        <v>0.2701851217</v>
      </c>
      <c r="U39" s="7">
        <f t="shared" si="4"/>
        <v>1</v>
      </c>
      <c r="V39" s="7">
        <f t="shared" si="5"/>
        <v>1</v>
      </c>
      <c r="W39" s="8">
        <v>1.0</v>
      </c>
      <c r="X39" s="8">
        <v>1.0</v>
      </c>
      <c r="Y39" s="8">
        <v>1.0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ht="22.5" customHeight="1">
      <c r="B40" s="6">
        <v>39.0</v>
      </c>
      <c r="C40" s="6">
        <v>10439.0</v>
      </c>
      <c r="D40" s="6">
        <v>0.89</v>
      </c>
      <c r="E40" s="6">
        <v>0.75</v>
      </c>
      <c r="F40" s="6">
        <v>10.32</v>
      </c>
      <c r="G40" s="6">
        <v>-0.37</v>
      </c>
      <c r="H40" s="6">
        <v>0.09</v>
      </c>
      <c r="I40" s="6">
        <v>-1.82</v>
      </c>
      <c r="J40" s="6">
        <v>33.24</v>
      </c>
      <c r="K40" s="7">
        <f t="shared" ref="K40:P40" si="44">abs(D40-D39)/200</f>
        <v>0.01565</v>
      </c>
      <c r="L40" s="7">
        <f t="shared" si="44"/>
        <v>0.01715</v>
      </c>
      <c r="M40" s="7">
        <f t="shared" si="44"/>
        <v>0.00055</v>
      </c>
      <c r="N40" s="7">
        <f t="shared" si="44"/>
        <v>0.0008</v>
      </c>
      <c r="O40" s="7">
        <f t="shared" si="44"/>
        <v>0.0012</v>
      </c>
      <c r="P40" s="7">
        <f t="shared" si="44"/>
        <v>0.0087</v>
      </c>
      <c r="Q40" s="7">
        <f t="shared" si="7"/>
        <v>1.589223386</v>
      </c>
      <c r="R40" s="7">
        <f t="shared" si="8"/>
        <v>1.109258903</v>
      </c>
      <c r="S40" s="7">
        <f t="shared" si="2"/>
        <v>0.5854224758</v>
      </c>
      <c r="T40" s="7">
        <f t="shared" si="3"/>
        <v>1.859408508</v>
      </c>
      <c r="U40" s="7">
        <f t="shared" si="4"/>
        <v>1</v>
      </c>
      <c r="V40" s="7">
        <f t="shared" si="5"/>
        <v>1</v>
      </c>
      <c r="W40" s="8">
        <v>1.0</v>
      </c>
      <c r="X40" s="8">
        <v>1.0</v>
      </c>
      <c r="Y40" s="8">
        <v>1.0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ht="22.5" customHeight="1">
      <c r="B41" s="6">
        <v>40.0</v>
      </c>
      <c r="C41" s="6">
        <v>10643.0</v>
      </c>
      <c r="D41" s="6">
        <v>-3.06</v>
      </c>
      <c r="E41" s="6">
        <v>3.21</v>
      </c>
      <c r="F41" s="6">
        <v>11.07</v>
      </c>
      <c r="G41" s="6">
        <v>0.03</v>
      </c>
      <c r="H41" s="6">
        <v>0.02</v>
      </c>
      <c r="I41" s="6">
        <v>-0.07</v>
      </c>
      <c r="J41" s="6">
        <v>33.24</v>
      </c>
      <c r="K41" s="7">
        <f t="shared" ref="K41:P41" si="45">abs(D41-D40)/200</f>
        <v>0.01975</v>
      </c>
      <c r="L41" s="7">
        <f t="shared" si="45"/>
        <v>0.0123</v>
      </c>
      <c r="M41" s="7">
        <f t="shared" si="45"/>
        <v>0.00375</v>
      </c>
      <c r="N41" s="7">
        <f t="shared" si="45"/>
        <v>0.002</v>
      </c>
      <c r="O41" s="7">
        <f t="shared" si="45"/>
        <v>0.00035</v>
      </c>
      <c r="P41" s="7">
        <f t="shared" si="45"/>
        <v>0.00875</v>
      </c>
      <c r="Q41" s="7">
        <f t="shared" si="7"/>
        <v>1.780668429</v>
      </c>
      <c r="R41" s="7">
        <f t="shared" si="8"/>
        <v>1.539869973</v>
      </c>
      <c r="S41" s="7">
        <f t="shared" si="2"/>
        <v>2.125292449</v>
      </c>
      <c r="T41" s="7">
        <f t="shared" si="3"/>
        <v>0.07874007874</v>
      </c>
      <c r="U41" s="7">
        <f t="shared" si="4"/>
        <v>1</v>
      </c>
      <c r="V41" s="7">
        <f t="shared" si="5"/>
        <v>1</v>
      </c>
      <c r="W41" s="8">
        <v>1.0</v>
      </c>
      <c r="X41" s="8">
        <v>1.0</v>
      </c>
      <c r="Y41" s="8">
        <v>1.0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ht="22.5" customHeight="1">
      <c r="B42" s="6">
        <v>41.0</v>
      </c>
      <c r="C42" s="6">
        <v>10847.0</v>
      </c>
      <c r="D42" s="6">
        <v>6.84</v>
      </c>
      <c r="E42" s="6">
        <v>-3.73</v>
      </c>
      <c r="F42" s="6">
        <v>10.41</v>
      </c>
      <c r="G42" s="6">
        <v>0.21</v>
      </c>
      <c r="H42" s="6">
        <v>0.19</v>
      </c>
      <c r="I42" s="6">
        <v>2.33</v>
      </c>
      <c r="J42" s="6">
        <v>33.24</v>
      </c>
      <c r="K42" s="7">
        <f t="shared" ref="K42:P42" si="46">abs(D42-D41)/200</f>
        <v>0.0495</v>
      </c>
      <c r="L42" s="7">
        <f t="shared" si="46"/>
        <v>0.0347</v>
      </c>
      <c r="M42" s="7">
        <f t="shared" si="46"/>
        <v>0.0033</v>
      </c>
      <c r="N42" s="7">
        <f t="shared" si="46"/>
        <v>0.0009</v>
      </c>
      <c r="O42" s="7">
        <f t="shared" si="46"/>
        <v>0.00085</v>
      </c>
      <c r="P42" s="7">
        <f t="shared" si="46"/>
        <v>0.012</v>
      </c>
      <c r="Q42" s="7">
        <f t="shared" si="7"/>
        <v>2.268407126</v>
      </c>
      <c r="R42" s="7">
        <f t="shared" si="8"/>
        <v>1.077268837</v>
      </c>
      <c r="S42" s="7">
        <f t="shared" si="2"/>
        <v>3.202561286</v>
      </c>
      <c r="T42" s="7">
        <f t="shared" si="3"/>
        <v>2.347147205</v>
      </c>
      <c r="U42" s="7">
        <f t="shared" si="4"/>
        <v>1</v>
      </c>
      <c r="V42" s="7">
        <f t="shared" si="5"/>
        <v>1</v>
      </c>
      <c r="W42" s="8">
        <v>1.0</v>
      </c>
      <c r="X42" s="8">
        <v>1.0</v>
      </c>
      <c r="Y42" s="8">
        <v>1.0</v>
      </c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ht="22.5" customHeight="1">
      <c r="B43" s="6">
        <v>42.0</v>
      </c>
      <c r="C43" s="6">
        <v>11051.0</v>
      </c>
      <c r="D43" s="6">
        <v>4.98</v>
      </c>
      <c r="E43" s="6">
        <v>-3.84</v>
      </c>
      <c r="F43" s="6">
        <v>10.47</v>
      </c>
      <c r="G43" s="6">
        <v>-0.31</v>
      </c>
      <c r="H43" s="6">
        <v>-0.21</v>
      </c>
      <c r="I43" s="6">
        <v>-0.78</v>
      </c>
      <c r="J43" s="6">
        <v>33.24</v>
      </c>
      <c r="K43" s="7">
        <f t="shared" ref="K43:P43" si="47">abs(D43-D42)/200</f>
        <v>0.0093</v>
      </c>
      <c r="L43" s="7">
        <f t="shared" si="47"/>
        <v>0.00055</v>
      </c>
      <c r="M43" s="7">
        <f t="shared" si="47"/>
        <v>0.0003</v>
      </c>
      <c r="N43" s="7">
        <f t="shared" si="47"/>
        <v>0.0026</v>
      </c>
      <c r="O43" s="7">
        <f t="shared" si="47"/>
        <v>0.002</v>
      </c>
      <c r="P43" s="7">
        <f t="shared" si="47"/>
        <v>0.01555</v>
      </c>
      <c r="Q43" s="7">
        <f t="shared" si="7"/>
        <v>1.481930469</v>
      </c>
      <c r="R43" s="7">
        <f t="shared" si="8"/>
        <v>0.7891710934</v>
      </c>
      <c r="S43" s="7">
        <f t="shared" si="2"/>
        <v>2.413390193</v>
      </c>
      <c r="T43" s="7">
        <f t="shared" si="3"/>
        <v>0.8652167359</v>
      </c>
      <c r="U43" s="7">
        <f t="shared" si="4"/>
        <v>1</v>
      </c>
      <c r="V43" s="7">
        <f t="shared" si="5"/>
        <v>1</v>
      </c>
      <c r="W43" s="8">
        <v>1.0</v>
      </c>
      <c r="X43" s="8">
        <v>1.0</v>
      </c>
      <c r="Y43" s="8">
        <v>1.0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ht="22.5" customHeight="1">
      <c r="B44" s="6">
        <v>43.0</v>
      </c>
      <c r="C44" s="6">
        <v>11255.0</v>
      </c>
      <c r="D44" s="6">
        <v>-1.18</v>
      </c>
      <c r="E44" s="6">
        <v>1.28</v>
      </c>
      <c r="F44" s="6">
        <v>10.92</v>
      </c>
      <c r="G44" s="6">
        <v>-0.4</v>
      </c>
      <c r="H44" s="6">
        <v>0.06</v>
      </c>
      <c r="I44" s="6">
        <v>-1.61</v>
      </c>
      <c r="J44" s="6">
        <v>33.25</v>
      </c>
      <c r="K44" s="7">
        <f t="shared" ref="K44:P44" si="48">abs(D44-D43)/200</f>
        <v>0.0308</v>
      </c>
      <c r="L44" s="7">
        <f t="shared" si="48"/>
        <v>0.0256</v>
      </c>
      <c r="M44" s="7">
        <f t="shared" si="48"/>
        <v>0.00225</v>
      </c>
      <c r="N44" s="7">
        <f t="shared" si="48"/>
        <v>0.00045</v>
      </c>
      <c r="O44" s="7">
        <f t="shared" si="48"/>
        <v>0.00135</v>
      </c>
      <c r="P44" s="7">
        <f t="shared" si="48"/>
        <v>0.00415</v>
      </c>
      <c r="Q44" s="7">
        <f t="shared" si="7"/>
        <v>0.7948133844</v>
      </c>
      <c r="R44" s="7">
        <f t="shared" si="8"/>
        <v>1.155488041</v>
      </c>
      <c r="S44" s="7">
        <f t="shared" si="2"/>
        <v>1.257902152</v>
      </c>
      <c r="T44" s="7">
        <f t="shared" si="3"/>
        <v>1.66003012</v>
      </c>
      <c r="U44" s="7">
        <f t="shared" si="4"/>
        <v>1</v>
      </c>
      <c r="V44" s="7">
        <f t="shared" si="5"/>
        <v>1</v>
      </c>
      <c r="W44" s="8">
        <v>1.0</v>
      </c>
      <c r="X44" s="8">
        <v>1.0</v>
      </c>
      <c r="Y44" s="8">
        <v>1.0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ht="22.5" customHeight="1">
      <c r="B45" s="6">
        <v>44.0</v>
      </c>
      <c r="C45" s="6">
        <v>11459.0</v>
      </c>
      <c r="D45" s="6">
        <v>-1.98</v>
      </c>
      <c r="E45" s="6">
        <v>3.47</v>
      </c>
      <c r="F45" s="6">
        <v>10.92</v>
      </c>
      <c r="G45" s="6">
        <v>-0.01</v>
      </c>
      <c r="H45" s="6">
        <v>0.01</v>
      </c>
      <c r="I45" s="6">
        <v>0.06</v>
      </c>
      <c r="J45" s="6">
        <v>33.25</v>
      </c>
      <c r="K45" s="7">
        <f t="shared" ref="K45:P45" si="49">abs(D45-D44)/200</f>
        <v>0.004</v>
      </c>
      <c r="L45" s="7">
        <f t="shared" si="49"/>
        <v>0.01095</v>
      </c>
      <c r="M45" s="7">
        <f t="shared" si="49"/>
        <v>0</v>
      </c>
      <c r="N45" s="7">
        <f t="shared" si="49"/>
        <v>0.00195</v>
      </c>
      <c r="O45" s="7">
        <f t="shared" si="49"/>
        <v>0.00025</v>
      </c>
      <c r="P45" s="7">
        <f t="shared" si="49"/>
        <v>0.00835</v>
      </c>
      <c r="Q45" s="7">
        <f t="shared" si="7"/>
        <v>1.59838598</v>
      </c>
      <c r="R45" s="7">
        <f t="shared" si="8"/>
        <v>0.5699824365</v>
      </c>
      <c r="S45" s="7">
        <f t="shared" si="2"/>
        <v>1.827884588</v>
      </c>
      <c r="T45" s="7">
        <f t="shared" si="3"/>
        <v>0.06164414003</v>
      </c>
      <c r="U45" s="7">
        <f t="shared" si="4"/>
        <v>1</v>
      </c>
      <c r="V45" s="7">
        <f t="shared" si="5"/>
        <v>1</v>
      </c>
      <c r="W45" s="8">
        <v>1.0</v>
      </c>
      <c r="X45" s="8">
        <v>1.0</v>
      </c>
      <c r="Y45" s="8">
        <v>1.0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ht="22.5" customHeight="1">
      <c r="B46" s="6">
        <v>45.0</v>
      </c>
      <c r="C46" s="6">
        <v>11663.0</v>
      </c>
      <c r="D46" s="6">
        <v>4.18</v>
      </c>
      <c r="E46" s="6">
        <v>-4.02</v>
      </c>
      <c r="F46" s="6">
        <v>10.96</v>
      </c>
      <c r="G46" s="6">
        <v>0.14</v>
      </c>
      <c r="H46" s="6">
        <v>0.14</v>
      </c>
      <c r="I46" s="6">
        <v>2.48</v>
      </c>
      <c r="J46" s="6">
        <v>33.24</v>
      </c>
      <c r="K46" s="7">
        <f t="shared" ref="K46:P46" si="50">abs(D46-D45)/200</f>
        <v>0.0308</v>
      </c>
      <c r="L46" s="7">
        <f t="shared" si="50"/>
        <v>0.03745</v>
      </c>
      <c r="M46" s="7">
        <f t="shared" si="50"/>
        <v>0.0002</v>
      </c>
      <c r="N46" s="7">
        <f t="shared" si="50"/>
        <v>0.00075</v>
      </c>
      <c r="O46" s="7">
        <f t="shared" si="50"/>
        <v>0.00065</v>
      </c>
      <c r="P46" s="7">
        <f t="shared" si="50"/>
        <v>0.0121</v>
      </c>
      <c r="Q46" s="7">
        <f t="shared" si="7"/>
        <v>2.426246533</v>
      </c>
      <c r="R46" s="7">
        <f t="shared" si="8"/>
        <v>0.7718896031</v>
      </c>
      <c r="S46" s="7">
        <f t="shared" si="2"/>
        <v>2.599774191</v>
      </c>
      <c r="T46" s="7">
        <f t="shared" si="3"/>
        <v>2.487890673</v>
      </c>
      <c r="U46" s="7">
        <f t="shared" si="4"/>
        <v>1</v>
      </c>
      <c r="V46" s="7">
        <f t="shared" si="5"/>
        <v>1</v>
      </c>
      <c r="W46" s="8">
        <v>1.0</v>
      </c>
      <c r="X46" s="8">
        <v>1.0</v>
      </c>
      <c r="Y46" s="8">
        <v>1.0</v>
      </c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ht="22.5" customHeight="1">
      <c r="B47" s="6">
        <v>46.0</v>
      </c>
      <c r="C47" s="6">
        <v>11867.0</v>
      </c>
      <c r="D47" s="6">
        <v>5.5</v>
      </c>
      <c r="E47" s="6">
        <v>-3.13</v>
      </c>
      <c r="F47" s="6">
        <v>10.39</v>
      </c>
      <c r="G47" s="6">
        <v>-0.21</v>
      </c>
      <c r="H47" s="6">
        <v>-0.33</v>
      </c>
      <c r="I47" s="6">
        <v>0.07</v>
      </c>
      <c r="J47" s="6">
        <v>33.25</v>
      </c>
      <c r="K47" s="7">
        <f t="shared" ref="K47:P47" si="51">abs(D47-D46)/200</f>
        <v>0.0066</v>
      </c>
      <c r="L47" s="7">
        <f t="shared" si="51"/>
        <v>0.00445</v>
      </c>
      <c r="M47" s="7">
        <f t="shared" si="51"/>
        <v>0.00285</v>
      </c>
      <c r="N47" s="7">
        <f t="shared" si="51"/>
        <v>0.00175</v>
      </c>
      <c r="O47" s="7">
        <f t="shared" si="51"/>
        <v>0.00235</v>
      </c>
      <c r="P47" s="7">
        <f t="shared" si="51"/>
        <v>0.01205</v>
      </c>
      <c r="Q47" s="7">
        <f t="shared" si="7"/>
        <v>2.090524343</v>
      </c>
      <c r="R47" s="7">
        <f t="shared" si="8"/>
        <v>0.2342902307</v>
      </c>
      <c r="S47" s="7">
        <f t="shared" si="2"/>
        <v>2.365483961</v>
      </c>
      <c r="T47" s="7">
        <f t="shared" si="3"/>
        <v>0.3973663297</v>
      </c>
      <c r="U47" s="7">
        <f t="shared" si="4"/>
        <v>1</v>
      </c>
      <c r="V47" s="7">
        <f t="shared" si="5"/>
        <v>1</v>
      </c>
      <c r="W47" s="8">
        <v>1.0</v>
      </c>
      <c r="X47" s="8">
        <v>1.0</v>
      </c>
      <c r="Y47" s="8">
        <v>1.0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ht="22.5" customHeight="1">
      <c r="B48" s="6">
        <v>47.0</v>
      </c>
      <c r="C48" s="6">
        <v>12071.0</v>
      </c>
      <c r="D48" s="6">
        <v>-1.17</v>
      </c>
      <c r="E48" s="6">
        <v>1.06</v>
      </c>
      <c r="F48" s="6">
        <v>11.22</v>
      </c>
      <c r="G48" s="6">
        <v>-0.53</v>
      </c>
      <c r="H48" s="6">
        <v>0.16</v>
      </c>
      <c r="I48" s="6">
        <v>-2.3</v>
      </c>
      <c r="J48" s="6">
        <v>33.25</v>
      </c>
      <c r="K48" s="7">
        <f t="shared" ref="K48:P48" si="52">abs(D48-D47)/200</f>
        <v>0.03335</v>
      </c>
      <c r="L48" s="7">
        <f t="shared" si="52"/>
        <v>0.02095</v>
      </c>
      <c r="M48" s="7">
        <f t="shared" si="52"/>
        <v>0.00415</v>
      </c>
      <c r="N48" s="7">
        <f t="shared" si="52"/>
        <v>0.0016</v>
      </c>
      <c r="O48" s="7">
        <f t="shared" si="52"/>
        <v>0.00245</v>
      </c>
      <c r="P48" s="7">
        <f t="shared" si="52"/>
        <v>0.01185</v>
      </c>
      <c r="Q48" s="7">
        <f t="shared" si="7"/>
        <v>1.968325958</v>
      </c>
      <c r="R48" s="7">
        <f t="shared" si="8"/>
        <v>0.8349544056</v>
      </c>
      <c r="S48" s="7">
        <f t="shared" si="2"/>
        <v>1.530529555</v>
      </c>
      <c r="T48" s="7">
        <f t="shared" si="3"/>
        <v>2.365692288</v>
      </c>
      <c r="U48" s="7">
        <f t="shared" si="4"/>
        <v>1</v>
      </c>
      <c r="V48" s="7">
        <f t="shared" si="5"/>
        <v>1</v>
      </c>
      <c r="W48" s="8">
        <v>1.0</v>
      </c>
      <c r="X48" s="8">
        <v>1.0</v>
      </c>
      <c r="Y48" s="8">
        <v>1.0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ht="22.5" customHeight="1">
      <c r="B49" s="6">
        <v>48.0</v>
      </c>
      <c r="C49" s="6">
        <v>275.0</v>
      </c>
      <c r="D49" s="6">
        <v>-3.57</v>
      </c>
      <c r="E49" s="6">
        <v>2.74</v>
      </c>
      <c r="F49" s="6">
        <v>11.45</v>
      </c>
      <c r="G49" s="6">
        <v>-0.04</v>
      </c>
      <c r="H49" s="6">
        <v>0.05</v>
      </c>
      <c r="I49" s="6">
        <v>-0.48</v>
      </c>
      <c r="J49" s="6">
        <v>33.25</v>
      </c>
      <c r="K49" s="7">
        <f t="shared" ref="K49:P49" si="53">abs(D49-D48)/200</f>
        <v>0.012</v>
      </c>
      <c r="L49" s="7">
        <f t="shared" si="53"/>
        <v>0.0084</v>
      </c>
      <c r="M49" s="7">
        <f t="shared" si="53"/>
        <v>0.00115</v>
      </c>
      <c r="N49" s="7">
        <f t="shared" si="53"/>
        <v>0.00245</v>
      </c>
      <c r="O49" s="7">
        <f t="shared" si="53"/>
        <v>0.00055</v>
      </c>
      <c r="P49" s="7">
        <f t="shared" si="53"/>
        <v>0.0091</v>
      </c>
      <c r="Q49" s="7">
        <f t="shared" si="7"/>
        <v>1.881440287</v>
      </c>
      <c r="R49" s="7">
        <f t="shared" si="8"/>
        <v>0.9721124375</v>
      </c>
      <c r="S49" s="7">
        <f t="shared" si="2"/>
        <v>2.502641993</v>
      </c>
      <c r="T49" s="7">
        <f t="shared" si="3"/>
        <v>0.4842520005</v>
      </c>
      <c r="U49" s="7">
        <f t="shared" si="4"/>
        <v>1</v>
      </c>
      <c r="V49" s="7">
        <f t="shared" si="5"/>
        <v>1</v>
      </c>
      <c r="W49" s="8">
        <v>1.0</v>
      </c>
      <c r="X49" s="8">
        <v>1.0</v>
      </c>
      <c r="Y49" s="8">
        <v>1.0</v>
      </c>
      <c r="Z49" s="7"/>
      <c r="AA49" s="7"/>
      <c r="AB49" s="7"/>
      <c r="AC49" s="6"/>
      <c r="AD49" s="7"/>
      <c r="AE49" s="7"/>
      <c r="AF49" s="7"/>
      <c r="AG49" s="7"/>
      <c r="AH49" s="7"/>
      <c r="AI49" s="7"/>
      <c r="AJ49" s="7"/>
      <c r="AK49" s="7"/>
      <c r="AL49" s="7"/>
    </row>
    <row r="50" ht="22.5" customHeight="1">
      <c r="B50" s="6">
        <v>49.0</v>
      </c>
      <c r="C50" s="6">
        <v>12479.0</v>
      </c>
      <c r="D50" s="6">
        <v>6.91</v>
      </c>
      <c r="E50" s="6">
        <v>-3.65</v>
      </c>
      <c r="F50" s="6">
        <v>10.17</v>
      </c>
      <c r="G50" s="6">
        <v>0.18</v>
      </c>
      <c r="H50" s="6">
        <v>0.06</v>
      </c>
      <c r="I50" s="6">
        <v>2.63</v>
      </c>
      <c r="J50" s="6">
        <v>33.25</v>
      </c>
      <c r="K50" s="7">
        <f t="shared" ref="K50:P50" si="54">abs(D50-D49)/200</f>
        <v>0.0524</v>
      </c>
      <c r="L50" s="7">
        <f t="shared" si="54"/>
        <v>0.03195</v>
      </c>
      <c r="M50" s="7">
        <f t="shared" si="54"/>
        <v>0.0064</v>
      </c>
      <c r="N50" s="7">
        <f t="shared" si="54"/>
        <v>0.0011</v>
      </c>
      <c r="O50" s="7">
        <f t="shared" si="54"/>
        <v>0.00005</v>
      </c>
      <c r="P50" s="7">
        <f t="shared" si="54"/>
        <v>0.01555</v>
      </c>
      <c r="Q50" s="7">
        <f t="shared" si="7"/>
        <v>2.152583224</v>
      </c>
      <c r="R50" s="7">
        <f t="shared" si="8"/>
        <v>0.5230938537</v>
      </c>
      <c r="S50" s="7">
        <f t="shared" si="2"/>
        <v>3.025735846</v>
      </c>
      <c r="T50" s="7">
        <f t="shared" si="3"/>
        <v>2.636835224</v>
      </c>
      <c r="U50" s="7">
        <f t="shared" si="4"/>
        <v>1</v>
      </c>
      <c r="V50" s="7">
        <f t="shared" si="5"/>
        <v>1</v>
      </c>
      <c r="W50" s="8">
        <v>1.0</v>
      </c>
      <c r="X50" s="8">
        <v>1.0</v>
      </c>
      <c r="Y50" s="8">
        <v>1.0</v>
      </c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ht="22.5" customHeight="1">
      <c r="B51" s="6">
        <v>50.0</v>
      </c>
      <c r="C51" s="6">
        <v>12683.0</v>
      </c>
      <c r="D51" s="6">
        <v>4.84</v>
      </c>
      <c r="E51" s="6">
        <v>-3.62</v>
      </c>
      <c r="F51" s="6">
        <v>10.29</v>
      </c>
      <c r="G51" s="6">
        <v>-0.23</v>
      </c>
      <c r="H51" s="6">
        <v>-0.08</v>
      </c>
      <c r="I51" s="6">
        <v>-0.29</v>
      </c>
      <c r="J51" s="6">
        <v>33.25</v>
      </c>
      <c r="K51" s="7">
        <f t="shared" ref="K51:P51" si="55">abs(D51-D50)/200</f>
        <v>0.01035</v>
      </c>
      <c r="L51" s="7">
        <f t="shared" si="55"/>
        <v>0.00015</v>
      </c>
      <c r="M51" s="7">
        <f t="shared" si="55"/>
        <v>0.0006</v>
      </c>
      <c r="N51" s="7">
        <f t="shared" si="55"/>
        <v>0.00205</v>
      </c>
      <c r="O51" s="7">
        <f t="shared" si="55"/>
        <v>0.0007</v>
      </c>
      <c r="P51" s="7">
        <f t="shared" si="55"/>
        <v>0.0146</v>
      </c>
      <c r="Q51" s="7">
        <f t="shared" si="7"/>
        <v>2.2581533</v>
      </c>
      <c r="R51" s="7">
        <f t="shared" si="8"/>
        <v>0.8919979575</v>
      </c>
      <c r="S51" s="7">
        <f t="shared" si="2"/>
        <v>2.133737889</v>
      </c>
      <c r="T51" s="7">
        <f t="shared" si="3"/>
        <v>0.3786819246</v>
      </c>
      <c r="U51" s="7">
        <f t="shared" si="4"/>
        <v>1</v>
      </c>
      <c r="V51" s="7">
        <f t="shared" si="5"/>
        <v>1</v>
      </c>
      <c r="W51" s="8">
        <v>1.0</v>
      </c>
      <c r="X51" s="8">
        <v>1.0</v>
      </c>
      <c r="Y51" s="8">
        <v>1.0</v>
      </c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ht="22.5" customHeight="1">
      <c r="B52" s="6">
        <v>51.0</v>
      </c>
      <c r="C52" s="6">
        <v>12887.0</v>
      </c>
      <c r="D52" s="6">
        <v>-1.29</v>
      </c>
      <c r="E52" s="6">
        <v>1.33</v>
      </c>
      <c r="F52" s="6">
        <v>10.37</v>
      </c>
      <c r="G52" s="6">
        <v>-0.45</v>
      </c>
      <c r="H52" s="6">
        <v>0.13</v>
      </c>
      <c r="I52" s="6">
        <v>-1.99</v>
      </c>
      <c r="J52" s="6">
        <v>33.25</v>
      </c>
      <c r="K52" s="7">
        <f t="shared" ref="K52:P52" si="56">abs(D52-D51)/200</f>
        <v>0.03065</v>
      </c>
      <c r="L52" s="7">
        <f t="shared" si="56"/>
        <v>0.02475</v>
      </c>
      <c r="M52" s="7">
        <f t="shared" si="56"/>
        <v>0.0004</v>
      </c>
      <c r="N52" s="7">
        <f t="shared" si="56"/>
        <v>0.0011</v>
      </c>
      <c r="O52" s="7">
        <f t="shared" si="56"/>
        <v>0.00105</v>
      </c>
      <c r="P52" s="7">
        <f t="shared" si="56"/>
        <v>0.0085</v>
      </c>
      <c r="Q52" s="7">
        <f t="shared" si="7"/>
        <v>1.665700623</v>
      </c>
      <c r="R52" s="7">
        <f t="shared" si="8"/>
        <v>1.399512716</v>
      </c>
      <c r="S52" s="7">
        <f t="shared" si="2"/>
        <v>0.7342251732</v>
      </c>
      <c r="T52" s="7">
        <f t="shared" si="3"/>
        <v>2.044382547</v>
      </c>
      <c r="U52" s="7">
        <f t="shared" si="4"/>
        <v>1</v>
      </c>
      <c r="V52" s="7">
        <f t="shared" si="5"/>
        <v>1</v>
      </c>
      <c r="W52" s="8">
        <v>1.0</v>
      </c>
      <c r="X52" s="8">
        <v>1.0</v>
      </c>
      <c r="Y52" s="8">
        <v>1.0</v>
      </c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ht="22.5" customHeight="1">
      <c r="B53" s="6">
        <v>52.0</v>
      </c>
      <c r="C53" s="6">
        <v>13091.0</v>
      </c>
      <c r="D53" s="6">
        <v>-3.1</v>
      </c>
      <c r="E53" s="6">
        <v>2.27</v>
      </c>
      <c r="F53" s="6">
        <v>11.05</v>
      </c>
      <c r="G53" s="6">
        <v>0.06</v>
      </c>
      <c r="H53" s="6">
        <v>-0.06</v>
      </c>
      <c r="I53" s="6">
        <v>0.3</v>
      </c>
      <c r="J53" s="6">
        <v>33.26</v>
      </c>
      <c r="K53" s="7">
        <f t="shared" ref="K53:P53" si="57">abs(D53-D52)/200</f>
        <v>0.00905</v>
      </c>
      <c r="L53" s="7">
        <f t="shared" si="57"/>
        <v>0.0047</v>
      </c>
      <c r="M53" s="7">
        <f t="shared" si="57"/>
        <v>0.0034</v>
      </c>
      <c r="N53" s="7">
        <f t="shared" si="57"/>
        <v>0.00255</v>
      </c>
      <c r="O53" s="7">
        <f t="shared" si="57"/>
        <v>0.00095</v>
      </c>
      <c r="P53" s="7">
        <f t="shared" si="57"/>
        <v>0.01145</v>
      </c>
      <c r="Q53" s="7">
        <f t="shared" si="7"/>
        <v>1.732613402</v>
      </c>
      <c r="R53" s="7">
        <f t="shared" si="8"/>
        <v>1.164723497</v>
      </c>
      <c r="S53" s="7">
        <f t="shared" si="2"/>
        <v>1.898948671</v>
      </c>
      <c r="T53" s="7">
        <f t="shared" si="3"/>
        <v>0.3117691454</v>
      </c>
      <c r="U53" s="7">
        <f t="shared" si="4"/>
        <v>1</v>
      </c>
      <c r="V53" s="7">
        <f t="shared" si="5"/>
        <v>1</v>
      </c>
      <c r="W53" s="8">
        <v>1.0</v>
      </c>
      <c r="X53" s="8">
        <v>1.0</v>
      </c>
      <c r="Y53" s="8">
        <v>1.0</v>
      </c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ht="22.5" customHeight="1">
      <c r="B54" s="6">
        <v>53.0</v>
      </c>
      <c r="C54" s="6">
        <v>13295.0</v>
      </c>
      <c r="D54" s="6">
        <v>6.76</v>
      </c>
      <c r="E54" s="6">
        <v>-3.21</v>
      </c>
      <c r="F54" s="6">
        <v>10.44</v>
      </c>
      <c r="G54" s="6">
        <v>0.16</v>
      </c>
      <c r="H54" s="6">
        <v>0.12</v>
      </c>
      <c r="I54" s="6">
        <v>2.23</v>
      </c>
      <c r="J54" s="6">
        <v>33.25</v>
      </c>
      <c r="K54" s="7">
        <f t="shared" ref="K54:P54" si="58">abs(D54-D53)/200</f>
        <v>0.0493</v>
      </c>
      <c r="L54" s="7">
        <f t="shared" si="58"/>
        <v>0.0274</v>
      </c>
      <c r="M54" s="7">
        <f t="shared" si="58"/>
        <v>0.00305</v>
      </c>
      <c r="N54" s="7">
        <f t="shared" si="58"/>
        <v>0.0005</v>
      </c>
      <c r="O54" s="7">
        <f t="shared" si="58"/>
        <v>0.0009</v>
      </c>
      <c r="P54" s="7">
        <f t="shared" si="58"/>
        <v>0.00965</v>
      </c>
      <c r="Q54" s="7">
        <f t="shared" si="7"/>
        <v>1.927181502</v>
      </c>
      <c r="R54" s="7">
        <f t="shared" si="8"/>
        <v>1.146100959</v>
      </c>
      <c r="S54" s="7">
        <f t="shared" si="2"/>
        <v>3.04504963</v>
      </c>
      <c r="T54" s="7">
        <f t="shared" si="3"/>
        <v>2.238950647</v>
      </c>
      <c r="U54" s="7">
        <f t="shared" si="4"/>
        <v>1</v>
      </c>
      <c r="V54" s="7">
        <f t="shared" si="5"/>
        <v>1</v>
      </c>
      <c r="W54" s="8">
        <v>1.0</v>
      </c>
      <c r="X54" s="8">
        <v>1.0</v>
      </c>
      <c r="Y54" s="8">
        <v>1.0</v>
      </c>
      <c r="Z54" s="7"/>
      <c r="AA54" s="7"/>
      <c r="AB54" s="7"/>
      <c r="AC54" s="8"/>
      <c r="AD54" s="7"/>
      <c r="AE54" s="7"/>
      <c r="AF54" s="7"/>
      <c r="AG54" s="7"/>
      <c r="AH54" s="7"/>
      <c r="AI54" s="7"/>
      <c r="AJ54" s="7"/>
      <c r="AK54" s="7"/>
      <c r="AL54" s="7"/>
    </row>
    <row r="55" ht="22.5" customHeight="1">
      <c r="B55" s="6">
        <v>54.0</v>
      </c>
      <c r="C55" s="6">
        <v>13499.0</v>
      </c>
      <c r="D55" s="6">
        <v>4.44</v>
      </c>
      <c r="E55" s="6">
        <v>-2.42</v>
      </c>
      <c r="F55" s="6">
        <v>10.42</v>
      </c>
      <c r="G55" s="6">
        <v>-0.24</v>
      </c>
      <c r="H55" s="6">
        <v>-0.11</v>
      </c>
      <c r="I55" s="6">
        <v>-0.83</v>
      </c>
      <c r="J55" s="6">
        <v>33.26</v>
      </c>
      <c r="K55" s="7">
        <f t="shared" ref="K55:P55" si="59">abs(D55-D54)/200</f>
        <v>0.0116</v>
      </c>
      <c r="L55" s="7">
        <f t="shared" si="59"/>
        <v>0.00395</v>
      </c>
      <c r="M55" s="7">
        <f t="shared" si="59"/>
        <v>0.0001</v>
      </c>
      <c r="N55" s="7">
        <f t="shared" si="59"/>
        <v>0.002</v>
      </c>
      <c r="O55" s="7">
        <f t="shared" si="59"/>
        <v>0.00115</v>
      </c>
      <c r="P55" s="7">
        <f t="shared" si="59"/>
        <v>0.0153</v>
      </c>
      <c r="Q55" s="7">
        <f t="shared" si="7"/>
        <v>1.367974184</v>
      </c>
      <c r="R55" s="7">
        <f t="shared" si="8"/>
        <v>1.262890937</v>
      </c>
      <c r="S55" s="7">
        <f t="shared" si="2"/>
        <v>1.782158693</v>
      </c>
      <c r="T55" s="7">
        <f t="shared" si="3"/>
        <v>0.8709764635</v>
      </c>
      <c r="U55" s="7">
        <f t="shared" si="4"/>
        <v>1</v>
      </c>
      <c r="V55" s="7">
        <f t="shared" si="5"/>
        <v>1</v>
      </c>
      <c r="W55" s="8">
        <v>1.0</v>
      </c>
      <c r="X55" s="8">
        <v>1.0</v>
      </c>
      <c r="Y55" s="8">
        <v>1.0</v>
      </c>
      <c r="Z55" s="7"/>
      <c r="AA55" s="7"/>
      <c r="AB55" s="7"/>
      <c r="AC55" s="8"/>
      <c r="AD55" s="7"/>
      <c r="AE55" s="7"/>
      <c r="AF55" s="7"/>
      <c r="AG55" s="7"/>
      <c r="AH55" s="7"/>
      <c r="AI55" s="7"/>
      <c r="AJ55" s="7"/>
      <c r="AK55" s="7"/>
      <c r="AL55" s="7"/>
    </row>
    <row r="56" ht="22.5" customHeight="1">
      <c r="B56" s="6">
        <v>55.0</v>
      </c>
      <c r="C56" s="6">
        <v>13703.0</v>
      </c>
      <c r="D56" s="6">
        <v>-1.08</v>
      </c>
      <c r="E56" s="6">
        <v>0.07</v>
      </c>
      <c r="F56" s="6">
        <v>11.04</v>
      </c>
      <c r="G56" s="6">
        <v>-0.62</v>
      </c>
      <c r="H56" s="6">
        <v>0.31</v>
      </c>
      <c r="I56" s="6">
        <v>-2.93</v>
      </c>
      <c r="J56" s="6">
        <v>33.26</v>
      </c>
      <c r="K56" s="7">
        <f t="shared" ref="K56:P56" si="60">abs(D56-D55)/200</f>
        <v>0.0276</v>
      </c>
      <c r="L56" s="7">
        <f t="shared" si="60"/>
        <v>0.01245</v>
      </c>
      <c r="M56" s="7">
        <f t="shared" si="60"/>
        <v>0.0031</v>
      </c>
      <c r="N56" s="7">
        <f t="shared" si="60"/>
        <v>0.0019</v>
      </c>
      <c r="O56" s="7">
        <f t="shared" si="60"/>
        <v>0.0021</v>
      </c>
      <c r="P56" s="7">
        <f t="shared" si="60"/>
        <v>0.0105</v>
      </c>
      <c r="Q56" s="7">
        <f t="shared" si="7"/>
        <v>2.139903806</v>
      </c>
      <c r="R56" s="7">
        <f t="shared" si="8"/>
        <v>0.4892375272</v>
      </c>
      <c r="S56" s="7">
        <f t="shared" si="2"/>
        <v>1.292921166</v>
      </c>
      <c r="T56" s="7">
        <f t="shared" si="3"/>
        <v>3.01088027</v>
      </c>
      <c r="U56" s="7">
        <f t="shared" si="4"/>
        <v>1</v>
      </c>
      <c r="V56" s="7">
        <f t="shared" si="5"/>
        <v>1</v>
      </c>
      <c r="W56" s="8">
        <v>1.0</v>
      </c>
      <c r="X56" s="8">
        <v>1.0</v>
      </c>
      <c r="Y56" s="8">
        <v>1.0</v>
      </c>
      <c r="Z56" s="7"/>
      <c r="AA56" s="7"/>
      <c r="AB56" s="7"/>
      <c r="AC56" s="6"/>
      <c r="AD56" s="7"/>
      <c r="AE56" s="7"/>
      <c r="AF56" s="7"/>
      <c r="AG56" s="7"/>
      <c r="AH56" s="7"/>
      <c r="AI56" s="7"/>
      <c r="AJ56" s="7"/>
      <c r="AK56" s="7"/>
      <c r="AL56" s="7"/>
    </row>
    <row r="57" ht="22.5" customHeight="1">
      <c r="B57" s="6">
        <v>56.0</v>
      </c>
      <c r="C57" s="6">
        <v>13907.0</v>
      </c>
      <c r="D57" s="6">
        <v>-2.85</v>
      </c>
      <c r="E57" s="6">
        <v>1.83</v>
      </c>
      <c r="F57" s="6">
        <v>11.28</v>
      </c>
      <c r="G57" s="6">
        <v>0.03</v>
      </c>
      <c r="H57" s="6">
        <v>0.02</v>
      </c>
      <c r="I57" s="6">
        <v>0.26</v>
      </c>
      <c r="J57" s="6">
        <v>33.25</v>
      </c>
      <c r="K57" s="7">
        <f t="shared" ref="K57:P57" si="61">abs(D57-D56)/200</f>
        <v>0.00885</v>
      </c>
      <c r="L57" s="7">
        <f t="shared" si="61"/>
        <v>0.0088</v>
      </c>
      <c r="M57" s="7">
        <f t="shared" si="61"/>
        <v>0.0012</v>
      </c>
      <c r="N57" s="7">
        <f t="shared" si="61"/>
        <v>0.00325</v>
      </c>
      <c r="O57" s="7">
        <f t="shared" si="61"/>
        <v>0.00145</v>
      </c>
      <c r="P57" s="7">
        <f t="shared" si="61"/>
        <v>0.01595</v>
      </c>
      <c r="Q57" s="7">
        <f t="shared" si="7"/>
        <v>2.748392175</v>
      </c>
      <c r="R57" s="7">
        <f t="shared" si="8"/>
        <v>0.6845913046</v>
      </c>
      <c r="S57" s="7">
        <f t="shared" si="2"/>
        <v>1.977512471</v>
      </c>
      <c r="T57" s="7">
        <f t="shared" si="3"/>
        <v>0.262488095</v>
      </c>
      <c r="U57" s="7">
        <f t="shared" si="4"/>
        <v>1</v>
      </c>
      <c r="V57" s="7">
        <f t="shared" si="5"/>
        <v>1</v>
      </c>
      <c r="W57" s="8">
        <v>1.0</v>
      </c>
      <c r="X57" s="8">
        <v>1.0</v>
      </c>
      <c r="Y57" s="8">
        <v>1.0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ht="22.5" customHeight="1">
      <c r="B58" s="6">
        <v>57.0</v>
      </c>
      <c r="C58" s="6">
        <v>14111.0</v>
      </c>
      <c r="D58" s="6">
        <v>3.5</v>
      </c>
      <c r="E58" s="6">
        <v>-2.77</v>
      </c>
      <c r="F58" s="6">
        <v>10.62</v>
      </c>
      <c r="G58" s="6">
        <v>0.19</v>
      </c>
      <c r="H58" s="6">
        <v>0.1</v>
      </c>
      <c r="I58" s="6">
        <v>2.73</v>
      </c>
      <c r="J58" s="6">
        <v>33.25</v>
      </c>
      <c r="K58" s="7">
        <f t="shared" ref="K58:P58" si="62">abs(D58-D57)/200</f>
        <v>0.03175</v>
      </c>
      <c r="L58" s="7">
        <f t="shared" si="62"/>
        <v>0.023</v>
      </c>
      <c r="M58" s="7">
        <f t="shared" si="62"/>
        <v>0.0033</v>
      </c>
      <c r="N58" s="7">
        <f t="shared" si="62"/>
        <v>0.0008</v>
      </c>
      <c r="O58" s="7">
        <f t="shared" si="62"/>
        <v>0.0004</v>
      </c>
      <c r="P58" s="7">
        <f t="shared" si="62"/>
        <v>0.01235</v>
      </c>
      <c r="Q58" s="7">
        <f t="shared" si="7"/>
        <v>2.475942112</v>
      </c>
      <c r="R58" s="7">
        <f t="shared" si="8"/>
        <v>0.2576470202</v>
      </c>
      <c r="S58" s="7">
        <f t="shared" si="2"/>
        <v>1.719865451</v>
      </c>
      <c r="T58" s="7">
        <f t="shared" si="3"/>
        <v>2.738430207</v>
      </c>
      <c r="U58" s="7">
        <f t="shared" si="4"/>
        <v>1</v>
      </c>
      <c r="V58" s="7">
        <f t="shared" si="5"/>
        <v>1</v>
      </c>
      <c r="W58" s="8">
        <v>1.0</v>
      </c>
      <c r="X58" s="8">
        <v>1.0</v>
      </c>
      <c r="Y58" s="8">
        <v>1.0</v>
      </c>
      <c r="Z58" s="7"/>
      <c r="AA58" s="7"/>
      <c r="AB58" s="7"/>
      <c r="AC58" s="8"/>
      <c r="AD58" s="7"/>
      <c r="AE58" s="7"/>
      <c r="AF58" s="7"/>
      <c r="AG58" s="7"/>
      <c r="AH58" s="7"/>
      <c r="AI58" s="7"/>
      <c r="AJ58" s="7"/>
      <c r="AK58" s="7"/>
      <c r="AL58" s="7"/>
    </row>
    <row r="59" ht="22.5" customHeight="1">
      <c r="B59" s="6">
        <v>58.0</v>
      </c>
      <c r="C59" s="6">
        <v>14315.0</v>
      </c>
      <c r="D59" s="6">
        <v>4.19</v>
      </c>
      <c r="E59" s="6">
        <v>-2.56</v>
      </c>
      <c r="F59" s="6">
        <v>10.24</v>
      </c>
      <c r="G59" s="6">
        <v>-0.15</v>
      </c>
      <c r="H59" s="6">
        <v>-0.1</v>
      </c>
      <c r="I59" s="6">
        <v>0.09</v>
      </c>
      <c r="J59" s="6">
        <v>33.26</v>
      </c>
      <c r="K59" s="7">
        <f t="shared" ref="K59:P59" si="63">abs(D59-D58)/200</f>
        <v>0.00345</v>
      </c>
      <c r="L59" s="7">
        <f t="shared" si="63"/>
        <v>0.00105</v>
      </c>
      <c r="M59" s="7">
        <f t="shared" si="63"/>
        <v>0.0019</v>
      </c>
      <c r="N59" s="7">
        <f t="shared" si="63"/>
        <v>0.0017</v>
      </c>
      <c r="O59" s="7">
        <f t="shared" si="63"/>
        <v>0.001</v>
      </c>
      <c r="P59" s="7">
        <f t="shared" si="63"/>
        <v>0.0132</v>
      </c>
      <c r="Q59" s="7">
        <f t="shared" si="7"/>
        <v>2.53693579</v>
      </c>
      <c r="R59" s="7">
        <f t="shared" si="8"/>
        <v>0.1634883875</v>
      </c>
      <c r="S59" s="7">
        <f t="shared" si="2"/>
        <v>1.556377063</v>
      </c>
      <c r="T59" s="7">
        <f t="shared" si="3"/>
        <v>0.2014944168</v>
      </c>
      <c r="U59" s="7">
        <f t="shared" si="4"/>
        <v>1</v>
      </c>
      <c r="V59" s="7">
        <f t="shared" si="5"/>
        <v>1</v>
      </c>
      <c r="W59" s="8">
        <v>1.0</v>
      </c>
      <c r="X59" s="8">
        <v>1.0</v>
      </c>
      <c r="Y59" s="8">
        <v>1.0</v>
      </c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ht="22.5" customHeight="1">
      <c r="B60" s="6">
        <v>59.0</v>
      </c>
      <c r="C60" s="6">
        <v>14519.0</v>
      </c>
      <c r="D60" s="6">
        <v>2.86</v>
      </c>
      <c r="E60" s="6">
        <v>-1.08</v>
      </c>
      <c r="F60" s="6">
        <v>9.54</v>
      </c>
      <c r="G60" s="6">
        <v>-0.42</v>
      </c>
      <c r="H60" s="6">
        <v>0.15</v>
      </c>
      <c r="I60" s="6">
        <v>-2.62</v>
      </c>
      <c r="J60" s="6">
        <v>33.26</v>
      </c>
      <c r="K60" s="7">
        <f t="shared" ref="K60:P60" si="64">abs(D60-D59)/200</f>
        <v>0.00665</v>
      </c>
      <c r="L60" s="7">
        <f t="shared" si="64"/>
        <v>0.0074</v>
      </c>
      <c r="M60" s="7">
        <f t="shared" si="64"/>
        <v>0.0035</v>
      </c>
      <c r="N60" s="7">
        <f t="shared" si="64"/>
        <v>0.00135</v>
      </c>
      <c r="O60" s="7">
        <f t="shared" si="64"/>
        <v>0.00125</v>
      </c>
      <c r="P60" s="7">
        <f t="shared" si="64"/>
        <v>0.01355</v>
      </c>
      <c r="Q60" s="7">
        <f t="shared" si="7"/>
        <v>2.456192547</v>
      </c>
      <c r="R60" s="7">
        <f t="shared" si="8"/>
        <v>1.338513019</v>
      </c>
      <c r="S60" s="7">
        <f t="shared" si="2"/>
        <v>0.2178640438</v>
      </c>
      <c r="T60" s="7">
        <f t="shared" si="3"/>
        <v>2.657686964</v>
      </c>
      <c r="U60" s="7">
        <f t="shared" si="4"/>
        <v>1</v>
      </c>
      <c r="V60" s="7">
        <f t="shared" si="5"/>
        <v>1</v>
      </c>
      <c r="W60" s="8">
        <v>1.0</v>
      </c>
      <c r="X60" s="8">
        <v>1.0</v>
      </c>
      <c r="Y60" s="8">
        <v>1.0</v>
      </c>
      <c r="Z60" s="7"/>
      <c r="AA60" s="7"/>
      <c r="AB60" s="7"/>
      <c r="AC60" s="8"/>
      <c r="AD60" s="7"/>
      <c r="AE60" s="7"/>
      <c r="AF60" s="7"/>
      <c r="AG60" s="7"/>
      <c r="AH60" s="7"/>
      <c r="AI60" s="7"/>
      <c r="AJ60" s="7"/>
      <c r="AK60" s="7"/>
      <c r="AL60" s="7"/>
    </row>
    <row r="61" ht="22.5" customHeight="1">
      <c r="B61" s="6">
        <v>60.0</v>
      </c>
      <c r="C61" s="6">
        <v>14723.0</v>
      </c>
      <c r="D61" s="6">
        <v>-2.33</v>
      </c>
      <c r="E61" s="6">
        <v>2.09</v>
      </c>
      <c r="F61" s="6">
        <v>11.15</v>
      </c>
      <c r="G61" s="6">
        <v>-0.07</v>
      </c>
      <c r="H61" s="6">
        <v>0.09</v>
      </c>
      <c r="I61" s="6">
        <v>0.1</v>
      </c>
      <c r="J61" s="6">
        <v>33.27</v>
      </c>
      <c r="K61" s="7">
        <f t="shared" ref="K61:P61" si="65">abs(D61-D60)/200</f>
        <v>0.02595</v>
      </c>
      <c r="L61" s="7">
        <f t="shared" si="65"/>
        <v>0.01585</v>
      </c>
      <c r="M61" s="7">
        <f t="shared" si="65"/>
        <v>0.00805</v>
      </c>
      <c r="N61" s="7">
        <f t="shared" si="65"/>
        <v>0.00175</v>
      </c>
      <c r="O61" s="7">
        <f t="shared" si="65"/>
        <v>0.0003</v>
      </c>
      <c r="P61" s="7">
        <f t="shared" si="65"/>
        <v>0.0136</v>
      </c>
      <c r="Q61" s="7">
        <f t="shared" si="7"/>
        <v>2.506029455</v>
      </c>
      <c r="R61" s="7">
        <f t="shared" si="8"/>
        <v>1.563133323</v>
      </c>
      <c r="S61" s="7">
        <f t="shared" si="2"/>
        <v>1.780997366</v>
      </c>
      <c r="T61" s="7">
        <f t="shared" si="3"/>
        <v>0.1516575089</v>
      </c>
      <c r="U61" s="7">
        <f t="shared" si="4"/>
        <v>1</v>
      </c>
      <c r="V61" s="7">
        <f t="shared" si="5"/>
        <v>1</v>
      </c>
      <c r="W61" s="8">
        <v>1.0</v>
      </c>
      <c r="X61" s="8">
        <v>1.0</v>
      </c>
      <c r="Y61" s="8">
        <v>1.0</v>
      </c>
      <c r="Z61" s="7"/>
      <c r="AA61" s="7"/>
      <c r="AB61" s="7"/>
      <c r="AC61" s="8"/>
      <c r="AD61" s="7"/>
      <c r="AE61" s="7"/>
      <c r="AF61" s="7"/>
      <c r="AG61" s="7"/>
      <c r="AH61" s="7"/>
      <c r="AI61" s="7"/>
      <c r="AJ61" s="7"/>
      <c r="AK61" s="7"/>
      <c r="AL61" s="7"/>
    </row>
    <row r="62" ht="22.5" customHeight="1">
      <c r="B62" s="6">
        <v>61.0</v>
      </c>
      <c r="C62" s="6">
        <v>14927.0</v>
      </c>
      <c r="D62" s="6">
        <v>1.28</v>
      </c>
      <c r="E62" s="6">
        <v>-0.9</v>
      </c>
      <c r="F62" s="6">
        <v>10.28</v>
      </c>
      <c r="G62" s="6">
        <v>0.16</v>
      </c>
      <c r="H62" s="6">
        <v>-0.04</v>
      </c>
      <c r="I62" s="6">
        <v>2.08</v>
      </c>
      <c r="J62" s="6">
        <v>33.27</v>
      </c>
      <c r="K62" s="7">
        <f t="shared" ref="K62:P62" si="66">abs(D62-D61)/200</f>
        <v>0.01805</v>
      </c>
      <c r="L62" s="7">
        <f t="shared" si="66"/>
        <v>0.01495</v>
      </c>
      <c r="M62" s="7">
        <f t="shared" si="66"/>
        <v>0.00435</v>
      </c>
      <c r="N62" s="7">
        <f t="shared" si="66"/>
        <v>0.00115</v>
      </c>
      <c r="O62" s="7">
        <f t="shared" si="66"/>
        <v>0.00065</v>
      </c>
      <c r="P62" s="7">
        <f t="shared" si="66"/>
        <v>0.0099</v>
      </c>
      <c r="Q62" s="7">
        <f t="shared" si="7"/>
        <v>1.934870708</v>
      </c>
      <c r="R62" s="7">
        <f t="shared" si="8"/>
        <v>1.182593643</v>
      </c>
      <c r="S62" s="7">
        <f t="shared" si="2"/>
        <v>0.5984037236</v>
      </c>
      <c r="T62" s="7">
        <f t="shared" si="3"/>
        <v>2.086528217</v>
      </c>
      <c r="U62" s="7">
        <f t="shared" si="4"/>
        <v>1</v>
      </c>
      <c r="V62" s="7">
        <f t="shared" si="5"/>
        <v>1</v>
      </c>
      <c r="W62" s="7">
        <f t="shared" ref="W62:X62" si="67">IF(AVERAGE(U2:U61) &gt; 0.25, 1, 0)</f>
        <v>1</v>
      </c>
      <c r="X62" s="7">
        <f t="shared" si="67"/>
        <v>1</v>
      </c>
      <c r="Y62" s="8">
        <v>1.0</v>
      </c>
      <c r="Z62" s="7"/>
      <c r="AA62" s="7"/>
      <c r="AB62" s="7"/>
      <c r="AC62" s="8"/>
      <c r="AD62" s="7"/>
      <c r="AE62" s="7"/>
      <c r="AF62" s="7"/>
      <c r="AG62" s="7"/>
      <c r="AH62" s="7"/>
      <c r="AI62" s="7"/>
      <c r="AJ62" s="7"/>
      <c r="AK62" s="7"/>
      <c r="AL62" s="7"/>
    </row>
    <row r="63" ht="22.5" customHeight="1">
      <c r="B63" s="6">
        <v>62.0</v>
      </c>
      <c r="C63" s="6">
        <v>15131.0</v>
      </c>
      <c r="D63" s="6">
        <v>4.09</v>
      </c>
      <c r="E63" s="6">
        <v>-2.18</v>
      </c>
      <c r="F63" s="6">
        <v>10.4</v>
      </c>
      <c r="G63" s="6">
        <v>-0.05</v>
      </c>
      <c r="H63" s="6">
        <v>-0.2</v>
      </c>
      <c r="I63" s="6">
        <v>0.9</v>
      </c>
      <c r="J63" s="6">
        <v>33.26</v>
      </c>
      <c r="K63" s="7">
        <f t="shared" ref="K63:P63" si="68">abs(D63-D62)/200</f>
        <v>0.01405</v>
      </c>
      <c r="L63" s="7">
        <f t="shared" si="68"/>
        <v>0.0064</v>
      </c>
      <c r="M63" s="7">
        <f t="shared" si="68"/>
        <v>0.0006</v>
      </c>
      <c r="N63" s="7">
        <f t="shared" si="68"/>
        <v>0.00105</v>
      </c>
      <c r="O63" s="7">
        <f t="shared" si="68"/>
        <v>0.0008</v>
      </c>
      <c r="P63" s="7">
        <f t="shared" si="68"/>
        <v>0.0059</v>
      </c>
      <c r="Q63" s="7">
        <f t="shared" si="7"/>
        <v>1.163218951</v>
      </c>
      <c r="R63" s="7">
        <f t="shared" si="8"/>
        <v>0.9875744952</v>
      </c>
      <c r="S63" s="7">
        <f t="shared" si="2"/>
        <v>1.585978219</v>
      </c>
      <c r="T63" s="7">
        <f t="shared" si="3"/>
        <v>0.9233092656</v>
      </c>
      <c r="U63" s="7">
        <f t="shared" si="4"/>
        <v>1</v>
      </c>
      <c r="V63" s="7">
        <f t="shared" si="5"/>
        <v>1</v>
      </c>
      <c r="W63" s="7">
        <f t="shared" ref="W63:X63" si="69">IF(AVERAGE(U3:U62) &gt; 0.25, 1, 0)</f>
        <v>1</v>
      </c>
      <c r="X63" s="7">
        <f t="shared" si="69"/>
        <v>1</v>
      </c>
      <c r="Y63" s="8">
        <v>1.0</v>
      </c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ht="22.5" customHeight="1">
      <c r="B64" s="6">
        <v>63.0</v>
      </c>
      <c r="C64" s="6">
        <v>15335.0</v>
      </c>
      <c r="D64" s="6">
        <v>2.6</v>
      </c>
      <c r="E64" s="6">
        <v>-1.08</v>
      </c>
      <c r="F64" s="6">
        <v>10.09</v>
      </c>
      <c r="G64" s="6">
        <v>-0.4</v>
      </c>
      <c r="H64" s="6">
        <v>0.05</v>
      </c>
      <c r="I64" s="6">
        <v>-2.49</v>
      </c>
      <c r="J64" s="6">
        <v>33.27</v>
      </c>
      <c r="K64" s="7">
        <f t="shared" ref="K64:P64" si="70">abs(D64-D63)/200</f>
        <v>0.00745</v>
      </c>
      <c r="L64" s="7">
        <f t="shared" si="70"/>
        <v>0.0055</v>
      </c>
      <c r="M64" s="7">
        <f t="shared" si="70"/>
        <v>0.00155</v>
      </c>
      <c r="N64" s="7">
        <f t="shared" si="70"/>
        <v>0.00175</v>
      </c>
      <c r="O64" s="7">
        <f t="shared" si="70"/>
        <v>0.00125</v>
      </c>
      <c r="P64" s="7">
        <f t="shared" si="70"/>
        <v>0.01695</v>
      </c>
      <c r="Q64" s="7">
        <f t="shared" si="7"/>
        <v>1.599110208</v>
      </c>
      <c r="R64" s="7">
        <f t="shared" si="8"/>
        <v>0.9105545997</v>
      </c>
      <c r="S64" s="7">
        <f t="shared" si="2"/>
        <v>0.6754236191</v>
      </c>
      <c r="T64" s="7">
        <f t="shared" si="3"/>
        <v>2.522419473</v>
      </c>
      <c r="U64" s="7">
        <f t="shared" si="4"/>
        <v>1</v>
      </c>
      <c r="V64" s="7">
        <f t="shared" si="5"/>
        <v>1</v>
      </c>
      <c r="W64" s="7">
        <f t="shared" ref="W64:X64" si="71">IF(AVERAGE(U4:U63) &gt; 0.25, 1, 0)</f>
        <v>1</v>
      </c>
      <c r="X64" s="7">
        <f t="shared" si="71"/>
        <v>1</v>
      </c>
      <c r="Y64" s="8">
        <v>1.0</v>
      </c>
      <c r="Z64" s="7"/>
      <c r="AA64" s="7"/>
      <c r="AB64" s="7"/>
      <c r="AC64" s="6"/>
      <c r="AD64" s="7"/>
      <c r="AE64" s="7"/>
      <c r="AF64" s="7"/>
      <c r="AG64" s="7"/>
      <c r="AH64" s="7"/>
      <c r="AI64" s="7"/>
      <c r="AJ64" s="7"/>
      <c r="AK64" s="7"/>
      <c r="AL64" s="7"/>
    </row>
    <row r="65" ht="22.5" customHeight="1">
      <c r="B65" s="6">
        <v>64.0</v>
      </c>
      <c r="C65" s="6">
        <v>15539.0</v>
      </c>
      <c r="D65" s="6">
        <v>-2.72</v>
      </c>
      <c r="E65" s="6">
        <v>2.02</v>
      </c>
      <c r="F65" s="6">
        <v>11.04</v>
      </c>
      <c r="G65" s="6">
        <v>-0.13</v>
      </c>
      <c r="H65" s="6">
        <v>0.13</v>
      </c>
      <c r="I65" s="6">
        <v>-0.32</v>
      </c>
      <c r="J65" s="6">
        <v>33.27</v>
      </c>
      <c r="K65" s="7">
        <f t="shared" ref="K65:P65" si="72">abs(D65-D64)/200</f>
        <v>0.0266</v>
      </c>
      <c r="L65" s="7">
        <f t="shared" si="72"/>
        <v>0.0155</v>
      </c>
      <c r="M65" s="7">
        <f t="shared" si="72"/>
        <v>0.00475</v>
      </c>
      <c r="N65" s="7">
        <f t="shared" si="72"/>
        <v>0.00135</v>
      </c>
      <c r="O65" s="7">
        <f t="shared" si="72"/>
        <v>0.0004</v>
      </c>
      <c r="P65" s="7">
        <f t="shared" si="72"/>
        <v>0.01085</v>
      </c>
      <c r="Q65" s="7">
        <f t="shared" si="7"/>
        <v>2.153366632</v>
      </c>
      <c r="R65" s="7">
        <f t="shared" si="8"/>
        <v>1.072753726</v>
      </c>
      <c r="S65" s="7">
        <f t="shared" si="2"/>
        <v>1.748177345</v>
      </c>
      <c r="T65" s="7">
        <f t="shared" si="3"/>
        <v>0.3690528417</v>
      </c>
      <c r="U65" s="7">
        <f t="shared" si="4"/>
        <v>1</v>
      </c>
      <c r="V65" s="7">
        <f t="shared" si="5"/>
        <v>1</v>
      </c>
      <c r="W65" s="7">
        <f t="shared" ref="W65:X65" si="73">IF(AVERAGE(U5:U64) &gt; 0.25, 1, 0)</f>
        <v>1</v>
      </c>
      <c r="X65" s="7">
        <f t="shared" si="73"/>
        <v>1</v>
      </c>
      <c r="Y65" s="8">
        <v>1.0</v>
      </c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ht="22.5" customHeight="1">
      <c r="B66" s="6">
        <v>65.0</v>
      </c>
      <c r="C66" s="6">
        <v>15743.0</v>
      </c>
      <c r="D66" s="6">
        <v>1.65</v>
      </c>
      <c r="E66" s="6">
        <v>-1.58</v>
      </c>
      <c r="F66" s="6">
        <v>10.17</v>
      </c>
      <c r="G66" s="6">
        <v>0.15</v>
      </c>
      <c r="H66" s="6">
        <v>0.09</v>
      </c>
      <c r="I66" s="6">
        <v>2.27</v>
      </c>
      <c r="J66" s="6">
        <v>33.26</v>
      </c>
      <c r="K66" s="7">
        <f t="shared" ref="K66:P66" si="74">abs(D66-D65)/200</f>
        <v>0.02185</v>
      </c>
      <c r="L66" s="7">
        <f t="shared" si="74"/>
        <v>0.018</v>
      </c>
      <c r="M66" s="7">
        <f t="shared" si="74"/>
        <v>0.00435</v>
      </c>
      <c r="N66" s="7">
        <f t="shared" si="74"/>
        <v>0.0014</v>
      </c>
      <c r="O66" s="7">
        <f t="shared" si="74"/>
        <v>0.0002</v>
      </c>
      <c r="P66" s="7">
        <f t="shared" si="74"/>
        <v>0.01295</v>
      </c>
      <c r="Q66" s="7">
        <f t="shared" si="7"/>
        <v>1.90767727</v>
      </c>
      <c r="R66" s="7">
        <f t="shared" si="8"/>
        <v>1.124751805</v>
      </c>
      <c r="S66" s="7">
        <f t="shared" si="2"/>
        <v>0.6234255406</v>
      </c>
      <c r="T66" s="7">
        <f t="shared" si="3"/>
        <v>2.276730111</v>
      </c>
      <c r="U66" s="7">
        <f t="shared" si="4"/>
        <v>1</v>
      </c>
      <c r="V66" s="7">
        <f t="shared" si="5"/>
        <v>1</v>
      </c>
      <c r="W66" s="7">
        <f t="shared" ref="W66:X66" si="75">IF(AVERAGE(U6:U65) &gt; 0.25, 1, 0)</f>
        <v>1</v>
      </c>
      <c r="X66" s="7">
        <f t="shared" si="75"/>
        <v>1</v>
      </c>
      <c r="Y66" s="8">
        <v>1.0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ht="22.5" customHeight="1">
      <c r="B67" s="6">
        <v>66.0</v>
      </c>
      <c r="C67" s="6">
        <v>15947.0</v>
      </c>
      <c r="D67" s="6">
        <v>4.84</v>
      </c>
      <c r="E67" s="6">
        <v>-2.99</v>
      </c>
      <c r="F67" s="6">
        <v>10.09</v>
      </c>
      <c r="G67" s="6">
        <v>-0.07</v>
      </c>
      <c r="H67" s="6">
        <v>-0.19</v>
      </c>
      <c r="I67" s="6">
        <v>0.7</v>
      </c>
      <c r="J67" s="6">
        <v>33.27</v>
      </c>
      <c r="K67" s="7">
        <f t="shared" ref="K67:P67" si="76">abs(D67-D66)/200</f>
        <v>0.01595</v>
      </c>
      <c r="L67" s="7">
        <f t="shared" si="76"/>
        <v>0.00705</v>
      </c>
      <c r="M67" s="7">
        <f t="shared" si="76"/>
        <v>0.0004</v>
      </c>
      <c r="N67" s="7">
        <f t="shared" si="76"/>
        <v>0.0011</v>
      </c>
      <c r="O67" s="7">
        <f t="shared" si="76"/>
        <v>0.0014</v>
      </c>
      <c r="P67" s="7">
        <f t="shared" si="76"/>
        <v>0.00785</v>
      </c>
      <c r="Q67" s="7">
        <f t="shared" si="7"/>
        <v>1.548032643</v>
      </c>
      <c r="R67" s="7">
        <f t="shared" si="8"/>
        <v>1.159915946</v>
      </c>
      <c r="S67" s="7">
        <f t="shared" si="2"/>
        <v>1.783341487</v>
      </c>
      <c r="T67" s="7">
        <f t="shared" si="3"/>
        <v>0.7286974681</v>
      </c>
      <c r="U67" s="7">
        <f t="shared" si="4"/>
        <v>1</v>
      </c>
      <c r="V67" s="7">
        <f t="shared" si="5"/>
        <v>1</v>
      </c>
      <c r="W67" s="7">
        <f t="shared" ref="W67:X67" si="77">IF(AVERAGE(U7:U66) &gt; 0.25, 1, 0)</f>
        <v>1</v>
      </c>
      <c r="X67" s="7">
        <f t="shared" si="77"/>
        <v>1</v>
      </c>
      <c r="Y67" s="8">
        <v>1.0</v>
      </c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ht="22.5" customHeight="1">
      <c r="B68" s="6">
        <v>67.0</v>
      </c>
      <c r="C68" s="6">
        <v>16151.0</v>
      </c>
      <c r="D68" s="6">
        <v>2.4</v>
      </c>
      <c r="E68" s="6">
        <v>-1.27</v>
      </c>
      <c r="F68" s="6">
        <v>9.73</v>
      </c>
      <c r="G68" s="6">
        <v>-0.41</v>
      </c>
      <c r="H68" s="6">
        <v>0.13</v>
      </c>
      <c r="I68" s="6">
        <v>-2.47</v>
      </c>
      <c r="J68" s="6">
        <v>33.27</v>
      </c>
      <c r="K68" s="7">
        <f t="shared" ref="K68:P68" si="78">abs(D68-D67)/200</f>
        <v>0.0122</v>
      </c>
      <c r="L68" s="7">
        <f t="shared" si="78"/>
        <v>0.0086</v>
      </c>
      <c r="M68" s="7">
        <f t="shared" si="78"/>
        <v>0.0018</v>
      </c>
      <c r="N68" s="7">
        <f t="shared" si="78"/>
        <v>0.0017</v>
      </c>
      <c r="O68" s="7">
        <f t="shared" si="78"/>
        <v>0.0016</v>
      </c>
      <c r="P68" s="7">
        <f t="shared" si="78"/>
        <v>0.01585</v>
      </c>
      <c r="Q68" s="7">
        <f t="shared" si="7"/>
        <v>1.778472251</v>
      </c>
      <c r="R68" s="7">
        <f t="shared" si="8"/>
        <v>1.481569365</v>
      </c>
      <c r="S68" s="7">
        <f t="shared" si="2"/>
        <v>0.3017721218</v>
      </c>
      <c r="T68" s="7">
        <f t="shared" si="3"/>
        <v>2.507169719</v>
      </c>
      <c r="U68" s="7">
        <f t="shared" si="4"/>
        <v>1</v>
      </c>
      <c r="V68" s="7">
        <f t="shared" si="5"/>
        <v>1</v>
      </c>
      <c r="W68" s="7">
        <f t="shared" ref="W68:X68" si="79">IF(AVERAGE(U8:U67) &gt; 0.25, 1, 0)</f>
        <v>1</v>
      </c>
      <c r="X68" s="7">
        <f t="shared" si="79"/>
        <v>1</v>
      </c>
      <c r="Y68" s="8">
        <v>1.0</v>
      </c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ht="22.5" customHeight="1">
      <c r="B69" s="6">
        <v>68.0</v>
      </c>
      <c r="C69" s="6">
        <v>16355.0</v>
      </c>
      <c r="D69" s="6">
        <v>-2.62</v>
      </c>
      <c r="E69" s="6">
        <v>2.35</v>
      </c>
      <c r="F69" s="6">
        <v>10.94</v>
      </c>
      <c r="G69" s="6">
        <v>-0.13</v>
      </c>
      <c r="H69" s="6">
        <v>-0.02</v>
      </c>
      <c r="I69" s="6">
        <v>-0.16</v>
      </c>
      <c r="J69" s="6">
        <v>33.28</v>
      </c>
      <c r="K69" s="7">
        <f t="shared" ref="K69:P69" si="80">abs(D69-D68)/200</f>
        <v>0.0251</v>
      </c>
      <c r="L69" s="7">
        <f t="shared" si="80"/>
        <v>0.0181</v>
      </c>
      <c r="M69" s="7">
        <f t="shared" si="80"/>
        <v>0.00605</v>
      </c>
      <c r="N69" s="7">
        <f t="shared" si="80"/>
        <v>0.0014</v>
      </c>
      <c r="O69" s="7">
        <f t="shared" si="80"/>
        <v>0.00075</v>
      </c>
      <c r="P69" s="7">
        <f t="shared" si="80"/>
        <v>0.01155</v>
      </c>
      <c r="Q69" s="7">
        <f t="shared" si="7"/>
        <v>2.300046567</v>
      </c>
      <c r="R69" s="7">
        <f t="shared" si="8"/>
        <v>1.39042088</v>
      </c>
      <c r="S69" s="7">
        <f t="shared" si="2"/>
        <v>1.692193002</v>
      </c>
      <c r="T69" s="7">
        <f t="shared" si="3"/>
        <v>0.2071231518</v>
      </c>
      <c r="U69" s="7">
        <f t="shared" si="4"/>
        <v>1</v>
      </c>
      <c r="V69" s="7">
        <f t="shared" si="5"/>
        <v>1</v>
      </c>
      <c r="W69" s="7">
        <f t="shared" ref="W69:X69" si="81">IF(AVERAGE(U9:U68) &gt; 0.25, 1, 0)</f>
        <v>1</v>
      </c>
      <c r="X69" s="7">
        <f t="shared" si="81"/>
        <v>1</v>
      </c>
      <c r="Y69" s="8">
        <v>1.0</v>
      </c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ht="22.5" customHeight="1">
      <c r="B70" s="6">
        <v>69.0</v>
      </c>
      <c r="C70" s="6">
        <v>16559.0</v>
      </c>
      <c r="D70" s="6">
        <v>-0.17</v>
      </c>
      <c r="E70" s="6">
        <v>-0.72</v>
      </c>
      <c r="F70" s="6">
        <v>10.45</v>
      </c>
      <c r="G70" s="6">
        <v>0.25</v>
      </c>
      <c r="H70" s="6">
        <v>-0.16</v>
      </c>
      <c r="I70" s="6">
        <v>2.06</v>
      </c>
      <c r="J70" s="6">
        <v>33.27</v>
      </c>
      <c r="K70" s="7">
        <f t="shared" ref="K70:P70" si="82">abs(D70-D69)/200</f>
        <v>0.01225</v>
      </c>
      <c r="L70" s="7">
        <f t="shared" si="82"/>
        <v>0.01535</v>
      </c>
      <c r="M70" s="7">
        <f t="shared" si="82"/>
        <v>0.00245</v>
      </c>
      <c r="N70" s="7">
        <f t="shared" si="82"/>
        <v>0.0019</v>
      </c>
      <c r="O70" s="7">
        <f t="shared" si="82"/>
        <v>0.0007</v>
      </c>
      <c r="P70" s="7">
        <f t="shared" si="82"/>
        <v>0.0111</v>
      </c>
      <c r="Q70" s="7">
        <f t="shared" si="7"/>
        <v>1.874150497</v>
      </c>
      <c r="R70" s="7">
        <f t="shared" si="8"/>
        <v>1.016039128</v>
      </c>
      <c r="S70" s="7">
        <f t="shared" si="2"/>
        <v>0.6761538744</v>
      </c>
      <c r="T70" s="7">
        <f t="shared" si="3"/>
        <v>2.081273649</v>
      </c>
      <c r="U70" s="7">
        <f t="shared" si="4"/>
        <v>1</v>
      </c>
      <c r="V70" s="7">
        <f t="shared" si="5"/>
        <v>1</v>
      </c>
      <c r="W70" s="7">
        <f t="shared" ref="W70:X70" si="83">IF(AVERAGE(U10:U69) &gt; 0.25, 1, 0)</f>
        <v>1</v>
      </c>
      <c r="X70" s="7">
        <f t="shared" si="83"/>
        <v>1</v>
      </c>
      <c r="Y70" s="8">
        <v>1.0</v>
      </c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ht="22.5" customHeight="1">
      <c r="B71" s="6">
        <v>70.0</v>
      </c>
      <c r="C71" s="6">
        <v>16763.0</v>
      </c>
      <c r="D71" s="6">
        <v>5.17</v>
      </c>
      <c r="E71" s="6">
        <v>-2.09</v>
      </c>
      <c r="F71" s="6">
        <v>10.42</v>
      </c>
      <c r="G71" s="6">
        <v>0.0</v>
      </c>
      <c r="H71" s="6">
        <v>-0.11</v>
      </c>
      <c r="I71" s="6">
        <v>0.99</v>
      </c>
      <c r="J71" s="6">
        <v>33.26</v>
      </c>
      <c r="K71" s="7">
        <f t="shared" ref="K71:P71" si="84">abs(D71-D70)/200</f>
        <v>0.0267</v>
      </c>
      <c r="L71" s="7">
        <f t="shared" si="84"/>
        <v>0.00685</v>
      </c>
      <c r="M71" s="7">
        <f t="shared" si="84"/>
        <v>0.00015</v>
      </c>
      <c r="N71" s="7">
        <f t="shared" si="84"/>
        <v>0.00125</v>
      </c>
      <c r="O71" s="7">
        <f t="shared" si="84"/>
        <v>0.00025</v>
      </c>
      <c r="P71" s="7">
        <f t="shared" si="84"/>
        <v>0.00535</v>
      </c>
      <c r="Q71" s="7">
        <f t="shared" si="7"/>
        <v>1.085181283</v>
      </c>
      <c r="R71" s="7">
        <f t="shared" si="8"/>
        <v>1.342196264</v>
      </c>
      <c r="S71" s="7">
        <f t="shared" si="2"/>
        <v>2.018350139</v>
      </c>
      <c r="T71" s="7">
        <f t="shared" si="3"/>
        <v>0.9960923652</v>
      </c>
      <c r="U71" s="7">
        <f t="shared" si="4"/>
        <v>1</v>
      </c>
      <c r="V71" s="7">
        <f t="shared" si="5"/>
        <v>1</v>
      </c>
      <c r="W71" s="7">
        <f t="shared" ref="W71:X71" si="85">IF(AVERAGE(U11:U70) &gt; 0.25, 1, 0)</f>
        <v>1</v>
      </c>
      <c r="X71" s="7">
        <f t="shared" si="85"/>
        <v>1</v>
      </c>
      <c r="Y71" s="8">
        <v>1.0</v>
      </c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ht="22.5" customHeight="1">
      <c r="B72" s="6">
        <v>71.0</v>
      </c>
      <c r="C72" s="6">
        <v>16967.0</v>
      </c>
      <c r="D72" s="6">
        <v>3.16</v>
      </c>
      <c r="E72" s="6">
        <v>-0.47</v>
      </c>
      <c r="F72" s="6">
        <v>10.19</v>
      </c>
      <c r="G72" s="6">
        <v>-0.37</v>
      </c>
      <c r="H72" s="6">
        <v>0.14</v>
      </c>
      <c r="I72" s="6">
        <v>-2.57</v>
      </c>
      <c r="J72" s="6">
        <v>33.27</v>
      </c>
      <c r="K72" s="7">
        <f t="shared" ref="K72:P72" si="86">abs(D72-D71)/200</f>
        <v>0.01005</v>
      </c>
      <c r="L72" s="7">
        <f t="shared" si="86"/>
        <v>0.0081</v>
      </c>
      <c r="M72" s="7">
        <f t="shared" si="86"/>
        <v>0.00115</v>
      </c>
      <c r="N72" s="7">
        <f t="shared" si="86"/>
        <v>0.00185</v>
      </c>
      <c r="O72" s="7">
        <f t="shared" si="86"/>
        <v>0.00125</v>
      </c>
      <c r="P72" s="7">
        <f t="shared" si="86"/>
        <v>0.0178</v>
      </c>
      <c r="Q72" s="7">
        <f t="shared" si="7"/>
        <v>1.604176852</v>
      </c>
      <c r="R72" s="7">
        <f t="shared" si="8"/>
        <v>1.139277145</v>
      </c>
      <c r="S72" s="7">
        <f t="shared" si="2"/>
        <v>0.8790729935</v>
      </c>
      <c r="T72" s="7">
        <f t="shared" si="3"/>
        <v>2.600269217</v>
      </c>
      <c r="U72" s="7">
        <f t="shared" si="4"/>
        <v>1</v>
      </c>
      <c r="V72" s="7">
        <f t="shared" si="5"/>
        <v>1</v>
      </c>
      <c r="W72" s="7">
        <f t="shared" ref="W72:X72" si="87">IF(AVERAGE(U12:U71) &gt; 0.25, 1, 0)</f>
        <v>1</v>
      </c>
      <c r="X72" s="7">
        <f t="shared" si="87"/>
        <v>1</v>
      </c>
      <c r="Y72" s="8">
        <v>1.0</v>
      </c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ht="22.5" customHeight="1">
      <c r="B73" s="6">
        <v>72.0</v>
      </c>
      <c r="C73" s="6">
        <v>17171.0</v>
      </c>
      <c r="D73" s="6">
        <v>-2.24</v>
      </c>
      <c r="E73" s="6">
        <v>1.62</v>
      </c>
      <c r="F73" s="6">
        <v>11.02</v>
      </c>
      <c r="G73" s="6">
        <v>-0.14</v>
      </c>
      <c r="H73" s="6">
        <v>-0.03</v>
      </c>
      <c r="I73" s="6">
        <v>-0.24</v>
      </c>
      <c r="J73" s="6">
        <v>33.28</v>
      </c>
      <c r="K73" s="7">
        <f t="shared" ref="K73:P73" si="88">abs(D73-D72)/200</f>
        <v>0.027</v>
      </c>
      <c r="L73" s="7">
        <f t="shared" si="88"/>
        <v>0.01045</v>
      </c>
      <c r="M73" s="7">
        <f t="shared" si="88"/>
        <v>0.00415</v>
      </c>
      <c r="N73" s="7">
        <f t="shared" si="88"/>
        <v>0.00115</v>
      </c>
      <c r="O73" s="7">
        <f t="shared" si="88"/>
        <v>0.00085</v>
      </c>
      <c r="P73" s="7">
        <f t="shared" si="88"/>
        <v>0.01165</v>
      </c>
      <c r="Q73" s="7">
        <f t="shared" si="7"/>
        <v>2.320805445</v>
      </c>
      <c r="R73" s="7">
        <f t="shared" si="8"/>
        <v>0.6823705768</v>
      </c>
      <c r="S73" s="7">
        <f t="shared" si="2"/>
        <v>1.56144357</v>
      </c>
      <c r="T73" s="7">
        <f t="shared" si="3"/>
        <v>0.2794637722</v>
      </c>
      <c r="U73" s="7">
        <f t="shared" si="4"/>
        <v>1</v>
      </c>
      <c r="V73" s="7">
        <f t="shared" si="5"/>
        <v>1</v>
      </c>
      <c r="W73" s="7">
        <f t="shared" ref="W73:X73" si="89">IF(AVERAGE(U13:U72) &gt; 0.25, 1, 0)</f>
        <v>1</v>
      </c>
      <c r="X73" s="7">
        <f t="shared" si="89"/>
        <v>1</v>
      </c>
      <c r="Y73" s="8">
        <v>1.0</v>
      </c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ht="22.5" customHeight="1">
      <c r="B74" s="6">
        <v>73.0</v>
      </c>
      <c r="C74" s="6">
        <v>17375.0</v>
      </c>
      <c r="D74" s="6">
        <v>-0.11</v>
      </c>
      <c r="E74" s="6">
        <v>-2.08</v>
      </c>
      <c r="F74" s="6">
        <v>10.89</v>
      </c>
      <c r="G74" s="6">
        <v>0.12</v>
      </c>
      <c r="H74" s="6">
        <v>0.01</v>
      </c>
      <c r="I74" s="6">
        <v>0.92</v>
      </c>
      <c r="J74" s="6">
        <v>33.27</v>
      </c>
      <c r="K74" s="7">
        <f t="shared" ref="K74:P74" si="90">abs(D74-D73)/200</f>
        <v>0.01065</v>
      </c>
      <c r="L74" s="7">
        <f t="shared" si="90"/>
        <v>0.0185</v>
      </c>
      <c r="M74" s="7">
        <f t="shared" si="90"/>
        <v>0.00065</v>
      </c>
      <c r="N74" s="7">
        <f t="shared" si="90"/>
        <v>0.0013</v>
      </c>
      <c r="O74" s="7">
        <f t="shared" si="90"/>
        <v>0.0002</v>
      </c>
      <c r="P74" s="7">
        <f t="shared" si="90"/>
        <v>0.0058</v>
      </c>
      <c r="Q74" s="7">
        <f t="shared" si="7"/>
        <v>0.6483831979</v>
      </c>
      <c r="R74" s="7">
        <f t="shared" si="8"/>
        <v>0.2740362989</v>
      </c>
      <c r="S74" s="7">
        <f t="shared" si="2"/>
        <v>1.287407271</v>
      </c>
      <c r="T74" s="7">
        <f t="shared" si="3"/>
        <v>0.9278469701</v>
      </c>
      <c r="U74" s="7">
        <f t="shared" si="4"/>
        <v>1</v>
      </c>
      <c r="V74" s="7">
        <f t="shared" si="5"/>
        <v>1</v>
      </c>
      <c r="W74" s="7">
        <f t="shared" ref="W74:X74" si="91">IF(AVERAGE(U14:U73) &gt; 0.25, 1, 0)</f>
        <v>1</v>
      </c>
      <c r="X74" s="7">
        <f t="shared" si="91"/>
        <v>1</v>
      </c>
      <c r="Y74" s="8">
        <v>1.0</v>
      </c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ht="22.5" customHeight="1">
      <c r="B75" s="6">
        <v>74.0</v>
      </c>
      <c r="C75" s="6">
        <v>17579.0</v>
      </c>
      <c r="D75" s="6">
        <v>0.85</v>
      </c>
      <c r="E75" s="6">
        <v>-1.91</v>
      </c>
      <c r="F75" s="6">
        <v>10.63</v>
      </c>
      <c r="G75" s="6">
        <v>0.05</v>
      </c>
      <c r="H75" s="6">
        <v>-0.28</v>
      </c>
      <c r="I75" s="6">
        <v>0.93</v>
      </c>
      <c r="J75" s="6">
        <v>33.27</v>
      </c>
      <c r="K75" s="7">
        <f t="shared" ref="K75:P75" si="92">abs(D75-D74)/200</f>
        <v>0.0048</v>
      </c>
      <c r="L75" s="7">
        <f t="shared" si="92"/>
        <v>0.00085</v>
      </c>
      <c r="M75" s="7">
        <f t="shared" si="92"/>
        <v>0.0013</v>
      </c>
      <c r="N75" s="7">
        <f t="shared" si="92"/>
        <v>0.00035</v>
      </c>
      <c r="O75" s="7">
        <f t="shared" si="92"/>
        <v>0.00145</v>
      </c>
      <c r="P75" s="7">
        <f t="shared" si="92"/>
        <v>0.00005</v>
      </c>
      <c r="Q75" s="7">
        <f t="shared" si="7"/>
        <v>0.04467552317</v>
      </c>
      <c r="R75" s="7">
        <f t="shared" si="8"/>
        <v>0.2537790702</v>
      </c>
      <c r="S75" s="7">
        <f t="shared" si="2"/>
        <v>1.033628201</v>
      </c>
      <c r="T75" s="7">
        <f t="shared" si="3"/>
        <v>0.9725224933</v>
      </c>
      <c r="U75" s="7">
        <f t="shared" si="4"/>
        <v>1</v>
      </c>
      <c r="V75" s="7">
        <f t="shared" si="5"/>
        <v>1</v>
      </c>
      <c r="W75" s="7">
        <f t="shared" ref="W75:X75" si="93">IF(AVERAGE(U15:U74) &gt; 0.25, 1, 0)</f>
        <v>1</v>
      </c>
      <c r="X75" s="7">
        <f t="shared" si="93"/>
        <v>1</v>
      </c>
      <c r="Y75" s="8">
        <v>1.0</v>
      </c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ht="22.5" customHeight="1">
      <c r="B76" s="6">
        <v>75.0</v>
      </c>
      <c r="C76" s="6">
        <v>17783.0</v>
      </c>
      <c r="D76" s="6">
        <v>4.0</v>
      </c>
      <c r="E76" s="6">
        <v>-1.39</v>
      </c>
      <c r="F76" s="6">
        <v>10.54</v>
      </c>
      <c r="G76" s="6">
        <v>-0.16</v>
      </c>
      <c r="H76" s="6">
        <v>0.1</v>
      </c>
      <c r="I76" s="6">
        <v>0.28</v>
      </c>
      <c r="J76" s="6">
        <v>33.27</v>
      </c>
      <c r="K76" s="7">
        <f t="shared" ref="K76:P76" si="94">abs(D76-D75)/200</f>
        <v>0.01575</v>
      </c>
      <c r="L76" s="7">
        <f t="shared" si="94"/>
        <v>0.0026</v>
      </c>
      <c r="M76" s="7">
        <f t="shared" si="94"/>
        <v>0.00045</v>
      </c>
      <c r="N76" s="7">
        <f t="shared" si="94"/>
        <v>0.00105</v>
      </c>
      <c r="O76" s="7">
        <f t="shared" si="94"/>
        <v>0.0019</v>
      </c>
      <c r="P76" s="7">
        <f t="shared" si="94"/>
        <v>0.00325</v>
      </c>
      <c r="Q76" s="7">
        <f t="shared" si="7"/>
        <v>0.634883633</v>
      </c>
      <c r="R76" s="7">
        <f t="shared" si="8"/>
        <v>0.5252317769</v>
      </c>
      <c r="S76" s="7">
        <f t="shared" si="2"/>
        <v>1.558859978</v>
      </c>
      <c r="T76" s="7">
        <f t="shared" si="3"/>
        <v>0.3376388603</v>
      </c>
      <c r="U76" s="7">
        <f t="shared" si="4"/>
        <v>1</v>
      </c>
      <c r="V76" s="7">
        <f t="shared" si="5"/>
        <v>1</v>
      </c>
      <c r="W76" s="7">
        <f t="shared" ref="W76:X76" si="95">IF(AVERAGE(U16:U75) &gt; 0.25, 1, 0)</f>
        <v>1</v>
      </c>
      <c r="X76" s="7">
        <f t="shared" si="95"/>
        <v>1</v>
      </c>
      <c r="Y76" s="8">
        <v>1.0</v>
      </c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ht="22.5" customHeight="1">
      <c r="B77" s="6">
        <v>76.0</v>
      </c>
      <c r="C77" s="6">
        <v>17987.0</v>
      </c>
      <c r="D77" s="6">
        <v>2.71</v>
      </c>
      <c r="E77" s="6">
        <v>1.85</v>
      </c>
      <c r="F77" s="6">
        <v>10.52</v>
      </c>
      <c r="G77" s="6">
        <v>-0.26</v>
      </c>
      <c r="H77" s="6">
        <v>0.0</v>
      </c>
      <c r="I77" s="6">
        <v>-0.44</v>
      </c>
      <c r="J77" s="6">
        <v>33.27</v>
      </c>
      <c r="K77" s="7">
        <f t="shared" ref="K77:P77" si="96">abs(D77-D76)/200</f>
        <v>0.00645</v>
      </c>
      <c r="L77" s="7">
        <f t="shared" si="96"/>
        <v>0.0162</v>
      </c>
      <c r="M77" s="7">
        <f t="shared" si="96"/>
        <v>0.0001</v>
      </c>
      <c r="N77" s="7">
        <f t="shared" si="96"/>
        <v>0.0005</v>
      </c>
      <c r="O77" s="7">
        <f t="shared" si="96"/>
        <v>0.0005</v>
      </c>
      <c r="P77" s="7">
        <f t="shared" si="96"/>
        <v>0.0036</v>
      </c>
      <c r="Q77" s="7">
        <f t="shared" si="7"/>
        <v>0.1734384332</v>
      </c>
      <c r="R77" s="7">
        <f t="shared" si="8"/>
        <v>0.3390142441</v>
      </c>
      <c r="S77" s="7">
        <f t="shared" si="2"/>
        <v>1.219845734</v>
      </c>
      <c r="T77" s="7">
        <f t="shared" si="3"/>
        <v>0.5110772936</v>
      </c>
      <c r="U77" s="7">
        <f t="shared" si="4"/>
        <v>1</v>
      </c>
      <c r="V77" s="7">
        <f t="shared" si="5"/>
        <v>1</v>
      </c>
      <c r="W77" s="7">
        <f t="shared" ref="W77:X77" si="97">IF(AVERAGE(U17:U76) &gt; 0.25, 1, 0)</f>
        <v>1</v>
      </c>
      <c r="X77" s="7">
        <f t="shared" si="97"/>
        <v>1</v>
      </c>
      <c r="Y77" s="8">
        <v>1.0</v>
      </c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8"/>
      <c r="AL77" s="7"/>
    </row>
    <row r="78" ht="22.5" customHeight="1">
      <c r="B78" s="6">
        <v>77.0</v>
      </c>
      <c r="C78" s="6">
        <v>18191.0</v>
      </c>
      <c r="D78" s="6">
        <v>2.63</v>
      </c>
      <c r="E78" s="6">
        <v>1.7</v>
      </c>
      <c r="F78" s="6">
        <v>10.41</v>
      </c>
      <c r="G78" s="6">
        <v>-0.11</v>
      </c>
      <c r="H78" s="6">
        <v>0.05</v>
      </c>
      <c r="I78" s="6">
        <v>-0.65</v>
      </c>
      <c r="J78" s="6">
        <v>33.27</v>
      </c>
      <c r="K78" s="7">
        <f t="shared" ref="K78:P78" si="98">abs(D78-D77)/200</f>
        <v>0.0004</v>
      </c>
      <c r="L78" s="7">
        <f t="shared" si="98"/>
        <v>0.00075</v>
      </c>
      <c r="M78" s="7">
        <f t="shared" si="98"/>
        <v>0.00055</v>
      </c>
      <c r="N78" s="7">
        <f t="shared" si="98"/>
        <v>0.00075</v>
      </c>
      <c r="O78" s="7">
        <f t="shared" si="98"/>
        <v>0.00025</v>
      </c>
      <c r="P78" s="7">
        <f t="shared" si="98"/>
        <v>0.00105</v>
      </c>
      <c r="Q78" s="7">
        <f t="shared" si="7"/>
        <v>0.1500580935</v>
      </c>
      <c r="R78" s="7">
        <f t="shared" si="8"/>
        <v>0.1490131991</v>
      </c>
      <c r="S78" s="7">
        <f t="shared" si="2"/>
        <v>1.070832535</v>
      </c>
      <c r="T78" s="7">
        <f t="shared" si="3"/>
        <v>0.661135387</v>
      </c>
      <c r="U78" s="7">
        <f t="shared" si="4"/>
        <v>1</v>
      </c>
      <c r="V78" s="7">
        <f t="shared" si="5"/>
        <v>1</v>
      </c>
      <c r="W78" s="7">
        <f t="shared" ref="W78:X78" si="99">IF(AVERAGE(U18:U77) &gt; 0.25, 1, 0)</f>
        <v>1</v>
      </c>
      <c r="X78" s="7">
        <f t="shared" si="99"/>
        <v>1</v>
      </c>
      <c r="Y78" s="8">
        <v>1.0</v>
      </c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ht="22.5" customHeight="1">
      <c r="B79" s="6">
        <v>78.0</v>
      </c>
      <c r="C79" s="6">
        <v>18395.0</v>
      </c>
      <c r="D79" s="6">
        <v>-1.08</v>
      </c>
      <c r="E79" s="6">
        <v>0.64</v>
      </c>
      <c r="F79" s="6">
        <v>10.97</v>
      </c>
      <c r="G79" s="6">
        <v>-0.1</v>
      </c>
      <c r="H79" s="6">
        <v>0.09</v>
      </c>
      <c r="I79" s="6">
        <v>-0.18</v>
      </c>
      <c r="J79" s="6">
        <v>33.28</v>
      </c>
      <c r="K79" s="7">
        <f t="shared" ref="K79:P79" si="100">abs(D79-D78)/200</f>
        <v>0.01855</v>
      </c>
      <c r="L79" s="7">
        <f t="shared" si="100"/>
        <v>0.0053</v>
      </c>
      <c r="M79" s="7">
        <f t="shared" si="100"/>
        <v>0.0028</v>
      </c>
      <c r="N79" s="7">
        <f t="shared" si="100"/>
        <v>0.00005</v>
      </c>
      <c r="O79" s="7">
        <f t="shared" si="100"/>
        <v>0.0002</v>
      </c>
      <c r="P79" s="7">
        <f t="shared" si="100"/>
        <v>0.00235</v>
      </c>
      <c r="Q79" s="7">
        <f t="shared" si="7"/>
        <v>0.4364133365</v>
      </c>
      <c r="R79" s="7">
        <f t="shared" si="8"/>
        <v>0.1707660813</v>
      </c>
      <c r="S79" s="7">
        <f t="shared" si="2"/>
        <v>1.241598616</v>
      </c>
      <c r="T79" s="7">
        <f t="shared" si="3"/>
        <v>0.2247220505</v>
      </c>
      <c r="U79" s="7">
        <f t="shared" si="4"/>
        <v>1</v>
      </c>
      <c r="V79" s="7">
        <f t="shared" si="5"/>
        <v>1</v>
      </c>
      <c r="W79" s="7">
        <f t="shared" ref="W79:X79" si="101">IF(AVERAGE(U19:U78) &gt; 0.25, 1, 0)</f>
        <v>1</v>
      </c>
      <c r="X79" s="7">
        <f t="shared" si="101"/>
        <v>1</v>
      </c>
      <c r="Y79" s="8">
        <v>1.0</v>
      </c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</row>
    <row r="80" ht="22.5" customHeight="1">
      <c r="B80" s="6">
        <v>79.0</v>
      </c>
      <c r="C80" s="6">
        <v>18599.0</v>
      </c>
      <c r="D80" s="6">
        <v>0.55</v>
      </c>
      <c r="E80" s="6">
        <v>-1.52</v>
      </c>
      <c r="F80" s="6">
        <v>10.88</v>
      </c>
      <c r="G80" s="6">
        <v>0.04</v>
      </c>
      <c r="H80" s="6">
        <v>-0.04</v>
      </c>
      <c r="I80" s="6">
        <v>0.36</v>
      </c>
      <c r="J80" s="6">
        <v>33.29</v>
      </c>
      <c r="K80" s="7">
        <f t="shared" ref="K80:P80" si="102">abs(D80-D79)/200</f>
        <v>0.00815</v>
      </c>
      <c r="L80" s="7">
        <f t="shared" si="102"/>
        <v>0.0108</v>
      </c>
      <c r="M80" s="7">
        <f t="shared" si="102"/>
        <v>0.00045</v>
      </c>
      <c r="N80" s="7">
        <f t="shared" si="102"/>
        <v>0.0007</v>
      </c>
      <c r="O80" s="7">
        <f t="shared" si="102"/>
        <v>0.00065</v>
      </c>
      <c r="P80" s="7">
        <f t="shared" si="102"/>
        <v>0.0027</v>
      </c>
      <c r="Q80" s="7">
        <f t="shared" si="7"/>
        <v>0.1396952926</v>
      </c>
      <c r="R80" s="7">
        <f t="shared" si="8"/>
        <v>0.04217590402</v>
      </c>
      <c r="S80" s="7">
        <f t="shared" si="2"/>
        <v>1.199422712</v>
      </c>
      <c r="T80" s="7">
        <f t="shared" si="3"/>
        <v>0.3644173432</v>
      </c>
      <c r="U80" s="7">
        <f t="shared" si="4"/>
        <v>1</v>
      </c>
      <c r="V80" s="7">
        <f t="shared" si="5"/>
        <v>1</v>
      </c>
      <c r="W80" s="7">
        <f t="shared" ref="W80:X80" si="103">IF(AVERAGE(U20:U79) &gt; 0.25, 1, 0)</f>
        <v>1</v>
      </c>
      <c r="X80" s="7">
        <f t="shared" si="103"/>
        <v>1</v>
      </c>
      <c r="Y80" s="8">
        <v>1.0</v>
      </c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</row>
    <row r="81" ht="22.5" customHeight="1">
      <c r="B81" s="6">
        <v>80.0</v>
      </c>
      <c r="C81" s="6">
        <v>18803.0</v>
      </c>
      <c r="D81" s="6">
        <v>1.79</v>
      </c>
      <c r="E81" s="6">
        <v>-2.0</v>
      </c>
      <c r="F81" s="6">
        <v>10.46</v>
      </c>
      <c r="G81" s="6">
        <v>0.09</v>
      </c>
      <c r="H81" s="6">
        <v>-0.41</v>
      </c>
      <c r="I81" s="6">
        <v>1.22</v>
      </c>
      <c r="J81" s="6">
        <v>33.28</v>
      </c>
      <c r="K81" s="7">
        <f t="shared" ref="K81:P81" si="104">abs(D81-D80)/200</f>
        <v>0.0062</v>
      </c>
      <c r="L81" s="7">
        <f t="shared" si="104"/>
        <v>0.0024</v>
      </c>
      <c r="M81" s="7">
        <f t="shared" si="104"/>
        <v>0.0021</v>
      </c>
      <c r="N81" s="7">
        <f t="shared" si="104"/>
        <v>0.00025</v>
      </c>
      <c r="O81" s="7">
        <f t="shared" si="104"/>
        <v>0.00185</v>
      </c>
      <c r="P81" s="7">
        <f t="shared" si="104"/>
        <v>0.0043</v>
      </c>
      <c r="Q81" s="7">
        <f t="shared" si="7"/>
        <v>0.9257764407</v>
      </c>
      <c r="R81" s="7">
        <f t="shared" si="8"/>
        <v>0.2005477707</v>
      </c>
      <c r="S81" s="7">
        <f t="shared" si="2"/>
        <v>0.9988749414</v>
      </c>
      <c r="T81" s="7">
        <f t="shared" si="3"/>
        <v>1.290193784</v>
      </c>
      <c r="U81" s="7">
        <f t="shared" si="4"/>
        <v>1</v>
      </c>
      <c r="V81" s="7">
        <f t="shared" si="5"/>
        <v>1</v>
      </c>
      <c r="W81" s="7">
        <f t="shared" ref="W81:X81" si="105">IF(AVERAGE(U21:U80) &gt; 0.25, 1, 0)</f>
        <v>1</v>
      </c>
      <c r="X81" s="7">
        <f t="shared" si="105"/>
        <v>1</v>
      </c>
      <c r="Y81" s="8">
        <v>1.0</v>
      </c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</row>
    <row r="82" ht="22.5" customHeight="1">
      <c r="B82" s="6">
        <v>81.0</v>
      </c>
      <c r="C82" s="6">
        <v>19007.0</v>
      </c>
      <c r="D82" s="6">
        <v>3.9</v>
      </c>
      <c r="E82" s="6">
        <v>-0.93</v>
      </c>
      <c r="F82" s="6">
        <v>10.43</v>
      </c>
      <c r="G82" s="6">
        <v>-0.16</v>
      </c>
      <c r="H82" s="6">
        <v>-0.02</v>
      </c>
      <c r="I82" s="6">
        <v>0.14</v>
      </c>
      <c r="J82" s="6">
        <v>33.28</v>
      </c>
      <c r="K82" s="7">
        <f t="shared" ref="K82:P82" si="106">abs(D82-D81)/200</f>
        <v>0.01055</v>
      </c>
      <c r="L82" s="7">
        <f t="shared" si="106"/>
        <v>0.00535</v>
      </c>
      <c r="M82" s="7">
        <f t="shared" si="106"/>
        <v>0.00015</v>
      </c>
      <c r="N82" s="7">
        <f t="shared" si="106"/>
        <v>0.00125</v>
      </c>
      <c r="O82" s="7">
        <f t="shared" si="106"/>
        <v>0.00195</v>
      </c>
      <c r="P82" s="7">
        <f t="shared" si="106"/>
        <v>0.0054</v>
      </c>
      <c r="Q82" s="7">
        <f t="shared" si="7"/>
        <v>1.076652219</v>
      </c>
      <c r="R82" s="7">
        <f t="shared" si="8"/>
        <v>0.3751932524</v>
      </c>
      <c r="S82" s="7">
        <f t="shared" si="2"/>
        <v>1.374068194</v>
      </c>
      <c r="T82" s="7">
        <f t="shared" si="3"/>
        <v>0.213541565</v>
      </c>
      <c r="U82" s="7">
        <f t="shared" si="4"/>
        <v>1</v>
      </c>
      <c r="V82" s="7">
        <f t="shared" si="5"/>
        <v>1</v>
      </c>
      <c r="W82" s="7">
        <f t="shared" ref="W82:X82" si="107">IF(AVERAGE(U22:U81) &gt; 0.25, 1, 0)</f>
        <v>1</v>
      </c>
      <c r="X82" s="7">
        <f t="shared" si="107"/>
        <v>1</v>
      </c>
      <c r="Y82" s="8">
        <v>1.0</v>
      </c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</row>
    <row r="83" ht="22.5" customHeight="1">
      <c r="B83" s="6">
        <v>82.0</v>
      </c>
      <c r="C83" s="6">
        <v>19211.0</v>
      </c>
      <c r="D83" s="6">
        <v>1.97</v>
      </c>
      <c r="E83" s="6">
        <v>2.04</v>
      </c>
      <c r="F83" s="6">
        <v>10.45</v>
      </c>
      <c r="G83" s="6">
        <v>-0.19</v>
      </c>
      <c r="H83" s="6">
        <v>-0.04</v>
      </c>
      <c r="I83" s="6">
        <v>-0.71</v>
      </c>
      <c r="J83" s="6">
        <v>33.28</v>
      </c>
      <c r="K83" s="7">
        <f t="shared" ref="K83:P83" si="108">abs(D83-D82)/200</f>
        <v>0.00965</v>
      </c>
      <c r="L83" s="7">
        <f t="shared" si="108"/>
        <v>0.01485</v>
      </c>
      <c r="M83" s="7">
        <f t="shared" si="108"/>
        <v>0.0001</v>
      </c>
      <c r="N83" s="7">
        <f t="shared" si="108"/>
        <v>0.00015</v>
      </c>
      <c r="O83" s="7">
        <f t="shared" si="108"/>
        <v>0.0001</v>
      </c>
      <c r="P83" s="7">
        <f t="shared" si="108"/>
        <v>0.00425</v>
      </c>
      <c r="Q83" s="7">
        <f t="shared" si="7"/>
        <v>0.5225290837</v>
      </c>
      <c r="R83" s="7">
        <f t="shared" si="8"/>
        <v>0.346095161</v>
      </c>
      <c r="S83" s="7">
        <f t="shared" si="2"/>
        <v>1.027973033</v>
      </c>
      <c r="T83" s="7">
        <f t="shared" si="3"/>
        <v>0.7360706488</v>
      </c>
      <c r="U83" s="7">
        <f t="shared" si="4"/>
        <v>1</v>
      </c>
      <c r="V83" s="7">
        <f t="shared" si="5"/>
        <v>1</v>
      </c>
      <c r="W83" s="7">
        <f t="shared" ref="W83:X83" si="109">IF(AVERAGE(U23:U82) &gt; 0.25, 1, 0)</f>
        <v>1</v>
      </c>
      <c r="X83" s="7">
        <f t="shared" si="109"/>
        <v>1</v>
      </c>
      <c r="Y83" s="8">
        <v>1.0</v>
      </c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</row>
    <row r="84" ht="22.5" customHeight="1">
      <c r="B84" s="6">
        <v>83.0</v>
      </c>
      <c r="C84" s="6">
        <v>19415.0</v>
      </c>
      <c r="D84" s="6">
        <v>3.02</v>
      </c>
      <c r="E84" s="6">
        <v>1.17</v>
      </c>
      <c r="F84" s="6">
        <v>10.47</v>
      </c>
      <c r="G84" s="6">
        <v>-0.06</v>
      </c>
      <c r="H84" s="6">
        <v>0.02</v>
      </c>
      <c r="I84" s="6">
        <v>-0.08</v>
      </c>
      <c r="J84" s="6">
        <v>33.29</v>
      </c>
      <c r="K84" s="7">
        <f t="shared" ref="K84:P84" si="110">abs(D84-D83)/200</f>
        <v>0.00525</v>
      </c>
      <c r="L84" s="7">
        <f t="shared" si="110"/>
        <v>0.00435</v>
      </c>
      <c r="M84" s="7">
        <f t="shared" si="110"/>
        <v>0.0001</v>
      </c>
      <c r="N84" s="7">
        <f t="shared" si="110"/>
        <v>0.00065</v>
      </c>
      <c r="O84" s="7">
        <f t="shared" si="110"/>
        <v>0.0003</v>
      </c>
      <c r="P84" s="7">
        <f t="shared" si="110"/>
        <v>0.00315</v>
      </c>
      <c r="Q84" s="7">
        <f t="shared" si="7"/>
        <v>0.6340902585</v>
      </c>
      <c r="R84" s="7">
        <f t="shared" si="8"/>
        <v>0.1315068818</v>
      </c>
      <c r="S84" s="7">
        <f t="shared" si="2"/>
        <v>1.159479915</v>
      </c>
      <c r="T84" s="7">
        <f t="shared" si="3"/>
        <v>0.1019803903</v>
      </c>
      <c r="U84" s="7">
        <f t="shared" si="4"/>
        <v>1</v>
      </c>
      <c r="V84" s="7">
        <f t="shared" si="5"/>
        <v>1</v>
      </c>
      <c r="W84" s="7">
        <f t="shared" ref="W84:X84" si="111">IF(AVERAGE(U24:U83) &gt; 0.25, 1, 0)</f>
        <v>1</v>
      </c>
      <c r="X84" s="7">
        <f t="shared" si="111"/>
        <v>1</v>
      </c>
      <c r="Y84" s="8">
        <v>1.0</v>
      </c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</row>
    <row r="85" ht="22.5" customHeight="1">
      <c r="B85" s="6">
        <v>84.0</v>
      </c>
      <c r="C85" s="6">
        <v>19619.0</v>
      </c>
      <c r="D85" s="6">
        <v>-1.22</v>
      </c>
      <c r="E85" s="6">
        <v>0.36</v>
      </c>
      <c r="F85" s="6">
        <v>11.16</v>
      </c>
      <c r="G85" s="6">
        <v>-0.05</v>
      </c>
      <c r="H85" s="6">
        <v>0.11</v>
      </c>
      <c r="I85" s="6">
        <v>-0.18</v>
      </c>
      <c r="J85" s="6">
        <v>33.29</v>
      </c>
      <c r="K85" s="7">
        <f t="shared" ref="K85:P85" si="112">abs(D85-D84)/200</f>
        <v>0.0212</v>
      </c>
      <c r="L85" s="7">
        <f t="shared" si="112"/>
        <v>0.00405</v>
      </c>
      <c r="M85" s="7">
        <f t="shared" si="112"/>
        <v>0.00345</v>
      </c>
      <c r="N85" s="7">
        <f t="shared" si="112"/>
        <v>0.00005</v>
      </c>
      <c r="O85" s="7">
        <f t="shared" si="112"/>
        <v>0.00045</v>
      </c>
      <c r="P85" s="7">
        <f t="shared" si="112"/>
        <v>0.0005</v>
      </c>
      <c r="Q85" s="7">
        <f t="shared" si="7"/>
        <v>0.1148144436</v>
      </c>
      <c r="R85" s="7">
        <f t="shared" si="8"/>
        <v>0.2727772049</v>
      </c>
      <c r="S85" s="7">
        <f t="shared" si="2"/>
        <v>1.43225712</v>
      </c>
      <c r="T85" s="7">
        <f t="shared" si="3"/>
        <v>0.2167948339</v>
      </c>
      <c r="U85" s="7">
        <f t="shared" si="4"/>
        <v>1</v>
      </c>
      <c r="V85" s="7">
        <f t="shared" si="5"/>
        <v>1</v>
      </c>
      <c r="W85" s="7">
        <f t="shared" ref="W85:X85" si="113">IF(AVERAGE(U25:U84) &gt; 0.25, 1, 0)</f>
        <v>1</v>
      </c>
      <c r="X85" s="7">
        <f t="shared" si="113"/>
        <v>1</v>
      </c>
      <c r="Y85" s="8">
        <v>1.0</v>
      </c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</row>
    <row r="86" ht="22.5" customHeight="1">
      <c r="B86" s="6">
        <v>85.0</v>
      </c>
      <c r="C86" s="6">
        <v>19823.0</v>
      </c>
      <c r="D86" s="6">
        <v>0.05</v>
      </c>
      <c r="E86" s="6">
        <v>-1.92</v>
      </c>
      <c r="F86" s="6">
        <v>10.64</v>
      </c>
      <c r="G86" s="6">
        <v>0.03</v>
      </c>
      <c r="H86" s="6">
        <v>-0.18</v>
      </c>
      <c r="I86" s="6">
        <v>0.93</v>
      </c>
      <c r="J86" s="6">
        <v>33.29</v>
      </c>
      <c r="K86" s="7">
        <f t="shared" ref="K86:P86" si="114">abs(D86-D85)/200</f>
        <v>0.00635</v>
      </c>
      <c r="L86" s="7">
        <f t="shared" si="114"/>
        <v>0.0114</v>
      </c>
      <c r="M86" s="7">
        <f t="shared" si="114"/>
        <v>0.0026</v>
      </c>
      <c r="N86" s="7">
        <f t="shared" si="114"/>
        <v>0.0004</v>
      </c>
      <c r="O86" s="7">
        <f t="shared" si="114"/>
        <v>0.00145</v>
      </c>
      <c r="P86" s="7">
        <f t="shared" si="114"/>
        <v>0.00555</v>
      </c>
      <c r="Q86" s="7">
        <f t="shared" si="7"/>
        <v>0.730939306</v>
      </c>
      <c r="R86" s="7">
        <f t="shared" si="8"/>
        <v>0.4202961503</v>
      </c>
      <c r="S86" s="7">
        <f t="shared" si="2"/>
        <v>1.011960969</v>
      </c>
      <c r="T86" s="7">
        <f t="shared" si="3"/>
        <v>0.9477341399</v>
      </c>
      <c r="U86" s="7">
        <f t="shared" si="4"/>
        <v>1</v>
      </c>
      <c r="V86" s="7">
        <f t="shared" si="5"/>
        <v>1</v>
      </c>
      <c r="W86" s="7">
        <f t="shared" ref="W86:X86" si="115">IF(AVERAGE(U26:U85) &gt; 0.25, 1, 0)</f>
        <v>1</v>
      </c>
      <c r="X86" s="7">
        <f t="shared" si="115"/>
        <v>1</v>
      </c>
      <c r="Y86" s="8">
        <v>1.0</v>
      </c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</row>
    <row r="87" ht="22.5" customHeight="1">
      <c r="B87" s="6">
        <v>86.0</v>
      </c>
      <c r="C87" s="6">
        <v>20027.0</v>
      </c>
      <c r="D87" s="6">
        <v>4.13</v>
      </c>
      <c r="E87" s="6">
        <v>-1.68</v>
      </c>
      <c r="F87" s="6">
        <v>10.42</v>
      </c>
      <c r="G87" s="6">
        <v>-0.08</v>
      </c>
      <c r="H87" s="6">
        <v>0.14</v>
      </c>
      <c r="I87" s="6">
        <v>0.46</v>
      </c>
      <c r="J87" s="6">
        <v>33.29</v>
      </c>
      <c r="K87" s="7">
        <f t="shared" ref="K87:P87" si="116">abs(D87-D86)/200</f>
        <v>0.0204</v>
      </c>
      <c r="L87" s="7">
        <f t="shared" si="116"/>
        <v>0.0012</v>
      </c>
      <c r="M87" s="7">
        <f t="shared" si="116"/>
        <v>0.0011</v>
      </c>
      <c r="N87" s="7">
        <f t="shared" si="116"/>
        <v>0.00055</v>
      </c>
      <c r="O87" s="7">
        <f t="shared" si="116"/>
        <v>0.0016</v>
      </c>
      <c r="P87" s="7">
        <f t="shared" si="116"/>
        <v>0.00235</v>
      </c>
      <c r="Q87" s="7">
        <f t="shared" si="7"/>
        <v>0.4602918357</v>
      </c>
      <c r="R87" s="7">
        <f t="shared" si="8"/>
        <v>0.5218689219</v>
      </c>
      <c r="S87" s="7">
        <f t="shared" si="2"/>
        <v>1.533829891</v>
      </c>
      <c r="T87" s="7">
        <f t="shared" si="3"/>
        <v>0.4874423043</v>
      </c>
      <c r="U87" s="7">
        <f t="shared" si="4"/>
        <v>1</v>
      </c>
      <c r="V87" s="7">
        <f t="shared" si="5"/>
        <v>1</v>
      </c>
      <c r="W87" s="7">
        <f t="shared" ref="W87:X87" si="117">IF(AVERAGE(U27:U86) &gt; 0.25, 1, 0)</f>
        <v>1</v>
      </c>
      <c r="X87" s="7">
        <f t="shared" si="117"/>
        <v>1</v>
      </c>
      <c r="Y87" s="8">
        <v>1.0</v>
      </c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</row>
    <row r="88" ht="22.5" customHeight="1">
      <c r="B88" s="6">
        <v>87.0</v>
      </c>
      <c r="C88" s="6">
        <v>20231.0</v>
      </c>
      <c r="D88" s="6">
        <v>2.7</v>
      </c>
      <c r="E88" s="6">
        <v>0.46</v>
      </c>
      <c r="F88" s="6">
        <v>10.63</v>
      </c>
      <c r="G88" s="6">
        <v>-0.26</v>
      </c>
      <c r="H88" s="6">
        <v>-0.03</v>
      </c>
      <c r="I88" s="6">
        <v>-0.21</v>
      </c>
      <c r="J88" s="6">
        <v>33.3</v>
      </c>
      <c r="K88" s="7">
        <f t="shared" ref="K88:P88" si="118">abs(D88-D87)/200</f>
        <v>0.00715</v>
      </c>
      <c r="L88" s="7">
        <f t="shared" si="118"/>
        <v>0.0107</v>
      </c>
      <c r="M88" s="7">
        <f t="shared" si="118"/>
        <v>0.00105</v>
      </c>
      <c r="N88" s="7">
        <f t="shared" si="118"/>
        <v>0.0009</v>
      </c>
      <c r="O88" s="7">
        <f t="shared" si="118"/>
        <v>0.00085</v>
      </c>
      <c r="P88" s="7">
        <f t="shared" si="118"/>
        <v>0.00335</v>
      </c>
      <c r="Q88" s="7">
        <f t="shared" si="7"/>
        <v>0.1518830696</v>
      </c>
      <c r="R88" s="7">
        <f t="shared" si="8"/>
        <v>0.3566490144</v>
      </c>
      <c r="S88" s="7">
        <f t="shared" si="2"/>
        <v>1.177180877</v>
      </c>
      <c r="T88" s="7">
        <f t="shared" si="3"/>
        <v>0.3355592347</v>
      </c>
      <c r="U88" s="7">
        <f t="shared" si="4"/>
        <v>1</v>
      </c>
      <c r="V88" s="7">
        <f t="shared" si="5"/>
        <v>1</v>
      </c>
      <c r="W88" s="7">
        <f t="shared" ref="W88:X88" si="119">IF(AVERAGE(U28:U87) &gt; 0.25, 1, 0)</f>
        <v>1</v>
      </c>
      <c r="X88" s="7">
        <f t="shared" si="119"/>
        <v>1</v>
      </c>
      <c r="Y88" s="8">
        <v>1.0</v>
      </c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</row>
    <row r="89" ht="22.5" customHeight="1">
      <c r="B89" s="6">
        <v>88.0</v>
      </c>
      <c r="C89" s="6">
        <v>20435.0</v>
      </c>
      <c r="D89" s="6">
        <v>2.82</v>
      </c>
      <c r="E89" s="6">
        <v>1.33</v>
      </c>
      <c r="F89" s="6">
        <v>10.47</v>
      </c>
      <c r="G89" s="6">
        <v>-0.14</v>
      </c>
      <c r="H89" s="6">
        <v>-0.13</v>
      </c>
      <c r="I89" s="6">
        <v>-0.33</v>
      </c>
      <c r="J89" s="6">
        <v>33.29</v>
      </c>
      <c r="K89" s="7">
        <f t="shared" ref="K89:P89" si="120">abs(D89-D88)/200</f>
        <v>0.0006</v>
      </c>
      <c r="L89" s="7">
        <f t="shared" si="120"/>
        <v>0.00435</v>
      </c>
      <c r="M89" s="7">
        <f t="shared" si="120"/>
        <v>0.0008</v>
      </c>
      <c r="N89" s="7">
        <f t="shared" si="120"/>
        <v>0.0006</v>
      </c>
      <c r="O89" s="7">
        <f t="shared" si="120"/>
        <v>0.0005</v>
      </c>
      <c r="P89" s="7">
        <f t="shared" si="120"/>
        <v>0.0006</v>
      </c>
      <c r="Q89" s="7">
        <f t="shared" si="7"/>
        <v>0.04575428459</v>
      </c>
      <c r="R89" s="7">
        <f t="shared" si="8"/>
        <v>0.05279531046</v>
      </c>
      <c r="S89" s="7">
        <f t="shared" si="2"/>
        <v>1.124385566</v>
      </c>
      <c r="T89" s="7">
        <f t="shared" si="3"/>
        <v>0.3813135193</v>
      </c>
      <c r="U89" s="7">
        <f t="shared" si="4"/>
        <v>1</v>
      </c>
      <c r="V89" s="7">
        <f t="shared" si="5"/>
        <v>1</v>
      </c>
      <c r="W89" s="7">
        <f t="shared" ref="W89:X89" si="121">IF(AVERAGE(U29:U88) &gt; 0.25, 1, 0)</f>
        <v>1</v>
      </c>
      <c r="X89" s="7">
        <f t="shared" si="121"/>
        <v>1</v>
      </c>
      <c r="Y89" s="8">
        <v>1.0</v>
      </c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</row>
    <row r="90" ht="22.5" customHeight="1">
      <c r="B90" s="6">
        <v>89.0</v>
      </c>
      <c r="C90" s="6">
        <v>20639.0</v>
      </c>
      <c r="D90" s="6">
        <v>-0.86</v>
      </c>
      <c r="E90" s="6">
        <v>0.96</v>
      </c>
      <c r="F90" s="6">
        <v>10.78</v>
      </c>
      <c r="G90" s="6">
        <v>-0.22</v>
      </c>
      <c r="H90" s="6">
        <v>0.29</v>
      </c>
      <c r="I90" s="6">
        <v>-1.06</v>
      </c>
      <c r="J90" s="6">
        <v>33.3</v>
      </c>
      <c r="K90" s="7">
        <f t="shared" ref="K90:P90" si="122">abs(D90-D89)/200</f>
        <v>0.0184</v>
      </c>
      <c r="L90" s="7">
        <f t="shared" si="122"/>
        <v>0.00185</v>
      </c>
      <c r="M90" s="7">
        <f t="shared" si="122"/>
        <v>0.00155</v>
      </c>
      <c r="N90" s="7">
        <f t="shared" si="122"/>
        <v>0.0004</v>
      </c>
      <c r="O90" s="7">
        <f t="shared" si="122"/>
        <v>0.0021</v>
      </c>
      <c r="P90" s="7">
        <f t="shared" si="122"/>
        <v>0.00365</v>
      </c>
      <c r="Q90" s="7">
        <f t="shared" si="7"/>
        <v>0.7394451523</v>
      </c>
      <c r="R90" s="7">
        <f t="shared" si="8"/>
        <v>0.06760888069</v>
      </c>
      <c r="S90" s="7">
        <f t="shared" si="2"/>
        <v>1.056776686</v>
      </c>
      <c r="T90" s="7">
        <f t="shared" si="3"/>
        <v>1.120758672</v>
      </c>
      <c r="U90" s="7">
        <f t="shared" si="4"/>
        <v>1</v>
      </c>
      <c r="V90" s="7">
        <f t="shared" si="5"/>
        <v>1</v>
      </c>
      <c r="W90" s="7">
        <f t="shared" ref="W90:X90" si="123">IF(AVERAGE(U30:U89) &gt; 0.25, 1, 0)</f>
        <v>1</v>
      </c>
      <c r="X90" s="7">
        <f t="shared" si="123"/>
        <v>1</v>
      </c>
      <c r="Y90" s="8">
        <v>1.0</v>
      </c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</row>
    <row r="91" ht="22.5" customHeight="1">
      <c r="B91" s="6">
        <v>90.0</v>
      </c>
      <c r="C91" s="6">
        <v>20843.0</v>
      </c>
      <c r="D91" s="6">
        <v>-0.61</v>
      </c>
      <c r="E91" s="6">
        <v>-1.24</v>
      </c>
      <c r="F91" s="6">
        <v>11.04</v>
      </c>
      <c r="G91" s="6">
        <v>0.07</v>
      </c>
      <c r="H91" s="6">
        <v>-0.04</v>
      </c>
      <c r="I91" s="6">
        <v>0.19</v>
      </c>
      <c r="J91" s="6">
        <v>33.29</v>
      </c>
      <c r="K91" s="7">
        <f t="shared" ref="K91:P91" si="124">abs(D91-D90)/200</f>
        <v>0.00125</v>
      </c>
      <c r="L91" s="7">
        <f t="shared" si="124"/>
        <v>0.011</v>
      </c>
      <c r="M91" s="7">
        <f t="shared" si="124"/>
        <v>0.0013</v>
      </c>
      <c r="N91" s="7">
        <f t="shared" si="124"/>
        <v>0.00145</v>
      </c>
      <c r="O91" s="7">
        <f t="shared" si="124"/>
        <v>0.00165</v>
      </c>
      <c r="P91" s="7">
        <f t="shared" si="124"/>
        <v>0.00625</v>
      </c>
      <c r="Q91" s="7">
        <f t="shared" si="7"/>
        <v>0.9143609972</v>
      </c>
      <c r="R91" s="7">
        <f t="shared" si="8"/>
        <v>0.2693771872</v>
      </c>
      <c r="S91" s="7">
        <f t="shared" si="2"/>
        <v>1.326153873</v>
      </c>
      <c r="T91" s="7">
        <f t="shared" si="3"/>
        <v>0.2063976744</v>
      </c>
      <c r="U91" s="7">
        <f t="shared" si="4"/>
        <v>1</v>
      </c>
      <c r="V91" s="7">
        <f t="shared" si="5"/>
        <v>1</v>
      </c>
      <c r="W91" s="7">
        <f t="shared" ref="W91:X91" si="125">IF(AVERAGE(U31:U90) &gt; 0.25, 1, 0)</f>
        <v>1</v>
      </c>
      <c r="X91" s="7">
        <f t="shared" si="125"/>
        <v>1</v>
      </c>
      <c r="Y91" s="8">
        <v>1.0</v>
      </c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</row>
    <row r="92" ht="22.5" customHeight="1">
      <c r="B92" s="6">
        <v>91.0</v>
      </c>
      <c r="C92" s="6">
        <v>21047.0</v>
      </c>
      <c r="D92" s="6">
        <v>2.44</v>
      </c>
      <c r="E92" s="6">
        <v>-2.22</v>
      </c>
      <c r="F92" s="6">
        <v>10.43</v>
      </c>
      <c r="G92" s="6">
        <v>0.0</v>
      </c>
      <c r="H92" s="6">
        <v>0.16</v>
      </c>
      <c r="I92" s="6">
        <v>1.22</v>
      </c>
      <c r="J92" s="6">
        <v>33.29</v>
      </c>
      <c r="K92" s="7">
        <f t="shared" ref="K92:P92" si="126">abs(D92-D91)/200</f>
        <v>0.01525</v>
      </c>
      <c r="L92" s="7">
        <f t="shared" si="126"/>
        <v>0.0049</v>
      </c>
      <c r="M92" s="7">
        <f t="shared" si="126"/>
        <v>0.00305</v>
      </c>
      <c r="N92" s="7">
        <f t="shared" si="126"/>
        <v>0.00035</v>
      </c>
      <c r="O92" s="7">
        <f t="shared" si="126"/>
        <v>0.001</v>
      </c>
      <c r="P92" s="7">
        <f t="shared" si="126"/>
        <v>0.00515</v>
      </c>
      <c r="Q92" s="7">
        <f t="shared" si="7"/>
        <v>1.024049399</v>
      </c>
      <c r="R92" s="7">
        <f t="shared" si="8"/>
        <v>0.1869171535</v>
      </c>
      <c r="S92" s="7">
        <f t="shared" si="2"/>
        <v>1.139236719</v>
      </c>
      <c r="T92" s="7">
        <f t="shared" si="3"/>
        <v>1.230447073</v>
      </c>
      <c r="U92" s="7">
        <f t="shared" si="4"/>
        <v>1</v>
      </c>
      <c r="V92" s="7">
        <f t="shared" si="5"/>
        <v>1</v>
      </c>
      <c r="W92" s="7">
        <f t="shared" ref="W92:X92" si="127">IF(AVERAGE(U32:U91) &gt; 0.25, 1, 0)</f>
        <v>1</v>
      </c>
      <c r="X92" s="7">
        <f t="shared" si="127"/>
        <v>1</v>
      </c>
      <c r="Y92" s="8">
        <v>1.0</v>
      </c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</row>
    <row r="93" ht="22.5" customHeight="1">
      <c r="B93" s="6">
        <v>92.0</v>
      </c>
      <c r="C93" s="6">
        <v>21251.0</v>
      </c>
      <c r="D93" s="6">
        <v>3.86</v>
      </c>
      <c r="E93" s="6">
        <v>-1.29</v>
      </c>
      <c r="F93" s="6">
        <v>10.58</v>
      </c>
      <c r="G93" s="6">
        <v>-0.18</v>
      </c>
      <c r="H93" s="6">
        <v>0.03</v>
      </c>
      <c r="I93" s="6">
        <v>0.15</v>
      </c>
      <c r="J93" s="6">
        <v>33.29</v>
      </c>
      <c r="K93" s="7">
        <f t="shared" ref="K93:P93" si="128">abs(D93-D92)/200</f>
        <v>0.0071</v>
      </c>
      <c r="L93" s="7">
        <f t="shared" si="128"/>
        <v>0.00465</v>
      </c>
      <c r="M93" s="7">
        <f t="shared" si="128"/>
        <v>0.00075</v>
      </c>
      <c r="N93" s="7">
        <f t="shared" si="128"/>
        <v>0.0009</v>
      </c>
      <c r="O93" s="7">
        <f t="shared" si="128"/>
        <v>0.00065</v>
      </c>
      <c r="P93" s="7">
        <f t="shared" si="128"/>
        <v>0.00535</v>
      </c>
      <c r="Q93" s="7">
        <f t="shared" si="7"/>
        <v>0.994226837</v>
      </c>
      <c r="R93" s="7">
        <f t="shared" si="8"/>
        <v>0.3965517403</v>
      </c>
      <c r="S93" s="7">
        <f t="shared" si="2"/>
        <v>1.53578846</v>
      </c>
      <c r="T93" s="7">
        <f t="shared" si="3"/>
        <v>0.2362202362</v>
      </c>
      <c r="U93" s="7">
        <f t="shared" si="4"/>
        <v>1</v>
      </c>
      <c r="V93" s="7">
        <f t="shared" si="5"/>
        <v>1</v>
      </c>
      <c r="W93" s="7">
        <f t="shared" ref="W93:X93" si="129">IF(AVERAGE(U33:U92) &gt; 0.25, 1, 0)</f>
        <v>1</v>
      </c>
      <c r="X93" s="7">
        <f t="shared" si="129"/>
        <v>1</v>
      </c>
      <c r="Y93" s="8">
        <v>1.0</v>
      </c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</row>
    <row r="94" ht="22.5" customHeight="1">
      <c r="B94" s="6">
        <v>93.0</v>
      </c>
      <c r="C94" s="6">
        <v>21455.0</v>
      </c>
      <c r="D94" s="6">
        <v>3.3</v>
      </c>
      <c r="E94" s="6">
        <v>1.02</v>
      </c>
      <c r="F94" s="6">
        <v>10.46</v>
      </c>
      <c r="G94" s="6">
        <v>-0.19</v>
      </c>
      <c r="H94" s="6">
        <v>-0.13</v>
      </c>
      <c r="I94" s="6">
        <v>-0.55</v>
      </c>
      <c r="J94" s="6">
        <v>33.29</v>
      </c>
      <c r="K94" s="7">
        <f t="shared" ref="K94:P94" si="130">abs(D94-D93)/200</f>
        <v>0.0028</v>
      </c>
      <c r="L94" s="7">
        <f t="shared" si="130"/>
        <v>0.01155</v>
      </c>
      <c r="M94" s="7">
        <f t="shared" si="130"/>
        <v>0.0006</v>
      </c>
      <c r="N94" s="7">
        <f t="shared" si="130"/>
        <v>0.00005</v>
      </c>
      <c r="O94" s="7">
        <f t="shared" si="130"/>
        <v>0.0008</v>
      </c>
      <c r="P94" s="7">
        <f t="shared" si="130"/>
        <v>0.0035</v>
      </c>
      <c r="Q94" s="7">
        <f t="shared" si="7"/>
        <v>0.3600179712</v>
      </c>
      <c r="R94" s="7">
        <f t="shared" si="8"/>
        <v>0.3202539741</v>
      </c>
      <c r="S94" s="7">
        <f t="shared" si="2"/>
        <v>1.215534485</v>
      </c>
      <c r="T94" s="7">
        <f t="shared" si="3"/>
        <v>0.5962382074</v>
      </c>
      <c r="U94" s="7">
        <f t="shared" si="4"/>
        <v>1</v>
      </c>
      <c r="V94" s="7">
        <f t="shared" si="5"/>
        <v>1</v>
      </c>
      <c r="W94" s="7">
        <f t="shared" ref="W94:X94" si="131">IF(AVERAGE(U34:U93) &gt; 0.25, 1, 0)</f>
        <v>1</v>
      </c>
      <c r="X94" s="7">
        <f t="shared" si="131"/>
        <v>1</v>
      </c>
      <c r="Y94" s="8">
        <v>1.0</v>
      </c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</row>
    <row r="95" ht="22.5" customHeight="1">
      <c r="B95" s="6">
        <v>94.0</v>
      </c>
      <c r="C95" s="6">
        <v>21659.0</v>
      </c>
      <c r="D95" s="6">
        <v>-1.03</v>
      </c>
      <c r="E95" s="6">
        <v>1.54</v>
      </c>
      <c r="F95" s="6">
        <v>10.44</v>
      </c>
      <c r="G95" s="6">
        <v>-0.26</v>
      </c>
      <c r="H95" s="6">
        <v>0.17</v>
      </c>
      <c r="I95" s="6">
        <v>-1.31</v>
      </c>
      <c r="J95" s="6">
        <v>33.3</v>
      </c>
      <c r="K95" s="7">
        <f t="shared" ref="K95:P95" si="132">abs(D95-D94)/200</f>
        <v>0.02165</v>
      </c>
      <c r="L95" s="7">
        <f t="shared" si="132"/>
        <v>0.0026</v>
      </c>
      <c r="M95" s="7">
        <f t="shared" si="132"/>
        <v>0.0001</v>
      </c>
      <c r="N95" s="7">
        <f t="shared" si="132"/>
        <v>0.00035</v>
      </c>
      <c r="O95" s="7">
        <f t="shared" si="132"/>
        <v>0.0015</v>
      </c>
      <c r="P95" s="7">
        <f t="shared" si="132"/>
        <v>0.0038</v>
      </c>
      <c r="Q95" s="7">
        <f t="shared" si="7"/>
        <v>0.7500901329</v>
      </c>
      <c r="R95" s="7">
        <f t="shared" si="8"/>
        <v>0.4124170193</v>
      </c>
      <c r="S95" s="7">
        <f t="shared" si="2"/>
        <v>0.8031174661</v>
      </c>
      <c r="T95" s="7">
        <f t="shared" si="3"/>
        <v>1.34632834</v>
      </c>
      <c r="U95" s="7">
        <f t="shared" si="4"/>
        <v>1</v>
      </c>
      <c r="V95" s="7">
        <f t="shared" si="5"/>
        <v>1</v>
      </c>
      <c r="W95" s="7">
        <f t="shared" ref="W95:X95" si="133">IF(AVERAGE(U35:U94) &gt; 0.25, 1, 0)</f>
        <v>1</v>
      </c>
      <c r="X95" s="7">
        <f t="shared" si="133"/>
        <v>1</v>
      </c>
      <c r="Y95" s="8">
        <v>1.0</v>
      </c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</row>
    <row r="96" ht="22.5" customHeight="1">
      <c r="B96" s="6">
        <v>95.0</v>
      </c>
      <c r="C96" s="6">
        <v>21863.0</v>
      </c>
      <c r="D96" s="6">
        <v>-0.46</v>
      </c>
      <c r="E96" s="6">
        <v>-0.18</v>
      </c>
      <c r="F96" s="6">
        <v>11.04</v>
      </c>
      <c r="G96" s="6">
        <v>0.04</v>
      </c>
      <c r="H96" s="6">
        <v>0.05</v>
      </c>
      <c r="I96" s="6">
        <v>0.21</v>
      </c>
      <c r="J96" s="6">
        <v>33.29</v>
      </c>
      <c r="K96" s="7">
        <f t="shared" ref="K96:P96" si="134">abs(D96-D95)/200</f>
        <v>0.00285</v>
      </c>
      <c r="L96" s="7">
        <f t="shared" si="134"/>
        <v>0.0086</v>
      </c>
      <c r="M96" s="7">
        <f t="shared" si="134"/>
        <v>0.003</v>
      </c>
      <c r="N96" s="7">
        <f t="shared" si="134"/>
        <v>0.0015</v>
      </c>
      <c r="O96" s="7">
        <f t="shared" si="134"/>
        <v>0.0006</v>
      </c>
      <c r="P96" s="7">
        <f t="shared" si="134"/>
        <v>0.0076</v>
      </c>
      <c r="Q96" s="7">
        <f t="shared" si="7"/>
        <v>1.126783356</v>
      </c>
      <c r="R96" s="7">
        <f t="shared" si="8"/>
        <v>0.4479277333</v>
      </c>
      <c r="S96" s="7">
        <f t="shared" si="2"/>
        <v>1.251045199</v>
      </c>
      <c r="T96" s="7">
        <f t="shared" si="3"/>
        <v>0.219544984</v>
      </c>
      <c r="U96" s="7">
        <f t="shared" si="4"/>
        <v>1</v>
      </c>
      <c r="V96" s="7">
        <f t="shared" si="5"/>
        <v>1</v>
      </c>
      <c r="W96" s="7">
        <f t="shared" ref="W96:X96" si="135">IF(AVERAGE(U36:U95) &gt; 0.25, 1, 0)</f>
        <v>1</v>
      </c>
      <c r="X96" s="7">
        <f t="shared" si="135"/>
        <v>1</v>
      </c>
      <c r="Y96" s="8">
        <v>1.0</v>
      </c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</row>
    <row r="97" ht="22.5" customHeight="1">
      <c r="B97" s="6">
        <v>96.0</v>
      </c>
      <c r="C97" s="6">
        <v>22067.0</v>
      </c>
      <c r="D97" s="6">
        <v>1.04</v>
      </c>
      <c r="E97" s="6">
        <v>-1.97</v>
      </c>
      <c r="F97" s="6">
        <v>10.54</v>
      </c>
      <c r="G97" s="6">
        <v>0.02</v>
      </c>
      <c r="H97" s="6">
        <v>-0.14</v>
      </c>
      <c r="I97" s="6">
        <v>1.1</v>
      </c>
      <c r="J97" s="6">
        <v>33.31</v>
      </c>
      <c r="K97" s="7">
        <f t="shared" ref="K97:P97" si="136">abs(D97-D96)/200</f>
        <v>0.0075</v>
      </c>
      <c r="L97" s="7">
        <f t="shared" si="136"/>
        <v>0.00895</v>
      </c>
      <c r="M97" s="7">
        <f t="shared" si="136"/>
        <v>0.0025</v>
      </c>
      <c r="N97" s="7">
        <f t="shared" si="136"/>
        <v>0.0001</v>
      </c>
      <c r="O97" s="7">
        <f t="shared" si="136"/>
        <v>0.00095</v>
      </c>
      <c r="P97" s="7">
        <f t="shared" si="136"/>
        <v>0.00445</v>
      </c>
      <c r="Q97" s="7">
        <f t="shared" si="7"/>
        <v>0.8895086666</v>
      </c>
      <c r="R97" s="7">
        <f t="shared" si="8"/>
        <v>0.2782043485</v>
      </c>
      <c r="S97" s="7">
        <f t="shared" si="2"/>
        <v>0.972840851</v>
      </c>
      <c r="T97" s="7">
        <f t="shared" si="3"/>
        <v>1.109053651</v>
      </c>
      <c r="U97" s="7">
        <f t="shared" si="4"/>
        <v>1</v>
      </c>
      <c r="V97" s="7">
        <f t="shared" si="5"/>
        <v>1</v>
      </c>
      <c r="W97" s="7">
        <f t="shared" ref="W97:X97" si="137">IF(AVERAGE(U37:U96) &gt; 0.25, 1, 0)</f>
        <v>1</v>
      </c>
      <c r="X97" s="7">
        <f t="shared" si="137"/>
        <v>1</v>
      </c>
      <c r="Y97" s="8">
        <v>1.0</v>
      </c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</row>
    <row r="98" ht="22.5" customHeight="1">
      <c r="B98" s="6">
        <v>97.0</v>
      </c>
      <c r="C98" s="6">
        <v>22271.0</v>
      </c>
      <c r="D98" s="6">
        <v>4.27</v>
      </c>
      <c r="E98" s="6">
        <v>-1.87</v>
      </c>
      <c r="F98" s="6">
        <v>10.61</v>
      </c>
      <c r="G98" s="6">
        <v>-0.13</v>
      </c>
      <c r="H98" s="6">
        <v>0.09</v>
      </c>
      <c r="I98" s="6">
        <v>0.28</v>
      </c>
      <c r="J98" s="6">
        <v>33.32</v>
      </c>
      <c r="K98" s="7">
        <f t="shared" ref="K98:P98" si="138">abs(D98-D97)/200</f>
        <v>0.01615</v>
      </c>
      <c r="L98" s="7">
        <f t="shared" si="138"/>
        <v>0.0005</v>
      </c>
      <c r="M98" s="7">
        <f t="shared" si="138"/>
        <v>0.00035</v>
      </c>
      <c r="N98" s="7">
        <f t="shared" si="138"/>
        <v>0.00075</v>
      </c>
      <c r="O98" s="7">
        <f t="shared" si="138"/>
        <v>0.00115</v>
      </c>
      <c r="P98" s="7">
        <f t="shared" si="138"/>
        <v>0.0041</v>
      </c>
      <c r="Q98" s="7">
        <f t="shared" si="7"/>
        <v>0.7874949468</v>
      </c>
      <c r="R98" s="7">
        <f t="shared" si="8"/>
        <v>0.8160288092</v>
      </c>
      <c r="S98" s="7">
        <f t="shared" si="2"/>
        <v>1.78886966</v>
      </c>
      <c r="T98" s="7">
        <f t="shared" si="3"/>
        <v>0.3215587038</v>
      </c>
      <c r="U98" s="7">
        <f t="shared" si="4"/>
        <v>1</v>
      </c>
      <c r="V98" s="7">
        <f t="shared" si="5"/>
        <v>1</v>
      </c>
      <c r="W98" s="7">
        <f t="shared" ref="W98:X98" si="139">IF(AVERAGE(U38:U97) &gt; 0.25, 1, 0)</f>
        <v>1</v>
      </c>
      <c r="X98" s="7">
        <f t="shared" si="139"/>
        <v>1</v>
      </c>
      <c r="Y98" s="8">
        <v>1.0</v>
      </c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</row>
    <row r="99" ht="22.5" customHeight="1">
      <c r="B99" s="6">
        <v>98.0</v>
      </c>
      <c r="C99" s="6">
        <v>22475.0</v>
      </c>
      <c r="D99" s="6">
        <v>2.53</v>
      </c>
      <c r="E99" s="6">
        <v>0.58</v>
      </c>
      <c r="F99" s="6">
        <v>10.74</v>
      </c>
      <c r="G99" s="6">
        <v>-0.31</v>
      </c>
      <c r="H99" s="6">
        <v>-0.07</v>
      </c>
      <c r="I99" s="6">
        <v>-0.24</v>
      </c>
      <c r="J99" s="6">
        <v>33.29</v>
      </c>
      <c r="K99" s="7">
        <f t="shared" ref="K99:P99" si="140">abs(D99-D98)/200</f>
        <v>0.0087</v>
      </c>
      <c r="L99" s="7">
        <f t="shared" si="140"/>
        <v>0.01225</v>
      </c>
      <c r="M99" s="7">
        <f t="shared" si="140"/>
        <v>0.00065</v>
      </c>
      <c r="N99" s="7">
        <f t="shared" si="140"/>
        <v>0.0009</v>
      </c>
      <c r="O99" s="7">
        <f t="shared" si="140"/>
        <v>0.0008</v>
      </c>
      <c r="P99" s="7">
        <f t="shared" si="140"/>
        <v>0.0026</v>
      </c>
      <c r="Q99" s="7">
        <f t="shared" si="7"/>
        <v>0.07668745122</v>
      </c>
      <c r="R99" s="7">
        <f t="shared" si="8"/>
        <v>0.5396660689</v>
      </c>
      <c r="S99" s="7">
        <f t="shared" si="2"/>
        <v>1.249203591</v>
      </c>
      <c r="T99" s="7">
        <f t="shared" si="3"/>
        <v>0.398246155</v>
      </c>
      <c r="U99" s="7">
        <f t="shared" si="4"/>
        <v>1</v>
      </c>
      <c r="V99" s="7">
        <f t="shared" si="5"/>
        <v>1</v>
      </c>
      <c r="W99" s="7">
        <f t="shared" ref="W99:X99" si="141">IF(AVERAGE(U39:U98) &gt; 0.25, 1, 0)</f>
        <v>1</v>
      </c>
      <c r="X99" s="7">
        <f t="shared" si="141"/>
        <v>1</v>
      </c>
      <c r="Y99" s="8">
        <v>1.0</v>
      </c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</row>
    <row r="100" ht="22.5" customHeight="1">
      <c r="B100" s="6">
        <v>99.0</v>
      </c>
      <c r="C100" s="6">
        <v>22679.0</v>
      </c>
      <c r="D100" s="6">
        <v>1.61</v>
      </c>
      <c r="E100" s="6">
        <v>1.81</v>
      </c>
      <c r="F100" s="6">
        <v>10.61</v>
      </c>
      <c r="G100" s="6">
        <v>-0.08</v>
      </c>
      <c r="H100" s="6">
        <v>-0.03</v>
      </c>
      <c r="I100" s="6">
        <v>-0.42</v>
      </c>
      <c r="J100" s="6">
        <v>33.31</v>
      </c>
      <c r="K100" s="7">
        <f t="shared" ref="K100:P100" si="142">abs(D100-D99)/200</f>
        <v>0.0046</v>
      </c>
      <c r="L100" s="7">
        <f t="shared" si="142"/>
        <v>0.00615</v>
      </c>
      <c r="M100" s="7">
        <f t="shared" si="142"/>
        <v>0.00065</v>
      </c>
      <c r="N100" s="7">
        <f t="shared" si="142"/>
        <v>0.00115</v>
      </c>
      <c r="O100" s="7">
        <f t="shared" si="142"/>
        <v>0.0002</v>
      </c>
      <c r="P100" s="7">
        <f t="shared" si="142"/>
        <v>0.0009</v>
      </c>
      <c r="Q100" s="7">
        <f t="shared" si="7"/>
        <v>0.0303562248</v>
      </c>
      <c r="R100" s="7">
        <f t="shared" si="8"/>
        <v>0.1661755199</v>
      </c>
      <c r="S100" s="7">
        <f t="shared" si="2"/>
        <v>1.083028071</v>
      </c>
      <c r="T100" s="7">
        <f t="shared" si="3"/>
        <v>0.4286023798</v>
      </c>
      <c r="U100" s="7">
        <f t="shared" si="4"/>
        <v>1</v>
      </c>
      <c r="V100" s="7">
        <f t="shared" si="5"/>
        <v>1</v>
      </c>
      <c r="W100" s="7">
        <f t="shared" ref="W100:X100" si="143">IF(AVERAGE(U40:U99) &gt; 0.25, 1, 0)</f>
        <v>1</v>
      </c>
      <c r="X100" s="7">
        <f t="shared" si="143"/>
        <v>1</v>
      </c>
      <c r="Y100" s="8">
        <v>1.0</v>
      </c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</row>
    <row r="101" ht="22.5" customHeight="1">
      <c r="B101" s="6">
        <v>100.0</v>
      </c>
      <c r="C101" s="6">
        <v>22883.0</v>
      </c>
      <c r="D101" s="6">
        <v>0.28</v>
      </c>
      <c r="E101" s="6">
        <v>1.02</v>
      </c>
      <c r="F101" s="6">
        <v>10.81</v>
      </c>
      <c r="G101" s="6">
        <v>-0.06</v>
      </c>
      <c r="H101" s="6">
        <v>0.03</v>
      </c>
      <c r="I101" s="6">
        <v>-0.3</v>
      </c>
      <c r="J101" s="6">
        <v>33.3</v>
      </c>
      <c r="K101" s="7">
        <f t="shared" ref="K101:P101" si="144">abs(D101-D100)/200</f>
        <v>0.00665</v>
      </c>
      <c r="L101" s="7">
        <f t="shared" si="144"/>
        <v>0.00395</v>
      </c>
      <c r="M101" s="7">
        <f t="shared" si="144"/>
        <v>0.001</v>
      </c>
      <c r="N101" s="7">
        <f t="shared" si="144"/>
        <v>0.0001</v>
      </c>
      <c r="O101" s="7">
        <f t="shared" si="144"/>
        <v>0.0003</v>
      </c>
      <c r="P101" s="7">
        <f t="shared" si="144"/>
        <v>0.0006</v>
      </c>
      <c r="Q101" s="7">
        <f t="shared" si="7"/>
        <v>0.1211938569</v>
      </c>
      <c r="R101" s="7">
        <f t="shared" si="8"/>
        <v>0.02140296266</v>
      </c>
      <c r="S101" s="7">
        <f t="shared" si="2"/>
        <v>1.061625109</v>
      </c>
      <c r="T101" s="7">
        <f t="shared" si="3"/>
        <v>0.307408523</v>
      </c>
      <c r="U101" s="7">
        <f t="shared" si="4"/>
        <v>1</v>
      </c>
      <c r="V101" s="7">
        <f t="shared" si="5"/>
        <v>1</v>
      </c>
      <c r="W101" s="7">
        <f t="shared" ref="W101:X101" si="145">IF(AVERAGE(U41:U100) &gt; 0.25, 1, 0)</f>
        <v>1</v>
      </c>
      <c r="X101" s="7">
        <f t="shared" si="145"/>
        <v>1</v>
      </c>
      <c r="Y101" s="8">
        <v>1.0</v>
      </c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</row>
    <row r="102" ht="22.5" customHeight="1">
      <c r="B102" s="6">
        <v>101.0</v>
      </c>
      <c r="C102" s="6">
        <v>23087.0</v>
      </c>
      <c r="D102" s="6">
        <v>0.46</v>
      </c>
      <c r="E102" s="6">
        <v>-0.89</v>
      </c>
      <c r="F102" s="6">
        <v>10.93</v>
      </c>
      <c r="G102" s="6">
        <v>0.0</v>
      </c>
      <c r="H102" s="6">
        <v>-0.01</v>
      </c>
      <c r="I102" s="6">
        <v>0.22</v>
      </c>
      <c r="J102" s="6">
        <v>33.31</v>
      </c>
      <c r="K102" s="7">
        <f t="shared" ref="K102:P102" si="146">abs(D102-D101)/200</f>
        <v>0.0009</v>
      </c>
      <c r="L102" s="7">
        <f t="shared" si="146"/>
        <v>0.00955</v>
      </c>
      <c r="M102" s="7">
        <f t="shared" si="146"/>
        <v>0.0006</v>
      </c>
      <c r="N102" s="7">
        <f t="shared" si="146"/>
        <v>0.0003</v>
      </c>
      <c r="O102" s="7">
        <f t="shared" si="146"/>
        <v>0.0002</v>
      </c>
      <c r="P102" s="7">
        <f t="shared" si="146"/>
        <v>0.0026</v>
      </c>
      <c r="Q102" s="7">
        <f t="shared" si="7"/>
        <v>0.08718136752</v>
      </c>
      <c r="R102" s="7">
        <f t="shared" si="8"/>
        <v>0.1141937674</v>
      </c>
      <c r="S102" s="7">
        <f t="shared" si="2"/>
        <v>1.175818876</v>
      </c>
      <c r="T102" s="7">
        <f t="shared" si="3"/>
        <v>0.2202271555</v>
      </c>
      <c r="U102" s="7">
        <f t="shared" si="4"/>
        <v>1</v>
      </c>
      <c r="V102" s="7">
        <f t="shared" si="5"/>
        <v>1</v>
      </c>
      <c r="W102" s="7">
        <f t="shared" ref="W102:X102" si="147">IF(AVERAGE(U42:U101) &gt; 0.25, 1, 0)</f>
        <v>1</v>
      </c>
      <c r="X102" s="7">
        <f t="shared" si="147"/>
        <v>1</v>
      </c>
      <c r="Y102" s="8">
        <v>1.0</v>
      </c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</row>
    <row r="103" ht="22.5" customHeight="1">
      <c r="B103" s="6">
        <v>102.0</v>
      </c>
      <c r="C103" s="6">
        <v>23291.0</v>
      </c>
      <c r="D103" s="6">
        <v>1.38</v>
      </c>
      <c r="E103" s="6">
        <v>-2.05</v>
      </c>
      <c r="F103" s="6">
        <v>10.65</v>
      </c>
      <c r="G103" s="6">
        <v>-0.07</v>
      </c>
      <c r="H103" s="6">
        <v>0.13</v>
      </c>
      <c r="I103" s="6">
        <v>0.65</v>
      </c>
      <c r="J103" s="6">
        <v>33.32</v>
      </c>
      <c r="K103" s="7">
        <f t="shared" ref="K103:P103" si="148">abs(D103-D102)/200</f>
        <v>0.0046</v>
      </c>
      <c r="L103" s="7">
        <f t="shared" si="148"/>
        <v>0.0058</v>
      </c>
      <c r="M103" s="7">
        <f t="shared" si="148"/>
        <v>0.0014</v>
      </c>
      <c r="N103" s="7">
        <f t="shared" si="148"/>
        <v>0.00035</v>
      </c>
      <c r="O103" s="7">
        <f t="shared" si="148"/>
        <v>0.0007</v>
      </c>
      <c r="P103" s="7">
        <f t="shared" si="148"/>
        <v>0.00215</v>
      </c>
      <c r="Q103" s="7">
        <f t="shared" si="7"/>
        <v>0.4463311691</v>
      </c>
      <c r="R103" s="7">
        <f t="shared" si="8"/>
        <v>0.04286867952</v>
      </c>
      <c r="S103" s="7">
        <f t="shared" si="2"/>
        <v>1.132950197</v>
      </c>
      <c r="T103" s="7">
        <f t="shared" si="3"/>
        <v>0.6665583245</v>
      </c>
      <c r="U103" s="7">
        <f t="shared" si="4"/>
        <v>1</v>
      </c>
      <c r="V103" s="7">
        <f t="shared" si="5"/>
        <v>1</v>
      </c>
      <c r="W103" s="7">
        <f t="shared" ref="W103:X103" si="149">IF(AVERAGE(U43:U102) &gt; 0.25, 1, 0)</f>
        <v>1</v>
      </c>
      <c r="X103" s="7">
        <f t="shared" si="149"/>
        <v>1</v>
      </c>
      <c r="Y103" s="8">
        <v>1.0</v>
      </c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</row>
    <row r="104" ht="22.5" customHeight="1">
      <c r="B104" s="6">
        <v>103.0</v>
      </c>
      <c r="C104" s="6">
        <v>23495.0</v>
      </c>
      <c r="D104" s="6">
        <v>3.55</v>
      </c>
      <c r="E104" s="6">
        <v>-0.64</v>
      </c>
      <c r="F104" s="6">
        <v>10.58</v>
      </c>
      <c r="G104" s="6">
        <v>-0.19</v>
      </c>
      <c r="H104" s="6">
        <v>0.0</v>
      </c>
      <c r="I104" s="6">
        <v>0.14</v>
      </c>
      <c r="J104" s="6">
        <v>33.3</v>
      </c>
      <c r="K104" s="7">
        <f t="shared" ref="K104:P104" si="150">abs(D104-D103)/200</f>
        <v>0.01085</v>
      </c>
      <c r="L104" s="7">
        <f t="shared" si="150"/>
        <v>0.00705</v>
      </c>
      <c r="M104" s="7">
        <f t="shared" si="150"/>
        <v>0.00035</v>
      </c>
      <c r="N104" s="7">
        <f t="shared" si="150"/>
        <v>0.0006</v>
      </c>
      <c r="O104" s="7">
        <f t="shared" si="150"/>
        <v>0.00065</v>
      </c>
      <c r="P104" s="7">
        <f t="shared" si="150"/>
        <v>0.00255</v>
      </c>
      <c r="Q104" s="7">
        <f t="shared" si="7"/>
        <v>0.4305498501</v>
      </c>
      <c r="R104" s="7">
        <f t="shared" si="8"/>
        <v>0.2450863037</v>
      </c>
      <c r="S104" s="7">
        <f t="shared" si="2"/>
        <v>1.3780365</v>
      </c>
      <c r="T104" s="7">
        <f t="shared" si="3"/>
        <v>0.2360084744</v>
      </c>
      <c r="U104" s="7">
        <f t="shared" si="4"/>
        <v>1</v>
      </c>
      <c r="V104" s="7">
        <f t="shared" si="5"/>
        <v>1</v>
      </c>
      <c r="W104" s="7">
        <f t="shared" ref="W104:X104" si="151">IF(AVERAGE(U44:U103) &gt; 0.25, 1, 0)</f>
        <v>1</v>
      </c>
      <c r="X104" s="7">
        <f t="shared" si="151"/>
        <v>1</v>
      </c>
      <c r="Y104" s="8">
        <v>1.0</v>
      </c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</row>
    <row r="105" ht="22.5" customHeight="1">
      <c r="B105" s="6">
        <v>104.0</v>
      </c>
      <c r="C105" s="6">
        <v>23699.0</v>
      </c>
      <c r="D105" s="6">
        <v>2.29</v>
      </c>
      <c r="E105" s="6">
        <v>1.49</v>
      </c>
      <c r="F105" s="6">
        <v>10.57</v>
      </c>
      <c r="G105" s="6">
        <v>-0.17</v>
      </c>
      <c r="H105" s="6">
        <v>-0.12</v>
      </c>
      <c r="I105" s="6">
        <v>-0.43</v>
      </c>
      <c r="J105" s="6">
        <v>33.32</v>
      </c>
      <c r="K105" s="7">
        <f t="shared" ref="K105:P105" si="152">abs(D105-D104)/200</f>
        <v>0.0063</v>
      </c>
      <c r="L105" s="7">
        <f t="shared" si="152"/>
        <v>0.01065</v>
      </c>
      <c r="M105" s="7">
        <f t="shared" si="152"/>
        <v>0.00005</v>
      </c>
      <c r="N105" s="7">
        <f t="shared" si="152"/>
        <v>0.0001</v>
      </c>
      <c r="O105" s="7">
        <f t="shared" si="152"/>
        <v>0.0006</v>
      </c>
      <c r="P105" s="7">
        <f t="shared" si="152"/>
        <v>0.00285</v>
      </c>
      <c r="Q105" s="7">
        <f t="shared" si="7"/>
        <v>0.2416943621</v>
      </c>
      <c r="R105" s="7">
        <f t="shared" si="8"/>
        <v>0.2606604418</v>
      </c>
      <c r="S105" s="7">
        <f t="shared" si="2"/>
        <v>1.117376058</v>
      </c>
      <c r="T105" s="7">
        <f t="shared" si="3"/>
        <v>0.4777028365</v>
      </c>
      <c r="U105" s="7">
        <f t="shared" si="4"/>
        <v>1</v>
      </c>
      <c r="V105" s="7">
        <f t="shared" si="5"/>
        <v>1</v>
      </c>
      <c r="W105" s="7">
        <f t="shared" ref="W105:X105" si="153">IF(AVERAGE(U45:U104) &gt; 0.25, 1, 0)</f>
        <v>1</v>
      </c>
      <c r="X105" s="7">
        <f t="shared" si="153"/>
        <v>1</v>
      </c>
      <c r="Y105" s="8">
        <v>1.0</v>
      </c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</row>
    <row r="106" ht="22.5" customHeight="1">
      <c r="B106" s="6">
        <v>105.0</v>
      </c>
      <c r="C106" s="6">
        <v>23903.0</v>
      </c>
      <c r="D106" s="6">
        <v>1.0</v>
      </c>
      <c r="E106" s="6">
        <v>1.06</v>
      </c>
      <c r="F106" s="6">
        <v>10.63</v>
      </c>
      <c r="G106" s="6">
        <v>-0.06</v>
      </c>
      <c r="H106" s="6">
        <v>0.07</v>
      </c>
      <c r="I106" s="6">
        <v>-0.55</v>
      </c>
      <c r="J106" s="6">
        <v>33.31</v>
      </c>
      <c r="K106" s="7">
        <f t="shared" ref="K106:P106" si="154">abs(D106-D105)/200</f>
        <v>0.00645</v>
      </c>
      <c r="L106" s="7">
        <f t="shared" si="154"/>
        <v>0.00215</v>
      </c>
      <c r="M106" s="7">
        <f t="shared" si="154"/>
        <v>0.0003</v>
      </c>
      <c r="N106" s="7">
        <f t="shared" si="154"/>
        <v>0.00055</v>
      </c>
      <c r="O106" s="7">
        <f t="shared" si="154"/>
        <v>0.00095</v>
      </c>
      <c r="P106" s="7">
        <f t="shared" si="154"/>
        <v>0.0006</v>
      </c>
      <c r="Q106" s="7">
        <f t="shared" si="7"/>
        <v>0.07997090324</v>
      </c>
      <c r="R106" s="7">
        <f t="shared" si="8"/>
        <v>0.1879538931</v>
      </c>
      <c r="S106" s="7">
        <f t="shared" si="2"/>
        <v>0.9294221652</v>
      </c>
      <c r="T106" s="7">
        <f t="shared" si="3"/>
        <v>0.5576737397</v>
      </c>
      <c r="U106" s="7">
        <f t="shared" si="4"/>
        <v>1</v>
      </c>
      <c r="V106" s="7">
        <f t="shared" si="5"/>
        <v>1</v>
      </c>
      <c r="W106" s="7">
        <f t="shared" ref="W106:X106" si="155">IF(AVERAGE(U46:U105) &gt; 0.25, 1, 0)</f>
        <v>1</v>
      </c>
      <c r="X106" s="7">
        <f t="shared" si="155"/>
        <v>1</v>
      </c>
      <c r="Y106" s="8">
        <v>1.0</v>
      </c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</row>
    <row r="107" ht="22.5" customHeight="1">
      <c r="B107" s="6">
        <v>106.0</v>
      </c>
      <c r="C107" s="6">
        <v>24107.0</v>
      </c>
      <c r="D107" s="6">
        <v>0.21</v>
      </c>
      <c r="E107" s="6">
        <v>-0.16</v>
      </c>
      <c r="F107" s="6">
        <v>10.75</v>
      </c>
      <c r="G107" s="6">
        <v>-0.02</v>
      </c>
      <c r="H107" s="6">
        <v>-0.03</v>
      </c>
      <c r="I107" s="6">
        <v>-0.04</v>
      </c>
      <c r="J107" s="6">
        <v>33.31</v>
      </c>
      <c r="K107" s="7">
        <f t="shared" ref="K107:P107" si="156">abs(D107-D106)/200</f>
        <v>0.00395</v>
      </c>
      <c r="L107" s="7">
        <f t="shared" si="156"/>
        <v>0.0061</v>
      </c>
      <c r="M107" s="7">
        <f t="shared" si="156"/>
        <v>0.0006</v>
      </c>
      <c r="N107" s="7">
        <f t="shared" si="156"/>
        <v>0.0002</v>
      </c>
      <c r="O107" s="7">
        <f t="shared" si="156"/>
        <v>0.0005</v>
      </c>
      <c r="P107" s="7">
        <f t="shared" si="156"/>
        <v>0.00255</v>
      </c>
      <c r="Q107" s="7">
        <f t="shared" si="7"/>
        <v>0.5038220917</v>
      </c>
      <c r="R107" s="7">
        <f t="shared" si="8"/>
        <v>0.02381920655</v>
      </c>
      <c r="S107" s="7">
        <f t="shared" si="2"/>
        <v>0.9532413718</v>
      </c>
      <c r="T107" s="7">
        <f t="shared" si="3"/>
        <v>0.05385164807</v>
      </c>
      <c r="U107" s="7">
        <f t="shared" si="4"/>
        <v>1</v>
      </c>
      <c r="V107" s="7">
        <f t="shared" si="5"/>
        <v>1</v>
      </c>
      <c r="W107" s="7">
        <f t="shared" ref="W107:X107" si="157">IF(AVERAGE(U47:U106) &gt; 0.25, 1, 0)</f>
        <v>1</v>
      </c>
      <c r="X107" s="7">
        <f t="shared" si="157"/>
        <v>1</v>
      </c>
      <c r="Y107" s="8">
        <v>1.0</v>
      </c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</row>
    <row r="108" ht="22.5" customHeight="1">
      <c r="B108" s="6">
        <v>107.0</v>
      </c>
      <c r="C108" s="6">
        <v>24311.0</v>
      </c>
      <c r="D108" s="6">
        <v>1.75</v>
      </c>
      <c r="E108" s="6">
        <v>-1.33</v>
      </c>
      <c r="F108" s="6">
        <v>10.63</v>
      </c>
      <c r="G108" s="6">
        <v>-0.05</v>
      </c>
      <c r="H108" s="6">
        <v>-0.08</v>
      </c>
      <c r="I108" s="6">
        <v>0.5</v>
      </c>
      <c r="J108" s="6">
        <v>33.32</v>
      </c>
      <c r="K108" s="7">
        <f t="shared" ref="K108:P108" si="158">abs(D108-D107)/200</f>
        <v>0.0077</v>
      </c>
      <c r="L108" s="7">
        <f t="shared" si="158"/>
        <v>0.00585</v>
      </c>
      <c r="M108" s="7">
        <f t="shared" si="158"/>
        <v>0.0006</v>
      </c>
      <c r="N108" s="7">
        <f t="shared" si="158"/>
        <v>0.00015</v>
      </c>
      <c r="O108" s="7">
        <f t="shared" si="158"/>
        <v>0.00025</v>
      </c>
      <c r="P108" s="7">
        <f t="shared" si="158"/>
        <v>0.0027</v>
      </c>
      <c r="Q108" s="7">
        <f t="shared" si="7"/>
        <v>0.4549705213</v>
      </c>
      <c r="R108" s="7">
        <f t="shared" si="8"/>
        <v>0.1016331093</v>
      </c>
      <c r="S108" s="7">
        <f t="shared" si="2"/>
        <v>1.054874481</v>
      </c>
      <c r="T108" s="7">
        <f t="shared" si="3"/>
        <v>0.5088221693</v>
      </c>
      <c r="U108" s="7">
        <f t="shared" si="4"/>
        <v>1</v>
      </c>
      <c r="V108" s="7">
        <f t="shared" si="5"/>
        <v>1</v>
      </c>
      <c r="W108" s="7">
        <f t="shared" ref="W108:X108" si="159">IF(AVERAGE(U48:U107) &gt; 0.25, 1, 0)</f>
        <v>1</v>
      </c>
      <c r="X108" s="7">
        <f t="shared" si="159"/>
        <v>1</v>
      </c>
      <c r="Y108" s="8">
        <v>1.0</v>
      </c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</row>
    <row r="109" ht="22.5" customHeight="1">
      <c r="B109" s="6">
        <v>108.0</v>
      </c>
      <c r="C109" s="6">
        <v>24515.0</v>
      </c>
      <c r="D109" s="6">
        <v>2.79</v>
      </c>
      <c r="E109" s="6">
        <v>-1.45</v>
      </c>
      <c r="F109" s="6">
        <v>10.57</v>
      </c>
      <c r="G109" s="6">
        <v>-0.14</v>
      </c>
      <c r="H109" s="6">
        <v>-0.04</v>
      </c>
      <c r="I109" s="6">
        <v>0.08</v>
      </c>
      <c r="J109" s="6">
        <v>33.31</v>
      </c>
      <c r="K109" s="7">
        <f t="shared" ref="K109:P109" si="160">abs(D109-D108)/200</f>
        <v>0.0052</v>
      </c>
      <c r="L109" s="7">
        <f t="shared" si="160"/>
        <v>0.0006</v>
      </c>
      <c r="M109" s="7">
        <f t="shared" si="160"/>
        <v>0.0003</v>
      </c>
      <c r="N109" s="7">
        <f t="shared" si="160"/>
        <v>0.00045</v>
      </c>
      <c r="O109" s="7">
        <f t="shared" si="160"/>
        <v>0.0002</v>
      </c>
      <c r="P109" s="7">
        <f t="shared" si="160"/>
        <v>0.0021</v>
      </c>
      <c r="Q109" s="7">
        <f t="shared" si="7"/>
        <v>0.3426896921</v>
      </c>
      <c r="R109" s="7">
        <f t="shared" si="8"/>
        <v>0.1728859443</v>
      </c>
      <c r="S109" s="7">
        <f t="shared" si="2"/>
        <v>1.227760425</v>
      </c>
      <c r="T109" s="7">
        <f t="shared" si="3"/>
        <v>0.1661324773</v>
      </c>
      <c r="U109" s="7">
        <f t="shared" si="4"/>
        <v>1</v>
      </c>
      <c r="V109" s="7">
        <f t="shared" si="5"/>
        <v>1</v>
      </c>
      <c r="W109" s="7">
        <f t="shared" ref="W109:X109" si="161">IF(AVERAGE(U49:U108) &gt; 0.25, 1, 0)</f>
        <v>1</v>
      </c>
      <c r="X109" s="7">
        <f t="shared" si="161"/>
        <v>1</v>
      </c>
      <c r="Y109" s="8">
        <v>1.0</v>
      </c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ht="22.5" customHeight="1">
      <c r="B110" s="6">
        <v>109.0</v>
      </c>
      <c r="C110" s="6">
        <v>24719.0</v>
      </c>
      <c r="D110" s="6">
        <v>1.76</v>
      </c>
      <c r="E110" s="6">
        <v>1.94</v>
      </c>
      <c r="F110" s="6">
        <v>10.58</v>
      </c>
      <c r="G110" s="6">
        <v>-0.18</v>
      </c>
      <c r="H110" s="6">
        <v>0.05</v>
      </c>
      <c r="I110" s="6">
        <v>-0.08</v>
      </c>
      <c r="J110" s="6">
        <v>33.3</v>
      </c>
      <c r="K110" s="7">
        <f t="shared" ref="K110:P110" si="162">abs(D110-D109)/200</f>
        <v>0.00515</v>
      </c>
      <c r="L110" s="7">
        <f t="shared" si="162"/>
        <v>0.01695</v>
      </c>
      <c r="M110" s="7">
        <f t="shared" si="162"/>
        <v>0.00005</v>
      </c>
      <c r="N110" s="7">
        <f t="shared" si="162"/>
        <v>0.0002</v>
      </c>
      <c r="O110" s="7">
        <f t="shared" si="162"/>
        <v>0.00045</v>
      </c>
      <c r="P110" s="7">
        <f t="shared" si="162"/>
        <v>0.0008</v>
      </c>
      <c r="Q110" s="7">
        <f t="shared" si="7"/>
        <v>0.03709153707</v>
      </c>
      <c r="R110" s="7">
        <f t="shared" si="8"/>
        <v>0.1283292476</v>
      </c>
      <c r="S110" s="7">
        <f t="shared" si="2"/>
        <v>1.099431178</v>
      </c>
      <c r="T110" s="7">
        <f t="shared" si="3"/>
        <v>0.2032240143</v>
      </c>
      <c r="U110" s="7">
        <f t="shared" si="4"/>
        <v>1</v>
      </c>
      <c r="V110" s="7">
        <f t="shared" si="5"/>
        <v>1</v>
      </c>
      <c r="W110" s="7">
        <f t="shared" ref="W110:X110" si="163">IF(AVERAGE(U50:U109) &gt; 0.25, 1, 0)</f>
        <v>1</v>
      </c>
      <c r="X110" s="7">
        <f t="shared" si="163"/>
        <v>1</v>
      </c>
      <c r="Y110" s="8">
        <v>1.0</v>
      </c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</row>
    <row r="111" ht="22.5" customHeight="1">
      <c r="B111" s="6">
        <v>110.0</v>
      </c>
      <c r="C111" s="6">
        <v>24923.0</v>
      </c>
      <c r="D111" s="6">
        <v>1.3</v>
      </c>
      <c r="E111" s="6">
        <v>1.64</v>
      </c>
      <c r="F111" s="6">
        <v>10.59</v>
      </c>
      <c r="G111" s="6">
        <v>-0.04</v>
      </c>
      <c r="H111" s="6">
        <v>-0.02</v>
      </c>
      <c r="I111" s="6">
        <v>0.05</v>
      </c>
      <c r="J111" s="6">
        <v>33.32</v>
      </c>
      <c r="K111" s="7">
        <f t="shared" ref="K111:P111" si="164">abs(D111-D110)/200</f>
        <v>0.0023</v>
      </c>
      <c r="L111" s="7">
        <f t="shared" si="164"/>
        <v>0.0015</v>
      </c>
      <c r="M111" s="7">
        <f t="shared" si="164"/>
        <v>0.00005</v>
      </c>
      <c r="N111" s="7">
        <f t="shared" si="164"/>
        <v>0.0007</v>
      </c>
      <c r="O111" s="7">
        <f t="shared" si="164"/>
        <v>0.00035</v>
      </c>
      <c r="P111" s="7">
        <f t="shared" si="164"/>
        <v>0.00065</v>
      </c>
      <c r="Q111" s="7">
        <f t="shared" si="7"/>
        <v>0.136141975</v>
      </c>
      <c r="R111" s="7">
        <f t="shared" si="8"/>
        <v>0.1046315039</v>
      </c>
      <c r="S111" s="7">
        <f t="shared" si="2"/>
        <v>0.9947996739</v>
      </c>
      <c r="T111" s="7">
        <f t="shared" si="3"/>
        <v>0.06708203932</v>
      </c>
      <c r="U111" s="7">
        <f t="shared" si="4"/>
        <v>1</v>
      </c>
      <c r="V111" s="7">
        <f t="shared" si="5"/>
        <v>1</v>
      </c>
      <c r="W111" s="7">
        <f t="shared" ref="W111:X111" si="165">IF(AVERAGE(U51:U110) &gt; 0.25, 1, 0)</f>
        <v>1</v>
      </c>
      <c r="X111" s="7">
        <f t="shared" si="165"/>
        <v>1</v>
      </c>
      <c r="Y111" s="8">
        <v>1.0</v>
      </c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</row>
    <row r="112" ht="22.5" customHeight="1">
      <c r="B112" s="6">
        <v>111.0</v>
      </c>
      <c r="C112" s="6">
        <v>25127.0</v>
      </c>
      <c r="D112" s="6">
        <v>2.96</v>
      </c>
      <c r="E112" s="6">
        <v>-0.96</v>
      </c>
      <c r="F112" s="6">
        <v>10.58</v>
      </c>
      <c r="G112" s="6">
        <v>0.02</v>
      </c>
      <c r="H112" s="6">
        <v>-0.01</v>
      </c>
      <c r="I112" s="6">
        <v>0.75</v>
      </c>
      <c r="J112" s="6">
        <v>33.32</v>
      </c>
      <c r="K112" s="7">
        <f t="shared" ref="K112:P112" si="166">abs(D112-D111)/200</f>
        <v>0.0083</v>
      </c>
      <c r="L112" s="7">
        <f t="shared" si="166"/>
        <v>0.013</v>
      </c>
      <c r="M112" s="7">
        <f t="shared" si="166"/>
        <v>0.00005</v>
      </c>
      <c r="N112" s="7">
        <f t="shared" si="166"/>
        <v>0.0003</v>
      </c>
      <c r="O112" s="7">
        <f t="shared" si="166"/>
        <v>0.00005</v>
      </c>
      <c r="P112" s="7">
        <f t="shared" si="166"/>
        <v>0.0035</v>
      </c>
      <c r="Q112" s="7">
        <f t="shared" si="7"/>
        <v>0.68325122</v>
      </c>
      <c r="R112" s="7">
        <f t="shared" si="8"/>
        <v>0.2333280004</v>
      </c>
      <c r="S112" s="7">
        <f t="shared" si="2"/>
        <v>1.228127674</v>
      </c>
      <c r="T112" s="7">
        <f t="shared" si="3"/>
        <v>0.7503332593</v>
      </c>
      <c r="U112" s="7">
        <f t="shared" si="4"/>
        <v>1</v>
      </c>
      <c r="V112" s="7">
        <f t="shared" si="5"/>
        <v>1</v>
      </c>
      <c r="W112" s="7">
        <f t="shared" ref="W112:X112" si="167">IF(AVERAGE(U52:U111) &gt; 0.25, 1, 0)</f>
        <v>1</v>
      </c>
      <c r="X112" s="7">
        <f t="shared" si="167"/>
        <v>1</v>
      </c>
      <c r="Y112" s="8">
        <v>1.0</v>
      </c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</row>
    <row r="113" ht="22.5" customHeight="1">
      <c r="B113" s="6">
        <v>112.0</v>
      </c>
      <c r="C113" s="6">
        <v>25331.0</v>
      </c>
      <c r="D113" s="6">
        <v>2.87</v>
      </c>
      <c r="E113" s="6">
        <v>-2.77</v>
      </c>
      <c r="F113" s="6">
        <v>10.38</v>
      </c>
      <c r="G113" s="6">
        <v>-0.17</v>
      </c>
      <c r="H113" s="6">
        <v>0.01</v>
      </c>
      <c r="I113" s="6">
        <v>-1.25</v>
      </c>
      <c r="J113" s="6">
        <v>33.32</v>
      </c>
      <c r="K113" s="7">
        <f t="shared" ref="K113:P113" si="168">abs(D113-D112)/200</f>
        <v>0.00045</v>
      </c>
      <c r="L113" s="7">
        <f t="shared" si="168"/>
        <v>0.00905</v>
      </c>
      <c r="M113" s="7">
        <f t="shared" si="168"/>
        <v>0.001</v>
      </c>
      <c r="N113" s="7">
        <f t="shared" si="168"/>
        <v>0.00095</v>
      </c>
      <c r="O113" s="7">
        <f t="shared" si="168"/>
        <v>0.0001</v>
      </c>
      <c r="P113" s="7">
        <f t="shared" si="168"/>
        <v>0.01</v>
      </c>
      <c r="Q113" s="7">
        <f t="shared" si="7"/>
        <v>0.5112134105</v>
      </c>
      <c r="R113" s="7">
        <f t="shared" si="8"/>
        <v>0.09186333292</v>
      </c>
      <c r="S113" s="7">
        <f t="shared" si="2"/>
        <v>1.319991007</v>
      </c>
      <c r="T113" s="7">
        <f t="shared" si="3"/>
        <v>1.26154667</v>
      </c>
      <c r="U113" s="7">
        <f t="shared" si="4"/>
        <v>1</v>
      </c>
      <c r="V113" s="7">
        <f t="shared" si="5"/>
        <v>1</v>
      </c>
      <c r="W113" s="7">
        <f t="shared" ref="W113:X113" si="169">IF(AVERAGE(U53:U112) &gt; 0.25, 1, 0)</f>
        <v>1</v>
      </c>
      <c r="X113" s="7">
        <f t="shared" si="169"/>
        <v>1</v>
      </c>
      <c r="Y113" s="8">
        <v>1.0</v>
      </c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ht="22.5" customHeight="1">
      <c r="B114" s="6">
        <v>113.0</v>
      </c>
      <c r="C114" s="6">
        <v>25535.0</v>
      </c>
      <c r="D114" s="6">
        <v>-0.01</v>
      </c>
      <c r="E114" s="6">
        <v>-0.64</v>
      </c>
      <c r="F114" s="6">
        <v>10.68</v>
      </c>
      <c r="G114" s="6">
        <v>-0.47</v>
      </c>
      <c r="H114" s="6">
        <v>0.1</v>
      </c>
      <c r="I114" s="6">
        <v>-1.72</v>
      </c>
      <c r="J114" s="6">
        <v>33.32</v>
      </c>
      <c r="K114" s="7">
        <f t="shared" ref="K114:P114" si="170">abs(D114-D113)/200</f>
        <v>0.0144</v>
      </c>
      <c r="L114" s="7">
        <f t="shared" si="170"/>
        <v>0.01065</v>
      </c>
      <c r="M114" s="7">
        <f t="shared" si="170"/>
        <v>0.0015</v>
      </c>
      <c r="N114" s="7">
        <f t="shared" si="170"/>
        <v>0.0015</v>
      </c>
      <c r="O114" s="7">
        <f t="shared" si="170"/>
        <v>0.00045</v>
      </c>
      <c r="P114" s="7">
        <f t="shared" si="170"/>
        <v>0.00235</v>
      </c>
      <c r="Q114" s="7">
        <f t="shared" si="7"/>
        <v>0.5243144671</v>
      </c>
      <c r="R114" s="7">
        <f t="shared" si="8"/>
        <v>0.4208274885</v>
      </c>
      <c r="S114" s="7">
        <f t="shared" si="2"/>
        <v>0.8991635187</v>
      </c>
      <c r="T114" s="7">
        <f t="shared" si="3"/>
        <v>1.785861137</v>
      </c>
      <c r="U114" s="7">
        <f t="shared" si="4"/>
        <v>1</v>
      </c>
      <c r="V114" s="7">
        <f t="shared" si="5"/>
        <v>1</v>
      </c>
      <c r="W114" s="7">
        <f t="shared" ref="W114:X114" si="171">IF(AVERAGE(U54:U113) &gt; 0.25, 1, 0)</f>
        <v>1</v>
      </c>
      <c r="X114" s="7">
        <f t="shared" si="171"/>
        <v>1</v>
      </c>
      <c r="Y114" s="8">
        <v>1.0</v>
      </c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</row>
    <row r="115" ht="22.5" customHeight="1">
      <c r="B115" s="6">
        <v>114.0</v>
      </c>
      <c r="C115" s="6">
        <v>25739.0</v>
      </c>
      <c r="D115" s="6">
        <v>0.16</v>
      </c>
      <c r="E115" s="6">
        <v>1.62</v>
      </c>
      <c r="F115" s="6">
        <v>10.61</v>
      </c>
      <c r="G115" s="6">
        <v>-0.12</v>
      </c>
      <c r="H115" s="6">
        <v>0.02</v>
      </c>
      <c r="I115" s="6">
        <v>-0.23</v>
      </c>
      <c r="J115" s="6">
        <v>33.32</v>
      </c>
      <c r="K115" s="7">
        <f t="shared" ref="K115:P115" si="172">abs(D115-D114)/200</f>
        <v>0.00085</v>
      </c>
      <c r="L115" s="7">
        <f t="shared" si="172"/>
        <v>0.0113</v>
      </c>
      <c r="M115" s="7">
        <f t="shared" si="172"/>
        <v>0.00035</v>
      </c>
      <c r="N115" s="7">
        <f t="shared" si="172"/>
        <v>0.00175</v>
      </c>
      <c r="O115" s="7">
        <f t="shared" si="172"/>
        <v>0.0004</v>
      </c>
      <c r="P115" s="7">
        <f t="shared" si="172"/>
        <v>0.00745</v>
      </c>
      <c r="Q115" s="7">
        <f t="shared" si="7"/>
        <v>1.5256689</v>
      </c>
      <c r="R115" s="7">
        <f t="shared" si="8"/>
        <v>0.03499224689</v>
      </c>
      <c r="S115" s="7">
        <f t="shared" si="2"/>
        <v>0.9341557656</v>
      </c>
      <c r="T115" s="7">
        <f t="shared" si="3"/>
        <v>0.2601922366</v>
      </c>
      <c r="U115" s="7">
        <f t="shared" si="4"/>
        <v>1</v>
      </c>
      <c r="V115" s="7">
        <f t="shared" si="5"/>
        <v>1</v>
      </c>
      <c r="W115" s="7">
        <f t="shared" ref="W115:X115" si="173">IF(AVERAGE(U55:U114) &gt; 0.25, 1, 0)</f>
        <v>1</v>
      </c>
      <c r="X115" s="7">
        <f t="shared" si="173"/>
        <v>1</v>
      </c>
      <c r="Y115" s="8">
        <v>1.0</v>
      </c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</row>
    <row r="116" ht="22.5" customHeight="1">
      <c r="B116" s="6">
        <v>115.0</v>
      </c>
      <c r="C116" s="6">
        <v>25943.0</v>
      </c>
      <c r="D116" s="6">
        <v>0.05</v>
      </c>
      <c r="E116" s="6">
        <v>0.39</v>
      </c>
      <c r="F116" s="6">
        <v>10.89</v>
      </c>
      <c r="G116" s="6">
        <v>0.13</v>
      </c>
      <c r="H116" s="6">
        <v>-0.1</v>
      </c>
      <c r="I116" s="6">
        <v>0.74</v>
      </c>
      <c r="J116" s="6">
        <v>33.32</v>
      </c>
      <c r="K116" s="7">
        <f t="shared" ref="K116:P116" si="174">abs(D116-D115)/200</f>
        <v>0.00055</v>
      </c>
      <c r="L116" s="7">
        <f t="shared" si="174"/>
        <v>0.00615</v>
      </c>
      <c r="M116" s="7">
        <f t="shared" si="174"/>
        <v>0.0014</v>
      </c>
      <c r="N116" s="7">
        <f t="shared" si="174"/>
        <v>0.00125</v>
      </c>
      <c r="O116" s="7">
        <f t="shared" si="174"/>
        <v>0.0006</v>
      </c>
      <c r="P116" s="7">
        <f t="shared" si="174"/>
        <v>0.00485</v>
      </c>
      <c r="Q116" s="7">
        <f t="shared" si="7"/>
        <v>0.4977655458</v>
      </c>
      <c r="R116" s="7">
        <f t="shared" si="8"/>
        <v>0.1629401778</v>
      </c>
      <c r="S116" s="7">
        <f t="shared" si="2"/>
        <v>1.097095943</v>
      </c>
      <c r="T116" s="7">
        <f t="shared" si="3"/>
        <v>0.7579577825</v>
      </c>
      <c r="U116" s="7">
        <f t="shared" si="4"/>
        <v>1</v>
      </c>
      <c r="V116" s="7">
        <f t="shared" si="5"/>
        <v>1</v>
      </c>
      <c r="W116" s="7">
        <f t="shared" ref="W116:X116" si="175">IF(AVERAGE(U56:U115) &gt; 0.25, 1, 0)</f>
        <v>1</v>
      </c>
      <c r="X116" s="7">
        <f t="shared" si="175"/>
        <v>1</v>
      </c>
      <c r="Y116" s="8">
        <v>1.0</v>
      </c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</row>
    <row r="117" ht="22.5" customHeight="1">
      <c r="B117" s="6">
        <v>116.0</v>
      </c>
      <c r="C117" s="6">
        <v>26147.0</v>
      </c>
      <c r="D117" s="6">
        <v>3.85</v>
      </c>
      <c r="E117" s="6">
        <v>-2.5</v>
      </c>
      <c r="F117" s="6">
        <v>10.41</v>
      </c>
      <c r="G117" s="6">
        <v>0.01</v>
      </c>
      <c r="H117" s="6">
        <v>0.12</v>
      </c>
      <c r="I117" s="6">
        <v>1.25</v>
      </c>
      <c r="J117" s="6">
        <v>33.32</v>
      </c>
      <c r="K117" s="7">
        <f t="shared" ref="K117:P117" si="176">abs(D117-D116)/200</f>
        <v>0.019</v>
      </c>
      <c r="L117" s="7">
        <f t="shared" si="176"/>
        <v>0.01445</v>
      </c>
      <c r="M117" s="7">
        <f t="shared" si="176"/>
        <v>0.0024</v>
      </c>
      <c r="N117" s="7">
        <f t="shared" si="176"/>
        <v>0.0006</v>
      </c>
      <c r="O117" s="7">
        <f t="shared" si="176"/>
        <v>0.0011</v>
      </c>
      <c r="P117" s="7">
        <f t="shared" si="176"/>
        <v>0.00255</v>
      </c>
      <c r="Q117" s="7">
        <f t="shared" si="7"/>
        <v>0.4978288236</v>
      </c>
      <c r="R117" s="7">
        <f t="shared" si="8"/>
        <v>0.4801005478</v>
      </c>
      <c r="S117" s="7">
        <f t="shared" si="2"/>
        <v>1.577196491</v>
      </c>
      <c r="T117" s="7">
        <f t="shared" si="3"/>
        <v>1.255786606</v>
      </c>
      <c r="U117" s="7">
        <f t="shared" si="4"/>
        <v>1</v>
      </c>
      <c r="V117" s="7">
        <f t="shared" si="5"/>
        <v>1</v>
      </c>
      <c r="W117" s="7">
        <f t="shared" ref="W117:X117" si="177">IF(AVERAGE(U57:U116) &gt; 0.25, 1, 0)</f>
        <v>1</v>
      </c>
      <c r="X117" s="7">
        <f t="shared" si="177"/>
        <v>1</v>
      </c>
      <c r="Y117" s="8">
        <v>1.0</v>
      </c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ht="22.5" customHeight="1">
      <c r="B118" s="6">
        <v>117.0</v>
      </c>
      <c r="C118" s="6">
        <v>26351.0</v>
      </c>
      <c r="D118" s="6">
        <v>2.7</v>
      </c>
      <c r="E118" s="6">
        <v>-1.06</v>
      </c>
      <c r="F118" s="6">
        <v>10.64</v>
      </c>
      <c r="G118" s="6">
        <v>-0.16</v>
      </c>
      <c r="H118" s="6">
        <v>0.04</v>
      </c>
      <c r="I118" s="6">
        <v>0.24</v>
      </c>
      <c r="J118" s="6">
        <v>33.32</v>
      </c>
      <c r="K118" s="7">
        <f t="shared" ref="K118:P118" si="178">abs(D118-D117)/200</f>
        <v>0.00575</v>
      </c>
      <c r="L118" s="7">
        <f t="shared" si="178"/>
        <v>0.0072</v>
      </c>
      <c r="M118" s="7">
        <f t="shared" si="178"/>
        <v>0.00115</v>
      </c>
      <c r="N118" s="7">
        <f t="shared" si="178"/>
        <v>0.00085</v>
      </c>
      <c r="O118" s="7">
        <f t="shared" si="178"/>
        <v>0.0004</v>
      </c>
      <c r="P118" s="7">
        <f t="shared" si="178"/>
        <v>0.00505</v>
      </c>
      <c r="Q118" s="7">
        <f t="shared" si="7"/>
        <v>0.9645822105</v>
      </c>
      <c r="R118" s="7">
        <f t="shared" si="8"/>
        <v>0.3489055992</v>
      </c>
      <c r="S118" s="7">
        <f t="shared" si="2"/>
        <v>1.228290892</v>
      </c>
      <c r="T118" s="7">
        <f t="shared" si="3"/>
        <v>0.2912043956</v>
      </c>
      <c r="U118" s="7">
        <f t="shared" si="4"/>
        <v>1</v>
      </c>
      <c r="V118" s="7">
        <f t="shared" si="5"/>
        <v>1</v>
      </c>
      <c r="W118" s="7">
        <f t="shared" ref="W118:X118" si="179">IF(AVERAGE(U58:U117) &gt; 0.25, 1, 0)</f>
        <v>1</v>
      </c>
      <c r="X118" s="7">
        <f t="shared" si="179"/>
        <v>1</v>
      </c>
      <c r="Y118" s="8">
        <v>1.0</v>
      </c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</row>
    <row r="119" ht="22.5" customHeight="1">
      <c r="B119" s="6">
        <v>118.0</v>
      </c>
      <c r="C119" s="6">
        <v>26555.0</v>
      </c>
      <c r="D119" s="6">
        <v>1.97</v>
      </c>
      <c r="E119" s="6">
        <v>1.62</v>
      </c>
      <c r="F119" s="6">
        <v>10.66</v>
      </c>
      <c r="G119" s="6">
        <v>-0.16</v>
      </c>
      <c r="H119" s="6">
        <v>-0.03</v>
      </c>
      <c r="I119" s="6">
        <v>-0.24</v>
      </c>
      <c r="J119" s="6">
        <v>33.32</v>
      </c>
      <c r="K119" s="7">
        <f t="shared" ref="K119:P119" si="180">abs(D119-D118)/200</f>
        <v>0.00365</v>
      </c>
      <c r="L119" s="7">
        <f t="shared" si="180"/>
        <v>0.0134</v>
      </c>
      <c r="M119" s="7">
        <f t="shared" si="180"/>
        <v>0.0001</v>
      </c>
      <c r="N119" s="7">
        <f t="shared" si="180"/>
        <v>0</v>
      </c>
      <c r="O119" s="7">
        <f t="shared" si="180"/>
        <v>0.00035</v>
      </c>
      <c r="P119" s="7">
        <f t="shared" si="180"/>
        <v>0.0024</v>
      </c>
      <c r="Q119" s="7">
        <f t="shared" si="7"/>
        <v>0.001204395571</v>
      </c>
      <c r="R119" s="7">
        <f t="shared" si="8"/>
        <v>0.06741045298</v>
      </c>
      <c r="S119" s="7">
        <f t="shared" si="2"/>
        <v>1.160880439</v>
      </c>
      <c r="T119" s="7">
        <f t="shared" si="3"/>
        <v>0.29</v>
      </c>
      <c r="U119" s="7">
        <f t="shared" si="4"/>
        <v>1</v>
      </c>
      <c r="V119" s="7">
        <f t="shared" si="5"/>
        <v>1</v>
      </c>
      <c r="W119" s="7">
        <f t="shared" ref="W119:X119" si="181">IF(AVERAGE(U59:U118) &gt; 0.25, 1, 0)</f>
        <v>1</v>
      </c>
      <c r="X119" s="7">
        <f t="shared" si="181"/>
        <v>1</v>
      </c>
      <c r="Y119" s="8">
        <v>1.0</v>
      </c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</row>
    <row r="120" ht="22.5" customHeight="1">
      <c r="B120" s="6">
        <v>119.0</v>
      </c>
      <c r="C120" s="6">
        <v>26759.0</v>
      </c>
      <c r="D120" s="6">
        <v>3.86</v>
      </c>
      <c r="E120" s="6">
        <v>0.4</v>
      </c>
      <c r="F120" s="6">
        <v>10.37</v>
      </c>
      <c r="G120" s="6">
        <v>-0.09</v>
      </c>
      <c r="H120" s="6">
        <v>0.08</v>
      </c>
      <c r="I120" s="6">
        <v>-1.07</v>
      </c>
      <c r="J120" s="6">
        <v>33.32</v>
      </c>
      <c r="K120" s="7">
        <f t="shared" ref="K120:P120" si="182">abs(D120-D119)/200</f>
        <v>0.00945</v>
      </c>
      <c r="L120" s="7">
        <f t="shared" si="182"/>
        <v>0.0061</v>
      </c>
      <c r="M120" s="7">
        <f t="shared" si="182"/>
        <v>0.00145</v>
      </c>
      <c r="N120" s="7">
        <f t="shared" si="182"/>
        <v>0.00035</v>
      </c>
      <c r="O120" s="7">
        <f t="shared" si="182"/>
        <v>0.00055</v>
      </c>
      <c r="P120" s="7">
        <f t="shared" si="182"/>
        <v>0.00415</v>
      </c>
      <c r="Q120" s="7">
        <f t="shared" si="7"/>
        <v>0.7867543824</v>
      </c>
      <c r="R120" s="7">
        <f t="shared" si="8"/>
        <v>0.1114499389</v>
      </c>
      <c r="S120" s="7">
        <f t="shared" si="2"/>
        <v>1.272330378</v>
      </c>
      <c r="T120" s="7">
        <f t="shared" si="3"/>
        <v>1.076754382</v>
      </c>
      <c r="U120" s="7">
        <f t="shared" si="4"/>
        <v>1</v>
      </c>
      <c r="V120" s="7">
        <f t="shared" si="5"/>
        <v>1</v>
      </c>
      <c r="W120" s="7">
        <f t="shared" ref="W120:X120" si="183">IF(AVERAGE(U60:U119) &gt; 0.25, 1, 0)</f>
        <v>1</v>
      </c>
      <c r="X120" s="7">
        <f t="shared" si="183"/>
        <v>1</v>
      </c>
      <c r="Y120" s="8">
        <v>1.0</v>
      </c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</row>
    <row r="121" ht="22.5" customHeight="1">
      <c r="B121" s="6">
        <v>120.0</v>
      </c>
      <c r="C121" s="6">
        <v>26963.0</v>
      </c>
      <c r="D121" s="6">
        <v>-2.8</v>
      </c>
      <c r="E121" s="6">
        <v>0.15</v>
      </c>
      <c r="F121" s="6">
        <v>11.2</v>
      </c>
      <c r="G121" s="6">
        <v>-0.22</v>
      </c>
      <c r="H121" s="6">
        <v>0.07</v>
      </c>
      <c r="I121" s="6">
        <v>-0.9</v>
      </c>
      <c r="J121" s="6">
        <v>33.32</v>
      </c>
      <c r="K121" s="7">
        <f t="shared" ref="K121:P121" si="184">abs(D121-D120)/200</f>
        <v>0.0333</v>
      </c>
      <c r="L121" s="7">
        <f t="shared" si="184"/>
        <v>0.00125</v>
      </c>
      <c r="M121" s="7">
        <f t="shared" si="184"/>
        <v>0.00415</v>
      </c>
      <c r="N121" s="7">
        <f t="shared" si="184"/>
        <v>0.00065</v>
      </c>
      <c r="O121" s="7">
        <f t="shared" si="184"/>
        <v>0.00005</v>
      </c>
      <c r="P121" s="7">
        <f t="shared" si="184"/>
        <v>0.00085</v>
      </c>
      <c r="Q121" s="7">
        <f t="shared" si="7"/>
        <v>0.1476149956</v>
      </c>
      <c r="R121" s="7">
        <f t="shared" si="8"/>
        <v>0.4733398061</v>
      </c>
      <c r="S121" s="7">
        <f t="shared" si="2"/>
        <v>1.745670184</v>
      </c>
      <c r="T121" s="7">
        <f t="shared" si="3"/>
        <v>0.9291393867</v>
      </c>
      <c r="U121" s="7">
        <f t="shared" si="4"/>
        <v>1</v>
      </c>
      <c r="V121" s="7">
        <f t="shared" si="5"/>
        <v>1</v>
      </c>
      <c r="W121" s="7">
        <f t="shared" ref="W121:X121" si="185">IF(AVERAGE(U61:U120) &gt; 0.25, 1, 0)</f>
        <v>1</v>
      </c>
      <c r="X121" s="7">
        <f t="shared" si="185"/>
        <v>1</v>
      </c>
      <c r="Y121" s="8">
        <v>1.0</v>
      </c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ht="22.5" customHeight="1">
      <c r="B122" s="6">
        <v>121.0</v>
      </c>
      <c r="C122" s="6">
        <v>27167.0</v>
      </c>
      <c r="D122" s="6">
        <v>0.1</v>
      </c>
      <c r="E122" s="6">
        <v>-1.32</v>
      </c>
      <c r="F122" s="6">
        <v>10.92</v>
      </c>
      <c r="G122" s="6">
        <v>0.04</v>
      </c>
      <c r="H122" s="6">
        <v>-0.01</v>
      </c>
      <c r="I122" s="6">
        <v>0.33</v>
      </c>
      <c r="J122" s="6">
        <v>33.32</v>
      </c>
      <c r="K122" s="7">
        <f t="shared" ref="K122:P122" si="186">abs(D122-D121)/200</f>
        <v>0.0145</v>
      </c>
      <c r="L122" s="7">
        <f t="shared" si="186"/>
        <v>0.00735</v>
      </c>
      <c r="M122" s="7">
        <f t="shared" si="186"/>
        <v>0.0014</v>
      </c>
      <c r="N122" s="7">
        <f t="shared" si="186"/>
        <v>0.0013</v>
      </c>
      <c r="O122" s="7">
        <f t="shared" si="186"/>
        <v>0.0004</v>
      </c>
      <c r="P122" s="7">
        <f t="shared" si="186"/>
        <v>0.00615</v>
      </c>
      <c r="Q122" s="7">
        <f t="shared" si="7"/>
        <v>0.5965736038</v>
      </c>
      <c r="R122" s="7">
        <f t="shared" si="8"/>
        <v>0.5457247297</v>
      </c>
      <c r="S122" s="7">
        <f t="shared" si="2"/>
        <v>1.199945454</v>
      </c>
      <c r="T122" s="7">
        <f t="shared" si="3"/>
        <v>0.332565783</v>
      </c>
      <c r="U122" s="7">
        <f t="shared" si="4"/>
        <v>1</v>
      </c>
      <c r="V122" s="7">
        <f t="shared" si="5"/>
        <v>1</v>
      </c>
      <c r="W122" s="7">
        <f t="shared" ref="W122:X122" si="187">IF(AVERAGE(U62:U121) &gt; 0.25, 1, 0)</f>
        <v>1</v>
      </c>
      <c r="X122" s="7">
        <f t="shared" si="187"/>
        <v>1</v>
      </c>
      <c r="Y122" s="8">
        <v>1.0</v>
      </c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</row>
    <row r="123" ht="22.5" customHeight="1">
      <c r="B123" s="6">
        <v>122.0</v>
      </c>
      <c r="C123" s="6">
        <v>27371.0</v>
      </c>
      <c r="D123" s="6">
        <v>1.03</v>
      </c>
      <c r="E123" s="6">
        <v>-1.94</v>
      </c>
      <c r="F123" s="6">
        <v>10.36</v>
      </c>
      <c r="G123" s="6">
        <v>0.13</v>
      </c>
      <c r="H123" s="6">
        <v>-0.44</v>
      </c>
      <c r="I123" s="6">
        <v>1.29</v>
      </c>
      <c r="J123" s="6">
        <v>33.33</v>
      </c>
      <c r="K123" s="7">
        <f t="shared" ref="K123:P123" si="188">abs(D123-D122)/200</f>
        <v>0.00465</v>
      </c>
      <c r="L123" s="7">
        <f t="shared" si="188"/>
        <v>0.0031</v>
      </c>
      <c r="M123" s="7">
        <f t="shared" si="188"/>
        <v>0.0028</v>
      </c>
      <c r="N123" s="7">
        <f t="shared" si="188"/>
        <v>0.00045</v>
      </c>
      <c r="O123" s="7">
        <f t="shared" si="188"/>
        <v>0.00215</v>
      </c>
      <c r="P123" s="7">
        <f t="shared" si="188"/>
        <v>0.0048</v>
      </c>
      <c r="Q123" s="7">
        <f t="shared" si="7"/>
        <v>1.036594544</v>
      </c>
      <c r="R123" s="7">
        <f t="shared" si="8"/>
        <v>0.4096621721</v>
      </c>
      <c r="S123" s="7">
        <f t="shared" si="2"/>
        <v>0.7902832823</v>
      </c>
      <c r="T123" s="7">
        <f t="shared" si="3"/>
        <v>1.369160327</v>
      </c>
      <c r="U123" s="7">
        <f t="shared" si="4"/>
        <v>1</v>
      </c>
      <c r="V123" s="7">
        <f t="shared" si="5"/>
        <v>1</v>
      </c>
      <c r="W123" s="7">
        <f t="shared" ref="W123:X123" si="189">IF(AVERAGE(U63:U122) &gt; 0.25, 1, 0)</f>
        <v>1</v>
      </c>
      <c r="X123" s="7">
        <f t="shared" si="189"/>
        <v>1</v>
      </c>
      <c r="Y123" s="8">
        <v>1.0</v>
      </c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</row>
    <row r="124" ht="22.5" customHeight="1">
      <c r="B124" s="6">
        <v>123.0</v>
      </c>
      <c r="C124" s="6">
        <v>27575.0</v>
      </c>
      <c r="D124" s="6">
        <v>3.67</v>
      </c>
      <c r="E124" s="6">
        <v>-0.71</v>
      </c>
      <c r="F124" s="6">
        <v>10.54</v>
      </c>
      <c r="G124" s="6">
        <v>-0.15</v>
      </c>
      <c r="H124" s="6">
        <v>-0.01</v>
      </c>
      <c r="I124" s="6">
        <v>0.22</v>
      </c>
      <c r="J124" s="6">
        <v>33.32</v>
      </c>
      <c r="K124" s="7">
        <f t="shared" ref="K124:P124" si="190">abs(D124-D123)/200</f>
        <v>0.0132</v>
      </c>
      <c r="L124" s="7">
        <f t="shared" si="190"/>
        <v>0.00615</v>
      </c>
      <c r="M124" s="7">
        <f t="shared" si="190"/>
        <v>0.0009</v>
      </c>
      <c r="N124" s="7">
        <f t="shared" si="190"/>
        <v>0.0014</v>
      </c>
      <c r="O124" s="7">
        <f t="shared" si="190"/>
        <v>0.00215</v>
      </c>
      <c r="P124" s="7">
        <f t="shared" si="190"/>
        <v>0.00535</v>
      </c>
      <c r="Q124" s="7">
        <f t="shared" si="7"/>
        <v>1.102702075</v>
      </c>
      <c r="R124" s="7">
        <f t="shared" si="8"/>
        <v>0.5929452318</v>
      </c>
      <c r="S124" s="7">
        <f t="shared" si="2"/>
        <v>1.383228514</v>
      </c>
      <c r="T124" s="7">
        <f t="shared" si="3"/>
        <v>0.2664582519</v>
      </c>
      <c r="U124" s="7">
        <f t="shared" si="4"/>
        <v>1</v>
      </c>
      <c r="V124" s="7">
        <f t="shared" si="5"/>
        <v>1</v>
      </c>
      <c r="W124" s="7">
        <f t="shared" ref="W124:X124" si="191">IF(AVERAGE(U64:U123) &gt; 0.25, 1, 0)</f>
        <v>1</v>
      </c>
      <c r="X124" s="7">
        <f t="shared" si="191"/>
        <v>1</v>
      </c>
      <c r="Y124" s="8">
        <v>1.0</v>
      </c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</row>
    <row r="125" ht="22.5" customHeight="1">
      <c r="B125" s="6">
        <v>124.0</v>
      </c>
      <c r="C125" s="6">
        <v>27779.0</v>
      </c>
      <c r="D125" s="6">
        <v>2.42</v>
      </c>
      <c r="E125" s="6">
        <v>1.29</v>
      </c>
      <c r="F125" s="6">
        <v>10.66</v>
      </c>
      <c r="G125" s="6">
        <v>-0.17</v>
      </c>
      <c r="H125" s="6">
        <v>0.01</v>
      </c>
      <c r="I125" s="6">
        <v>0.03</v>
      </c>
      <c r="J125" s="6">
        <v>33.33</v>
      </c>
      <c r="K125" s="7">
        <f t="shared" ref="K125:P125" si="192">abs(D125-D124)/200</f>
        <v>0.00625</v>
      </c>
      <c r="L125" s="7">
        <f t="shared" si="192"/>
        <v>0.01</v>
      </c>
      <c r="M125" s="7">
        <f t="shared" si="192"/>
        <v>0.0006</v>
      </c>
      <c r="N125" s="7">
        <f t="shared" si="192"/>
        <v>0.0001</v>
      </c>
      <c r="O125" s="7">
        <f t="shared" si="192"/>
        <v>0.0001</v>
      </c>
      <c r="P125" s="7">
        <f t="shared" si="192"/>
        <v>0.00095</v>
      </c>
      <c r="Q125" s="7">
        <f t="shared" si="7"/>
        <v>0.09354208723</v>
      </c>
      <c r="R125" s="7">
        <f t="shared" si="8"/>
        <v>0.1761353466</v>
      </c>
      <c r="S125" s="7">
        <f t="shared" si="2"/>
        <v>1.207093168</v>
      </c>
      <c r="T125" s="7">
        <f t="shared" si="3"/>
        <v>0.1729161647</v>
      </c>
      <c r="U125" s="7">
        <f t="shared" si="4"/>
        <v>1</v>
      </c>
      <c r="V125" s="7">
        <f t="shared" si="5"/>
        <v>1</v>
      </c>
      <c r="W125" s="7">
        <f t="shared" ref="W125:X125" si="193">IF(AVERAGE(U65:U124) &gt; 0.25, 1, 0)</f>
        <v>1</v>
      </c>
      <c r="X125" s="7">
        <f t="shared" si="193"/>
        <v>1</v>
      </c>
      <c r="Y125" s="8">
        <v>1.0</v>
      </c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</row>
    <row r="126" ht="22.5" customHeight="1">
      <c r="B126" s="6">
        <v>125.0</v>
      </c>
      <c r="C126" s="6">
        <v>27983.0</v>
      </c>
      <c r="D126" s="6">
        <v>0.55</v>
      </c>
      <c r="E126" s="6">
        <v>0.71</v>
      </c>
      <c r="F126" s="6">
        <v>10.52</v>
      </c>
      <c r="G126" s="6">
        <v>-0.37</v>
      </c>
      <c r="H126" s="6">
        <v>0.35</v>
      </c>
      <c r="I126" s="6">
        <v>-1.83</v>
      </c>
      <c r="J126" s="6">
        <v>33.32</v>
      </c>
      <c r="K126" s="7">
        <f t="shared" ref="K126:P126" si="194">abs(D126-D125)/200</f>
        <v>0.00935</v>
      </c>
      <c r="L126" s="7">
        <f t="shared" si="194"/>
        <v>0.0029</v>
      </c>
      <c r="M126" s="7">
        <f t="shared" si="194"/>
        <v>0.0007</v>
      </c>
      <c r="N126" s="7">
        <f t="shared" si="194"/>
        <v>0.001</v>
      </c>
      <c r="O126" s="7">
        <f t="shared" si="194"/>
        <v>0.0017</v>
      </c>
      <c r="P126" s="7">
        <f t="shared" si="194"/>
        <v>0.0093</v>
      </c>
      <c r="Q126" s="7">
        <f t="shared" si="7"/>
        <v>1.726636414</v>
      </c>
      <c r="R126" s="7">
        <f t="shared" si="8"/>
        <v>0.4488262644</v>
      </c>
      <c r="S126" s="7">
        <f t="shared" si="2"/>
        <v>0.7582669032</v>
      </c>
      <c r="T126" s="7">
        <f t="shared" si="3"/>
        <v>1.899552579</v>
      </c>
      <c r="U126" s="7">
        <f t="shared" si="4"/>
        <v>1</v>
      </c>
      <c r="V126" s="7">
        <f t="shared" si="5"/>
        <v>1</v>
      </c>
      <c r="W126" s="7">
        <f t="shared" ref="W126:X126" si="195">IF(AVERAGE(U66:U125) &gt; 0.25, 1, 0)</f>
        <v>1</v>
      </c>
      <c r="X126" s="7">
        <f t="shared" si="195"/>
        <v>1</v>
      </c>
      <c r="Y126" s="8">
        <v>1.0</v>
      </c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</row>
    <row r="127" ht="22.5" customHeight="1">
      <c r="B127" s="6">
        <v>126.0</v>
      </c>
      <c r="C127" s="6">
        <v>28187.0</v>
      </c>
      <c r="D127" s="6">
        <v>-0.61</v>
      </c>
      <c r="E127" s="6">
        <v>0.2</v>
      </c>
      <c r="F127" s="6">
        <v>10.94</v>
      </c>
      <c r="G127" s="6">
        <v>-0.07</v>
      </c>
      <c r="H127" s="6">
        <v>0.1</v>
      </c>
      <c r="I127" s="6">
        <v>-0.21</v>
      </c>
      <c r="J127" s="6">
        <v>33.32</v>
      </c>
      <c r="K127" s="7">
        <f t="shared" ref="K127:P127" si="196">abs(D127-D126)/200</f>
        <v>0.0058</v>
      </c>
      <c r="L127" s="7">
        <f t="shared" si="196"/>
        <v>0.00255</v>
      </c>
      <c r="M127" s="7">
        <f t="shared" si="196"/>
        <v>0.0021</v>
      </c>
      <c r="N127" s="7">
        <f t="shared" si="196"/>
        <v>0.0015</v>
      </c>
      <c r="O127" s="7">
        <f t="shared" si="196"/>
        <v>0.00125</v>
      </c>
      <c r="P127" s="7">
        <f t="shared" si="196"/>
        <v>0.0081</v>
      </c>
      <c r="Q127" s="7">
        <f t="shared" si="7"/>
        <v>1.656653423</v>
      </c>
      <c r="R127" s="7">
        <f t="shared" si="8"/>
        <v>0.4005514637</v>
      </c>
      <c r="S127" s="7">
        <f t="shared" si="2"/>
        <v>1.158818367</v>
      </c>
      <c r="T127" s="7">
        <f t="shared" si="3"/>
        <v>0.242899156</v>
      </c>
      <c r="U127" s="7">
        <f t="shared" si="4"/>
        <v>1</v>
      </c>
      <c r="V127" s="7">
        <f t="shared" si="5"/>
        <v>1</v>
      </c>
      <c r="W127" s="7">
        <f t="shared" ref="W127:X127" si="197">IF(AVERAGE(U67:U126) &gt; 0.25, 1, 0)</f>
        <v>1</v>
      </c>
      <c r="X127" s="7">
        <f t="shared" si="197"/>
        <v>1</v>
      </c>
      <c r="Y127" s="8">
        <v>1.0</v>
      </c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</row>
    <row r="128" ht="22.5" customHeight="1">
      <c r="B128" s="6">
        <v>127.0</v>
      </c>
      <c r="C128" s="6">
        <v>28391.0</v>
      </c>
      <c r="D128" s="6">
        <v>-0.56</v>
      </c>
      <c r="E128" s="6">
        <v>-1.94</v>
      </c>
      <c r="F128" s="6">
        <v>10.61</v>
      </c>
      <c r="G128" s="6">
        <v>0.12</v>
      </c>
      <c r="H128" s="6">
        <v>-0.31</v>
      </c>
      <c r="I128" s="6">
        <v>1.2</v>
      </c>
      <c r="J128" s="6">
        <v>33.31</v>
      </c>
      <c r="K128" s="7">
        <f t="shared" ref="K128:P128" si="198">abs(D128-D127)/200</f>
        <v>0.00025</v>
      </c>
      <c r="L128" s="7">
        <f t="shared" si="198"/>
        <v>0.0107</v>
      </c>
      <c r="M128" s="7">
        <f t="shared" si="198"/>
        <v>0.00165</v>
      </c>
      <c r="N128" s="7">
        <f t="shared" si="198"/>
        <v>0.00095</v>
      </c>
      <c r="O128" s="7">
        <f t="shared" si="198"/>
        <v>0.00205</v>
      </c>
      <c r="P128" s="7">
        <f t="shared" si="198"/>
        <v>0.00705</v>
      </c>
      <c r="Q128" s="7">
        <f t="shared" si="7"/>
        <v>1.002291592</v>
      </c>
      <c r="R128" s="7">
        <f t="shared" si="8"/>
        <v>0.15838782</v>
      </c>
      <c r="S128" s="7">
        <f t="shared" si="2"/>
        <v>1.000430547</v>
      </c>
      <c r="T128" s="7">
        <f t="shared" si="3"/>
        <v>1.245190748</v>
      </c>
      <c r="U128" s="7">
        <f t="shared" si="4"/>
        <v>1</v>
      </c>
      <c r="V128" s="7">
        <f t="shared" si="5"/>
        <v>1</v>
      </c>
      <c r="W128" s="7">
        <f t="shared" ref="W128:X128" si="199">IF(AVERAGE(U68:U127) &gt; 0.25, 1, 0)</f>
        <v>1</v>
      </c>
      <c r="X128" s="7">
        <f t="shared" si="199"/>
        <v>1</v>
      </c>
      <c r="Y128" s="8">
        <v>1.0</v>
      </c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</row>
    <row r="129" ht="22.5" customHeight="1">
      <c r="B129" s="6">
        <v>128.0</v>
      </c>
      <c r="C129" s="6">
        <v>28595.0</v>
      </c>
      <c r="D129" s="6">
        <v>5.01</v>
      </c>
      <c r="E129" s="6">
        <v>-1.43</v>
      </c>
      <c r="F129" s="6">
        <v>10.44</v>
      </c>
      <c r="G129" s="6">
        <v>-0.06</v>
      </c>
      <c r="H129" s="6">
        <v>0.17</v>
      </c>
      <c r="I129" s="6">
        <v>0.79</v>
      </c>
      <c r="J129" s="6">
        <v>33.32</v>
      </c>
      <c r="K129" s="7">
        <f t="shared" ref="K129:P129" si="200">abs(D129-D128)/200</f>
        <v>0.02785</v>
      </c>
      <c r="L129" s="7">
        <f t="shared" si="200"/>
        <v>0.00255</v>
      </c>
      <c r="M129" s="7">
        <f t="shared" si="200"/>
        <v>0.00085</v>
      </c>
      <c r="N129" s="7">
        <f t="shared" si="200"/>
        <v>0.0009</v>
      </c>
      <c r="O129" s="7">
        <f t="shared" si="200"/>
        <v>0.0024</v>
      </c>
      <c r="P129" s="7">
        <f t="shared" si="200"/>
        <v>0.00205</v>
      </c>
      <c r="Q129" s="7">
        <f t="shared" si="7"/>
        <v>0.4348821652</v>
      </c>
      <c r="R129" s="7">
        <f t="shared" si="8"/>
        <v>0.8674141555</v>
      </c>
      <c r="S129" s="7">
        <f t="shared" si="2"/>
        <v>1.867844702</v>
      </c>
      <c r="T129" s="7">
        <f t="shared" si="3"/>
        <v>0.8103085832</v>
      </c>
      <c r="U129" s="7">
        <f t="shared" si="4"/>
        <v>1</v>
      </c>
      <c r="V129" s="7">
        <f t="shared" si="5"/>
        <v>1</v>
      </c>
      <c r="W129" s="7">
        <f t="shared" ref="W129:X129" si="201">IF(AVERAGE(U69:U128) &gt; 0.25, 1, 0)</f>
        <v>1</v>
      </c>
      <c r="X129" s="7">
        <f t="shared" si="201"/>
        <v>1</v>
      </c>
      <c r="Y129" s="8">
        <v>1.0</v>
      </c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ht="22.5" customHeight="1">
      <c r="B130" s="6">
        <v>129.0</v>
      </c>
      <c r="C130" s="6">
        <v>28799.0</v>
      </c>
      <c r="D130" s="6">
        <v>3.16</v>
      </c>
      <c r="E130" s="6">
        <v>-0.07</v>
      </c>
      <c r="F130" s="6">
        <v>10.68</v>
      </c>
      <c r="G130" s="6">
        <v>-0.25</v>
      </c>
      <c r="H130" s="6">
        <v>-0.08</v>
      </c>
      <c r="I130" s="6">
        <v>-0.05</v>
      </c>
      <c r="J130" s="6">
        <v>33.33</v>
      </c>
      <c r="K130" s="7">
        <f t="shared" ref="K130:P130" si="202">abs(D130-D129)/200</f>
        <v>0.00925</v>
      </c>
      <c r="L130" s="7">
        <f t="shared" si="202"/>
        <v>0.0068</v>
      </c>
      <c r="M130" s="7">
        <f t="shared" si="202"/>
        <v>0.0012</v>
      </c>
      <c r="N130" s="7">
        <f t="shared" si="202"/>
        <v>0.00095</v>
      </c>
      <c r="O130" s="7">
        <f t="shared" si="202"/>
        <v>0.00125</v>
      </c>
      <c r="P130" s="7">
        <f t="shared" si="202"/>
        <v>0.0042</v>
      </c>
      <c r="Q130" s="7">
        <f t="shared" si="7"/>
        <v>0.5431007989</v>
      </c>
      <c r="R130" s="7">
        <f t="shared" si="8"/>
        <v>0.5299409499</v>
      </c>
      <c r="S130" s="7">
        <f t="shared" si="2"/>
        <v>1.337903753</v>
      </c>
      <c r="T130" s="7">
        <f t="shared" si="3"/>
        <v>0.2672077843</v>
      </c>
      <c r="U130" s="7">
        <f t="shared" si="4"/>
        <v>1</v>
      </c>
      <c r="V130" s="7">
        <f t="shared" si="5"/>
        <v>1</v>
      </c>
      <c r="W130" s="7">
        <f t="shared" ref="W130:X130" si="203">IF(AVERAGE(U70:U129) &gt; 0.25, 1, 0)</f>
        <v>1</v>
      </c>
      <c r="X130" s="7">
        <f t="shared" si="203"/>
        <v>1</v>
      </c>
      <c r="Y130" s="8">
        <v>1.0</v>
      </c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</row>
    <row r="131" ht="22.5" customHeight="1">
      <c r="B131" s="6">
        <v>130.0</v>
      </c>
      <c r="C131" s="6">
        <v>29003.0</v>
      </c>
      <c r="D131" s="6">
        <v>1.47</v>
      </c>
      <c r="E131" s="6">
        <v>2.22</v>
      </c>
      <c r="F131" s="6">
        <v>10.66</v>
      </c>
      <c r="G131" s="6">
        <v>-0.11</v>
      </c>
      <c r="H131" s="6">
        <v>-0.05</v>
      </c>
      <c r="I131" s="6">
        <v>-0.31</v>
      </c>
      <c r="J131" s="6">
        <v>33.31</v>
      </c>
      <c r="K131" s="7">
        <f t="shared" ref="K131:P131" si="204">abs(D131-D130)/200</f>
        <v>0.00845</v>
      </c>
      <c r="L131" s="7">
        <f t="shared" si="204"/>
        <v>0.01145</v>
      </c>
      <c r="M131" s="7">
        <f t="shared" si="204"/>
        <v>0.0001</v>
      </c>
      <c r="N131" s="7">
        <f t="shared" si="204"/>
        <v>0.0007</v>
      </c>
      <c r="O131" s="7">
        <f t="shared" si="204"/>
        <v>0.00015</v>
      </c>
      <c r="P131" s="7">
        <f t="shared" si="204"/>
        <v>0.0013</v>
      </c>
      <c r="Q131" s="7">
        <f t="shared" si="7"/>
        <v>0.06550831087</v>
      </c>
      <c r="R131" s="7">
        <f t="shared" si="8"/>
        <v>0.1504154135</v>
      </c>
      <c r="S131" s="7">
        <f t="shared" si="2"/>
        <v>1.187488339</v>
      </c>
      <c r="T131" s="7">
        <f t="shared" si="3"/>
        <v>0.3327160952</v>
      </c>
      <c r="U131" s="7">
        <f t="shared" si="4"/>
        <v>1</v>
      </c>
      <c r="V131" s="7">
        <f t="shared" si="5"/>
        <v>1</v>
      </c>
      <c r="W131" s="7">
        <f t="shared" ref="W131:X131" si="205">IF(AVERAGE(U71:U130) &gt; 0.25, 1, 0)</f>
        <v>1</v>
      </c>
      <c r="X131" s="7">
        <f t="shared" si="205"/>
        <v>1</v>
      </c>
      <c r="Y131" s="8">
        <v>1.0</v>
      </c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</row>
    <row r="132" ht="22.5" customHeight="1">
      <c r="B132" s="6">
        <v>131.0</v>
      </c>
      <c r="C132" s="6">
        <v>29207.0</v>
      </c>
      <c r="D132" s="6">
        <v>1.53</v>
      </c>
      <c r="E132" s="6">
        <v>0.16</v>
      </c>
      <c r="F132" s="6">
        <v>10.5</v>
      </c>
      <c r="G132" s="6">
        <v>-0.19</v>
      </c>
      <c r="H132" s="6">
        <v>0.19</v>
      </c>
      <c r="I132" s="6">
        <v>-1.41</v>
      </c>
      <c r="J132" s="6">
        <v>33.32</v>
      </c>
      <c r="K132" s="7">
        <f t="shared" ref="K132:P132" si="206">abs(D132-D131)/200</f>
        <v>0.0003</v>
      </c>
      <c r="L132" s="7">
        <f t="shared" si="206"/>
        <v>0.0103</v>
      </c>
      <c r="M132" s="7">
        <f t="shared" si="206"/>
        <v>0.0008</v>
      </c>
      <c r="N132" s="7">
        <f t="shared" si="206"/>
        <v>0.0004</v>
      </c>
      <c r="O132" s="7">
        <f t="shared" si="206"/>
        <v>0.0012</v>
      </c>
      <c r="P132" s="7">
        <f t="shared" si="206"/>
        <v>0.0055</v>
      </c>
      <c r="Q132" s="7">
        <f t="shared" si="7"/>
        <v>1.10265842</v>
      </c>
      <c r="R132" s="7">
        <f t="shared" si="8"/>
        <v>0.3753961796</v>
      </c>
      <c r="S132" s="7">
        <f t="shared" si="2"/>
        <v>0.8120921594</v>
      </c>
      <c r="T132" s="7">
        <f t="shared" si="3"/>
        <v>1.435374516</v>
      </c>
      <c r="U132" s="7">
        <f t="shared" si="4"/>
        <v>1</v>
      </c>
      <c r="V132" s="7">
        <f t="shared" si="5"/>
        <v>1</v>
      </c>
      <c r="W132" s="7">
        <f t="shared" ref="W132:X132" si="207">IF(AVERAGE(U72:U131) &gt; 0.25, 1, 0)</f>
        <v>1</v>
      </c>
      <c r="X132" s="7">
        <f t="shared" si="207"/>
        <v>1</v>
      </c>
      <c r="Y132" s="8">
        <v>1.0</v>
      </c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</row>
    <row r="133" ht="22.5" customHeight="1">
      <c r="B133" s="6">
        <v>132.0</v>
      </c>
      <c r="C133" s="6">
        <v>29411.0</v>
      </c>
      <c r="D133" s="6">
        <v>-0.78</v>
      </c>
      <c r="E133" s="6">
        <v>-0.06</v>
      </c>
      <c r="F133" s="6">
        <v>10.79</v>
      </c>
      <c r="G133" s="6">
        <v>-0.06</v>
      </c>
      <c r="H133" s="6">
        <v>0.08</v>
      </c>
      <c r="I133" s="6">
        <v>-0.27</v>
      </c>
      <c r="J133" s="6">
        <v>33.32</v>
      </c>
      <c r="K133" s="7">
        <f t="shared" ref="K133:P133" si="208">abs(D133-D132)/200</f>
        <v>0.01155</v>
      </c>
      <c r="L133" s="7">
        <f t="shared" si="208"/>
        <v>0.0011</v>
      </c>
      <c r="M133" s="7">
        <f t="shared" si="208"/>
        <v>0.00145</v>
      </c>
      <c r="N133" s="7">
        <f t="shared" si="208"/>
        <v>0.00065</v>
      </c>
      <c r="O133" s="7">
        <f t="shared" si="208"/>
        <v>0.00055</v>
      </c>
      <c r="P133" s="7">
        <f t="shared" si="208"/>
        <v>0.0057</v>
      </c>
      <c r="Q133" s="7">
        <f t="shared" si="7"/>
        <v>1.147450915</v>
      </c>
      <c r="R133" s="7">
        <f t="shared" si="8"/>
        <v>0.2062302614</v>
      </c>
      <c r="S133" s="7">
        <f t="shared" si="2"/>
        <v>1.018322421</v>
      </c>
      <c r="T133" s="7">
        <f t="shared" si="3"/>
        <v>0.287923601</v>
      </c>
      <c r="U133" s="7">
        <f t="shared" si="4"/>
        <v>1</v>
      </c>
      <c r="V133" s="7">
        <f t="shared" si="5"/>
        <v>1</v>
      </c>
      <c r="W133" s="7">
        <f t="shared" ref="W133:X133" si="209">IF(AVERAGE(U73:U132) &gt; 0.25, 1, 0)</f>
        <v>1</v>
      </c>
      <c r="X133" s="7">
        <f t="shared" si="209"/>
        <v>1</v>
      </c>
      <c r="Y133" s="8">
        <v>1.0</v>
      </c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</row>
    <row r="134" ht="22.5" customHeight="1">
      <c r="B134" s="6">
        <v>133.0</v>
      </c>
      <c r="C134" s="6">
        <v>29615.0</v>
      </c>
      <c r="D134" s="6">
        <v>0.4</v>
      </c>
      <c r="E134" s="6">
        <v>-1.75</v>
      </c>
      <c r="F134" s="6">
        <v>10.63</v>
      </c>
      <c r="G134" s="6">
        <v>0.11</v>
      </c>
      <c r="H134" s="6">
        <v>-0.23</v>
      </c>
      <c r="I134" s="6">
        <v>1.14</v>
      </c>
      <c r="J134" s="6">
        <v>33.32</v>
      </c>
      <c r="K134" s="7">
        <f t="shared" ref="K134:P134" si="210">abs(D134-D133)/200</f>
        <v>0.0059</v>
      </c>
      <c r="L134" s="7">
        <f t="shared" si="210"/>
        <v>0.00845</v>
      </c>
      <c r="M134" s="7">
        <f t="shared" si="210"/>
        <v>0.0008</v>
      </c>
      <c r="N134" s="7">
        <f t="shared" si="210"/>
        <v>0.00085</v>
      </c>
      <c r="O134" s="7">
        <f t="shared" si="210"/>
        <v>0.00155</v>
      </c>
      <c r="P134" s="7">
        <f t="shared" si="210"/>
        <v>0.00705</v>
      </c>
      <c r="Q134" s="7">
        <f t="shared" si="7"/>
        <v>0.8802373468</v>
      </c>
      <c r="R134" s="7">
        <f t="shared" si="8"/>
        <v>0.03781222877</v>
      </c>
      <c r="S134" s="7">
        <f t="shared" si="2"/>
        <v>0.980510192</v>
      </c>
      <c r="T134" s="7">
        <f t="shared" si="3"/>
        <v>1.168160948</v>
      </c>
      <c r="U134" s="7">
        <f t="shared" si="4"/>
        <v>1</v>
      </c>
      <c r="V134" s="7">
        <f t="shared" si="5"/>
        <v>1</v>
      </c>
      <c r="W134" s="7">
        <f t="shared" ref="W134:X134" si="211">IF(AVERAGE(U74:U133) &gt; 0.25, 1, 0)</f>
        <v>1</v>
      </c>
      <c r="X134" s="7">
        <f t="shared" si="211"/>
        <v>1</v>
      </c>
      <c r="Y134" s="8">
        <v>1.0</v>
      </c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</row>
    <row r="135" ht="22.5" customHeight="1">
      <c r="B135" s="6">
        <v>134.0</v>
      </c>
      <c r="C135" s="6">
        <v>29819.0</v>
      </c>
      <c r="D135" s="6">
        <v>5.19</v>
      </c>
      <c r="E135" s="6">
        <v>-1.32</v>
      </c>
      <c r="F135" s="6">
        <v>10.49</v>
      </c>
      <c r="G135" s="6">
        <v>-0.02</v>
      </c>
      <c r="H135" s="6">
        <v>0.11</v>
      </c>
      <c r="I135" s="6">
        <v>1.08</v>
      </c>
      <c r="J135" s="6">
        <v>33.33</v>
      </c>
      <c r="K135" s="7">
        <f t="shared" ref="K135:P135" si="212">abs(D135-D134)/200</f>
        <v>0.02395</v>
      </c>
      <c r="L135" s="7">
        <f t="shared" si="212"/>
        <v>0.00215</v>
      </c>
      <c r="M135" s="7">
        <f t="shared" si="212"/>
        <v>0.0007</v>
      </c>
      <c r="N135" s="7">
        <f t="shared" si="212"/>
        <v>0.00065</v>
      </c>
      <c r="O135" s="7">
        <f t="shared" si="212"/>
        <v>0.0017</v>
      </c>
      <c r="P135" s="7">
        <f t="shared" si="212"/>
        <v>0.0003</v>
      </c>
      <c r="Q135" s="7">
        <f t="shared" si="7"/>
        <v>0.08238933279</v>
      </c>
      <c r="R135" s="7">
        <f t="shared" si="8"/>
        <v>0.9973758662</v>
      </c>
      <c r="S135" s="7">
        <f t="shared" si="2"/>
        <v>1.977886058</v>
      </c>
      <c r="T135" s="7">
        <f t="shared" si="3"/>
        <v>1.085771615</v>
      </c>
      <c r="U135" s="7">
        <f t="shared" si="4"/>
        <v>1</v>
      </c>
      <c r="V135" s="7">
        <f t="shared" si="5"/>
        <v>1</v>
      </c>
      <c r="W135" s="7">
        <f t="shared" ref="W135:X135" si="213">IF(AVERAGE(U75:U134) &gt; 0.25, 1, 0)</f>
        <v>1</v>
      </c>
      <c r="X135" s="7">
        <f t="shared" si="213"/>
        <v>1</v>
      </c>
      <c r="Y135" s="8">
        <v>1.0</v>
      </c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</row>
    <row r="136" ht="22.5" customHeight="1">
      <c r="B136" s="6">
        <v>135.0</v>
      </c>
      <c r="C136" s="6">
        <v>30023.0</v>
      </c>
      <c r="D136" s="6">
        <v>2.65</v>
      </c>
      <c r="E136" s="6">
        <v>0.3</v>
      </c>
      <c r="F136" s="6">
        <v>10.59</v>
      </c>
      <c r="G136" s="6">
        <v>-0.24</v>
      </c>
      <c r="H136" s="6">
        <v>-0.12</v>
      </c>
      <c r="I136" s="6">
        <v>-0.78</v>
      </c>
      <c r="J136" s="6">
        <v>33.31</v>
      </c>
      <c r="K136" s="7">
        <f t="shared" ref="K136:P136" si="214">abs(D136-D135)/200</f>
        <v>0.0127</v>
      </c>
      <c r="L136" s="7">
        <f t="shared" si="214"/>
        <v>0.0081</v>
      </c>
      <c r="M136" s="7">
        <f t="shared" si="214"/>
        <v>0.0005</v>
      </c>
      <c r="N136" s="7">
        <f t="shared" si="214"/>
        <v>0.0011</v>
      </c>
      <c r="O136" s="7">
        <f t="shared" si="214"/>
        <v>0.00115</v>
      </c>
      <c r="P136" s="7">
        <f t="shared" si="214"/>
        <v>0.0093</v>
      </c>
      <c r="Q136" s="7">
        <f t="shared" si="7"/>
        <v>0.2609079899</v>
      </c>
      <c r="R136" s="7">
        <f t="shared" si="8"/>
        <v>0.8572358944</v>
      </c>
      <c r="S136" s="7">
        <f t="shared" si="2"/>
        <v>1.120650164</v>
      </c>
      <c r="T136" s="7">
        <f t="shared" si="3"/>
        <v>0.8248636251</v>
      </c>
      <c r="U136" s="7">
        <f t="shared" si="4"/>
        <v>1</v>
      </c>
      <c r="V136" s="7">
        <f t="shared" si="5"/>
        <v>1</v>
      </c>
      <c r="W136" s="7">
        <f t="shared" ref="W136:X136" si="215">IF(AVERAGE(U76:U135) &gt; 0.25, 1, 0)</f>
        <v>1</v>
      </c>
      <c r="X136" s="7">
        <f t="shared" si="215"/>
        <v>1</v>
      </c>
      <c r="Y136" s="8">
        <v>1.0</v>
      </c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</row>
    <row r="137" ht="22.5" customHeight="1">
      <c r="B137" s="6">
        <v>136.0</v>
      </c>
      <c r="C137" s="6">
        <v>30227.0</v>
      </c>
      <c r="D137" s="6">
        <v>-1.03</v>
      </c>
      <c r="E137" s="6">
        <v>2.32</v>
      </c>
      <c r="F137" s="6">
        <v>10.86</v>
      </c>
      <c r="G137" s="6">
        <v>-0.2</v>
      </c>
      <c r="H137" s="6">
        <v>0.12</v>
      </c>
      <c r="I137" s="6">
        <v>-1.29</v>
      </c>
      <c r="J137" s="6">
        <v>33.32</v>
      </c>
      <c r="K137" s="7">
        <f t="shared" ref="K137:P137" si="216">abs(D137-D136)/200</f>
        <v>0.0184</v>
      </c>
      <c r="L137" s="7">
        <f t="shared" si="216"/>
        <v>0.0101</v>
      </c>
      <c r="M137" s="7">
        <f t="shared" si="216"/>
        <v>0.00135</v>
      </c>
      <c r="N137" s="7">
        <f t="shared" si="216"/>
        <v>0.0002</v>
      </c>
      <c r="O137" s="7">
        <f t="shared" si="216"/>
        <v>0.0012</v>
      </c>
      <c r="P137" s="7">
        <f t="shared" si="216"/>
        <v>0.00255</v>
      </c>
      <c r="Q137" s="7">
        <f t="shared" si="7"/>
        <v>0.4860520854</v>
      </c>
      <c r="R137" s="7">
        <f t="shared" si="8"/>
        <v>0.2320580275</v>
      </c>
      <c r="S137" s="7">
        <f t="shared" si="2"/>
        <v>1.352708191</v>
      </c>
      <c r="T137" s="7">
        <f t="shared" si="3"/>
        <v>1.31091571</v>
      </c>
      <c r="U137" s="7">
        <f t="shared" si="4"/>
        <v>1</v>
      </c>
      <c r="V137" s="7">
        <f t="shared" si="5"/>
        <v>1</v>
      </c>
      <c r="W137" s="7">
        <f t="shared" ref="W137:X137" si="217">IF(AVERAGE(U77:U136) &gt; 0.25, 1, 0)</f>
        <v>1</v>
      </c>
      <c r="X137" s="7">
        <f t="shared" si="217"/>
        <v>1</v>
      </c>
      <c r="Y137" s="8">
        <v>1.0</v>
      </c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</row>
    <row r="138" ht="22.5" customHeight="1">
      <c r="B138" s="6">
        <v>137.0</v>
      </c>
      <c r="C138" s="6">
        <v>30431.0</v>
      </c>
      <c r="D138" s="6">
        <v>0.0</v>
      </c>
      <c r="E138" s="6">
        <v>1.06</v>
      </c>
      <c r="F138" s="6">
        <v>10.82</v>
      </c>
      <c r="G138" s="6">
        <v>0.02</v>
      </c>
      <c r="H138" s="6">
        <v>-0.01</v>
      </c>
      <c r="I138" s="6">
        <v>0.23</v>
      </c>
      <c r="J138" s="6">
        <v>33.32</v>
      </c>
      <c r="K138" s="7">
        <f t="shared" ref="K138:P138" si="218">abs(D138-D137)/200</f>
        <v>0.00515</v>
      </c>
      <c r="L138" s="7">
        <f t="shared" si="218"/>
        <v>0.0063</v>
      </c>
      <c r="M138" s="7">
        <f t="shared" si="218"/>
        <v>0.0002</v>
      </c>
      <c r="N138" s="7">
        <f t="shared" si="218"/>
        <v>0.0011</v>
      </c>
      <c r="O138" s="7">
        <f t="shared" si="218"/>
        <v>0.00065</v>
      </c>
      <c r="P138" s="7">
        <f t="shared" si="218"/>
        <v>0.0076</v>
      </c>
      <c r="Q138" s="7">
        <f t="shared" si="7"/>
        <v>1.07983131</v>
      </c>
      <c r="R138" s="7">
        <f t="shared" si="8"/>
        <v>0.280909812</v>
      </c>
      <c r="S138" s="7">
        <f t="shared" si="2"/>
        <v>1.071798379</v>
      </c>
      <c r="T138" s="7">
        <f t="shared" si="3"/>
        <v>0.2310844002</v>
      </c>
      <c r="U138" s="7">
        <f t="shared" si="4"/>
        <v>1</v>
      </c>
      <c r="V138" s="7">
        <f t="shared" si="5"/>
        <v>1</v>
      </c>
      <c r="W138" s="7">
        <f t="shared" ref="W138:X138" si="219">IF(AVERAGE(U78:U137) &gt; 0.25, 1, 0)</f>
        <v>1</v>
      </c>
      <c r="X138" s="7">
        <f t="shared" si="219"/>
        <v>1</v>
      </c>
      <c r="Y138" s="8">
        <v>1.0</v>
      </c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</row>
    <row r="139" ht="22.5" customHeight="1">
      <c r="B139" s="6">
        <v>138.0</v>
      </c>
      <c r="C139" s="6">
        <v>30635.0</v>
      </c>
      <c r="D139" s="6">
        <v>0.37</v>
      </c>
      <c r="E139" s="6">
        <v>-1.2</v>
      </c>
      <c r="F139" s="6">
        <v>10.92</v>
      </c>
      <c r="G139" s="6">
        <v>0.04</v>
      </c>
      <c r="H139" s="6">
        <v>-0.19</v>
      </c>
      <c r="I139" s="6">
        <v>0.84</v>
      </c>
      <c r="J139" s="6">
        <v>33.33</v>
      </c>
      <c r="K139" s="7">
        <f t="shared" ref="K139:P139" si="220">abs(D139-D138)/200</f>
        <v>0.00185</v>
      </c>
      <c r="L139" s="7">
        <f t="shared" si="220"/>
        <v>0.0113</v>
      </c>
      <c r="M139" s="7">
        <f t="shared" si="220"/>
        <v>0.0005</v>
      </c>
      <c r="N139" s="7">
        <f t="shared" si="220"/>
        <v>0.0001</v>
      </c>
      <c r="O139" s="7">
        <f t="shared" si="220"/>
        <v>0.0009</v>
      </c>
      <c r="P139" s="7">
        <f t="shared" si="220"/>
        <v>0.00305</v>
      </c>
      <c r="Q139" s="7">
        <f t="shared" si="7"/>
        <v>0.6310640789</v>
      </c>
      <c r="R139" s="7">
        <f t="shared" si="8"/>
        <v>0.1201668681</v>
      </c>
      <c r="S139" s="7">
        <f t="shared" si="2"/>
        <v>1.191965247</v>
      </c>
      <c r="T139" s="7">
        <f t="shared" si="3"/>
        <v>0.8621484791</v>
      </c>
      <c r="U139" s="7">
        <f t="shared" si="4"/>
        <v>1</v>
      </c>
      <c r="V139" s="7">
        <f t="shared" si="5"/>
        <v>1</v>
      </c>
      <c r="W139" s="7">
        <f t="shared" ref="W139:X139" si="221">IF(AVERAGE(U79:U138) &gt; 0.25, 1, 0)</f>
        <v>1</v>
      </c>
      <c r="X139" s="7">
        <f t="shared" si="221"/>
        <v>1</v>
      </c>
      <c r="Y139" s="8">
        <v>1.0</v>
      </c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</row>
    <row r="140" ht="22.5" customHeight="1">
      <c r="B140" s="6">
        <v>139.0</v>
      </c>
      <c r="C140" s="6">
        <v>30839.0</v>
      </c>
      <c r="D140" s="6">
        <v>3.32</v>
      </c>
      <c r="E140" s="6">
        <v>-1.83</v>
      </c>
      <c r="F140" s="6">
        <v>10.63</v>
      </c>
      <c r="G140" s="6">
        <v>-0.08</v>
      </c>
      <c r="H140" s="6">
        <v>-0.05</v>
      </c>
      <c r="I140" s="6">
        <v>0.4</v>
      </c>
      <c r="J140" s="6">
        <v>33.33</v>
      </c>
      <c r="K140" s="7">
        <f t="shared" ref="K140:P140" si="222">abs(D140-D139)/200</f>
        <v>0.01475</v>
      </c>
      <c r="L140" s="7">
        <f t="shared" si="222"/>
        <v>0.00315</v>
      </c>
      <c r="M140" s="7">
        <f t="shared" si="222"/>
        <v>0.00145</v>
      </c>
      <c r="N140" s="7">
        <f t="shared" si="222"/>
        <v>0.0006</v>
      </c>
      <c r="O140" s="7">
        <f t="shared" si="222"/>
        <v>0.0007</v>
      </c>
      <c r="P140" s="7">
        <f t="shared" si="222"/>
        <v>0.0022</v>
      </c>
      <c r="Q140" s="7">
        <f t="shared" si="7"/>
        <v>0.4511740273</v>
      </c>
      <c r="R140" s="7">
        <f t="shared" si="8"/>
        <v>0.2937868321</v>
      </c>
      <c r="S140" s="7">
        <f t="shared" si="2"/>
        <v>1.48575208</v>
      </c>
      <c r="T140" s="7">
        <f t="shared" si="3"/>
        <v>0.4109744518</v>
      </c>
      <c r="U140" s="7">
        <f t="shared" si="4"/>
        <v>1</v>
      </c>
      <c r="V140" s="7">
        <f t="shared" si="5"/>
        <v>1</v>
      </c>
      <c r="W140" s="7">
        <f t="shared" ref="W140:X140" si="223">IF(AVERAGE(U80:U139) &gt; 0.25, 1, 0)</f>
        <v>1</v>
      </c>
      <c r="X140" s="7">
        <f t="shared" si="223"/>
        <v>1</v>
      </c>
      <c r="Y140" s="8">
        <v>1.0</v>
      </c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</row>
    <row r="141" ht="22.5" customHeight="1">
      <c r="B141" s="6">
        <v>140.0</v>
      </c>
      <c r="C141" s="6">
        <v>31043.0</v>
      </c>
      <c r="D141" s="6">
        <v>2.72</v>
      </c>
      <c r="E141" s="6">
        <v>-0.57</v>
      </c>
      <c r="F141" s="6">
        <v>9.97</v>
      </c>
      <c r="G141" s="6">
        <v>-0.45</v>
      </c>
      <c r="H141" s="6">
        <v>0.27</v>
      </c>
      <c r="I141" s="6">
        <v>-2.03</v>
      </c>
      <c r="J141" s="6">
        <v>33.33</v>
      </c>
      <c r="K141" s="7">
        <f t="shared" ref="K141:P141" si="224">abs(D141-D140)/200</f>
        <v>0.003</v>
      </c>
      <c r="L141" s="7">
        <f t="shared" si="224"/>
        <v>0.0063</v>
      </c>
      <c r="M141" s="7">
        <f t="shared" si="224"/>
        <v>0.0033</v>
      </c>
      <c r="N141" s="7">
        <f t="shared" si="224"/>
        <v>0.00185</v>
      </c>
      <c r="O141" s="7">
        <f t="shared" si="224"/>
        <v>0.0016</v>
      </c>
      <c r="P141" s="7">
        <f t="shared" si="224"/>
        <v>0.01215</v>
      </c>
      <c r="Q141" s="7">
        <f t="shared" si="7"/>
        <v>1.685761106</v>
      </c>
      <c r="R141" s="7">
        <f t="shared" si="8"/>
        <v>0.9356699542</v>
      </c>
      <c r="S141" s="7">
        <f t="shared" si="2"/>
        <v>0.5500821253</v>
      </c>
      <c r="T141" s="7">
        <f t="shared" si="3"/>
        <v>2.096735558</v>
      </c>
      <c r="U141" s="7">
        <f t="shared" si="4"/>
        <v>1</v>
      </c>
      <c r="V141" s="7">
        <f t="shared" si="5"/>
        <v>1</v>
      </c>
      <c r="W141" s="7">
        <f t="shared" ref="W141:X141" si="225">IF(AVERAGE(U81:U140) &gt; 0.25, 1, 0)</f>
        <v>1</v>
      </c>
      <c r="X141" s="7">
        <f t="shared" si="225"/>
        <v>1</v>
      </c>
      <c r="Y141" s="8">
        <v>1.0</v>
      </c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</row>
    <row r="142" ht="22.5" customHeight="1">
      <c r="B142" s="6">
        <v>141.0</v>
      </c>
      <c r="C142" s="6">
        <v>31247.0</v>
      </c>
      <c r="D142" s="6">
        <v>-1.63</v>
      </c>
      <c r="E142" s="6">
        <v>2.68</v>
      </c>
      <c r="F142" s="6">
        <v>10.68</v>
      </c>
      <c r="G142" s="6">
        <v>-0.08</v>
      </c>
      <c r="H142" s="6">
        <v>-0.04</v>
      </c>
      <c r="I142" s="6">
        <v>-0.18</v>
      </c>
      <c r="J142" s="6">
        <v>33.32</v>
      </c>
      <c r="K142" s="7">
        <f t="shared" ref="K142:P142" si="226">abs(D142-D141)/200</f>
        <v>0.02175</v>
      </c>
      <c r="L142" s="7">
        <f t="shared" si="226"/>
        <v>0.01625</v>
      </c>
      <c r="M142" s="7">
        <f t="shared" si="226"/>
        <v>0.00355</v>
      </c>
      <c r="N142" s="7">
        <f t="shared" si="226"/>
        <v>0.00185</v>
      </c>
      <c r="O142" s="7">
        <f t="shared" si="226"/>
        <v>0.00155</v>
      </c>
      <c r="P142" s="7">
        <f t="shared" si="226"/>
        <v>0.00925</v>
      </c>
      <c r="Q142" s="7">
        <f t="shared" si="7"/>
        <v>1.895738046</v>
      </c>
      <c r="R142" s="7">
        <f t="shared" si="8"/>
        <v>0.781031925</v>
      </c>
      <c r="S142" s="7">
        <f t="shared" si="2"/>
        <v>1.33111405</v>
      </c>
      <c r="T142" s="7">
        <f t="shared" si="3"/>
        <v>0.2009975124</v>
      </c>
      <c r="U142" s="7">
        <f t="shared" si="4"/>
        <v>1</v>
      </c>
      <c r="V142" s="7">
        <f t="shared" si="5"/>
        <v>1</v>
      </c>
      <c r="W142" s="7">
        <f t="shared" ref="W142:X142" si="227">IF(AVERAGE(U82:U141) &gt; 0.25, 1, 0)</f>
        <v>1</v>
      </c>
      <c r="X142" s="7">
        <f t="shared" si="227"/>
        <v>1</v>
      </c>
      <c r="Y142" s="8">
        <v>1.0</v>
      </c>
      <c r="Z142" s="7"/>
      <c r="AA142" s="7"/>
      <c r="AB142" s="7"/>
      <c r="AC142" s="7"/>
      <c r="AD142" s="8"/>
      <c r="AE142" s="7"/>
      <c r="AF142" s="7"/>
      <c r="AG142" s="7"/>
      <c r="AH142" s="7"/>
      <c r="AI142" s="7"/>
      <c r="AJ142" s="7"/>
      <c r="AK142" s="7"/>
      <c r="AL142" s="7"/>
    </row>
    <row r="143" ht="22.5" customHeight="1">
      <c r="B143" s="6">
        <v>142.0</v>
      </c>
      <c r="C143" s="6">
        <v>31451.0</v>
      </c>
      <c r="D143" s="6">
        <v>1.08</v>
      </c>
      <c r="E143" s="6">
        <v>-1.79</v>
      </c>
      <c r="F143" s="6">
        <v>10.99</v>
      </c>
      <c r="G143" s="6">
        <v>0.29</v>
      </c>
      <c r="H143" s="6">
        <v>-0.33</v>
      </c>
      <c r="I143" s="6">
        <v>1.87</v>
      </c>
      <c r="J143" s="6">
        <v>33.33</v>
      </c>
      <c r="K143" s="7">
        <f t="shared" ref="K143:P143" si="228">abs(D143-D142)/200</f>
        <v>0.01355</v>
      </c>
      <c r="L143" s="7">
        <f t="shared" si="228"/>
        <v>0.02235</v>
      </c>
      <c r="M143" s="7">
        <f t="shared" si="228"/>
        <v>0.00155</v>
      </c>
      <c r="N143" s="7">
        <f t="shared" si="228"/>
        <v>0.00185</v>
      </c>
      <c r="O143" s="7">
        <f t="shared" si="228"/>
        <v>0.00145</v>
      </c>
      <c r="P143" s="7">
        <f t="shared" si="228"/>
        <v>0.01025</v>
      </c>
      <c r="Q143" s="7">
        <f t="shared" si="7"/>
        <v>1.71991373</v>
      </c>
      <c r="R143" s="7">
        <f t="shared" si="8"/>
        <v>0.05595884661</v>
      </c>
      <c r="S143" s="7">
        <f t="shared" si="2"/>
        <v>1.387072897</v>
      </c>
      <c r="T143" s="7">
        <f t="shared" si="3"/>
        <v>1.920911242</v>
      </c>
      <c r="U143" s="7">
        <f t="shared" si="4"/>
        <v>1</v>
      </c>
      <c r="V143" s="7">
        <f t="shared" si="5"/>
        <v>1</v>
      </c>
      <c r="W143" s="7">
        <f t="shared" ref="W143:X143" si="229">IF(AVERAGE(U83:U142) &gt; 0.25, 1, 0)</f>
        <v>1</v>
      </c>
      <c r="X143" s="7">
        <f t="shared" si="229"/>
        <v>1</v>
      </c>
      <c r="Y143" s="8">
        <v>1.0</v>
      </c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</row>
    <row r="144" ht="22.5" customHeight="1">
      <c r="B144" s="6">
        <v>143.0</v>
      </c>
      <c r="C144" s="6">
        <v>31655.0</v>
      </c>
      <c r="D144" s="6">
        <v>5.82</v>
      </c>
      <c r="E144" s="6">
        <v>-3.43</v>
      </c>
      <c r="F144" s="6">
        <v>10.15</v>
      </c>
      <c r="G144" s="6">
        <v>-0.18</v>
      </c>
      <c r="H144" s="6">
        <v>-0.01</v>
      </c>
      <c r="I144" s="6">
        <v>-0.03</v>
      </c>
      <c r="J144" s="6">
        <v>33.33</v>
      </c>
      <c r="K144" s="7">
        <f t="shared" ref="K144:P144" si="230">abs(D144-D143)/200</f>
        <v>0.0237</v>
      </c>
      <c r="L144" s="7">
        <f t="shared" si="230"/>
        <v>0.0082</v>
      </c>
      <c r="M144" s="7">
        <f t="shared" si="230"/>
        <v>0.0042</v>
      </c>
      <c r="N144" s="7">
        <f t="shared" si="230"/>
        <v>0.00235</v>
      </c>
      <c r="O144" s="7">
        <f t="shared" si="230"/>
        <v>0.0016</v>
      </c>
      <c r="P144" s="7">
        <f t="shared" si="230"/>
        <v>0.0095</v>
      </c>
      <c r="Q144" s="7">
        <f t="shared" si="7"/>
        <v>1.738154573</v>
      </c>
      <c r="R144" s="7">
        <f t="shared" si="8"/>
        <v>1.005539621</v>
      </c>
      <c r="S144" s="7">
        <f t="shared" si="2"/>
        <v>2.392612517</v>
      </c>
      <c r="T144" s="7">
        <f t="shared" si="3"/>
        <v>0.1827566688</v>
      </c>
      <c r="U144" s="7">
        <f t="shared" si="4"/>
        <v>1</v>
      </c>
      <c r="V144" s="7">
        <f t="shared" si="5"/>
        <v>1</v>
      </c>
      <c r="W144" s="7">
        <f t="shared" ref="W144:X144" si="231">IF(AVERAGE(U84:U143) &gt; 0.25, 1, 0)</f>
        <v>1</v>
      </c>
      <c r="X144" s="7">
        <f t="shared" si="231"/>
        <v>1</v>
      </c>
      <c r="Y144" s="8">
        <v>1.0</v>
      </c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</row>
    <row r="145" ht="22.5" customHeight="1">
      <c r="B145" s="6">
        <v>144.0</v>
      </c>
      <c r="C145" s="6">
        <v>31859.0</v>
      </c>
      <c r="D145" s="6">
        <v>-5.84</v>
      </c>
      <c r="E145" s="6">
        <v>1.47</v>
      </c>
      <c r="F145" s="6">
        <v>11.37</v>
      </c>
      <c r="G145" s="6">
        <v>-0.58</v>
      </c>
      <c r="H145" s="6">
        <v>0.03</v>
      </c>
      <c r="I145" s="6">
        <v>-2.34</v>
      </c>
      <c r="J145" s="6">
        <v>33.33</v>
      </c>
      <c r="K145" s="7">
        <f t="shared" ref="K145:P145" si="232">abs(D145-D144)/200</f>
        <v>0.0583</v>
      </c>
      <c r="L145" s="7">
        <f t="shared" si="232"/>
        <v>0.0245</v>
      </c>
      <c r="M145" s="7">
        <f t="shared" si="232"/>
        <v>0.0061</v>
      </c>
      <c r="N145" s="7">
        <f t="shared" si="232"/>
        <v>0.002</v>
      </c>
      <c r="O145" s="7">
        <f t="shared" si="232"/>
        <v>0.0002</v>
      </c>
      <c r="P145" s="7">
        <f t="shared" si="232"/>
        <v>0.01155</v>
      </c>
      <c r="Q145" s="7">
        <f t="shared" si="7"/>
        <v>2.228238976</v>
      </c>
      <c r="R145" s="7">
        <f t="shared" si="8"/>
        <v>0.6737544912</v>
      </c>
      <c r="S145" s="7">
        <f t="shared" si="2"/>
        <v>3.066367009</v>
      </c>
      <c r="T145" s="7">
        <f t="shared" si="3"/>
        <v>2.410995645</v>
      </c>
      <c r="U145" s="7">
        <f t="shared" si="4"/>
        <v>1</v>
      </c>
      <c r="V145" s="7">
        <f t="shared" si="5"/>
        <v>1</v>
      </c>
      <c r="W145" s="7">
        <f t="shared" ref="W145:X145" si="233">IF(AVERAGE(U85:U144) &gt; 0.25, 1, 0)</f>
        <v>1</v>
      </c>
      <c r="X145" s="7">
        <f t="shared" si="233"/>
        <v>1</v>
      </c>
      <c r="Y145" s="8">
        <v>1.0</v>
      </c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</row>
    <row r="146" ht="22.5" customHeight="1">
      <c r="B146" s="6">
        <v>145.0</v>
      </c>
      <c r="C146" s="6">
        <v>32063.0</v>
      </c>
      <c r="D146" s="6">
        <v>-3.1</v>
      </c>
      <c r="E146" s="6">
        <v>1.04</v>
      </c>
      <c r="F146" s="6">
        <v>11.44</v>
      </c>
      <c r="G146" s="6">
        <v>0.26</v>
      </c>
      <c r="H146" s="6">
        <v>0.06</v>
      </c>
      <c r="I146" s="6">
        <v>1.4</v>
      </c>
      <c r="J146" s="6">
        <v>33.34</v>
      </c>
      <c r="K146" s="7">
        <f t="shared" ref="K146:P146" si="234">abs(D146-D145)/200</f>
        <v>0.0137</v>
      </c>
      <c r="L146" s="7">
        <f t="shared" si="234"/>
        <v>0.00215</v>
      </c>
      <c r="M146" s="7">
        <f t="shared" si="234"/>
        <v>0.00035</v>
      </c>
      <c r="N146" s="7">
        <f t="shared" si="234"/>
        <v>0.0042</v>
      </c>
      <c r="O146" s="7">
        <f t="shared" si="234"/>
        <v>0.00015</v>
      </c>
      <c r="P146" s="7">
        <f t="shared" si="234"/>
        <v>0.0187</v>
      </c>
      <c r="Q146" s="7">
        <f t="shared" si="7"/>
        <v>0.9857939049</v>
      </c>
      <c r="R146" s="7">
        <f t="shared" si="8"/>
        <v>0.9682495104</v>
      </c>
      <c r="S146" s="7">
        <f t="shared" si="2"/>
        <v>2.098117498</v>
      </c>
      <c r="T146" s="7">
        <f t="shared" si="3"/>
        <v>1.42520174</v>
      </c>
      <c r="U146" s="7">
        <f t="shared" si="4"/>
        <v>1</v>
      </c>
      <c r="V146" s="7">
        <f t="shared" si="5"/>
        <v>1</v>
      </c>
      <c r="W146" s="7">
        <f t="shared" ref="W146:X146" si="235">IF(AVERAGE(U86:U145) &gt; 0.25, 1, 0)</f>
        <v>1</v>
      </c>
      <c r="X146" s="7">
        <f t="shared" si="235"/>
        <v>1</v>
      </c>
      <c r="Y146" s="8">
        <v>1.0</v>
      </c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</row>
    <row r="147" ht="22.5" customHeight="1">
      <c r="B147" s="6">
        <v>146.0</v>
      </c>
      <c r="C147" s="6">
        <v>32267.0</v>
      </c>
      <c r="D147" s="6">
        <v>7.27</v>
      </c>
      <c r="E147" s="6">
        <v>-3.96</v>
      </c>
      <c r="F147" s="6">
        <v>9.23</v>
      </c>
      <c r="G147" s="6">
        <v>0.06</v>
      </c>
      <c r="H147" s="6">
        <v>0.12</v>
      </c>
      <c r="I147" s="6">
        <v>1.52</v>
      </c>
      <c r="J147" s="6">
        <v>33.33</v>
      </c>
      <c r="K147" s="7">
        <f t="shared" ref="K147:P147" si="236">abs(D147-D146)/200</f>
        <v>0.05185</v>
      </c>
      <c r="L147" s="7">
        <f t="shared" si="236"/>
        <v>0.025</v>
      </c>
      <c r="M147" s="7">
        <f t="shared" si="236"/>
        <v>0.01105</v>
      </c>
      <c r="N147" s="7">
        <f t="shared" si="236"/>
        <v>0.001</v>
      </c>
      <c r="O147" s="7">
        <f t="shared" si="236"/>
        <v>0.0003</v>
      </c>
      <c r="P147" s="7">
        <f t="shared" si="236"/>
        <v>0.0006</v>
      </c>
      <c r="Q147" s="7">
        <f t="shared" si="7"/>
        <v>0.1007078247</v>
      </c>
      <c r="R147" s="7">
        <f t="shared" si="8"/>
        <v>0.500567916</v>
      </c>
      <c r="S147" s="7">
        <f t="shared" si="2"/>
        <v>2.598685414</v>
      </c>
      <c r="T147" s="7">
        <f t="shared" si="3"/>
        <v>1.525909565</v>
      </c>
      <c r="U147" s="7">
        <f t="shared" si="4"/>
        <v>1</v>
      </c>
      <c r="V147" s="7">
        <f t="shared" si="5"/>
        <v>1</v>
      </c>
      <c r="W147" s="7">
        <f t="shared" ref="W147:X147" si="237">IF(AVERAGE(U87:U146) &gt; 0.25, 1, 0)</f>
        <v>1</v>
      </c>
      <c r="X147" s="7">
        <f t="shared" si="237"/>
        <v>1</v>
      </c>
      <c r="Y147" s="8">
        <v>1.0</v>
      </c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</row>
    <row r="148" ht="22.5" customHeight="1">
      <c r="B148" s="6">
        <v>147.0</v>
      </c>
      <c r="C148" s="6">
        <v>32471.0</v>
      </c>
      <c r="D148" s="6">
        <v>3.53</v>
      </c>
      <c r="E148" s="6">
        <v>-3.09</v>
      </c>
      <c r="F148" s="6">
        <v>10.76</v>
      </c>
      <c r="G148" s="6">
        <v>-0.56</v>
      </c>
      <c r="H148" s="6">
        <v>0.39</v>
      </c>
      <c r="I148" s="6">
        <v>-2.79</v>
      </c>
      <c r="J148" s="6">
        <v>33.34</v>
      </c>
      <c r="K148" s="7">
        <f t="shared" ref="K148:P148" si="238">abs(D148-D147)/200</f>
        <v>0.0187</v>
      </c>
      <c r="L148" s="7">
        <f t="shared" si="238"/>
        <v>0.00435</v>
      </c>
      <c r="M148" s="7">
        <f t="shared" si="238"/>
        <v>0.00765</v>
      </c>
      <c r="N148" s="7">
        <f t="shared" si="238"/>
        <v>0.0031</v>
      </c>
      <c r="O148" s="7">
        <f t="shared" si="238"/>
        <v>0.00135</v>
      </c>
      <c r="P148" s="7">
        <f t="shared" si="238"/>
        <v>0.02155</v>
      </c>
      <c r="Q148" s="7">
        <f t="shared" si="7"/>
        <v>1.346336943</v>
      </c>
      <c r="R148" s="7">
        <f t="shared" si="8"/>
        <v>0.660431711</v>
      </c>
      <c r="S148" s="7">
        <f t="shared" si="2"/>
        <v>1.938253703</v>
      </c>
      <c r="T148" s="7">
        <f t="shared" si="3"/>
        <v>2.872246508</v>
      </c>
      <c r="U148" s="7">
        <f t="shared" si="4"/>
        <v>1</v>
      </c>
      <c r="V148" s="7">
        <f t="shared" si="5"/>
        <v>1</v>
      </c>
      <c r="W148" s="7">
        <f t="shared" ref="W148:X148" si="239">IF(AVERAGE(U88:U147) &gt; 0.25, 1, 0)</f>
        <v>1</v>
      </c>
      <c r="X148" s="7">
        <f t="shared" si="239"/>
        <v>1</v>
      </c>
      <c r="Y148" s="8">
        <v>1.0</v>
      </c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</row>
    <row r="149" ht="22.5" customHeight="1">
      <c r="B149" s="6">
        <v>148.0</v>
      </c>
      <c r="C149" s="6">
        <v>32675.0</v>
      </c>
      <c r="D149" s="6">
        <v>-8.54</v>
      </c>
      <c r="E149" s="6">
        <v>1.87</v>
      </c>
      <c r="F149" s="6">
        <v>12.23</v>
      </c>
      <c r="G149" s="6">
        <v>-0.31</v>
      </c>
      <c r="H149" s="6">
        <v>-0.09</v>
      </c>
      <c r="I149" s="6">
        <v>-1.56</v>
      </c>
      <c r="J149" s="6">
        <v>33.34</v>
      </c>
      <c r="K149" s="7">
        <f t="shared" ref="K149:P149" si="240">abs(D149-D148)/200</f>
        <v>0.06035</v>
      </c>
      <c r="L149" s="7">
        <f t="shared" si="240"/>
        <v>0.0248</v>
      </c>
      <c r="M149" s="7">
        <f t="shared" si="240"/>
        <v>0.00735</v>
      </c>
      <c r="N149" s="7">
        <f t="shared" si="240"/>
        <v>0.00125</v>
      </c>
      <c r="O149" s="7">
        <f t="shared" si="240"/>
        <v>0.0024</v>
      </c>
      <c r="P149" s="7">
        <f t="shared" si="240"/>
        <v>0.00615</v>
      </c>
      <c r="Q149" s="7">
        <f t="shared" si="7"/>
        <v>1.279199113</v>
      </c>
      <c r="R149" s="7">
        <f t="shared" si="8"/>
        <v>3.295089238</v>
      </c>
      <c r="S149" s="7">
        <f t="shared" si="2"/>
        <v>5.233342942</v>
      </c>
      <c r="T149" s="7">
        <f t="shared" si="3"/>
        <v>1.593047394</v>
      </c>
      <c r="U149" s="7">
        <f t="shared" si="4"/>
        <v>1</v>
      </c>
      <c r="V149" s="7">
        <f t="shared" si="5"/>
        <v>1</v>
      </c>
      <c r="W149" s="7">
        <f t="shared" ref="W149:X149" si="241">IF(AVERAGE(U89:U148) &gt; 0.25, 1, 0)</f>
        <v>1</v>
      </c>
      <c r="X149" s="7">
        <f t="shared" si="241"/>
        <v>1</v>
      </c>
      <c r="Y149" s="8">
        <v>1.0</v>
      </c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</row>
    <row r="150" ht="22.5" customHeight="1">
      <c r="B150" s="6">
        <v>149.0</v>
      </c>
      <c r="C150" s="6">
        <v>32879.0</v>
      </c>
      <c r="D150" s="6">
        <v>-1.2</v>
      </c>
      <c r="E150" s="6">
        <v>-1.29</v>
      </c>
      <c r="F150" s="6">
        <v>11.18</v>
      </c>
      <c r="G150" s="6">
        <v>0.25</v>
      </c>
      <c r="H150" s="6">
        <v>0.21</v>
      </c>
      <c r="I150" s="6">
        <v>2.07</v>
      </c>
      <c r="J150" s="6">
        <v>33.33</v>
      </c>
      <c r="K150" s="7">
        <f t="shared" ref="K150:P150" si="242">abs(D150-D149)/200</f>
        <v>0.0367</v>
      </c>
      <c r="L150" s="7">
        <f t="shared" si="242"/>
        <v>0.0158</v>
      </c>
      <c r="M150" s="7">
        <f t="shared" si="242"/>
        <v>0.00525</v>
      </c>
      <c r="N150" s="7">
        <f t="shared" si="242"/>
        <v>0.0028</v>
      </c>
      <c r="O150" s="7">
        <f t="shared" si="242"/>
        <v>0.0015</v>
      </c>
      <c r="P150" s="7">
        <f t="shared" si="242"/>
        <v>0.01815</v>
      </c>
      <c r="Q150" s="7">
        <f t="shared" si="7"/>
        <v>0.5025432147</v>
      </c>
      <c r="R150" s="7">
        <f t="shared" si="8"/>
        <v>3.715370508</v>
      </c>
      <c r="S150" s="7">
        <f t="shared" si="2"/>
        <v>1.517972433</v>
      </c>
      <c r="T150" s="7">
        <f t="shared" si="3"/>
        <v>2.095590609</v>
      </c>
      <c r="U150" s="7">
        <f t="shared" si="4"/>
        <v>1</v>
      </c>
      <c r="V150" s="7">
        <f t="shared" si="5"/>
        <v>1</v>
      </c>
      <c r="W150" s="7">
        <f t="shared" ref="W150:X150" si="243">IF(AVERAGE(U90:U149) &gt; 0.25, 1, 0)</f>
        <v>1</v>
      </c>
      <c r="X150" s="7">
        <f t="shared" si="243"/>
        <v>1</v>
      </c>
      <c r="Y150" s="8">
        <v>1.0</v>
      </c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</row>
    <row r="151" ht="22.5" customHeight="1">
      <c r="B151" s="6">
        <v>150.0</v>
      </c>
      <c r="C151" s="6">
        <v>33083.0</v>
      </c>
      <c r="D151" s="6">
        <v>5.19</v>
      </c>
      <c r="E151" s="6">
        <v>-0.79</v>
      </c>
      <c r="F151" s="6">
        <v>11.26</v>
      </c>
      <c r="G151" s="6">
        <v>-0.03</v>
      </c>
      <c r="H151" s="6">
        <v>-0.07</v>
      </c>
      <c r="I151" s="6">
        <v>1.14</v>
      </c>
      <c r="J151" s="6">
        <v>33.32</v>
      </c>
      <c r="K151" s="7">
        <f t="shared" ref="K151:P151" si="244">abs(D151-D150)/200</f>
        <v>0.03195</v>
      </c>
      <c r="L151" s="7">
        <f t="shared" si="244"/>
        <v>0.0025</v>
      </c>
      <c r="M151" s="7">
        <f t="shared" si="244"/>
        <v>0.0004</v>
      </c>
      <c r="N151" s="7">
        <f t="shared" si="244"/>
        <v>0.0014</v>
      </c>
      <c r="O151" s="7">
        <f t="shared" si="244"/>
        <v>0.0014</v>
      </c>
      <c r="P151" s="7">
        <f t="shared" si="244"/>
        <v>0.00465</v>
      </c>
      <c r="Q151" s="7">
        <f t="shared" si="7"/>
        <v>0.9530495812</v>
      </c>
      <c r="R151" s="7">
        <f t="shared" si="8"/>
        <v>1.105706571</v>
      </c>
      <c r="S151" s="7">
        <f t="shared" si="2"/>
        <v>2.623679004</v>
      </c>
      <c r="T151" s="7">
        <f t="shared" si="3"/>
        <v>1.142541028</v>
      </c>
      <c r="U151" s="7">
        <f t="shared" si="4"/>
        <v>1</v>
      </c>
      <c r="V151" s="7">
        <f t="shared" si="5"/>
        <v>1</v>
      </c>
      <c r="W151" s="7">
        <f t="shared" ref="W151:X151" si="245">IF(AVERAGE(U91:U150) &gt; 0.25, 1, 0)</f>
        <v>1</v>
      </c>
      <c r="X151" s="7">
        <f t="shared" si="245"/>
        <v>1</v>
      </c>
      <c r="Y151" s="8">
        <v>1.0</v>
      </c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 ht="22.5" customHeight="1">
      <c r="B152" s="6">
        <v>151.0</v>
      </c>
      <c r="C152" s="6">
        <v>33287.0</v>
      </c>
      <c r="D152" s="6">
        <v>1.69</v>
      </c>
      <c r="E152" s="6">
        <v>-2.21</v>
      </c>
      <c r="F152" s="6">
        <v>11.37</v>
      </c>
      <c r="G152" s="6">
        <v>-0.65</v>
      </c>
      <c r="H152" s="6">
        <v>-0.13</v>
      </c>
      <c r="I152" s="6">
        <v>-3.66</v>
      </c>
      <c r="J152" s="6">
        <v>33.33</v>
      </c>
      <c r="K152" s="7">
        <f t="shared" ref="K152:P152" si="246">abs(D152-D151)/200</f>
        <v>0.0175</v>
      </c>
      <c r="L152" s="7">
        <f t="shared" si="246"/>
        <v>0.0071</v>
      </c>
      <c r="M152" s="7">
        <f t="shared" si="246"/>
        <v>0.00055</v>
      </c>
      <c r="N152" s="7">
        <f t="shared" si="246"/>
        <v>0.0031</v>
      </c>
      <c r="O152" s="7">
        <f t="shared" si="246"/>
        <v>0.0003</v>
      </c>
      <c r="P152" s="7">
        <f t="shared" si="246"/>
        <v>0.024</v>
      </c>
      <c r="Q152" s="7">
        <f t="shared" si="7"/>
        <v>2.577001955</v>
      </c>
      <c r="R152" s="7">
        <f t="shared" si="8"/>
        <v>0.7182486405</v>
      </c>
      <c r="S152" s="7">
        <f t="shared" si="2"/>
        <v>1.905430364</v>
      </c>
      <c r="T152" s="7">
        <f t="shared" si="3"/>
        <v>3.719542983</v>
      </c>
      <c r="U152" s="7">
        <f t="shared" si="4"/>
        <v>1</v>
      </c>
      <c r="V152" s="7">
        <f t="shared" si="5"/>
        <v>1</v>
      </c>
      <c r="W152" s="7">
        <f t="shared" ref="W152:X152" si="247">IF(AVERAGE(U92:U151) &gt; 0.25, 1, 0)</f>
        <v>1</v>
      </c>
      <c r="X152" s="7">
        <f t="shared" si="247"/>
        <v>1</v>
      </c>
      <c r="Y152" s="8">
        <v>1.0</v>
      </c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</row>
    <row r="153" ht="22.5" customHeight="1">
      <c r="B153" s="6">
        <v>152.0</v>
      </c>
      <c r="C153" s="6">
        <v>33491.0</v>
      </c>
      <c r="D153" s="6">
        <v>-3.16</v>
      </c>
      <c r="E153" s="6">
        <v>-0.06</v>
      </c>
      <c r="F153" s="6">
        <v>10.83</v>
      </c>
      <c r="G153" s="6">
        <v>-0.13</v>
      </c>
      <c r="H153" s="6">
        <v>0.0</v>
      </c>
      <c r="I153" s="6">
        <v>-0.54</v>
      </c>
      <c r="J153" s="6">
        <v>33.34</v>
      </c>
      <c r="K153" s="7">
        <f t="shared" ref="K153:P153" si="248">abs(D153-D152)/200</f>
        <v>0.02425</v>
      </c>
      <c r="L153" s="7">
        <f t="shared" si="248"/>
        <v>0.01075</v>
      </c>
      <c r="M153" s="7">
        <f t="shared" si="248"/>
        <v>0.0027</v>
      </c>
      <c r="N153" s="7">
        <f t="shared" si="248"/>
        <v>0.0026</v>
      </c>
      <c r="O153" s="7">
        <f t="shared" si="248"/>
        <v>0.00065</v>
      </c>
      <c r="P153" s="7">
        <f t="shared" si="248"/>
        <v>0.0156</v>
      </c>
      <c r="Q153" s="7">
        <f t="shared" si="7"/>
        <v>3.16411522</v>
      </c>
      <c r="R153" s="7">
        <f t="shared" si="8"/>
        <v>0.4236707492</v>
      </c>
      <c r="S153" s="7">
        <f t="shared" si="2"/>
        <v>1.481759615</v>
      </c>
      <c r="T153" s="7">
        <f t="shared" si="3"/>
        <v>0.5554277631</v>
      </c>
      <c r="U153" s="7">
        <f t="shared" si="4"/>
        <v>1</v>
      </c>
      <c r="V153" s="7">
        <f t="shared" si="5"/>
        <v>1</v>
      </c>
      <c r="W153" s="7">
        <f t="shared" ref="W153:X153" si="249">IF(AVERAGE(U93:U152) &gt; 0.25, 1, 0)</f>
        <v>1</v>
      </c>
      <c r="X153" s="7">
        <f t="shared" si="249"/>
        <v>1</v>
      </c>
      <c r="Y153" s="8">
        <v>1.0</v>
      </c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</row>
    <row r="154" ht="22.5" customHeight="1">
      <c r="B154" s="6">
        <v>153.0</v>
      </c>
      <c r="C154" s="6">
        <v>33695.0</v>
      </c>
      <c r="D154" s="6">
        <v>1.3</v>
      </c>
      <c r="E154" s="6">
        <v>-1.2</v>
      </c>
      <c r="F154" s="6">
        <v>11.23</v>
      </c>
      <c r="G154" s="6">
        <v>0.33</v>
      </c>
      <c r="H154" s="6">
        <v>0.26</v>
      </c>
      <c r="I154" s="6">
        <v>2.44</v>
      </c>
      <c r="J154" s="6">
        <v>33.32</v>
      </c>
      <c r="K154" s="7">
        <f t="shared" ref="K154:P154" si="250">abs(D154-D153)/200</f>
        <v>0.0223</v>
      </c>
      <c r="L154" s="7">
        <f t="shared" si="250"/>
        <v>0.0057</v>
      </c>
      <c r="M154" s="7">
        <f t="shared" si="250"/>
        <v>0.002</v>
      </c>
      <c r="N154" s="7">
        <f t="shared" si="250"/>
        <v>0.0023</v>
      </c>
      <c r="O154" s="7">
        <f t="shared" si="250"/>
        <v>0.0013</v>
      </c>
      <c r="P154" s="7">
        <f t="shared" si="250"/>
        <v>0.0149</v>
      </c>
      <c r="Q154" s="7">
        <f t="shared" si="7"/>
        <v>1.920476112</v>
      </c>
      <c r="R154" s="7">
        <f t="shared" si="8"/>
        <v>0.08674512444</v>
      </c>
      <c r="S154" s="7">
        <f t="shared" si="2"/>
        <v>1.568504739</v>
      </c>
      <c r="T154" s="7">
        <f t="shared" si="3"/>
        <v>2.475903875</v>
      </c>
      <c r="U154" s="7">
        <f t="shared" si="4"/>
        <v>1</v>
      </c>
      <c r="V154" s="7">
        <f t="shared" si="5"/>
        <v>1</v>
      </c>
      <c r="W154" s="7">
        <f t="shared" ref="W154:X154" si="251">IF(AVERAGE(U94:U153) &gt; 0.25, 1, 0)</f>
        <v>1</v>
      </c>
      <c r="X154" s="7">
        <f t="shared" si="251"/>
        <v>1</v>
      </c>
      <c r="Y154" s="8">
        <v>1.0</v>
      </c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</row>
    <row r="155" ht="22.5" customHeight="1">
      <c r="B155" s="6">
        <v>154.0</v>
      </c>
      <c r="C155" s="6">
        <v>33899.0</v>
      </c>
      <c r="D155" s="6">
        <v>4.8</v>
      </c>
      <c r="E155" s="6">
        <v>-3.13</v>
      </c>
      <c r="F155" s="6">
        <v>9.96</v>
      </c>
      <c r="G155" s="6">
        <v>-0.13</v>
      </c>
      <c r="H155" s="6">
        <v>0.04</v>
      </c>
      <c r="I155" s="6">
        <v>-0.24</v>
      </c>
      <c r="J155" s="6">
        <v>33.33</v>
      </c>
      <c r="K155" s="7">
        <f t="shared" ref="K155:P155" si="252">abs(D155-D154)/200</f>
        <v>0.0175</v>
      </c>
      <c r="L155" s="7">
        <f t="shared" si="252"/>
        <v>0.00965</v>
      </c>
      <c r="M155" s="7">
        <f t="shared" si="252"/>
        <v>0.00635</v>
      </c>
      <c r="N155" s="7">
        <f t="shared" si="252"/>
        <v>0.0023</v>
      </c>
      <c r="O155" s="7">
        <f t="shared" si="252"/>
        <v>0.0011</v>
      </c>
      <c r="P155" s="7">
        <f t="shared" si="252"/>
        <v>0.0134</v>
      </c>
      <c r="Q155" s="7">
        <f t="shared" si="7"/>
        <v>2.200041591</v>
      </c>
      <c r="R155" s="7">
        <f t="shared" si="8"/>
        <v>0.1222959294</v>
      </c>
      <c r="S155" s="7">
        <f t="shared" si="2"/>
        <v>1.690800668</v>
      </c>
      <c r="T155" s="7">
        <f t="shared" si="3"/>
        <v>0.2758622845</v>
      </c>
      <c r="U155" s="7">
        <f t="shared" si="4"/>
        <v>1</v>
      </c>
      <c r="V155" s="7">
        <f t="shared" si="5"/>
        <v>1</v>
      </c>
      <c r="W155" s="7">
        <f t="shared" ref="W155:X155" si="253">IF(AVERAGE(U95:U154) &gt; 0.25, 1, 0)</f>
        <v>1</v>
      </c>
      <c r="X155" s="7">
        <f t="shared" si="253"/>
        <v>1</v>
      </c>
      <c r="Y155" s="8">
        <v>1.0</v>
      </c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</row>
    <row r="156" ht="22.5" customHeight="1">
      <c r="B156" s="6">
        <v>155.0</v>
      </c>
      <c r="C156" s="6">
        <v>34103.0</v>
      </c>
      <c r="D156" s="6">
        <v>-1.38</v>
      </c>
      <c r="E156" s="6">
        <v>-0.59</v>
      </c>
      <c r="F156" s="6">
        <v>11.31</v>
      </c>
      <c r="G156" s="6">
        <v>-0.35</v>
      </c>
      <c r="H156" s="6">
        <v>-0.21</v>
      </c>
      <c r="I156" s="6">
        <v>-0.69</v>
      </c>
      <c r="J156" s="6">
        <v>33.34</v>
      </c>
      <c r="K156" s="7">
        <f t="shared" ref="K156:P156" si="254">abs(D156-D155)/200</f>
        <v>0.0309</v>
      </c>
      <c r="L156" s="7">
        <f t="shared" si="254"/>
        <v>0.0127</v>
      </c>
      <c r="M156" s="7">
        <f t="shared" si="254"/>
        <v>0.00675</v>
      </c>
      <c r="N156" s="7">
        <f t="shared" si="254"/>
        <v>0.0011</v>
      </c>
      <c r="O156" s="7">
        <f t="shared" si="254"/>
        <v>0.00125</v>
      </c>
      <c r="P156" s="7">
        <f t="shared" si="254"/>
        <v>0.00225</v>
      </c>
      <c r="Q156" s="7">
        <f t="shared" si="7"/>
        <v>0.5258234395</v>
      </c>
      <c r="R156" s="7">
        <f t="shared" si="8"/>
        <v>0.08165521395</v>
      </c>
      <c r="S156" s="7">
        <f t="shared" si="2"/>
        <v>1.609145454</v>
      </c>
      <c r="T156" s="7">
        <f t="shared" si="3"/>
        <v>0.801685724</v>
      </c>
      <c r="U156" s="7">
        <f t="shared" si="4"/>
        <v>1</v>
      </c>
      <c r="V156" s="7">
        <f t="shared" si="5"/>
        <v>1</v>
      </c>
      <c r="W156" s="7">
        <f t="shared" ref="W156:X156" si="255">IF(AVERAGE(U96:U155) &gt; 0.25, 1, 0)</f>
        <v>1</v>
      </c>
      <c r="X156" s="7">
        <f t="shared" si="255"/>
        <v>1</v>
      </c>
      <c r="Y156" s="8">
        <v>1.0</v>
      </c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</row>
    <row r="157" ht="22.5" customHeight="1">
      <c r="B157" s="6">
        <v>156.0</v>
      </c>
      <c r="C157" s="6">
        <v>34307.0</v>
      </c>
      <c r="D157" s="6">
        <v>-0.92</v>
      </c>
      <c r="E157" s="6">
        <v>3.87</v>
      </c>
      <c r="F157" s="6">
        <v>11.21</v>
      </c>
      <c r="G157" s="6">
        <v>-0.08</v>
      </c>
      <c r="H157" s="6">
        <v>0.07</v>
      </c>
      <c r="I157" s="6">
        <v>0.29</v>
      </c>
      <c r="J157" s="6">
        <v>33.33</v>
      </c>
      <c r="K157" s="7">
        <f t="shared" ref="K157:P157" si="256">abs(D157-D156)/200</f>
        <v>0.0023</v>
      </c>
      <c r="L157" s="7">
        <f t="shared" si="256"/>
        <v>0.0223</v>
      </c>
      <c r="M157" s="7">
        <f t="shared" si="256"/>
        <v>0.0005</v>
      </c>
      <c r="N157" s="7">
        <f t="shared" si="256"/>
        <v>0.00135</v>
      </c>
      <c r="O157" s="7">
        <f t="shared" si="256"/>
        <v>0.0014</v>
      </c>
      <c r="P157" s="7">
        <f t="shared" si="256"/>
        <v>0.0049</v>
      </c>
      <c r="Q157" s="7">
        <f t="shared" si="7"/>
        <v>0.4928168197</v>
      </c>
      <c r="R157" s="7">
        <f t="shared" si="8"/>
        <v>0.4857021697</v>
      </c>
      <c r="S157" s="7">
        <f t="shared" si="2"/>
        <v>2.094847624</v>
      </c>
      <c r="T157" s="7">
        <f t="shared" si="3"/>
        <v>0.3088689042</v>
      </c>
      <c r="U157" s="7">
        <f t="shared" si="4"/>
        <v>1</v>
      </c>
      <c r="V157" s="7">
        <f t="shared" si="5"/>
        <v>1</v>
      </c>
      <c r="W157" s="7">
        <f t="shared" ref="W157:X157" si="257">IF(AVERAGE(U97:U156) &gt; 0.25, 1, 0)</f>
        <v>1</v>
      </c>
      <c r="X157" s="7">
        <f t="shared" si="257"/>
        <v>1</v>
      </c>
      <c r="Y157" s="8">
        <v>1.0</v>
      </c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</row>
    <row r="158" ht="22.5" customHeight="1">
      <c r="B158" s="6">
        <v>157.0</v>
      </c>
      <c r="C158" s="6">
        <v>34511.0</v>
      </c>
      <c r="D158" s="6">
        <v>0.01</v>
      </c>
      <c r="E158" s="6">
        <v>-0.15</v>
      </c>
      <c r="F158" s="6">
        <v>11.25</v>
      </c>
      <c r="G158" s="6">
        <v>0.22</v>
      </c>
      <c r="H158" s="6">
        <v>0.25</v>
      </c>
      <c r="I158" s="6">
        <v>0.72</v>
      </c>
      <c r="J158" s="6">
        <v>33.33</v>
      </c>
      <c r="K158" s="7">
        <f t="shared" ref="K158:P158" si="258">abs(D158-D157)/200</f>
        <v>0.00465</v>
      </c>
      <c r="L158" s="7">
        <f t="shared" si="258"/>
        <v>0.0201</v>
      </c>
      <c r="M158" s="7">
        <f t="shared" si="258"/>
        <v>0.0002</v>
      </c>
      <c r="N158" s="7">
        <f t="shared" si="258"/>
        <v>0.0015</v>
      </c>
      <c r="O158" s="7">
        <f t="shared" si="258"/>
        <v>0.0009</v>
      </c>
      <c r="P158" s="7">
        <f t="shared" si="258"/>
        <v>0.00215</v>
      </c>
      <c r="Q158" s="7">
        <f t="shared" si="7"/>
        <v>0.484415408</v>
      </c>
      <c r="R158" s="7">
        <f t="shared" si="8"/>
        <v>0.6438432245</v>
      </c>
      <c r="S158" s="7">
        <f t="shared" si="2"/>
        <v>1.4510044</v>
      </c>
      <c r="T158" s="7">
        <f t="shared" si="3"/>
        <v>0.7932843122</v>
      </c>
      <c r="U158" s="7">
        <f t="shared" si="4"/>
        <v>1</v>
      </c>
      <c r="V158" s="7">
        <f t="shared" si="5"/>
        <v>1</v>
      </c>
      <c r="W158" s="7">
        <f t="shared" ref="W158:X158" si="259">IF(AVERAGE(U98:U157) &gt; 0.25, 1, 0)</f>
        <v>1</v>
      </c>
      <c r="X158" s="7">
        <f t="shared" si="259"/>
        <v>1</v>
      </c>
      <c r="Y158" s="8">
        <v>1.0</v>
      </c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</row>
    <row r="159" ht="22.5" customHeight="1">
      <c r="B159" s="6">
        <v>158.0</v>
      </c>
      <c r="C159" s="6">
        <v>34715.0</v>
      </c>
      <c r="D159" s="6">
        <v>5.4</v>
      </c>
      <c r="E159" s="6">
        <v>-4.43</v>
      </c>
      <c r="F159" s="6">
        <v>10.26</v>
      </c>
      <c r="G159" s="6">
        <v>0.05</v>
      </c>
      <c r="H159" s="6">
        <v>-0.04</v>
      </c>
      <c r="I159" s="6">
        <v>0.51</v>
      </c>
      <c r="J159" s="6">
        <v>33.33</v>
      </c>
      <c r="K159" s="7">
        <f t="shared" ref="K159:P159" si="260">abs(D159-D158)/200</f>
        <v>0.02695</v>
      </c>
      <c r="L159" s="7">
        <f t="shared" si="260"/>
        <v>0.0214</v>
      </c>
      <c r="M159" s="7">
        <f t="shared" si="260"/>
        <v>0.00495</v>
      </c>
      <c r="N159" s="7">
        <f t="shared" si="260"/>
        <v>0.00085</v>
      </c>
      <c r="O159" s="7">
        <f t="shared" si="260"/>
        <v>0.00145</v>
      </c>
      <c r="P159" s="7">
        <f t="shared" si="260"/>
        <v>0.00105</v>
      </c>
      <c r="Q159" s="7">
        <f t="shared" si="7"/>
        <v>0.2792804212</v>
      </c>
      <c r="R159" s="7">
        <f t="shared" si="8"/>
        <v>1.160784351</v>
      </c>
      <c r="S159" s="7">
        <f t="shared" si="2"/>
        <v>2.611788751</v>
      </c>
      <c r="T159" s="7">
        <f t="shared" si="3"/>
        <v>0.514003891</v>
      </c>
      <c r="U159" s="7">
        <f t="shared" si="4"/>
        <v>1</v>
      </c>
      <c r="V159" s="7">
        <f t="shared" si="5"/>
        <v>1</v>
      </c>
      <c r="W159" s="7">
        <f t="shared" ref="W159:X159" si="261">IF(AVERAGE(U99:U158) &gt; 0.25, 1, 0)</f>
        <v>1</v>
      </c>
      <c r="X159" s="7">
        <f t="shared" si="261"/>
        <v>1</v>
      </c>
      <c r="Y159" s="8">
        <v>1.0</v>
      </c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</row>
    <row r="160" ht="22.5" customHeight="1">
      <c r="B160" s="6">
        <v>159.0</v>
      </c>
      <c r="C160" s="6">
        <v>34919.0</v>
      </c>
      <c r="D160" s="6">
        <v>1.46</v>
      </c>
      <c r="E160" s="6">
        <v>-2.01</v>
      </c>
      <c r="F160" s="6">
        <v>10.6</v>
      </c>
      <c r="G160" s="6">
        <v>-0.31</v>
      </c>
      <c r="H160" s="6">
        <v>-0.06</v>
      </c>
      <c r="I160" s="6">
        <v>-0.41</v>
      </c>
      <c r="J160" s="6">
        <v>33.33</v>
      </c>
      <c r="K160" s="7">
        <f t="shared" ref="K160:P160" si="262">abs(D160-D159)/200</f>
        <v>0.0197</v>
      </c>
      <c r="L160" s="7">
        <f t="shared" si="262"/>
        <v>0.0121</v>
      </c>
      <c r="M160" s="7">
        <f t="shared" si="262"/>
        <v>0.0017</v>
      </c>
      <c r="N160" s="7">
        <f t="shared" si="262"/>
        <v>0.0018</v>
      </c>
      <c r="O160" s="7">
        <f t="shared" si="262"/>
        <v>0.0001</v>
      </c>
      <c r="P160" s="7">
        <f t="shared" si="262"/>
        <v>0.0046</v>
      </c>
      <c r="Q160" s="7">
        <f t="shared" si="7"/>
        <v>0.003490070282</v>
      </c>
      <c r="R160" s="7">
        <f t="shared" si="8"/>
        <v>1.524562291</v>
      </c>
      <c r="S160" s="7">
        <f t="shared" si="2"/>
        <v>1.08722646</v>
      </c>
      <c r="T160" s="7">
        <f t="shared" si="3"/>
        <v>0.5174939613</v>
      </c>
      <c r="U160" s="7">
        <f t="shared" si="4"/>
        <v>1</v>
      </c>
      <c r="V160" s="7">
        <f t="shared" si="5"/>
        <v>1</v>
      </c>
      <c r="W160" s="7">
        <f t="shared" ref="W160:X160" si="263">IF(AVERAGE(U100:U159) &gt; 0.25, 1, 0)</f>
        <v>1</v>
      </c>
      <c r="X160" s="7">
        <f t="shared" si="263"/>
        <v>1</v>
      </c>
      <c r="Y160" s="8">
        <v>1.0</v>
      </c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</row>
    <row r="161" ht="22.5" customHeight="1">
      <c r="B161" s="6">
        <v>160.0</v>
      </c>
      <c r="C161" s="6">
        <v>35123.0</v>
      </c>
      <c r="D161" s="6">
        <v>1.0</v>
      </c>
      <c r="E161" s="6">
        <v>0.18</v>
      </c>
      <c r="F161" s="6">
        <v>10.98</v>
      </c>
      <c r="G161" s="6">
        <v>-0.21</v>
      </c>
      <c r="H161" s="6">
        <v>-0.29</v>
      </c>
      <c r="I161" s="6">
        <v>0.01</v>
      </c>
      <c r="J161" s="6">
        <v>33.32</v>
      </c>
      <c r="K161" s="7">
        <f t="shared" ref="K161:P161" si="264">abs(D161-D160)/200</f>
        <v>0.0023</v>
      </c>
      <c r="L161" s="7">
        <f t="shared" si="264"/>
        <v>0.01095</v>
      </c>
      <c r="M161" s="7">
        <f t="shared" si="264"/>
        <v>0.0019</v>
      </c>
      <c r="N161" s="7">
        <f t="shared" si="264"/>
        <v>0.0005</v>
      </c>
      <c r="O161" s="7">
        <f t="shared" si="264"/>
        <v>0.00115</v>
      </c>
      <c r="P161" s="7">
        <f t="shared" si="264"/>
        <v>0.0021</v>
      </c>
      <c r="Q161" s="7">
        <f t="shared" si="7"/>
        <v>0.1593040675</v>
      </c>
      <c r="R161" s="7">
        <f t="shared" si="8"/>
        <v>0.1396860721</v>
      </c>
      <c r="S161" s="7">
        <f t="shared" si="2"/>
        <v>1.226912533</v>
      </c>
      <c r="T161" s="7">
        <f t="shared" si="3"/>
        <v>0.3581898938</v>
      </c>
      <c r="U161" s="7">
        <f t="shared" si="4"/>
        <v>1</v>
      </c>
      <c r="V161" s="7">
        <f t="shared" si="5"/>
        <v>1</v>
      </c>
      <c r="W161" s="7">
        <f t="shared" ref="W161:X161" si="265">IF(AVERAGE(U101:U160) &gt; 0.25, 1, 0)</f>
        <v>1</v>
      </c>
      <c r="X161" s="7">
        <f t="shared" si="265"/>
        <v>1</v>
      </c>
      <c r="Y161" s="8">
        <v>1.0</v>
      </c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</row>
    <row r="162" ht="22.5" customHeight="1">
      <c r="B162" s="6">
        <v>161.0</v>
      </c>
      <c r="C162" s="6">
        <v>35327.0</v>
      </c>
      <c r="D162" s="6">
        <v>-0.75</v>
      </c>
      <c r="E162" s="6">
        <v>4.27</v>
      </c>
      <c r="F162" s="6">
        <v>10.73</v>
      </c>
      <c r="G162" s="6">
        <v>-0.12</v>
      </c>
      <c r="H162" s="6">
        <v>-0.07</v>
      </c>
      <c r="I162" s="6">
        <v>-0.2</v>
      </c>
      <c r="J162" s="6">
        <v>33.32</v>
      </c>
      <c r="K162" s="7">
        <f t="shared" ref="K162:P162" si="266">abs(D162-D161)/200</f>
        <v>0.00875</v>
      </c>
      <c r="L162" s="7">
        <f t="shared" si="266"/>
        <v>0.02045</v>
      </c>
      <c r="M162" s="7">
        <f t="shared" si="266"/>
        <v>0.00125</v>
      </c>
      <c r="N162" s="7">
        <f t="shared" si="266"/>
        <v>0.00045</v>
      </c>
      <c r="O162" s="7">
        <f t="shared" si="266"/>
        <v>0.0011</v>
      </c>
      <c r="P162" s="7">
        <f t="shared" si="266"/>
        <v>0.00105</v>
      </c>
      <c r="Q162" s="7">
        <f t="shared" si="7"/>
        <v>0.1146739805</v>
      </c>
      <c r="R162" s="7">
        <f t="shared" si="8"/>
        <v>0.5458269876</v>
      </c>
      <c r="S162" s="7">
        <f t="shared" si="2"/>
        <v>1.77273952</v>
      </c>
      <c r="T162" s="7">
        <f t="shared" si="3"/>
        <v>0.2435159132</v>
      </c>
      <c r="U162" s="7">
        <f t="shared" si="4"/>
        <v>1</v>
      </c>
      <c r="V162" s="7">
        <f t="shared" si="5"/>
        <v>1</v>
      </c>
      <c r="W162" s="7">
        <f t="shared" ref="W162:X162" si="267">IF(AVERAGE(U102:U161) &gt; 0.25, 1, 0)</f>
        <v>1</v>
      </c>
      <c r="X162" s="7">
        <f t="shared" si="267"/>
        <v>1</v>
      </c>
      <c r="Y162" s="8">
        <v>1.0</v>
      </c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</row>
    <row r="163" ht="22.5" customHeight="1">
      <c r="B163" s="6">
        <v>162.0</v>
      </c>
      <c r="C163" s="6">
        <v>35531.0</v>
      </c>
      <c r="D163" s="6">
        <v>-0.26</v>
      </c>
      <c r="E163" s="6">
        <v>2.15</v>
      </c>
      <c r="F163" s="6">
        <v>10.87</v>
      </c>
      <c r="G163" s="6">
        <v>-0.06</v>
      </c>
      <c r="H163" s="6">
        <v>0.24</v>
      </c>
      <c r="I163" s="6">
        <v>0.24</v>
      </c>
      <c r="J163" s="6">
        <v>33.33</v>
      </c>
      <c r="K163" s="7">
        <f t="shared" ref="K163:P163" si="268">abs(D163-D162)/200</f>
        <v>0.00245</v>
      </c>
      <c r="L163" s="7">
        <f t="shared" si="268"/>
        <v>0.0106</v>
      </c>
      <c r="M163" s="7">
        <f t="shared" si="268"/>
        <v>0.0007</v>
      </c>
      <c r="N163" s="7">
        <f t="shared" si="268"/>
        <v>0.0003</v>
      </c>
      <c r="O163" s="7">
        <f t="shared" si="268"/>
        <v>0.00155</v>
      </c>
      <c r="P163" s="7">
        <f t="shared" si="268"/>
        <v>0.0022</v>
      </c>
      <c r="Q163" s="7">
        <f t="shared" si="7"/>
        <v>0.1011578456</v>
      </c>
      <c r="R163" s="7">
        <f t="shared" si="8"/>
        <v>0.4891029328</v>
      </c>
      <c r="S163" s="7">
        <f t="shared" si="2"/>
        <v>1.283636587</v>
      </c>
      <c r="T163" s="7">
        <f t="shared" si="3"/>
        <v>0.3446737588</v>
      </c>
      <c r="U163" s="7">
        <f t="shared" si="4"/>
        <v>1</v>
      </c>
      <c r="V163" s="7">
        <f t="shared" si="5"/>
        <v>1</v>
      </c>
      <c r="W163" s="7">
        <f t="shared" ref="W163:X163" si="269">IF(AVERAGE(U103:U162) &gt; 0.25, 1, 0)</f>
        <v>1</v>
      </c>
      <c r="X163" s="7">
        <f t="shared" si="269"/>
        <v>1</v>
      </c>
      <c r="Y163" s="8">
        <v>1.0</v>
      </c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</row>
    <row r="164" ht="22.5" customHeight="1">
      <c r="B164" s="6">
        <v>163.0</v>
      </c>
      <c r="C164" s="6">
        <v>35735.0</v>
      </c>
      <c r="D164" s="6">
        <v>0.51</v>
      </c>
      <c r="E164" s="6">
        <v>-0.31</v>
      </c>
      <c r="F164" s="6">
        <v>11.2</v>
      </c>
      <c r="G164" s="6">
        <v>0.18</v>
      </c>
      <c r="H164" s="6">
        <v>0.18</v>
      </c>
      <c r="I164" s="6">
        <v>0.48</v>
      </c>
      <c r="J164" s="6">
        <v>33.33</v>
      </c>
      <c r="K164" s="7">
        <f t="shared" ref="K164:P164" si="270">abs(D164-D163)/200</f>
        <v>0.00385</v>
      </c>
      <c r="L164" s="7">
        <f t="shared" si="270"/>
        <v>0.0123</v>
      </c>
      <c r="M164" s="7">
        <f t="shared" si="270"/>
        <v>0.00165</v>
      </c>
      <c r="N164" s="7">
        <f t="shared" si="270"/>
        <v>0.0012</v>
      </c>
      <c r="O164" s="7">
        <f t="shared" si="270"/>
        <v>0.0003</v>
      </c>
      <c r="P164" s="7">
        <f t="shared" si="270"/>
        <v>0.0012</v>
      </c>
      <c r="Q164" s="7">
        <f t="shared" si="7"/>
        <v>0.1986493495</v>
      </c>
      <c r="R164" s="7">
        <f t="shared" si="8"/>
        <v>0.1322539257</v>
      </c>
      <c r="S164" s="7">
        <f t="shared" si="2"/>
        <v>1.415890513</v>
      </c>
      <c r="T164" s="7">
        <f t="shared" si="3"/>
        <v>0.5433231083</v>
      </c>
      <c r="U164" s="7">
        <f t="shared" si="4"/>
        <v>1</v>
      </c>
      <c r="V164" s="7">
        <f t="shared" si="5"/>
        <v>1</v>
      </c>
      <c r="W164" s="7">
        <f t="shared" ref="W164:X164" si="271">IF(AVERAGE(U104:U163) &gt; 0.25, 1, 0)</f>
        <v>1</v>
      </c>
      <c r="X164" s="7">
        <f t="shared" si="271"/>
        <v>1</v>
      </c>
      <c r="Y164" s="8">
        <v>1.0</v>
      </c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</row>
    <row r="165" ht="22.5" customHeight="1">
      <c r="B165" s="6">
        <v>164.0</v>
      </c>
      <c r="C165" s="6">
        <v>35939.0</v>
      </c>
      <c r="D165" s="6">
        <v>3.26</v>
      </c>
      <c r="E165" s="6">
        <v>-3.22</v>
      </c>
      <c r="F165" s="6">
        <v>10.65</v>
      </c>
      <c r="G165" s="6">
        <v>0.1</v>
      </c>
      <c r="H165" s="6">
        <v>-0.08</v>
      </c>
      <c r="I165" s="6">
        <v>0.62</v>
      </c>
      <c r="J165" s="6">
        <v>33.33</v>
      </c>
      <c r="K165" s="7">
        <f t="shared" ref="K165:P165" si="272">abs(D165-D164)/200</f>
        <v>0.01375</v>
      </c>
      <c r="L165" s="7">
        <f t="shared" si="272"/>
        <v>0.01455</v>
      </c>
      <c r="M165" s="7">
        <f t="shared" si="272"/>
        <v>0.00275</v>
      </c>
      <c r="N165" s="7">
        <f t="shared" si="272"/>
        <v>0.0004</v>
      </c>
      <c r="O165" s="7">
        <f t="shared" si="272"/>
        <v>0.0013</v>
      </c>
      <c r="P165" s="7">
        <f t="shared" si="272"/>
        <v>0.0007</v>
      </c>
      <c r="Q165" s="7">
        <f t="shared" si="7"/>
        <v>0.08976456337</v>
      </c>
      <c r="R165" s="7">
        <f t="shared" si="8"/>
        <v>0.3780087448</v>
      </c>
      <c r="S165" s="7">
        <f t="shared" si="2"/>
        <v>1.793899258</v>
      </c>
      <c r="T165" s="7">
        <f t="shared" si="3"/>
        <v>0.6330876717</v>
      </c>
      <c r="U165" s="7">
        <f t="shared" si="4"/>
        <v>1</v>
      </c>
      <c r="V165" s="7">
        <f t="shared" si="5"/>
        <v>1</v>
      </c>
      <c r="W165" s="7">
        <f t="shared" ref="W165:X165" si="273">IF(AVERAGE(U105:U164) &gt; 0.25, 1, 0)</f>
        <v>1</v>
      </c>
      <c r="X165" s="7">
        <f t="shared" si="273"/>
        <v>1</v>
      </c>
      <c r="Y165" s="8">
        <v>1.0</v>
      </c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</row>
    <row r="166" ht="22.5" customHeight="1">
      <c r="B166" s="6">
        <v>165.0</v>
      </c>
      <c r="C166" s="6">
        <v>36143.0</v>
      </c>
      <c r="D166" s="6">
        <v>1.68</v>
      </c>
      <c r="E166" s="6">
        <v>-1.99</v>
      </c>
      <c r="F166" s="6">
        <v>10.62</v>
      </c>
      <c r="G166" s="6">
        <v>-0.23</v>
      </c>
      <c r="H166" s="6">
        <v>-0.06</v>
      </c>
      <c r="I166" s="6">
        <v>-0.12</v>
      </c>
      <c r="J166" s="6">
        <v>33.32</v>
      </c>
      <c r="K166" s="7">
        <f t="shared" ref="K166:P166" si="274">abs(D166-D165)/200</f>
        <v>0.0079</v>
      </c>
      <c r="L166" s="7">
        <f t="shared" si="274"/>
        <v>0.00615</v>
      </c>
      <c r="M166" s="7">
        <f t="shared" si="274"/>
        <v>0.00015</v>
      </c>
      <c r="N166" s="7">
        <f t="shared" si="274"/>
        <v>0.00165</v>
      </c>
      <c r="O166" s="7">
        <f t="shared" si="274"/>
        <v>0.0001</v>
      </c>
      <c r="P166" s="7">
        <f t="shared" si="274"/>
        <v>0.0037</v>
      </c>
      <c r="Q166" s="7">
        <f t="shared" si="7"/>
        <v>0.3668171325</v>
      </c>
      <c r="R166" s="7">
        <f t="shared" si="8"/>
        <v>0.6592341966</v>
      </c>
      <c r="S166" s="7">
        <f t="shared" si="2"/>
        <v>1.134665061</v>
      </c>
      <c r="T166" s="7">
        <f t="shared" si="3"/>
        <v>0.2662705391</v>
      </c>
      <c r="U166" s="7">
        <f t="shared" si="4"/>
        <v>1</v>
      </c>
      <c r="V166" s="7">
        <f t="shared" si="5"/>
        <v>1</v>
      </c>
      <c r="W166" s="7">
        <f t="shared" ref="W166:X166" si="275">IF(AVERAGE(U106:U165) &gt; 0.25, 1, 0)</f>
        <v>1</v>
      </c>
      <c r="X166" s="7">
        <f t="shared" si="275"/>
        <v>1</v>
      </c>
      <c r="Y166" s="8">
        <v>1.0</v>
      </c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</row>
    <row r="167" ht="22.5" customHeight="1">
      <c r="B167" s="6">
        <v>166.0</v>
      </c>
      <c r="C167" s="6">
        <v>36347.0</v>
      </c>
      <c r="D167" s="6">
        <v>1.38</v>
      </c>
      <c r="E167" s="6">
        <v>-0.57</v>
      </c>
      <c r="F167" s="6">
        <v>10.81</v>
      </c>
      <c r="G167" s="6">
        <v>-0.22</v>
      </c>
      <c r="H167" s="6">
        <v>-0.13</v>
      </c>
      <c r="I167" s="6">
        <v>-0.31</v>
      </c>
      <c r="J167" s="6">
        <v>33.33</v>
      </c>
      <c r="K167" s="7">
        <f t="shared" ref="K167:P167" si="276">abs(D167-D166)/200</f>
        <v>0.0015</v>
      </c>
      <c r="L167" s="7">
        <f t="shared" si="276"/>
        <v>0.0071</v>
      </c>
      <c r="M167" s="7">
        <f t="shared" si="276"/>
        <v>0.00095</v>
      </c>
      <c r="N167" s="7">
        <f t="shared" si="276"/>
        <v>0.00005</v>
      </c>
      <c r="O167" s="7">
        <f t="shared" si="276"/>
        <v>0.00035</v>
      </c>
      <c r="P167" s="7">
        <f t="shared" si="276"/>
        <v>0.00095</v>
      </c>
      <c r="Q167" s="7">
        <f t="shared" si="7"/>
        <v>0.1354756494</v>
      </c>
      <c r="R167" s="7">
        <f t="shared" si="8"/>
        <v>0.02203934597</v>
      </c>
      <c r="S167" s="7">
        <f t="shared" si="2"/>
        <v>1.112625715</v>
      </c>
      <c r="T167" s="7">
        <f t="shared" si="3"/>
        <v>0.4017461885</v>
      </c>
      <c r="U167" s="7">
        <f t="shared" si="4"/>
        <v>1</v>
      </c>
      <c r="V167" s="7">
        <f t="shared" si="5"/>
        <v>1</v>
      </c>
      <c r="W167" s="7">
        <f t="shared" ref="W167:X167" si="277">IF(AVERAGE(U107:U166) &gt; 0.25, 1, 0)</f>
        <v>1</v>
      </c>
      <c r="X167" s="7">
        <f t="shared" si="277"/>
        <v>1</v>
      </c>
      <c r="Y167" s="8">
        <v>1.0</v>
      </c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</row>
    <row r="168" ht="22.5" customHeight="1">
      <c r="B168" s="6">
        <v>167.0</v>
      </c>
      <c r="C168" s="6">
        <v>36551.0</v>
      </c>
      <c r="D168" s="6">
        <v>0.21</v>
      </c>
      <c r="E168" s="6">
        <v>3.29</v>
      </c>
      <c r="F168" s="6">
        <v>10.86</v>
      </c>
      <c r="G168" s="6">
        <v>-0.23</v>
      </c>
      <c r="H168" s="6">
        <v>-0.03</v>
      </c>
      <c r="I168" s="6">
        <v>-0.38</v>
      </c>
      <c r="J168" s="6">
        <v>33.32</v>
      </c>
      <c r="K168" s="7">
        <f t="shared" ref="K168:P168" si="278">abs(D168-D167)/200</f>
        <v>0.00585</v>
      </c>
      <c r="L168" s="7">
        <f t="shared" si="278"/>
        <v>0.0193</v>
      </c>
      <c r="M168" s="7">
        <f t="shared" si="278"/>
        <v>0.00025</v>
      </c>
      <c r="N168" s="7">
        <f t="shared" si="278"/>
        <v>0.00005</v>
      </c>
      <c r="O168" s="7">
        <f t="shared" si="278"/>
        <v>0.0005</v>
      </c>
      <c r="P168" s="7">
        <f t="shared" si="278"/>
        <v>0.00035</v>
      </c>
      <c r="Q168" s="7">
        <f t="shared" si="7"/>
        <v>0.04345039726</v>
      </c>
      <c r="R168" s="7">
        <f t="shared" si="8"/>
        <v>0.4367266892</v>
      </c>
      <c r="S168" s="7">
        <f t="shared" si="2"/>
        <v>1.549352404</v>
      </c>
      <c r="T168" s="7">
        <f t="shared" si="3"/>
        <v>0.4451965858</v>
      </c>
      <c r="U168" s="7">
        <f t="shared" si="4"/>
        <v>1</v>
      </c>
      <c r="V168" s="7">
        <f t="shared" si="5"/>
        <v>1</v>
      </c>
      <c r="W168" s="7">
        <f t="shared" ref="W168:X168" si="279">IF(AVERAGE(U108:U167) &gt; 0.25, 1, 0)</f>
        <v>1</v>
      </c>
      <c r="X168" s="7">
        <f t="shared" si="279"/>
        <v>1</v>
      </c>
      <c r="Y168" s="8">
        <v>1.0</v>
      </c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</row>
    <row r="169" ht="22.5" customHeight="1">
      <c r="B169" s="6">
        <v>168.0</v>
      </c>
      <c r="C169" s="6">
        <v>36755.0</v>
      </c>
      <c r="D169" s="6">
        <v>-0.41</v>
      </c>
      <c r="E169" s="6">
        <v>1.99</v>
      </c>
      <c r="F169" s="6">
        <v>10.75</v>
      </c>
      <c r="G169" s="6">
        <v>-0.03</v>
      </c>
      <c r="H169" s="6">
        <v>-0.1</v>
      </c>
      <c r="I169" s="6">
        <v>0.12</v>
      </c>
      <c r="J169" s="6">
        <v>33.33</v>
      </c>
      <c r="K169" s="7">
        <f t="shared" ref="K169:P169" si="280">abs(D169-D168)/200</f>
        <v>0.0031</v>
      </c>
      <c r="L169" s="7">
        <f t="shared" si="280"/>
        <v>0.0065</v>
      </c>
      <c r="M169" s="7">
        <f t="shared" si="280"/>
        <v>0.00055</v>
      </c>
      <c r="N169" s="7">
        <f t="shared" si="280"/>
        <v>0.001</v>
      </c>
      <c r="O169" s="7">
        <f t="shared" si="280"/>
        <v>0.00035</v>
      </c>
      <c r="P169" s="7">
        <f t="shared" si="280"/>
        <v>0.0025</v>
      </c>
      <c r="Q169" s="7">
        <f t="shared" si="7"/>
        <v>0.2861368486</v>
      </c>
      <c r="R169" s="7">
        <f t="shared" si="8"/>
        <v>0.409027912</v>
      </c>
      <c r="S169" s="7">
        <f t="shared" si="2"/>
        <v>1.140324492</v>
      </c>
      <c r="T169" s="7">
        <f t="shared" si="3"/>
        <v>0.1590597372</v>
      </c>
      <c r="U169" s="7">
        <f t="shared" si="4"/>
        <v>1</v>
      </c>
      <c r="V169" s="7">
        <f t="shared" si="5"/>
        <v>1</v>
      </c>
      <c r="W169" s="7">
        <f t="shared" ref="W169:X169" si="281">IF(AVERAGE(U109:U168) &gt; 0.25, 1, 0)</f>
        <v>1</v>
      </c>
      <c r="X169" s="7">
        <f t="shared" si="281"/>
        <v>1</v>
      </c>
      <c r="Y169" s="8">
        <v>1.0</v>
      </c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</row>
    <row r="170" ht="22.5" customHeight="1">
      <c r="B170" s="6">
        <v>169.0</v>
      </c>
      <c r="C170" s="6">
        <v>36959.0</v>
      </c>
      <c r="D170" s="6">
        <v>1.31</v>
      </c>
      <c r="E170" s="6">
        <v>1.34</v>
      </c>
      <c r="F170" s="6">
        <v>10.7</v>
      </c>
      <c r="G170" s="6">
        <v>0.21</v>
      </c>
      <c r="H170" s="6">
        <v>-0.02</v>
      </c>
      <c r="I170" s="6">
        <v>1.16</v>
      </c>
      <c r="J170" s="6">
        <v>33.34</v>
      </c>
      <c r="K170" s="7">
        <f t="shared" ref="K170:P170" si="282">abs(D170-D169)/200</f>
        <v>0.0086</v>
      </c>
      <c r="L170" s="7">
        <f t="shared" si="282"/>
        <v>0.00325</v>
      </c>
      <c r="M170" s="7">
        <f t="shared" si="282"/>
        <v>0.00025</v>
      </c>
      <c r="N170" s="7">
        <f t="shared" si="282"/>
        <v>0.0012</v>
      </c>
      <c r="O170" s="7">
        <f t="shared" si="282"/>
        <v>0.0004</v>
      </c>
      <c r="P170" s="7">
        <f t="shared" si="282"/>
        <v>0.0052</v>
      </c>
      <c r="Q170" s="7">
        <f t="shared" si="7"/>
        <v>1.019965284</v>
      </c>
      <c r="R170" s="7">
        <f t="shared" si="8"/>
        <v>0.07746575268</v>
      </c>
      <c r="S170" s="7">
        <f t="shared" si="2"/>
        <v>1.06285874</v>
      </c>
      <c r="T170" s="7">
        <f t="shared" si="3"/>
        <v>1.179025021</v>
      </c>
      <c r="U170" s="7">
        <f t="shared" si="4"/>
        <v>1</v>
      </c>
      <c r="V170" s="7">
        <f t="shared" si="5"/>
        <v>1</v>
      </c>
      <c r="W170" s="7">
        <f t="shared" ref="W170:X170" si="283">IF(AVERAGE(U110:U169) &gt; 0.25, 1, 0)</f>
        <v>1</v>
      </c>
      <c r="X170" s="7">
        <f t="shared" si="283"/>
        <v>1</v>
      </c>
      <c r="Y170" s="8">
        <v>1.0</v>
      </c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</row>
    <row r="171" ht="22.5" customHeight="1">
      <c r="B171" s="6">
        <v>170.0</v>
      </c>
      <c r="C171" s="6">
        <v>37163.0</v>
      </c>
      <c r="D171" s="6">
        <v>2.85</v>
      </c>
      <c r="E171" s="6">
        <v>-2.03</v>
      </c>
      <c r="F171" s="6">
        <v>10.8</v>
      </c>
      <c r="G171" s="6">
        <v>0.17</v>
      </c>
      <c r="H171" s="6">
        <v>0.2</v>
      </c>
      <c r="I171" s="6">
        <v>0.86</v>
      </c>
      <c r="J171" s="6">
        <v>33.33</v>
      </c>
      <c r="K171" s="7">
        <f t="shared" ref="K171:P171" si="284">abs(D171-D170)/200</f>
        <v>0.0077</v>
      </c>
      <c r="L171" s="7">
        <f t="shared" si="284"/>
        <v>0.01685</v>
      </c>
      <c r="M171" s="7">
        <f t="shared" si="284"/>
        <v>0.0005</v>
      </c>
      <c r="N171" s="7">
        <f t="shared" si="284"/>
        <v>0.0002</v>
      </c>
      <c r="O171" s="7">
        <f t="shared" si="284"/>
        <v>0.0011</v>
      </c>
      <c r="P171" s="7">
        <f t="shared" si="284"/>
        <v>0.0015</v>
      </c>
      <c r="Q171" s="7">
        <f t="shared" si="7"/>
        <v>0.2798587404</v>
      </c>
      <c r="R171" s="7">
        <f t="shared" si="8"/>
        <v>0.4898237626</v>
      </c>
      <c r="S171" s="7">
        <f t="shared" si="2"/>
        <v>1.552682502</v>
      </c>
      <c r="T171" s="7">
        <f t="shared" si="3"/>
        <v>0.8991662805</v>
      </c>
      <c r="U171" s="7">
        <f t="shared" si="4"/>
        <v>1</v>
      </c>
      <c r="V171" s="7">
        <f t="shared" si="5"/>
        <v>1</v>
      </c>
      <c r="W171" s="7">
        <f t="shared" ref="W171:X171" si="285">IF(AVERAGE(U111:U170) &gt; 0.25, 1, 0)</f>
        <v>1</v>
      </c>
      <c r="X171" s="7">
        <f t="shared" si="285"/>
        <v>1</v>
      </c>
      <c r="Y171" s="8">
        <v>1.0</v>
      </c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</row>
    <row r="172" ht="22.5" customHeight="1">
      <c r="B172" s="6">
        <v>171.0</v>
      </c>
      <c r="C172" s="6">
        <v>37367.0</v>
      </c>
      <c r="D172" s="6">
        <v>1.87</v>
      </c>
      <c r="E172" s="6">
        <v>-0.89</v>
      </c>
      <c r="F172" s="6">
        <v>10.79</v>
      </c>
      <c r="G172" s="6">
        <v>-0.1</v>
      </c>
      <c r="H172" s="6">
        <v>-0.17</v>
      </c>
      <c r="I172" s="6">
        <v>0.06</v>
      </c>
      <c r="J172" s="6">
        <v>33.33</v>
      </c>
      <c r="K172" s="7">
        <f t="shared" ref="K172:P172" si="286">abs(D172-D171)/200</f>
        <v>0.0049</v>
      </c>
      <c r="L172" s="7">
        <f t="shared" si="286"/>
        <v>0.0057</v>
      </c>
      <c r="M172" s="7">
        <f t="shared" si="286"/>
        <v>0.00005</v>
      </c>
      <c r="N172" s="7">
        <f t="shared" si="286"/>
        <v>0.00135</v>
      </c>
      <c r="O172" s="7">
        <f t="shared" si="286"/>
        <v>0.00185</v>
      </c>
      <c r="P172" s="7">
        <f t="shared" si="286"/>
        <v>0.004</v>
      </c>
      <c r="Q172" s="7">
        <f t="shared" si="7"/>
        <v>0.6930109992</v>
      </c>
      <c r="R172" s="7">
        <f t="shared" si="8"/>
        <v>0.3657311509</v>
      </c>
      <c r="S172" s="7">
        <f t="shared" si="2"/>
        <v>1.186951351</v>
      </c>
      <c r="T172" s="7">
        <f t="shared" si="3"/>
        <v>0.2061552813</v>
      </c>
      <c r="U172" s="7">
        <f t="shared" si="4"/>
        <v>1</v>
      </c>
      <c r="V172" s="7">
        <f t="shared" si="5"/>
        <v>1</v>
      </c>
      <c r="W172" s="7">
        <f t="shared" ref="W172:X172" si="287">IF(AVERAGE(U112:U171) &gt; 0.25, 1, 0)</f>
        <v>1</v>
      </c>
      <c r="X172" s="7">
        <f t="shared" si="287"/>
        <v>1</v>
      </c>
      <c r="Y172" s="8">
        <v>1.0</v>
      </c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</row>
    <row r="173" ht="22.5" customHeight="1">
      <c r="B173" s="6">
        <v>172.0</v>
      </c>
      <c r="C173" s="6">
        <v>37571.0</v>
      </c>
      <c r="D173" s="6">
        <v>1.95</v>
      </c>
      <c r="E173" s="6">
        <v>-1.57</v>
      </c>
      <c r="F173" s="6">
        <v>10.81</v>
      </c>
      <c r="G173" s="6">
        <v>-0.31</v>
      </c>
      <c r="H173" s="6">
        <v>-0.11</v>
      </c>
      <c r="I173" s="6">
        <v>-0.57</v>
      </c>
      <c r="J173" s="6">
        <v>33.32</v>
      </c>
      <c r="K173" s="7">
        <f t="shared" ref="K173:P173" si="288">abs(D173-D172)/200</f>
        <v>0.0004</v>
      </c>
      <c r="L173" s="7">
        <f t="shared" si="288"/>
        <v>0.0034</v>
      </c>
      <c r="M173" s="7">
        <f t="shared" si="288"/>
        <v>0.0001</v>
      </c>
      <c r="N173" s="7">
        <f t="shared" si="288"/>
        <v>0.00105</v>
      </c>
      <c r="O173" s="7">
        <f t="shared" si="288"/>
        <v>0.0003</v>
      </c>
      <c r="P173" s="7">
        <f t="shared" si="288"/>
        <v>0.00315</v>
      </c>
      <c r="Q173" s="7">
        <f t="shared" si="7"/>
        <v>0.4519480541</v>
      </c>
      <c r="R173" s="7">
        <f t="shared" si="8"/>
        <v>0.109151568</v>
      </c>
      <c r="S173" s="7">
        <f t="shared" si="2"/>
        <v>1.296102919</v>
      </c>
      <c r="T173" s="7">
        <f t="shared" si="3"/>
        <v>0.6581033354</v>
      </c>
      <c r="U173" s="7">
        <f t="shared" si="4"/>
        <v>1</v>
      </c>
      <c r="V173" s="7">
        <f t="shared" si="5"/>
        <v>1</v>
      </c>
      <c r="W173" s="7">
        <f t="shared" ref="W173:X173" si="289">IF(AVERAGE(U113:U172) &gt; 0.25, 1, 0)</f>
        <v>1</v>
      </c>
      <c r="X173" s="7">
        <f t="shared" si="289"/>
        <v>1</v>
      </c>
      <c r="Y173" s="8">
        <v>1.0</v>
      </c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</row>
    <row r="174" ht="22.5" customHeight="1">
      <c r="B174" s="6">
        <v>173.0</v>
      </c>
      <c r="C174" s="6">
        <v>37775.0</v>
      </c>
      <c r="D174" s="6">
        <v>1.98</v>
      </c>
      <c r="E174" s="6">
        <v>0.65</v>
      </c>
      <c r="F174" s="6">
        <v>10.63</v>
      </c>
      <c r="G174" s="6">
        <v>-0.32</v>
      </c>
      <c r="H174" s="6">
        <v>-0.07</v>
      </c>
      <c r="I174" s="6">
        <v>-0.61</v>
      </c>
      <c r="J174" s="6">
        <v>33.34</v>
      </c>
      <c r="K174" s="7">
        <f t="shared" ref="K174:P174" si="290">abs(D174-D173)/200</f>
        <v>0.00015</v>
      </c>
      <c r="L174" s="7">
        <f t="shared" si="290"/>
        <v>0.0111</v>
      </c>
      <c r="M174" s="7">
        <f t="shared" si="290"/>
        <v>0.0009</v>
      </c>
      <c r="N174" s="7">
        <f t="shared" si="290"/>
        <v>0.00005</v>
      </c>
      <c r="O174" s="7">
        <f t="shared" si="290"/>
        <v>0.0002</v>
      </c>
      <c r="P174" s="7">
        <f t="shared" si="290"/>
        <v>0.0002</v>
      </c>
      <c r="Q174" s="7">
        <f t="shared" si="7"/>
        <v>0.03428383957</v>
      </c>
      <c r="R174" s="7">
        <f t="shared" si="8"/>
        <v>0.2637532206</v>
      </c>
      <c r="S174" s="7">
        <f t="shared" si="2"/>
        <v>1.032349699</v>
      </c>
      <c r="T174" s="7">
        <f t="shared" si="3"/>
        <v>0.6923871749</v>
      </c>
      <c r="U174" s="7">
        <f t="shared" si="4"/>
        <v>1</v>
      </c>
      <c r="V174" s="7">
        <f t="shared" si="5"/>
        <v>0</v>
      </c>
      <c r="W174" s="7">
        <f t="shared" ref="W174:X174" si="291">IF(AVERAGE(U114:U173) &gt; 0.25, 1, 0)</f>
        <v>1</v>
      </c>
      <c r="X174" s="7">
        <f t="shared" si="291"/>
        <v>1</v>
      </c>
      <c r="Y174" s="8">
        <v>1.0</v>
      </c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</row>
    <row r="175" ht="22.5" customHeight="1">
      <c r="B175" s="6">
        <v>174.0</v>
      </c>
      <c r="C175" s="6">
        <v>37979.0</v>
      </c>
      <c r="D175" s="6">
        <v>2.45</v>
      </c>
      <c r="E175" s="6">
        <v>2.94</v>
      </c>
      <c r="F175" s="6">
        <v>10.47</v>
      </c>
      <c r="G175" s="6">
        <v>-0.15</v>
      </c>
      <c r="H175" s="6">
        <v>0.08</v>
      </c>
      <c r="I175" s="6">
        <v>-0.61</v>
      </c>
      <c r="J175" s="6">
        <v>33.34</v>
      </c>
      <c r="K175" s="7">
        <f t="shared" ref="K175:P175" si="292">abs(D175-D174)/200</f>
        <v>0.00235</v>
      </c>
      <c r="L175" s="7">
        <f t="shared" si="292"/>
        <v>0.01145</v>
      </c>
      <c r="M175" s="7">
        <f t="shared" si="292"/>
        <v>0.0008</v>
      </c>
      <c r="N175" s="7">
        <f t="shared" si="292"/>
        <v>0.00085</v>
      </c>
      <c r="O175" s="7">
        <f t="shared" si="292"/>
        <v>0.00075</v>
      </c>
      <c r="P175" s="7">
        <f t="shared" si="292"/>
        <v>0</v>
      </c>
      <c r="Q175" s="7">
        <f t="shared" si="7"/>
        <v>0.05914156697</v>
      </c>
      <c r="R175" s="7">
        <f t="shared" si="8"/>
        <v>0.315161234</v>
      </c>
      <c r="S175" s="7">
        <f t="shared" si="2"/>
        <v>1.347510933</v>
      </c>
      <c r="T175" s="7">
        <f t="shared" si="3"/>
        <v>0.633245608</v>
      </c>
      <c r="U175" s="7">
        <f t="shared" si="4"/>
        <v>1</v>
      </c>
      <c r="V175" s="7">
        <f t="shared" si="5"/>
        <v>1</v>
      </c>
      <c r="W175" s="7">
        <f t="shared" ref="W175:X175" si="293">IF(AVERAGE(U115:U174) &gt; 0.25, 1, 0)</f>
        <v>1</v>
      </c>
      <c r="X175" s="7">
        <f t="shared" si="293"/>
        <v>1</v>
      </c>
      <c r="Y175" s="8">
        <v>1.0</v>
      </c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</row>
    <row r="176" ht="22.5" customHeight="1">
      <c r="B176" s="6">
        <v>175.0</v>
      </c>
      <c r="C176" s="6">
        <v>38183.0</v>
      </c>
      <c r="D176" s="6">
        <v>-2.49</v>
      </c>
      <c r="E176" s="6">
        <v>-0.34</v>
      </c>
      <c r="F176" s="6">
        <v>10.56</v>
      </c>
      <c r="G176" s="6">
        <v>-0.43</v>
      </c>
      <c r="H176" s="6">
        <v>0.31</v>
      </c>
      <c r="I176" s="6">
        <v>-2.13</v>
      </c>
      <c r="J176" s="6">
        <v>33.32</v>
      </c>
      <c r="K176" s="7">
        <f t="shared" ref="K176:P176" si="294">abs(D176-D175)/200</f>
        <v>0.0247</v>
      </c>
      <c r="L176" s="7">
        <f t="shared" si="294"/>
        <v>0.0164</v>
      </c>
      <c r="M176" s="7">
        <f t="shared" si="294"/>
        <v>0.00045</v>
      </c>
      <c r="N176" s="7">
        <f t="shared" si="294"/>
        <v>0.0014</v>
      </c>
      <c r="O176" s="7">
        <f t="shared" si="294"/>
        <v>0.00115</v>
      </c>
      <c r="P176" s="7">
        <f t="shared" si="294"/>
        <v>0.0076</v>
      </c>
      <c r="Q176" s="7">
        <f t="shared" si="7"/>
        <v>1.561725918</v>
      </c>
      <c r="R176" s="7">
        <f t="shared" si="8"/>
        <v>0.2925903897</v>
      </c>
      <c r="S176" s="7">
        <f t="shared" si="2"/>
        <v>1.054920543</v>
      </c>
      <c r="T176" s="7">
        <f t="shared" si="3"/>
        <v>2.194971526</v>
      </c>
      <c r="U176" s="7">
        <f t="shared" si="4"/>
        <v>1</v>
      </c>
      <c r="V176" s="7">
        <f t="shared" si="5"/>
        <v>1</v>
      </c>
      <c r="W176" s="7">
        <f t="shared" ref="W176:X176" si="295">IF(AVERAGE(U116:U175) &gt; 0.25, 1, 0)</f>
        <v>1</v>
      </c>
      <c r="X176" s="7">
        <f t="shared" si="295"/>
        <v>1</v>
      </c>
      <c r="Y176" s="8">
        <v>1.0</v>
      </c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</row>
    <row r="177" ht="22.5" customHeight="1">
      <c r="B177" s="6">
        <v>176.0</v>
      </c>
      <c r="C177" s="6">
        <v>38387.0</v>
      </c>
      <c r="D177" s="6">
        <v>-2.13</v>
      </c>
      <c r="E177" s="6">
        <v>-1.13</v>
      </c>
      <c r="F177" s="6">
        <v>11.42</v>
      </c>
      <c r="G177" s="6">
        <v>0.15</v>
      </c>
      <c r="H177" s="6">
        <v>0.24</v>
      </c>
      <c r="I177" s="6">
        <v>0.56</v>
      </c>
      <c r="J177" s="6">
        <v>33.33</v>
      </c>
      <c r="K177" s="7">
        <f t="shared" ref="K177:P177" si="296">abs(D177-D176)/200</f>
        <v>0.0018</v>
      </c>
      <c r="L177" s="7">
        <f t="shared" si="296"/>
        <v>0.00395</v>
      </c>
      <c r="M177" s="7">
        <f t="shared" si="296"/>
        <v>0.0043</v>
      </c>
      <c r="N177" s="7">
        <f t="shared" si="296"/>
        <v>0.0029</v>
      </c>
      <c r="O177" s="7">
        <f t="shared" si="296"/>
        <v>0.00035</v>
      </c>
      <c r="P177" s="7">
        <f t="shared" si="296"/>
        <v>0.01345</v>
      </c>
      <c r="Q177" s="7">
        <f t="shared" si="7"/>
        <v>1.567516348</v>
      </c>
      <c r="R177" s="7">
        <f t="shared" si="8"/>
        <v>0.8168488171</v>
      </c>
      <c r="S177" s="7">
        <f t="shared" si="2"/>
        <v>1.87176936</v>
      </c>
      <c r="T177" s="7">
        <f t="shared" si="3"/>
        <v>0.6274551777</v>
      </c>
      <c r="U177" s="7">
        <f t="shared" si="4"/>
        <v>1</v>
      </c>
      <c r="V177" s="7">
        <f t="shared" si="5"/>
        <v>1</v>
      </c>
      <c r="W177" s="7">
        <f t="shared" ref="W177:X177" si="297">IF(AVERAGE(U117:U176) &gt; 0.25, 1, 0)</f>
        <v>1</v>
      </c>
      <c r="X177" s="7">
        <f t="shared" si="297"/>
        <v>1</v>
      </c>
      <c r="Y177" s="8">
        <v>1.0</v>
      </c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</row>
    <row r="178" ht="22.5" customHeight="1">
      <c r="B178" s="6">
        <v>177.0</v>
      </c>
      <c r="C178" s="6">
        <v>38591.0</v>
      </c>
      <c r="D178" s="6">
        <v>1.11</v>
      </c>
      <c r="E178" s="6">
        <v>-3.61</v>
      </c>
      <c r="F178" s="6">
        <v>10.04</v>
      </c>
      <c r="G178" s="6">
        <v>0.24</v>
      </c>
      <c r="H178" s="6">
        <v>-0.24</v>
      </c>
      <c r="I178" s="6">
        <v>1.93</v>
      </c>
      <c r="J178" s="6">
        <v>33.32</v>
      </c>
      <c r="K178" s="7">
        <f t="shared" ref="K178:P178" si="298">abs(D178-D177)/200</f>
        <v>0.0162</v>
      </c>
      <c r="L178" s="7">
        <f t="shared" si="298"/>
        <v>0.0124</v>
      </c>
      <c r="M178" s="7">
        <f t="shared" si="298"/>
        <v>0.0069</v>
      </c>
      <c r="N178" s="7">
        <f t="shared" si="298"/>
        <v>0.00045</v>
      </c>
      <c r="O178" s="7">
        <f t="shared" si="298"/>
        <v>0.0024</v>
      </c>
      <c r="P178" s="7">
        <f t="shared" si="298"/>
        <v>0.00685</v>
      </c>
      <c r="Q178" s="7">
        <f t="shared" si="7"/>
        <v>1.332162132</v>
      </c>
      <c r="R178" s="7">
        <f t="shared" si="8"/>
        <v>0.9448965634</v>
      </c>
      <c r="S178" s="7">
        <f t="shared" si="2"/>
        <v>0.9268727969</v>
      </c>
      <c r="T178" s="7">
        <f t="shared" si="3"/>
        <v>1.95961731</v>
      </c>
      <c r="U178" s="7">
        <f t="shared" si="4"/>
        <v>1</v>
      </c>
      <c r="V178" s="7">
        <f t="shared" si="5"/>
        <v>1</v>
      </c>
      <c r="W178" s="7">
        <f t="shared" ref="W178:X178" si="299">IF(AVERAGE(U118:U177) &gt; 0.25, 1, 0)</f>
        <v>1</v>
      </c>
      <c r="X178" s="7">
        <f t="shared" si="299"/>
        <v>1</v>
      </c>
      <c r="Y178" s="8">
        <v>1.0</v>
      </c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</row>
    <row r="179" ht="22.5" customHeight="1">
      <c r="B179" s="6">
        <v>178.0</v>
      </c>
      <c r="C179" s="6">
        <v>38795.0</v>
      </c>
      <c r="D179" s="6">
        <v>4.45</v>
      </c>
      <c r="E179" s="6">
        <v>-1.05</v>
      </c>
      <c r="F179" s="6">
        <v>10.54</v>
      </c>
      <c r="G179" s="6">
        <v>0.03</v>
      </c>
      <c r="H179" s="6">
        <v>0.11</v>
      </c>
      <c r="I179" s="6">
        <v>1.26</v>
      </c>
      <c r="J179" s="6">
        <v>33.34</v>
      </c>
      <c r="K179" s="7">
        <f t="shared" ref="K179:P179" si="300">abs(D179-D178)/200</f>
        <v>0.0167</v>
      </c>
      <c r="L179" s="7">
        <f t="shared" si="300"/>
        <v>0.0128</v>
      </c>
      <c r="M179" s="7">
        <f t="shared" si="300"/>
        <v>0.0025</v>
      </c>
      <c r="N179" s="7">
        <f t="shared" si="300"/>
        <v>0.00105</v>
      </c>
      <c r="O179" s="7">
        <f t="shared" si="300"/>
        <v>0.00175</v>
      </c>
      <c r="P179" s="7">
        <f t="shared" si="300"/>
        <v>0.00335</v>
      </c>
      <c r="Q179" s="7">
        <f t="shared" si="7"/>
        <v>0.6944690969</v>
      </c>
      <c r="R179" s="7">
        <f t="shared" si="8"/>
        <v>0.7621045293</v>
      </c>
      <c r="S179" s="7">
        <f t="shared" si="2"/>
        <v>1.688977326</v>
      </c>
      <c r="T179" s="7">
        <f t="shared" si="3"/>
        <v>1.265148213</v>
      </c>
      <c r="U179" s="7">
        <f t="shared" si="4"/>
        <v>1</v>
      </c>
      <c r="V179" s="7">
        <f t="shared" si="5"/>
        <v>1</v>
      </c>
      <c r="W179" s="7">
        <f t="shared" ref="W179:X179" si="301">IF(AVERAGE(U119:U178) &gt; 0.25, 1, 0)</f>
        <v>1</v>
      </c>
      <c r="X179" s="7">
        <f t="shared" si="301"/>
        <v>1</v>
      </c>
      <c r="Y179" s="8">
        <v>1.0</v>
      </c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</row>
    <row r="180" ht="22.5" customHeight="1">
      <c r="B180" s="6">
        <v>179.0</v>
      </c>
      <c r="C180" s="6">
        <v>38999.0</v>
      </c>
      <c r="D180" s="6">
        <v>3.81</v>
      </c>
      <c r="E180" s="6">
        <v>-0.33</v>
      </c>
      <c r="F180" s="6">
        <v>10.72</v>
      </c>
      <c r="G180" s="6">
        <v>-0.22</v>
      </c>
      <c r="H180" s="6">
        <v>-0.16</v>
      </c>
      <c r="I180" s="6">
        <v>0.46</v>
      </c>
      <c r="J180" s="6">
        <v>33.33</v>
      </c>
      <c r="K180" s="7">
        <f t="shared" ref="K180:P180" si="302">abs(D180-D179)/200</f>
        <v>0.0032</v>
      </c>
      <c r="L180" s="7">
        <f t="shared" si="302"/>
        <v>0.0036</v>
      </c>
      <c r="M180" s="7">
        <f t="shared" si="302"/>
        <v>0.0009</v>
      </c>
      <c r="N180" s="7">
        <f t="shared" si="302"/>
        <v>0.00125</v>
      </c>
      <c r="O180" s="7">
        <f t="shared" si="302"/>
        <v>0.00135</v>
      </c>
      <c r="P180" s="7">
        <f t="shared" si="302"/>
        <v>0.004</v>
      </c>
      <c r="Q180" s="7">
        <f t="shared" si="7"/>
        <v>0.730732644</v>
      </c>
      <c r="R180" s="7">
        <f t="shared" si="8"/>
        <v>0.1072639226</v>
      </c>
      <c r="S180" s="7">
        <f t="shared" si="2"/>
        <v>1.581713404</v>
      </c>
      <c r="T180" s="7">
        <f t="shared" si="3"/>
        <v>0.5344155686</v>
      </c>
      <c r="U180" s="7">
        <f t="shared" si="4"/>
        <v>1</v>
      </c>
      <c r="V180" s="7">
        <f t="shared" si="5"/>
        <v>1</v>
      </c>
      <c r="W180" s="7">
        <f t="shared" ref="W180:X180" si="303">IF(AVERAGE(U120:U179) &gt; 0.25, 1, 0)</f>
        <v>1</v>
      </c>
      <c r="X180" s="7">
        <f t="shared" si="303"/>
        <v>1</v>
      </c>
      <c r="Y180" s="8">
        <v>1.0</v>
      </c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</row>
    <row r="181" ht="22.5" customHeight="1">
      <c r="B181" s="6">
        <v>180.0</v>
      </c>
      <c r="C181" s="6">
        <v>39203.0</v>
      </c>
      <c r="D181" s="6">
        <v>2.61</v>
      </c>
      <c r="E181" s="6">
        <v>0.08</v>
      </c>
      <c r="F181" s="6">
        <v>10.71</v>
      </c>
      <c r="G181" s="6">
        <v>-0.34</v>
      </c>
      <c r="H181" s="6">
        <v>-0.2</v>
      </c>
      <c r="I181" s="6">
        <v>-1.16</v>
      </c>
      <c r="J181" s="6">
        <v>33.34</v>
      </c>
      <c r="K181" s="7">
        <f t="shared" ref="K181:P181" si="304">abs(D181-D180)/200</f>
        <v>0.006</v>
      </c>
      <c r="L181" s="7">
        <f t="shared" si="304"/>
        <v>0.00205</v>
      </c>
      <c r="M181" s="7">
        <f t="shared" si="304"/>
        <v>0.00005</v>
      </c>
      <c r="N181" s="7">
        <f t="shared" si="304"/>
        <v>0.0006</v>
      </c>
      <c r="O181" s="7">
        <f t="shared" si="304"/>
        <v>0.0002</v>
      </c>
      <c r="P181" s="7">
        <f t="shared" si="304"/>
        <v>0.0081</v>
      </c>
      <c r="Q181" s="7">
        <f t="shared" si="7"/>
        <v>0.6908191028</v>
      </c>
      <c r="R181" s="7">
        <f t="shared" si="8"/>
        <v>0.3579844519</v>
      </c>
      <c r="S181" s="7">
        <f t="shared" si="2"/>
        <v>1.223728952</v>
      </c>
      <c r="T181" s="7">
        <f t="shared" si="3"/>
        <v>1.225234671</v>
      </c>
      <c r="U181" s="7">
        <f t="shared" si="4"/>
        <v>1</v>
      </c>
      <c r="V181" s="7">
        <f t="shared" si="5"/>
        <v>1</v>
      </c>
      <c r="W181" s="7">
        <f t="shared" ref="W181:X181" si="305">IF(AVERAGE(U121:U180) &gt; 0.25, 1, 0)</f>
        <v>1</v>
      </c>
      <c r="X181" s="7">
        <f t="shared" si="305"/>
        <v>1</v>
      </c>
      <c r="Y181" s="8">
        <v>1.0</v>
      </c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</row>
    <row r="182" ht="22.5" customHeight="1">
      <c r="B182" s="6">
        <v>181.0</v>
      </c>
      <c r="C182" s="6">
        <v>39407.0</v>
      </c>
      <c r="D182" s="6">
        <v>2.37</v>
      </c>
      <c r="E182" s="6">
        <v>0.18</v>
      </c>
      <c r="F182" s="6">
        <v>10.61</v>
      </c>
      <c r="G182" s="6">
        <v>-0.54</v>
      </c>
      <c r="H182" s="6">
        <v>0.34</v>
      </c>
      <c r="I182" s="6">
        <v>-2.4</v>
      </c>
      <c r="J182" s="6">
        <v>33.32</v>
      </c>
      <c r="K182" s="7">
        <f t="shared" ref="K182:P182" si="306">abs(D182-D181)/200</f>
        <v>0.0012</v>
      </c>
      <c r="L182" s="7">
        <f t="shared" si="306"/>
        <v>0.0005</v>
      </c>
      <c r="M182" s="7">
        <f t="shared" si="306"/>
        <v>0.0005</v>
      </c>
      <c r="N182" s="7">
        <f t="shared" si="306"/>
        <v>0.001</v>
      </c>
      <c r="O182" s="7">
        <f t="shared" si="306"/>
        <v>0.0027</v>
      </c>
      <c r="P182" s="7">
        <f t="shared" si="306"/>
        <v>0.0062</v>
      </c>
      <c r="Q182" s="7">
        <f t="shared" si="7"/>
        <v>1.258150116</v>
      </c>
      <c r="R182" s="7">
        <f t="shared" si="8"/>
        <v>0.1507624751</v>
      </c>
      <c r="S182" s="7">
        <f t="shared" si="2"/>
        <v>1.072966477</v>
      </c>
      <c r="T182" s="7">
        <f t="shared" si="3"/>
        <v>2.483384787</v>
      </c>
      <c r="U182" s="7">
        <f t="shared" si="4"/>
        <v>1</v>
      </c>
      <c r="V182" s="7">
        <f t="shared" si="5"/>
        <v>1</v>
      </c>
      <c r="W182" s="7">
        <f t="shared" ref="W182:X182" si="307">IF(AVERAGE(U122:U181) &gt; 0.25, 1, 0)</f>
        <v>1</v>
      </c>
      <c r="X182" s="7">
        <f t="shared" si="307"/>
        <v>1</v>
      </c>
      <c r="Y182" s="8">
        <v>1.0</v>
      </c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</row>
    <row r="183" ht="22.5" customHeight="1">
      <c r="B183" s="6">
        <v>182.0</v>
      </c>
      <c r="C183" s="6">
        <v>39611.0</v>
      </c>
      <c r="D183" s="6">
        <v>-5.22</v>
      </c>
      <c r="E183" s="6">
        <v>-0.63</v>
      </c>
      <c r="F183" s="6">
        <v>11.48</v>
      </c>
      <c r="G183" s="6">
        <v>-0.29</v>
      </c>
      <c r="H183" s="6">
        <v>0.01</v>
      </c>
      <c r="I183" s="6">
        <v>-1.53</v>
      </c>
      <c r="J183" s="6">
        <v>33.34</v>
      </c>
      <c r="K183" s="7">
        <f t="shared" ref="K183:P183" si="308">abs(D183-D182)/200</f>
        <v>0.03795</v>
      </c>
      <c r="L183" s="7">
        <f t="shared" si="308"/>
        <v>0.00405</v>
      </c>
      <c r="M183" s="7">
        <f t="shared" si="308"/>
        <v>0.00435</v>
      </c>
      <c r="N183" s="7">
        <f t="shared" si="308"/>
        <v>0.00125</v>
      </c>
      <c r="O183" s="7">
        <f t="shared" si="308"/>
        <v>0.00165</v>
      </c>
      <c r="P183" s="7">
        <f t="shared" si="308"/>
        <v>0.00435</v>
      </c>
      <c r="Q183" s="7">
        <f t="shared" si="7"/>
        <v>0.926111529</v>
      </c>
      <c r="R183" s="7">
        <f t="shared" si="8"/>
        <v>1.753818546</v>
      </c>
      <c r="S183" s="7">
        <f t="shared" si="2"/>
        <v>2.826785022</v>
      </c>
      <c r="T183" s="7">
        <f t="shared" si="3"/>
        <v>1.557273258</v>
      </c>
      <c r="U183" s="7">
        <f t="shared" si="4"/>
        <v>1</v>
      </c>
      <c r="V183" s="7">
        <f t="shared" si="5"/>
        <v>1</v>
      </c>
      <c r="W183" s="7">
        <f t="shared" ref="W183:X183" si="309">IF(AVERAGE(U123:U182) &gt; 0.25, 1, 0)</f>
        <v>1</v>
      </c>
      <c r="X183" s="7">
        <f t="shared" si="309"/>
        <v>1</v>
      </c>
      <c r="Y183" s="8">
        <v>1.0</v>
      </c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</row>
    <row r="184" ht="22.5" customHeight="1">
      <c r="B184" s="6">
        <v>183.0</v>
      </c>
      <c r="C184" s="6">
        <v>39815.0</v>
      </c>
      <c r="D184" s="6">
        <v>0.61</v>
      </c>
      <c r="E184" s="6">
        <v>-1.24</v>
      </c>
      <c r="F184" s="6">
        <v>10.98</v>
      </c>
      <c r="G184" s="6">
        <v>0.33</v>
      </c>
      <c r="H184" s="6">
        <v>0.07</v>
      </c>
      <c r="I184" s="6">
        <v>2.18</v>
      </c>
      <c r="J184" s="6">
        <v>33.34</v>
      </c>
      <c r="K184" s="7">
        <f t="shared" ref="K184:P184" si="310">abs(D184-D183)/200</f>
        <v>0.02915</v>
      </c>
      <c r="L184" s="7">
        <f t="shared" si="310"/>
        <v>0.00305</v>
      </c>
      <c r="M184" s="7">
        <f t="shared" si="310"/>
        <v>0.0025</v>
      </c>
      <c r="N184" s="7">
        <f t="shared" si="310"/>
        <v>0.0031</v>
      </c>
      <c r="O184" s="7">
        <f t="shared" si="310"/>
        <v>0.0003</v>
      </c>
      <c r="P184" s="7">
        <f t="shared" si="310"/>
        <v>0.01855</v>
      </c>
      <c r="Q184" s="7">
        <f t="shared" si="7"/>
        <v>0.6486732509</v>
      </c>
      <c r="R184" s="7">
        <f t="shared" si="8"/>
        <v>1.560164038</v>
      </c>
      <c r="S184" s="7">
        <f t="shared" si="2"/>
        <v>1.266620984</v>
      </c>
      <c r="T184" s="7">
        <f t="shared" si="3"/>
        <v>2.205946509</v>
      </c>
      <c r="U184" s="7">
        <f t="shared" si="4"/>
        <v>1</v>
      </c>
      <c r="V184" s="7">
        <f t="shared" si="5"/>
        <v>1</v>
      </c>
      <c r="W184" s="7">
        <f t="shared" ref="W184:X184" si="311">IF(AVERAGE(U124:U183) &gt; 0.25, 1, 0)</f>
        <v>1</v>
      </c>
      <c r="X184" s="7">
        <f t="shared" si="311"/>
        <v>1</v>
      </c>
      <c r="Y184" s="8">
        <v>1.0</v>
      </c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</row>
    <row r="185" ht="22.5" customHeight="1">
      <c r="B185" s="6">
        <v>184.0</v>
      </c>
      <c r="C185" s="6">
        <v>40019.0</v>
      </c>
      <c r="D185" s="6">
        <v>4.24</v>
      </c>
      <c r="E185" s="6">
        <v>-2.25</v>
      </c>
      <c r="F185" s="6">
        <v>10.08</v>
      </c>
      <c r="G185" s="6">
        <v>-0.03</v>
      </c>
      <c r="H185" s="6">
        <v>-0.2</v>
      </c>
      <c r="I185" s="6">
        <v>0.89</v>
      </c>
      <c r="J185" s="6">
        <v>33.32</v>
      </c>
      <c r="K185" s="7">
        <f t="shared" ref="K185:P185" si="312">abs(D185-D184)/200</f>
        <v>0.01815</v>
      </c>
      <c r="L185" s="7">
        <f t="shared" si="312"/>
        <v>0.00505</v>
      </c>
      <c r="M185" s="7">
        <f t="shared" si="312"/>
        <v>0.0045</v>
      </c>
      <c r="N185" s="7">
        <f t="shared" si="312"/>
        <v>0.0018</v>
      </c>
      <c r="O185" s="7">
        <f t="shared" si="312"/>
        <v>0.00135</v>
      </c>
      <c r="P185" s="7">
        <f t="shared" si="312"/>
        <v>0.00645</v>
      </c>
      <c r="Q185" s="7">
        <f t="shared" si="7"/>
        <v>1.293258172</v>
      </c>
      <c r="R185" s="7">
        <f t="shared" si="8"/>
        <v>0.09789871026</v>
      </c>
      <c r="S185" s="7">
        <f t="shared" si="2"/>
        <v>1.364519694</v>
      </c>
      <c r="T185" s="7">
        <f t="shared" si="3"/>
        <v>0.9126883367</v>
      </c>
      <c r="U185" s="7">
        <f t="shared" si="4"/>
        <v>1</v>
      </c>
      <c r="V185" s="7">
        <f t="shared" si="5"/>
        <v>1</v>
      </c>
      <c r="W185" s="7">
        <f t="shared" ref="W185:X185" si="313">IF(AVERAGE(U125:U184) &gt; 0.25, 1, 0)</f>
        <v>1</v>
      </c>
      <c r="X185" s="7">
        <f t="shared" si="313"/>
        <v>1</v>
      </c>
      <c r="Y185" s="8">
        <v>1.0</v>
      </c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</row>
    <row r="186" ht="22.5" customHeight="1">
      <c r="B186" s="6">
        <v>185.0</v>
      </c>
      <c r="C186" s="6">
        <v>40223.0</v>
      </c>
      <c r="D186" s="6">
        <v>-0.01</v>
      </c>
      <c r="E186" s="6">
        <v>-1.88</v>
      </c>
      <c r="F186" s="6">
        <v>11.02</v>
      </c>
      <c r="G186" s="6">
        <v>-0.62</v>
      </c>
      <c r="H186" s="6">
        <v>-0.1</v>
      </c>
      <c r="I186" s="6">
        <v>-3.77</v>
      </c>
      <c r="J186" s="6">
        <v>33.34</v>
      </c>
      <c r="K186" s="7">
        <f t="shared" ref="K186:P186" si="314">abs(D186-D185)/200</f>
        <v>0.02125</v>
      </c>
      <c r="L186" s="7">
        <f t="shared" si="314"/>
        <v>0.00185</v>
      </c>
      <c r="M186" s="7">
        <f t="shared" si="314"/>
        <v>0.0047</v>
      </c>
      <c r="N186" s="7">
        <f t="shared" si="314"/>
        <v>0.00295</v>
      </c>
      <c r="O186" s="7">
        <f t="shared" si="314"/>
        <v>0.0005</v>
      </c>
      <c r="P186" s="7">
        <f t="shared" si="314"/>
        <v>0.0233</v>
      </c>
      <c r="Q186" s="7">
        <f t="shared" si="7"/>
        <v>2.909261427</v>
      </c>
      <c r="R186" s="7">
        <f t="shared" si="8"/>
        <v>0.01469763092</v>
      </c>
      <c r="S186" s="7">
        <f t="shared" si="2"/>
        <v>1.379217325</v>
      </c>
      <c r="T186" s="7">
        <f t="shared" si="3"/>
        <v>3.821949764</v>
      </c>
      <c r="U186" s="7">
        <f t="shared" si="4"/>
        <v>1</v>
      </c>
      <c r="V186" s="7">
        <f t="shared" si="5"/>
        <v>1</v>
      </c>
      <c r="W186" s="7">
        <f t="shared" ref="W186:X186" si="315">IF(AVERAGE(U126:U185) &gt; 0.25, 1, 0)</f>
        <v>1</v>
      </c>
      <c r="X186" s="7">
        <f t="shared" si="315"/>
        <v>1</v>
      </c>
      <c r="Y186" s="8">
        <v>1.0</v>
      </c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</row>
    <row r="187" ht="22.5" customHeight="1">
      <c r="B187" s="6">
        <v>186.0</v>
      </c>
      <c r="C187" s="6">
        <v>40427.0</v>
      </c>
      <c r="D187" s="6">
        <v>-2.69</v>
      </c>
      <c r="E187" s="6">
        <v>1.24</v>
      </c>
      <c r="F187" s="6">
        <v>11.09</v>
      </c>
      <c r="G187" s="6">
        <v>-0.02</v>
      </c>
      <c r="H187" s="6">
        <v>0.04</v>
      </c>
      <c r="I187" s="6">
        <v>0.92</v>
      </c>
      <c r="J187" s="6">
        <v>33.34</v>
      </c>
      <c r="K187" s="7">
        <f t="shared" ref="K187:P187" si="316">abs(D187-D186)/200</f>
        <v>0.0134</v>
      </c>
      <c r="L187" s="7">
        <f t="shared" si="316"/>
        <v>0.0156</v>
      </c>
      <c r="M187" s="7">
        <f t="shared" si="316"/>
        <v>0.00035</v>
      </c>
      <c r="N187" s="7">
        <f t="shared" si="316"/>
        <v>0.003</v>
      </c>
      <c r="O187" s="7">
        <f t="shared" si="316"/>
        <v>0.0007</v>
      </c>
      <c r="P187" s="7">
        <f t="shared" si="316"/>
        <v>0.02345</v>
      </c>
      <c r="Q187" s="7">
        <f t="shared" si="7"/>
        <v>2.900863449</v>
      </c>
      <c r="R187" s="7">
        <f t="shared" si="8"/>
        <v>0.2995369628</v>
      </c>
      <c r="S187" s="7">
        <f t="shared" si="2"/>
        <v>1.678754288</v>
      </c>
      <c r="T187" s="7">
        <f t="shared" si="3"/>
        <v>0.9210863152</v>
      </c>
      <c r="U187" s="7">
        <f t="shared" si="4"/>
        <v>1</v>
      </c>
      <c r="V187" s="7">
        <f t="shared" si="5"/>
        <v>1</v>
      </c>
      <c r="W187" s="7">
        <f t="shared" ref="W187:X187" si="317">IF(AVERAGE(U127:U186) &gt; 0.25, 1, 0)</f>
        <v>1</v>
      </c>
      <c r="X187" s="7">
        <f t="shared" si="317"/>
        <v>1</v>
      </c>
      <c r="Y187" s="8">
        <v>1.0</v>
      </c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</row>
    <row r="188" ht="22.5" customHeight="1">
      <c r="B188" s="6">
        <v>187.0</v>
      </c>
      <c r="C188" s="6">
        <v>40631.0</v>
      </c>
      <c r="D188" s="6">
        <v>5.81</v>
      </c>
      <c r="E188" s="6">
        <v>-2.74</v>
      </c>
      <c r="F188" s="6">
        <v>10.4</v>
      </c>
      <c r="G188" s="6">
        <v>0.35</v>
      </c>
      <c r="H188" s="6">
        <v>0.02</v>
      </c>
      <c r="I188" s="6">
        <v>2.59</v>
      </c>
      <c r="J188" s="6">
        <v>33.34</v>
      </c>
      <c r="K188" s="7">
        <f t="shared" ref="K188:P188" si="318">abs(D188-D187)/200</f>
        <v>0.0425</v>
      </c>
      <c r="L188" s="7">
        <f t="shared" si="318"/>
        <v>0.0199</v>
      </c>
      <c r="M188" s="7">
        <f t="shared" si="318"/>
        <v>0.00345</v>
      </c>
      <c r="N188" s="7">
        <f t="shared" si="318"/>
        <v>0.00185</v>
      </c>
      <c r="O188" s="7">
        <f t="shared" si="318"/>
        <v>0.0001</v>
      </c>
      <c r="P188" s="7">
        <f t="shared" si="318"/>
        <v>0.00835</v>
      </c>
      <c r="Q188" s="7">
        <f t="shared" si="7"/>
        <v>1.692531867</v>
      </c>
      <c r="R188" s="7">
        <f t="shared" si="8"/>
        <v>0.7451444356</v>
      </c>
      <c r="S188" s="7">
        <f t="shared" si="2"/>
        <v>2.423898723</v>
      </c>
      <c r="T188" s="7">
        <f t="shared" si="3"/>
        <v>2.613618182</v>
      </c>
      <c r="U188" s="7">
        <f t="shared" si="4"/>
        <v>1</v>
      </c>
      <c r="V188" s="7">
        <f t="shared" si="5"/>
        <v>1</v>
      </c>
      <c r="W188" s="7">
        <f t="shared" ref="W188:X188" si="319">IF(AVERAGE(U128:U187) &gt; 0.25, 1, 0)</f>
        <v>1</v>
      </c>
      <c r="X188" s="7">
        <f t="shared" si="319"/>
        <v>1</v>
      </c>
      <c r="Y188" s="8">
        <v>1.0</v>
      </c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</row>
    <row r="189" ht="22.5" customHeight="1">
      <c r="B189" s="6">
        <v>188.0</v>
      </c>
      <c r="C189" s="6">
        <v>40835.0</v>
      </c>
      <c r="D189" s="6">
        <v>4.5</v>
      </c>
      <c r="E189" s="6">
        <v>-2.13</v>
      </c>
      <c r="F189" s="6">
        <v>10.59</v>
      </c>
      <c r="G189" s="6">
        <v>-0.39</v>
      </c>
      <c r="H189" s="6">
        <v>-0.02</v>
      </c>
      <c r="I189" s="6">
        <v>-1.45</v>
      </c>
      <c r="J189" s="6">
        <v>33.34</v>
      </c>
      <c r="K189" s="7">
        <f t="shared" ref="K189:P189" si="320">abs(D189-D188)/200</f>
        <v>0.00655</v>
      </c>
      <c r="L189" s="7">
        <f t="shared" si="320"/>
        <v>0.00305</v>
      </c>
      <c r="M189" s="7">
        <f t="shared" si="320"/>
        <v>0.00095</v>
      </c>
      <c r="N189" s="7">
        <f t="shared" si="320"/>
        <v>0.0037</v>
      </c>
      <c r="O189" s="7">
        <f t="shared" si="320"/>
        <v>0.0002</v>
      </c>
      <c r="P189" s="7">
        <f t="shared" si="320"/>
        <v>0.0202</v>
      </c>
      <c r="Q189" s="7">
        <f t="shared" si="7"/>
        <v>1.11195244</v>
      </c>
      <c r="R189" s="7">
        <f t="shared" si="8"/>
        <v>0.5219758045</v>
      </c>
      <c r="S189" s="7">
        <f t="shared" si="2"/>
        <v>1.901922919</v>
      </c>
      <c r="T189" s="7">
        <f t="shared" si="3"/>
        <v>1.501665742</v>
      </c>
      <c r="U189" s="7">
        <f t="shared" si="4"/>
        <v>1</v>
      </c>
      <c r="V189" s="7">
        <f t="shared" si="5"/>
        <v>1</v>
      </c>
      <c r="W189" s="7">
        <f t="shared" ref="W189:X189" si="321">IF(AVERAGE(U129:U188) &gt; 0.25, 1, 0)</f>
        <v>1</v>
      </c>
      <c r="X189" s="7">
        <f t="shared" si="321"/>
        <v>1</v>
      </c>
      <c r="Y189" s="8">
        <v>1.0</v>
      </c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</row>
    <row r="190" ht="22.5" customHeight="1">
      <c r="B190" s="6">
        <v>189.0</v>
      </c>
      <c r="C190" s="6">
        <v>41039.0</v>
      </c>
      <c r="D190" s="6">
        <v>0.41</v>
      </c>
      <c r="E190" s="6">
        <v>-0.7</v>
      </c>
      <c r="F190" s="6">
        <v>10.39</v>
      </c>
      <c r="G190" s="6">
        <v>-0.32</v>
      </c>
      <c r="H190" s="6">
        <v>-0.18</v>
      </c>
      <c r="I190" s="6">
        <v>-2.76</v>
      </c>
      <c r="J190" s="6">
        <v>33.33</v>
      </c>
      <c r="K190" s="7">
        <f t="shared" ref="K190:P190" si="322">abs(D190-D189)/200</f>
        <v>0.02045</v>
      </c>
      <c r="L190" s="7">
        <f t="shared" si="322"/>
        <v>0.00715</v>
      </c>
      <c r="M190" s="7">
        <f t="shared" si="322"/>
        <v>0.001</v>
      </c>
      <c r="N190" s="7">
        <f t="shared" si="322"/>
        <v>0.00035</v>
      </c>
      <c r="O190" s="7">
        <f t="shared" si="322"/>
        <v>0.0008</v>
      </c>
      <c r="P190" s="7">
        <f t="shared" si="322"/>
        <v>0.00655</v>
      </c>
      <c r="Q190" s="7">
        <f t="shared" si="7"/>
        <v>1.282647459</v>
      </c>
      <c r="R190" s="7">
        <f t="shared" si="8"/>
        <v>1.280301164</v>
      </c>
      <c r="S190" s="7">
        <f t="shared" si="2"/>
        <v>0.6216217548</v>
      </c>
      <c r="T190" s="7">
        <f t="shared" si="3"/>
        <v>2.784313201</v>
      </c>
      <c r="U190" s="7">
        <f t="shared" si="4"/>
        <v>1</v>
      </c>
      <c r="V190" s="7">
        <f t="shared" si="5"/>
        <v>1</v>
      </c>
      <c r="W190" s="7">
        <f t="shared" ref="W190:X190" si="323">IF(AVERAGE(U130:U189) &gt; 0.25, 1, 0)</f>
        <v>1</v>
      </c>
      <c r="X190" s="7">
        <f t="shared" si="323"/>
        <v>1</v>
      </c>
      <c r="Y190" s="8">
        <v>1.0</v>
      </c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</row>
    <row r="191" ht="22.5" customHeight="1">
      <c r="B191" s="6">
        <v>190.0</v>
      </c>
      <c r="C191" s="6">
        <v>41243.0</v>
      </c>
      <c r="D191" s="6">
        <v>-1.86</v>
      </c>
      <c r="E191" s="6">
        <v>0.84</v>
      </c>
      <c r="F191" s="6">
        <v>10.92</v>
      </c>
      <c r="G191" s="6">
        <v>-0.07</v>
      </c>
      <c r="H191" s="6">
        <v>0.01</v>
      </c>
      <c r="I191" s="6">
        <v>0.11</v>
      </c>
      <c r="J191" s="6">
        <v>33.33</v>
      </c>
      <c r="K191" s="7">
        <f t="shared" ref="K191:P191" si="324">abs(D191-D190)/200</f>
        <v>0.01135</v>
      </c>
      <c r="L191" s="7">
        <f t="shared" si="324"/>
        <v>0.0077</v>
      </c>
      <c r="M191" s="7">
        <f t="shared" si="324"/>
        <v>0.00265</v>
      </c>
      <c r="N191" s="7">
        <f t="shared" si="324"/>
        <v>0.00125</v>
      </c>
      <c r="O191" s="7">
        <f t="shared" si="324"/>
        <v>0.00095</v>
      </c>
      <c r="P191" s="7">
        <f t="shared" si="324"/>
        <v>0.01435</v>
      </c>
      <c r="Q191" s="7">
        <f t="shared" si="7"/>
        <v>2.653546232</v>
      </c>
      <c r="R191" s="7">
        <f t="shared" si="8"/>
        <v>0.6874556146</v>
      </c>
      <c r="S191" s="7">
        <f t="shared" si="2"/>
        <v>1.309077369</v>
      </c>
      <c r="T191" s="7">
        <f t="shared" si="3"/>
        <v>0.1307669683</v>
      </c>
      <c r="U191" s="7">
        <f t="shared" si="4"/>
        <v>1</v>
      </c>
      <c r="V191" s="7">
        <f t="shared" si="5"/>
        <v>1</v>
      </c>
      <c r="W191" s="7">
        <f t="shared" ref="W191:X191" si="325">IF(AVERAGE(U131:U190) &gt; 0.25, 1, 0)</f>
        <v>1</v>
      </c>
      <c r="X191" s="7">
        <f t="shared" si="325"/>
        <v>1</v>
      </c>
      <c r="Y191" s="8">
        <v>1.0</v>
      </c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</row>
    <row r="192" ht="22.5" customHeight="1">
      <c r="B192" s="6">
        <v>191.0</v>
      </c>
      <c r="C192" s="6">
        <v>41447.0</v>
      </c>
      <c r="D192" s="6">
        <v>0.39</v>
      </c>
      <c r="E192" s="6">
        <v>-2.74</v>
      </c>
      <c r="F192" s="6">
        <v>11.11</v>
      </c>
      <c r="G192" s="6">
        <v>0.08</v>
      </c>
      <c r="H192" s="6">
        <v>0.32</v>
      </c>
      <c r="I192" s="6">
        <v>1.85</v>
      </c>
      <c r="J192" s="6">
        <v>33.34</v>
      </c>
      <c r="K192" s="7">
        <f t="shared" ref="K192:P192" si="326">abs(D192-D191)/200</f>
        <v>0.01125</v>
      </c>
      <c r="L192" s="7">
        <f t="shared" si="326"/>
        <v>0.0179</v>
      </c>
      <c r="M192" s="7">
        <f t="shared" si="326"/>
        <v>0.00095</v>
      </c>
      <c r="N192" s="7">
        <f t="shared" si="326"/>
        <v>0.00075</v>
      </c>
      <c r="O192" s="7">
        <f t="shared" si="326"/>
        <v>0.00155</v>
      </c>
      <c r="P192" s="7">
        <f t="shared" si="326"/>
        <v>0.0087</v>
      </c>
      <c r="Q192" s="7">
        <f t="shared" si="7"/>
        <v>1.748408383</v>
      </c>
      <c r="R192" s="7">
        <f t="shared" si="8"/>
        <v>0.3404553721</v>
      </c>
      <c r="S192" s="7">
        <f t="shared" si="2"/>
        <v>1.649532742</v>
      </c>
      <c r="T192" s="7">
        <f t="shared" si="3"/>
        <v>1.879175351</v>
      </c>
      <c r="U192" s="7">
        <f t="shared" si="4"/>
        <v>1</v>
      </c>
      <c r="V192" s="7">
        <f t="shared" si="5"/>
        <v>1</v>
      </c>
      <c r="W192" s="7">
        <f t="shared" ref="W192:X192" si="327">IF(AVERAGE(U132:U191) &gt; 0.25, 1, 0)</f>
        <v>1</v>
      </c>
      <c r="X192" s="7">
        <f t="shared" si="327"/>
        <v>1</v>
      </c>
      <c r="Y192" s="8">
        <v>1.0</v>
      </c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</row>
    <row r="193" ht="22.5" customHeight="1">
      <c r="B193" s="6">
        <v>192.0</v>
      </c>
      <c r="C193" s="6">
        <v>41651.0</v>
      </c>
      <c r="D193" s="6">
        <v>1.25</v>
      </c>
      <c r="E193" s="6">
        <v>-2.58</v>
      </c>
      <c r="F193" s="6">
        <v>11.0</v>
      </c>
      <c r="G193" s="6">
        <v>0.24</v>
      </c>
      <c r="H193" s="6">
        <v>-0.07</v>
      </c>
      <c r="I193" s="6">
        <v>2.22</v>
      </c>
      <c r="J193" s="6">
        <v>33.34</v>
      </c>
      <c r="K193" s="7">
        <f t="shared" ref="K193:P193" si="328">abs(D193-D192)/200</f>
        <v>0.0043</v>
      </c>
      <c r="L193" s="7">
        <f t="shared" si="328"/>
        <v>0.0008</v>
      </c>
      <c r="M193" s="7">
        <f t="shared" si="328"/>
        <v>0.00055</v>
      </c>
      <c r="N193" s="7">
        <f t="shared" si="328"/>
        <v>0.0008</v>
      </c>
      <c r="O193" s="7">
        <f t="shared" si="328"/>
        <v>0.00195</v>
      </c>
      <c r="P193" s="7">
        <f t="shared" si="328"/>
        <v>0.00185</v>
      </c>
      <c r="Q193" s="7">
        <f t="shared" si="7"/>
        <v>0.3548568779</v>
      </c>
      <c r="R193" s="7">
        <f t="shared" si="8"/>
        <v>0.08208359938</v>
      </c>
      <c r="S193" s="7">
        <f t="shared" si="2"/>
        <v>1.567449142</v>
      </c>
      <c r="T193" s="7">
        <f t="shared" si="3"/>
        <v>2.234032229</v>
      </c>
      <c r="U193" s="7">
        <f t="shared" si="4"/>
        <v>1</v>
      </c>
      <c r="V193" s="7">
        <f t="shared" si="5"/>
        <v>1</v>
      </c>
      <c r="W193" s="7">
        <f t="shared" ref="W193:X193" si="329">IF(AVERAGE(U133:U192) &gt; 0.25, 1, 0)</f>
        <v>1</v>
      </c>
      <c r="X193" s="7">
        <f t="shared" si="329"/>
        <v>1</v>
      </c>
      <c r="Y193" s="8">
        <v>1.0</v>
      </c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</row>
    <row r="194" ht="22.5" customHeight="1">
      <c r="B194" s="6">
        <v>193.0</v>
      </c>
      <c r="C194" s="6">
        <v>41855.0</v>
      </c>
      <c r="D194" s="6">
        <v>3.53</v>
      </c>
      <c r="E194" s="6">
        <v>-1.7</v>
      </c>
      <c r="F194" s="6">
        <v>9.89</v>
      </c>
      <c r="G194" s="6">
        <v>0.16</v>
      </c>
      <c r="H194" s="6">
        <v>-0.26</v>
      </c>
      <c r="I194" s="6">
        <v>2.02</v>
      </c>
      <c r="J194" s="6">
        <v>33.34</v>
      </c>
      <c r="K194" s="7">
        <f t="shared" ref="K194:P194" si="330">abs(D194-D193)/200</f>
        <v>0.0114</v>
      </c>
      <c r="L194" s="7">
        <f t="shared" si="330"/>
        <v>0.0044</v>
      </c>
      <c r="M194" s="7">
        <f t="shared" si="330"/>
        <v>0.00555</v>
      </c>
      <c r="N194" s="7">
        <f t="shared" si="330"/>
        <v>0.0004</v>
      </c>
      <c r="O194" s="7">
        <f t="shared" si="330"/>
        <v>0.00095</v>
      </c>
      <c r="P194" s="7">
        <f t="shared" si="330"/>
        <v>0.001</v>
      </c>
      <c r="Q194" s="7">
        <f t="shared" si="7"/>
        <v>0.1910931697</v>
      </c>
      <c r="R194" s="7">
        <f t="shared" si="8"/>
        <v>0.7296392172</v>
      </c>
      <c r="S194" s="7">
        <f t="shared" si="2"/>
        <v>0.837809925</v>
      </c>
      <c r="T194" s="7">
        <f t="shared" si="3"/>
        <v>2.042939059</v>
      </c>
      <c r="U194" s="7">
        <f t="shared" si="4"/>
        <v>1</v>
      </c>
      <c r="V194" s="7">
        <f t="shared" si="5"/>
        <v>1</v>
      </c>
      <c r="W194" s="7">
        <f t="shared" ref="W194:X194" si="331">IF(AVERAGE(U134:U193) &gt; 0.25, 1, 0)</f>
        <v>1</v>
      </c>
      <c r="X194" s="7">
        <f t="shared" si="331"/>
        <v>1</v>
      </c>
      <c r="Y194" s="8">
        <v>1.0</v>
      </c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</row>
    <row r="195" ht="22.5" customHeight="1">
      <c r="B195" s="6">
        <v>194.0</v>
      </c>
      <c r="C195" s="6">
        <v>42059.0</v>
      </c>
      <c r="D195" s="6">
        <v>4.23</v>
      </c>
      <c r="E195" s="6">
        <v>0.03</v>
      </c>
      <c r="F195" s="6">
        <v>10.6</v>
      </c>
      <c r="G195" s="6">
        <v>-0.15</v>
      </c>
      <c r="H195" s="6">
        <v>0.07</v>
      </c>
      <c r="I195" s="6">
        <v>0.56</v>
      </c>
      <c r="J195" s="6">
        <v>33.34</v>
      </c>
      <c r="K195" s="7">
        <f t="shared" ref="K195:P195" si="332">abs(D195-D194)/200</f>
        <v>0.0035</v>
      </c>
      <c r="L195" s="7">
        <f t="shared" si="332"/>
        <v>0.00865</v>
      </c>
      <c r="M195" s="7">
        <f t="shared" si="332"/>
        <v>0.00355</v>
      </c>
      <c r="N195" s="7">
        <f t="shared" si="332"/>
        <v>0.00155</v>
      </c>
      <c r="O195" s="7">
        <f t="shared" si="332"/>
        <v>0.00165</v>
      </c>
      <c r="P195" s="7">
        <f t="shared" si="332"/>
        <v>0.0073</v>
      </c>
      <c r="Q195" s="7">
        <f t="shared" si="7"/>
        <v>1.458987006</v>
      </c>
      <c r="R195" s="7">
        <f t="shared" si="8"/>
        <v>0.7750687653</v>
      </c>
      <c r="S195" s="7">
        <f t="shared" si="2"/>
        <v>1.61287869</v>
      </c>
      <c r="T195" s="7">
        <f t="shared" si="3"/>
        <v>0.5839520528</v>
      </c>
      <c r="U195" s="7">
        <f t="shared" si="4"/>
        <v>1</v>
      </c>
      <c r="V195" s="7">
        <f t="shared" si="5"/>
        <v>1</v>
      </c>
      <c r="W195" s="7">
        <f t="shared" ref="W195:X195" si="333">IF(AVERAGE(U135:U194) &gt; 0.25, 1, 0)</f>
        <v>1</v>
      </c>
      <c r="X195" s="7">
        <f t="shared" si="333"/>
        <v>1</v>
      </c>
      <c r="Y195" s="8">
        <v>1.0</v>
      </c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</row>
    <row r="196" ht="22.5" customHeight="1">
      <c r="B196" s="6">
        <v>195.0</v>
      </c>
      <c r="C196" s="6">
        <v>42263.0</v>
      </c>
      <c r="D196" s="6">
        <v>2.86</v>
      </c>
      <c r="E196" s="6">
        <v>0.15</v>
      </c>
      <c r="F196" s="6">
        <v>10.63</v>
      </c>
      <c r="G196" s="6">
        <v>-0.25</v>
      </c>
      <c r="H196" s="6">
        <v>-0.06</v>
      </c>
      <c r="I196" s="6">
        <v>-0.19</v>
      </c>
      <c r="J196" s="6">
        <v>33.34</v>
      </c>
      <c r="K196" s="7">
        <f t="shared" ref="K196:P196" si="334">abs(D196-D195)/200</f>
        <v>0.00685</v>
      </c>
      <c r="L196" s="7">
        <f t="shared" si="334"/>
        <v>0.0006</v>
      </c>
      <c r="M196" s="7">
        <f t="shared" si="334"/>
        <v>0.00015</v>
      </c>
      <c r="N196" s="7">
        <f t="shared" si="334"/>
        <v>0.0005</v>
      </c>
      <c r="O196" s="7">
        <f t="shared" si="334"/>
        <v>0.00065</v>
      </c>
      <c r="P196" s="7">
        <f t="shared" si="334"/>
        <v>0.00375</v>
      </c>
      <c r="Q196" s="7">
        <f t="shared" si="7"/>
        <v>0.2642647056</v>
      </c>
      <c r="R196" s="7">
        <f t="shared" si="8"/>
        <v>0.4038369518</v>
      </c>
      <c r="S196" s="7">
        <f t="shared" si="2"/>
        <v>1.209041738</v>
      </c>
      <c r="T196" s="7">
        <f t="shared" si="3"/>
        <v>0.3196873473</v>
      </c>
      <c r="U196" s="7">
        <f t="shared" si="4"/>
        <v>1</v>
      </c>
      <c r="V196" s="7">
        <f t="shared" si="5"/>
        <v>1</v>
      </c>
      <c r="W196" s="7">
        <f t="shared" ref="W196:X196" si="335">IF(AVERAGE(U136:U195) &gt; 0.25, 1, 0)</f>
        <v>1</v>
      </c>
      <c r="X196" s="7">
        <f t="shared" si="335"/>
        <v>1</v>
      </c>
      <c r="Y196" s="8">
        <v>1.0</v>
      </c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</row>
    <row r="197" ht="22.5" customHeight="1">
      <c r="B197" s="6">
        <v>196.0</v>
      </c>
      <c r="C197" s="6">
        <v>42467.0</v>
      </c>
      <c r="D197" s="6">
        <v>-0.65</v>
      </c>
      <c r="E197" s="6">
        <v>2.03</v>
      </c>
      <c r="F197" s="6">
        <v>10.57</v>
      </c>
      <c r="G197" s="6">
        <v>-0.15</v>
      </c>
      <c r="H197" s="6">
        <v>-0.08</v>
      </c>
      <c r="I197" s="6">
        <v>-0.52</v>
      </c>
      <c r="J197" s="6">
        <v>33.34</v>
      </c>
      <c r="K197" s="7">
        <f t="shared" ref="K197:P197" si="336">abs(D197-D196)/200</f>
        <v>0.01755</v>
      </c>
      <c r="L197" s="7">
        <f t="shared" si="336"/>
        <v>0.0094</v>
      </c>
      <c r="M197" s="7">
        <f t="shared" si="336"/>
        <v>0.0003</v>
      </c>
      <c r="N197" s="7">
        <f t="shared" si="336"/>
        <v>0.0005</v>
      </c>
      <c r="O197" s="7">
        <f t="shared" si="336"/>
        <v>0.0001</v>
      </c>
      <c r="P197" s="7">
        <f t="shared" si="336"/>
        <v>0.00165</v>
      </c>
      <c r="Q197" s="7">
        <f t="shared" si="7"/>
        <v>0.2273958274</v>
      </c>
      <c r="R197" s="7">
        <f t="shared" si="8"/>
        <v>0.2262638033</v>
      </c>
      <c r="S197" s="7">
        <f t="shared" si="2"/>
        <v>0.9827779352</v>
      </c>
      <c r="T197" s="7">
        <f t="shared" si="3"/>
        <v>0.5470831747</v>
      </c>
      <c r="U197" s="7">
        <f t="shared" si="4"/>
        <v>1</v>
      </c>
      <c r="V197" s="7">
        <f t="shared" si="5"/>
        <v>1</v>
      </c>
      <c r="W197" s="7">
        <f t="shared" ref="W197:X197" si="337">IF(AVERAGE(U137:U196) &gt; 0.25, 1, 0)</f>
        <v>1</v>
      </c>
      <c r="X197" s="7">
        <f t="shared" si="337"/>
        <v>1</v>
      </c>
      <c r="Y197" s="8">
        <v>1.0</v>
      </c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</row>
    <row r="198" ht="22.5" customHeight="1">
      <c r="B198" s="6">
        <v>197.0</v>
      </c>
      <c r="C198" s="6">
        <v>42671.0</v>
      </c>
      <c r="D198" s="6">
        <v>1.33</v>
      </c>
      <c r="E198" s="6">
        <v>0.05</v>
      </c>
      <c r="F198" s="6">
        <v>11.0</v>
      </c>
      <c r="G198" s="6">
        <v>0.04</v>
      </c>
      <c r="H198" s="6">
        <v>0.06</v>
      </c>
      <c r="I198" s="6">
        <v>0.97</v>
      </c>
      <c r="J198" s="6">
        <v>33.34</v>
      </c>
      <c r="K198" s="7">
        <f t="shared" ref="K198:P198" si="338">abs(D198-D197)/200</f>
        <v>0.0099</v>
      </c>
      <c r="L198" s="7">
        <f t="shared" si="338"/>
        <v>0.0099</v>
      </c>
      <c r="M198" s="7">
        <f t="shared" si="338"/>
        <v>0.00215</v>
      </c>
      <c r="N198" s="7">
        <f t="shared" si="338"/>
        <v>0.00095</v>
      </c>
      <c r="O198" s="7">
        <f t="shared" si="338"/>
        <v>0.0007</v>
      </c>
      <c r="P198" s="7">
        <f t="shared" si="338"/>
        <v>0.00745</v>
      </c>
      <c r="Q198" s="7">
        <f t="shared" si="7"/>
        <v>0.4255935445</v>
      </c>
      <c r="R198" s="7">
        <f t="shared" si="8"/>
        <v>0.2974476943</v>
      </c>
      <c r="S198" s="7">
        <f t="shared" si="2"/>
        <v>1.280225629</v>
      </c>
      <c r="T198" s="7">
        <f t="shared" si="3"/>
        <v>0.9726767192</v>
      </c>
      <c r="U198" s="7">
        <f t="shared" si="4"/>
        <v>1</v>
      </c>
      <c r="V198" s="7">
        <f t="shared" si="5"/>
        <v>1</v>
      </c>
      <c r="W198" s="7">
        <f t="shared" ref="W198:X198" si="339">IF(AVERAGE(U138:U197) &gt; 0.25, 1, 0)</f>
        <v>1</v>
      </c>
      <c r="X198" s="7">
        <f t="shared" si="339"/>
        <v>1</v>
      </c>
      <c r="Y198" s="8">
        <v>1.0</v>
      </c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</row>
    <row r="199" ht="22.5" customHeight="1">
      <c r="B199" s="6">
        <v>198.0</v>
      </c>
      <c r="C199" s="6">
        <v>42875.0</v>
      </c>
      <c r="D199" s="6">
        <v>4.27</v>
      </c>
      <c r="E199" s="6">
        <v>-4.19</v>
      </c>
      <c r="F199" s="6">
        <v>10.38</v>
      </c>
      <c r="G199" s="6">
        <v>-0.13</v>
      </c>
      <c r="H199" s="6">
        <v>-0.19</v>
      </c>
      <c r="I199" s="6">
        <v>0.4</v>
      </c>
      <c r="J199" s="6">
        <v>33.35</v>
      </c>
      <c r="K199" s="7">
        <f t="shared" ref="K199:P199" si="340">abs(D199-D198)/200</f>
        <v>0.0147</v>
      </c>
      <c r="L199" s="7">
        <f t="shared" si="340"/>
        <v>0.0212</v>
      </c>
      <c r="M199" s="7">
        <f t="shared" si="340"/>
        <v>0.0031</v>
      </c>
      <c r="N199" s="7">
        <f t="shared" si="340"/>
        <v>0.00085</v>
      </c>
      <c r="O199" s="7">
        <f t="shared" si="340"/>
        <v>0.00125</v>
      </c>
      <c r="P199" s="7">
        <f t="shared" si="340"/>
        <v>0.00285</v>
      </c>
      <c r="Q199" s="7">
        <f t="shared" si="7"/>
        <v>0.5111574888</v>
      </c>
      <c r="R199" s="7">
        <f t="shared" si="8"/>
        <v>0.9003169292</v>
      </c>
      <c r="S199" s="7">
        <f t="shared" si="2"/>
        <v>2.180542559</v>
      </c>
      <c r="T199" s="7">
        <f t="shared" si="3"/>
        <v>0.4615192304</v>
      </c>
      <c r="U199" s="7">
        <f t="shared" si="4"/>
        <v>1</v>
      </c>
      <c r="V199" s="7">
        <f t="shared" si="5"/>
        <v>1</v>
      </c>
      <c r="W199" s="7">
        <f t="shared" ref="W199:X199" si="341">IF(AVERAGE(U139:U198) &gt; 0.25, 1, 0)</f>
        <v>1</v>
      </c>
      <c r="X199" s="7">
        <f t="shared" si="341"/>
        <v>1</v>
      </c>
      <c r="Y199" s="8">
        <v>1.0</v>
      </c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</row>
    <row r="200" ht="22.5" customHeight="1">
      <c r="B200" s="6">
        <v>199.0</v>
      </c>
      <c r="C200" s="6">
        <v>43079.0</v>
      </c>
      <c r="D200" s="6">
        <v>-3.32</v>
      </c>
      <c r="E200" s="6">
        <v>4.67</v>
      </c>
      <c r="F200" s="6">
        <v>11.08</v>
      </c>
      <c r="G200" s="6">
        <v>-0.16</v>
      </c>
      <c r="H200" s="6">
        <v>-0.03</v>
      </c>
      <c r="I200" s="6">
        <v>-0.8</v>
      </c>
      <c r="J200" s="6">
        <v>33.35</v>
      </c>
      <c r="K200" s="7">
        <f t="shared" ref="K200:P200" si="342">abs(D200-D199)/200</f>
        <v>0.03795</v>
      </c>
      <c r="L200" s="7">
        <f t="shared" si="342"/>
        <v>0.0443</v>
      </c>
      <c r="M200" s="7">
        <f t="shared" si="342"/>
        <v>0.0035</v>
      </c>
      <c r="N200" s="7">
        <f t="shared" si="342"/>
        <v>0.00015</v>
      </c>
      <c r="O200" s="7">
        <f t="shared" si="342"/>
        <v>0.0008</v>
      </c>
      <c r="P200" s="7">
        <f t="shared" si="342"/>
        <v>0.006</v>
      </c>
      <c r="Q200" s="7">
        <f t="shared" si="7"/>
        <v>0.3548752821</v>
      </c>
      <c r="R200" s="7">
        <f t="shared" si="8"/>
        <v>0.4933381526</v>
      </c>
      <c r="S200" s="7">
        <f t="shared" si="2"/>
        <v>2.673880711</v>
      </c>
      <c r="T200" s="7">
        <f t="shared" si="3"/>
        <v>0.8163945125</v>
      </c>
      <c r="U200" s="7">
        <f t="shared" si="4"/>
        <v>1</v>
      </c>
      <c r="V200" s="7">
        <f t="shared" si="5"/>
        <v>1</v>
      </c>
      <c r="W200" s="7">
        <f t="shared" ref="W200:X200" si="343">IF(AVERAGE(U140:U199) &gt; 0.25, 1, 0)</f>
        <v>1</v>
      </c>
      <c r="X200" s="7">
        <f t="shared" si="343"/>
        <v>1</v>
      </c>
      <c r="Y200" s="8">
        <v>1.0</v>
      </c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</row>
    <row r="201" ht="22.5" customHeight="1">
      <c r="B201" s="6">
        <v>200.0</v>
      </c>
      <c r="C201" s="6">
        <v>43283.0</v>
      </c>
      <c r="D201" s="6">
        <v>0.91</v>
      </c>
      <c r="E201" s="6">
        <v>0.27</v>
      </c>
      <c r="F201" s="6">
        <v>10.86</v>
      </c>
      <c r="G201" s="6">
        <v>0.05</v>
      </c>
      <c r="H201" s="6">
        <v>0.02</v>
      </c>
      <c r="I201" s="6">
        <v>1.59</v>
      </c>
      <c r="J201" s="6">
        <v>33.35</v>
      </c>
      <c r="K201" s="7">
        <f t="shared" ref="K201:P201" si="344">abs(D201-D200)/200</f>
        <v>0.02115</v>
      </c>
      <c r="L201" s="7">
        <f t="shared" si="344"/>
        <v>0.022</v>
      </c>
      <c r="M201" s="7">
        <f t="shared" si="344"/>
        <v>0.0011</v>
      </c>
      <c r="N201" s="7">
        <f t="shared" si="344"/>
        <v>0.00105</v>
      </c>
      <c r="O201" s="7">
        <f t="shared" si="344"/>
        <v>0.00025</v>
      </c>
      <c r="P201" s="7">
        <f t="shared" si="344"/>
        <v>0.01195</v>
      </c>
      <c r="Q201" s="7">
        <f t="shared" si="7"/>
        <v>0.7745171758</v>
      </c>
      <c r="R201" s="7">
        <f t="shared" si="8"/>
        <v>1.572477132</v>
      </c>
      <c r="S201" s="7">
        <f t="shared" si="2"/>
        <v>1.101403579</v>
      </c>
      <c r="T201" s="7">
        <f t="shared" si="3"/>
        <v>1.590911688</v>
      </c>
      <c r="U201" s="7">
        <f t="shared" si="4"/>
        <v>1</v>
      </c>
      <c r="V201" s="7">
        <f t="shared" si="5"/>
        <v>1</v>
      </c>
      <c r="W201" s="7">
        <f t="shared" ref="W201:X201" si="345">IF(AVERAGE(U141:U200) &gt; 0.25, 1, 0)</f>
        <v>1</v>
      </c>
      <c r="X201" s="7">
        <f t="shared" si="345"/>
        <v>1</v>
      </c>
      <c r="Y201" s="8">
        <v>1.0</v>
      </c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</row>
    <row r="202" ht="22.5" customHeight="1">
      <c r="B202" s="6">
        <v>201.0</v>
      </c>
      <c r="C202" s="6">
        <v>43487.0</v>
      </c>
      <c r="D202" s="6">
        <v>5.6</v>
      </c>
      <c r="E202" s="6">
        <v>-3.69</v>
      </c>
      <c r="F202" s="6">
        <v>10.07</v>
      </c>
      <c r="G202" s="6">
        <v>-0.1</v>
      </c>
      <c r="H202" s="6">
        <v>-0.23</v>
      </c>
      <c r="I202" s="6">
        <v>0.31</v>
      </c>
      <c r="J202" s="6">
        <v>33.35</v>
      </c>
      <c r="K202" s="7">
        <f t="shared" ref="K202:P202" si="346">abs(D202-D201)/200</f>
        <v>0.02345</v>
      </c>
      <c r="L202" s="7">
        <f t="shared" si="346"/>
        <v>0.0198</v>
      </c>
      <c r="M202" s="7">
        <f t="shared" si="346"/>
        <v>0.00395</v>
      </c>
      <c r="N202" s="7">
        <f t="shared" si="346"/>
        <v>0.00075</v>
      </c>
      <c r="O202" s="7">
        <f t="shared" si="346"/>
        <v>0.00125</v>
      </c>
      <c r="P202" s="7">
        <f t="shared" si="346"/>
        <v>0.0064</v>
      </c>
      <c r="Q202" s="7">
        <f t="shared" si="7"/>
        <v>1.192163648</v>
      </c>
      <c r="R202" s="7">
        <f t="shared" si="8"/>
        <v>1.197398014</v>
      </c>
      <c r="S202" s="7">
        <f t="shared" si="2"/>
        <v>2.298801594</v>
      </c>
      <c r="T202" s="7">
        <f t="shared" si="3"/>
        <v>0.3987480407</v>
      </c>
      <c r="U202" s="7">
        <f t="shared" si="4"/>
        <v>1</v>
      </c>
      <c r="V202" s="7">
        <f t="shared" si="5"/>
        <v>1</v>
      </c>
      <c r="W202" s="7">
        <f t="shared" ref="W202:X202" si="347">IF(AVERAGE(U142:U201) &gt; 0.25, 1, 0)</f>
        <v>1</v>
      </c>
      <c r="X202" s="7">
        <f t="shared" si="347"/>
        <v>1</v>
      </c>
      <c r="Y202" s="8">
        <v>1.0</v>
      </c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</row>
    <row r="203" ht="22.5" customHeight="1">
      <c r="B203" s="6">
        <v>202.0</v>
      </c>
      <c r="C203" s="6">
        <v>43691.0</v>
      </c>
      <c r="D203" s="6">
        <v>1.62</v>
      </c>
      <c r="E203" s="6">
        <v>-0.57</v>
      </c>
      <c r="F203" s="6">
        <v>10.66</v>
      </c>
      <c r="G203" s="6">
        <v>-0.27</v>
      </c>
      <c r="H203" s="6">
        <v>0.08</v>
      </c>
      <c r="I203" s="6">
        <v>-1.95</v>
      </c>
      <c r="J203" s="6">
        <v>33.35</v>
      </c>
      <c r="K203" s="7">
        <f t="shared" ref="K203:P203" si="348">abs(D203-D202)/200</f>
        <v>0.0199</v>
      </c>
      <c r="L203" s="7">
        <f t="shared" si="348"/>
        <v>0.0156</v>
      </c>
      <c r="M203" s="7">
        <f t="shared" si="348"/>
        <v>0.00295</v>
      </c>
      <c r="N203" s="7">
        <f t="shared" si="348"/>
        <v>0.00085</v>
      </c>
      <c r="O203" s="7">
        <f t="shared" si="348"/>
        <v>0.00155</v>
      </c>
      <c r="P203" s="7">
        <f t="shared" si="348"/>
        <v>0.0113</v>
      </c>
      <c r="Q203" s="7">
        <f t="shared" si="7"/>
        <v>1.571480372</v>
      </c>
      <c r="R203" s="7">
        <f t="shared" si="8"/>
        <v>1.301352821</v>
      </c>
      <c r="S203" s="7">
        <f t="shared" si="2"/>
        <v>0.9974487727</v>
      </c>
      <c r="T203" s="7">
        <f t="shared" si="3"/>
        <v>1.970228413</v>
      </c>
      <c r="U203" s="7">
        <f t="shared" si="4"/>
        <v>1</v>
      </c>
      <c r="V203" s="7">
        <f t="shared" si="5"/>
        <v>1</v>
      </c>
      <c r="W203" s="7">
        <f t="shared" ref="W203:X203" si="349">IF(AVERAGE(U143:U202) &gt; 0.25, 1, 0)</f>
        <v>1</v>
      </c>
      <c r="X203" s="7">
        <f t="shared" si="349"/>
        <v>1</v>
      </c>
      <c r="Y203" s="8">
        <v>1.0</v>
      </c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</row>
    <row r="204" ht="22.5" customHeight="1">
      <c r="B204" s="6">
        <v>203.0</v>
      </c>
      <c r="C204" s="6">
        <v>43895.0</v>
      </c>
      <c r="D204" s="6">
        <v>0.66</v>
      </c>
      <c r="E204" s="6">
        <v>-2.97</v>
      </c>
      <c r="F204" s="6">
        <v>10.63</v>
      </c>
      <c r="G204" s="6">
        <v>-0.68</v>
      </c>
      <c r="H204" s="6">
        <v>0.05</v>
      </c>
      <c r="I204" s="6">
        <v>-3.79</v>
      </c>
      <c r="J204" s="6">
        <v>33.34</v>
      </c>
      <c r="K204" s="7">
        <f t="shared" ref="K204:P204" si="350">abs(D204-D203)/200</f>
        <v>0.0048</v>
      </c>
      <c r="L204" s="7">
        <f t="shared" si="350"/>
        <v>0.012</v>
      </c>
      <c r="M204" s="7">
        <f t="shared" si="350"/>
        <v>0.00015</v>
      </c>
      <c r="N204" s="7">
        <f t="shared" si="350"/>
        <v>0.00205</v>
      </c>
      <c r="O204" s="7">
        <f t="shared" si="350"/>
        <v>0.00015</v>
      </c>
      <c r="P204" s="7">
        <f t="shared" si="350"/>
        <v>0.0092</v>
      </c>
      <c r="Q204" s="7">
        <f t="shared" si="7"/>
        <v>1.88061565</v>
      </c>
      <c r="R204" s="7">
        <f t="shared" si="8"/>
        <v>0.2593771733</v>
      </c>
      <c r="S204" s="7">
        <f t="shared" si="2"/>
        <v>1.256825946</v>
      </c>
      <c r="T204" s="7">
        <f t="shared" si="3"/>
        <v>3.850844063</v>
      </c>
      <c r="U204" s="7">
        <f t="shared" si="4"/>
        <v>1</v>
      </c>
      <c r="V204" s="7">
        <f t="shared" si="5"/>
        <v>1</v>
      </c>
      <c r="W204" s="7">
        <f t="shared" ref="W204:X204" si="351">IF(AVERAGE(U144:U203) &gt; 0.25, 1, 0)</f>
        <v>1</v>
      </c>
      <c r="X204" s="7">
        <f t="shared" si="351"/>
        <v>1</v>
      </c>
      <c r="Y204" s="8">
        <v>1.0</v>
      </c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</row>
    <row r="205" ht="22.5" customHeight="1">
      <c r="B205" s="6">
        <v>204.0</v>
      </c>
      <c r="C205" s="6">
        <v>44099.0</v>
      </c>
      <c r="D205" s="6">
        <v>-1.13</v>
      </c>
      <c r="E205" s="6">
        <v>0.39</v>
      </c>
      <c r="F205" s="6">
        <v>10.88</v>
      </c>
      <c r="G205" s="6">
        <v>-0.17</v>
      </c>
      <c r="H205" s="6">
        <v>0.04</v>
      </c>
      <c r="I205" s="6">
        <v>-1.52</v>
      </c>
      <c r="J205" s="6">
        <v>33.35</v>
      </c>
      <c r="K205" s="7">
        <f t="shared" ref="K205:P205" si="352">abs(D205-D204)/200</f>
        <v>0.00895</v>
      </c>
      <c r="L205" s="7">
        <f t="shared" si="352"/>
        <v>0.0168</v>
      </c>
      <c r="M205" s="7">
        <f t="shared" si="352"/>
        <v>0.00125</v>
      </c>
      <c r="N205" s="7">
        <f t="shared" si="352"/>
        <v>0.00255</v>
      </c>
      <c r="O205" s="7">
        <f t="shared" si="352"/>
        <v>0.00005</v>
      </c>
      <c r="P205" s="7">
        <f t="shared" si="352"/>
        <v>0.01135</v>
      </c>
      <c r="Q205" s="7">
        <f t="shared" si="7"/>
        <v>2.320844063</v>
      </c>
      <c r="R205" s="7">
        <f t="shared" si="8"/>
        <v>0.1113519955</v>
      </c>
      <c r="S205" s="7">
        <f t="shared" si="2"/>
        <v>1.14547395</v>
      </c>
      <c r="T205" s="7">
        <f t="shared" si="3"/>
        <v>1.53</v>
      </c>
      <c r="U205" s="7">
        <f t="shared" si="4"/>
        <v>1</v>
      </c>
      <c r="V205" s="7">
        <f t="shared" si="5"/>
        <v>1</v>
      </c>
      <c r="W205" s="7">
        <f t="shared" ref="W205:X205" si="353">IF(AVERAGE(U145:U204) &gt; 0.25, 1, 0)</f>
        <v>1</v>
      </c>
      <c r="X205" s="7">
        <f t="shared" si="353"/>
        <v>1</v>
      </c>
      <c r="Y205" s="8">
        <v>1.0</v>
      </c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</row>
    <row r="206" ht="22.5" customHeight="1">
      <c r="B206" s="6">
        <v>205.0</v>
      </c>
      <c r="C206" s="6">
        <v>44303.0</v>
      </c>
      <c r="D206" s="6">
        <v>-0.12</v>
      </c>
      <c r="E206" s="6">
        <v>-0.17</v>
      </c>
      <c r="F206" s="6">
        <v>10.46</v>
      </c>
      <c r="G206" s="6">
        <v>-0.14</v>
      </c>
      <c r="H206" s="6">
        <v>-0.07</v>
      </c>
      <c r="I206" s="6">
        <v>0.74</v>
      </c>
      <c r="J206" s="6">
        <v>33.35</v>
      </c>
      <c r="K206" s="7">
        <f t="shared" ref="K206:P206" si="354">abs(D206-D205)/200</f>
        <v>0.00505</v>
      </c>
      <c r="L206" s="7">
        <f t="shared" si="354"/>
        <v>0.0028</v>
      </c>
      <c r="M206" s="7">
        <f t="shared" si="354"/>
        <v>0.0021</v>
      </c>
      <c r="N206" s="7">
        <f t="shared" si="354"/>
        <v>0.00015</v>
      </c>
      <c r="O206" s="7">
        <f t="shared" si="354"/>
        <v>0.00055</v>
      </c>
      <c r="P206" s="7">
        <f t="shared" si="354"/>
        <v>0.0113</v>
      </c>
      <c r="Q206" s="7">
        <f t="shared" si="7"/>
        <v>0.7736270761</v>
      </c>
      <c r="R206" s="7">
        <f t="shared" si="8"/>
        <v>0.4834043655</v>
      </c>
      <c r="S206" s="7">
        <f t="shared" si="2"/>
        <v>0.6620695849</v>
      </c>
      <c r="T206" s="7">
        <f t="shared" si="3"/>
        <v>0.7563729239</v>
      </c>
      <c r="U206" s="7">
        <f t="shared" si="4"/>
        <v>1</v>
      </c>
      <c r="V206" s="7">
        <f t="shared" si="5"/>
        <v>1</v>
      </c>
      <c r="W206" s="7">
        <f t="shared" ref="W206:X206" si="355">IF(AVERAGE(U146:U205) &gt; 0.25, 1, 0)</f>
        <v>1</v>
      </c>
      <c r="X206" s="7">
        <f t="shared" si="355"/>
        <v>1</v>
      </c>
      <c r="Y206" s="8">
        <v>1.0</v>
      </c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</row>
    <row r="207" ht="22.5" customHeight="1">
      <c r="B207" s="6">
        <v>206.0</v>
      </c>
      <c r="C207" s="6">
        <v>44507.0</v>
      </c>
      <c r="D207" s="6">
        <v>1.91</v>
      </c>
      <c r="E207" s="6">
        <v>-2.03</v>
      </c>
      <c r="F207" s="6">
        <v>10.75</v>
      </c>
      <c r="G207" s="6">
        <v>-0.03</v>
      </c>
      <c r="H207" s="6">
        <v>0.21</v>
      </c>
      <c r="I207" s="6">
        <v>0.37</v>
      </c>
      <c r="J207" s="6">
        <v>33.35</v>
      </c>
      <c r="K207" s="7">
        <f t="shared" ref="K207:P207" si="356">abs(D207-D206)/200</f>
        <v>0.01015</v>
      </c>
      <c r="L207" s="7">
        <f t="shared" si="356"/>
        <v>0.0093</v>
      </c>
      <c r="M207" s="7">
        <f t="shared" si="356"/>
        <v>0.00145</v>
      </c>
      <c r="N207" s="7">
        <f t="shared" si="356"/>
        <v>0.00055</v>
      </c>
      <c r="O207" s="7">
        <f t="shared" si="356"/>
        <v>0.0014</v>
      </c>
      <c r="P207" s="7">
        <f t="shared" si="356"/>
        <v>0.00185</v>
      </c>
      <c r="Q207" s="7">
        <f t="shared" si="7"/>
        <v>0.3298755617</v>
      </c>
      <c r="R207" s="7">
        <f t="shared" si="8"/>
        <v>0.6434020395</v>
      </c>
      <c r="S207" s="7">
        <f t="shared" si="2"/>
        <v>1.305471624</v>
      </c>
      <c r="T207" s="7">
        <f t="shared" si="3"/>
        <v>0.4264973622</v>
      </c>
      <c r="U207" s="7">
        <f t="shared" si="4"/>
        <v>1</v>
      </c>
      <c r="V207" s="7">
        <f t="shared" si="5"/>
        <v>1</v>
      </c>
      <c r="W207" s="7">
        <f t="shared" ref="W207:X207" si="357">IF(AVERAGE(U147:U206) &gt; 0.25, 1, 0)</f>
        <v>1</v>
      </c>
      <c r="X207" s="7">
        <f t="shared" si="357"/>
        <v>1</v>
      </c>
      <c r="Y207" s="8">
        <v>1.0</v>
      </c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</row>
    <row r="208" ht="22.5" customHeight="1">
      <c r="B208" s="6">
        <v>207.0</v>
      </c>
      <c r="C208" s="6">
        <v>44711.0</v>
      </c>
      <c r="D208" s="6">
        <v>0.33</v>
      </c>
      <c r="E208" s="6">
        <v>-1.32</v>
      </c>
      <c r="F208" s="6">
        <v>10.96</v>
      </c>
      <c r="G208" s="6">
        <v>0.11</v>
      </c>
      <c r="H208" s="6">
        <v>0.22</v>
      </c>
      <c r="I208" s="6">
        <v>1.15</v>
      </c>
      <c r="J208" s="6">
        <v>33.35</v>
      </c>
      <c r="K208" s="7">
        <f t="shared" ref="K208:P208" si="358">abs(D208-D207)/200</f>
        <v>0.0079</v>
      </c>
      <c r="L208" s="7">
        <f t="shared" si="358"/>
        <v>0.00355</v>
      </c>
      <c r="M208" s="7">
        <f t="shared" si="358"/>
        <v>0.00105</v>
      </c>
      <c r="N208" s="7">
        <f t="shared" si="358"/>
        <v>0.0007</v>
      </c>
      <c r="O208" s="7">
        <f t="shared" si="358"/>
        <v>0.00005</v>
      </c>
      <c r="P208" s="7">
        <f t="shared" si="358"/>
        <v>0.0039</v>
      </c>
      <c r="Q208" s="7">
        <f t="shared" si="7"/>
        <v>0.7495128418</v>
      </c>
      <c r="R208" s="7">
        <f t="shared" si="8"/>
        <v>0.06133743469</v>
      </c>
      <c r="S208" s="7">
        <f t="shared" si="2"/>
        <v>1.24413419</v>
      </c>
      <c r="T208" s="7">
        <f t="shared" si="3"/>
        <v>1.176010204</v>
      </c>
      <c r="U208" s="7">
        <f t="shared" si="4"/>
        <v>1</v>
      </c>
      <c r="V208" s="7">
        <f t="shared" si="5"/>
        <v>1</v>
      </c>
      <c r="W208" s="7">
        <f t="shared" ref="W208:X208" si="359">IF(AVERAGE(U148:U207) &gt; 0.25, 1, 0)</f>
        <v>1</v>
      </c>
      <c r="X208" s="7">
        <f t="shared" si="359"/>
        <v>1</v>
      </c>
      <c r="Y208" s="8">
        <v>1.0</v>
      </c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</row>
    <row r="209" ht="22.5" customHeight="1">
      <c r="B209" s="6">
        <v>208.0</v>
      </c>
      <c r="C209" s="6">
        <v>44915.0</v>
      </c>
      <c r="D209" s="6">
        <v>1.77</v>
      </c>
      <c r="E209" s="6">
        <v>-0.91</v>
      </c>
      <c r="F209" s="6">
        <v>10.55</v>
      </c>
      <c r="G209" s="6">
        <v>0.08</v>
      </c>
      <c r="H209" s="6">
        <v>-0.06</v>
      </c>
      <c r="I209" s="6">
        <v>1.32</v>
      </c>
      <c r="J209" s="6">
        <v>33.34</v>
      </c>
      <c r="K209" s="7">
        <f t="shared" ref="K209:P209" si="360">abs(D209-D208)/200</f>
        <v>0.0072</v>
      </c>
      <c r="L209" s="7">
        <f t="shared" si="360"/>
        <v>0.00205</v>
      </c>
      <c r="M209" s="7">
        <f t="shared" si="360"/>
        <v>0.00205</v>
      </c>
      <c r="N209" s="7">
        <f t="shared" si="360"/>
        <v>0.00015</v>
      </c>
      <c r="O209" s="7">
        <f t="shared" si="360"/>
        <v>0.0014</v>
      </c>
      <c r="P209" s="7">
        <f t="shared" si="360"/>
        <v>0.00085</v>
      </c>
      <c r="Q209" s="7">
        <f t="shared" si="7"/>
        <v>0.1477722554</v>
      </c>
      <c r="R209" s="7">
        <f t="shared" si="8"/>
        <v>0.3080501736</v>
      </c>
      <c r="S209" s="7">
        <f t="shared" si="2"/>
        <v>0.9360840161</v>
      </c>
      <c r="T209" s="7">
        <f t="shared" si="3"/>
        <v>1.323782459</v>
      </c>
      <c r="U209" s="7">
        <f t="shared" si="4"/>
        <v>1</v>
      </c>
      <c r="V209" s="7">
        <f t="shared" si="5"/>
        <v>1</v>
      </c>
      <c r="W209" s="7">
        <f t="shared" ref="W209:X209" si="361">IF(AVERAGE(U149:U208) &gt; 0.25, 1, 0)</f>
        <v>1</v>
      </c>
      <c r="X209" s="7">
        <f t="shared" si="361"/>
        <v>1</v>
      </c>
      <c r="Y209" s="8">
        <v>1.0</v>
      </c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ht="22.5" customHeight="1">
      <c r="B210" s="6">
        <v>209.0</v>
      </c>
      <c r="C210" s="6">
        <v>45119.0</v>
      </c>
      <c r="D210" s="6">
        <v>1.86</v>
      </c>
      <c r="E210" s="6">
        <v>-0.41</v>
      </c>
      <c r="F210" s="6">
        <v>10.57</v>
      </c>
      <c r="G210" s="6">
        <v>0.09</v>
      </c>
      <c r="H210" s="6">
        <v>-0.23</v>
      </c>
      <c r="I210" s="6">
        <v>1.07</v>
      </c>
      <c r="J210" s="6">
        <v>33.34</v>
      </c>
      <c r="K210" s="7">
        <f t="shared" ref="K210:P210" si="362">abs(D210-D209)/200</f>
        <v>0.00045</v>
      </c>
      <c r="L210" s="7">
        <f t="shared" si="362"/>
        <v>0.0025</v>
      </c>
      <c r="M210" s="7">
        <f t="shared" si="362"/>
        <v>0.0001</v>
      </c>
      <c r="N210" s="7">
        <f t="shared" si="362"/>
        <v>0.00005</v>
      </c>
      <c r="O210" s="7">
        <f t="shared" si="362"/>
        <v>0.00085</v>
      </c>
      <c r="P210" s="7">
        <f t="shared" si="362"/>
        <v>0.00125</v>
      </c>
      <c r="Q210" s="7">
        <f t="shared" si="7"/>
        <v>0.2256476772</v>
      </c>
      <c r="R210" s="7">
        <f t="shared" si="8"/>
        <v>0.004148756087</v>
      </c>
      <c r="S210" s="7">
        <f t="shared" si="2"/>
        <v>0.9402327722</v>
      </c>
      <c r="T210" s="7">
        <f t="shared" si="3"/>
        <v>1.098134782</v>
      </c>
      <c r="U210" s="7">
        <f t="shared" si="4"/>
        <v>1</v>
      </c>
      <c r="V210" s="7">
        <f t="shared" si="5"/>
        <v>1</v>
      </c>
      <c r="W210" s="7">
        <f t="shared" ref="W210:X210" si="363">IF(AVERAGE(U150:U209) &gt; 0.25, 1, 0)</f>
        <v>1</v>
      </c>
      <c r="X210" s="7">
        <f t="shared" si="363"/>
        <v>1</v>
      </c>
      <c r="Y210" s="8">
        <v>1.0</v>
      </c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</row>
    <row r="211" ht="22.5" customHeight="1">
      <c r="B211" s="6">
        <v>210.0</v>
      </c>
      <c r="C211" s="6">
        <v>45323.0</v>
      </c>
      <c r="D211" s="6">
        <v>2.18</v>
      </c>
      <c r="E211" s="6">
        <v>-0.62</v>
      </c>
      <c r="F211" s="6">
        <v>10.36</v>
      </c>
      <c r="G211" s="6">
        <v>-0.01</v>
      </c>
      <c r="H211" s="6">
        <v>-0.11</v>
      </c>
      <c r="I211" s="6">
        <v>0.8</v>
      </c>
      <c r="J211" s="6">
        <v>33.34</v>
      </c>
      <c r="K211" s="7">
        <f t="shared" ref="K211:P211" si="364">abs(D211-D210)/200</f>
        <v>0.0016</v>
      </c>
      <c r="L211" s="7">
        <f t="shared" si="364"/>
        <v>0.00105</v>
      </c>
      <c r="M211" s="7">
        <f t="shared" si="364"/>
        <v>0.00105</v>
      </c>
      <c r="N211" s="7">
        <f t="shared" si="364"/>
        <v>0.0005</v>
      </c>
      <c r="O211" s="7">
        <f t="shared" si="364"/>
        <v>0.0006</v>
      </c>
      <c r="P211" s="7">
        <f t="shared" si="364"/>
        <v>0.00135</v>
      </c>
      <c r="Q211" s="7">
        <f t="shared" si="7"/>
        <v>0.2905457779</v>
      </c>
      <c r="R211" s="7">
        <f t="shared" si="8"/>
        <v>0.1352150918</v>
      </c>
      <c r="S211" s="7">
        <f t="shared" si="2"/>
        <v>0.8050176803</v>
      </c>
      <c r="T211" s="7">
        <f t="shared" si="3"/>
        <v>0.8075890044</v>
      </c>
      <c r="U211" s="7">
        <f t="shared" si="4"/>
        <v>1</v>
      </c>
      <c r="V211" s="7">
        <f t="shared" si="5"/>
        <v>1</v>
      </c>
      <c r="W211" s="7">
        <f t="shared" ref="W211:X211" si="365">IF(AVERAGE(U151:U210) &gt; 0.25, 1, 0)</f>
        <v>1</v>
      </c>
      <c r="X211" s="7">
        <f t="shared" si="365"/>
        <v>1</v>
      </c>
      <c r="Y211" s="8">
        <v>1.0</v>
      </c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</row>
    <row r="212" ht="22.5" customHeight="1">
      <c r="B212" s="6">
        <v>211.0</v>
      </c>
      <c r="C212" s="6">
        <v>45527.0</v>
      </c>
      <c r="D212" s="6">
        <v>2.51</v>
      </c>
      <c r="E212" s="6">
        <v>0.45</v>
      </c>
      <c r="F212" s="6">
        <v>10.55</v>
      </c>
      <c r="G212" s="6">
        <v>-0.13</v>
      </c>
      <c r="H212" s="6">
        <v>0.07</v>
      </c>
      <c r="I212" s="6">
        <v>0.41</v>
      </c>
      <c r="J212" s="6">
        <v>33.35</v>
      </c>
      <c r="K212" s="7">
        <f t="shared" ref="K212:P212" si="366">abs(D212-D211)/200</f>
        <v>0.00165</v>
      </c>
      <c r="L212" s="7">
        <f t="shared" si="366"/>
        <v>0.00535</v>
      </c>
      <c r="M212" s="7">
        <f t="shared" si="366"/>
        <v>0.00095</v>
      </c>
      <c r="N212" s="7">
        <f t="shared" si="366"/>
        <v>0.0006</v>
      </c>
      <c r="O212" s="7">
        <f t="shared" si="366"/>
        <v>0.0009</v>
      </c>
      <c r="P212" s="7">
        <f t="shared" si="366"/>
        <v>0.00195</v>
      </c>
      <c r="Q212" s="7">
        <f t="shared" si="7"/>
        <v>0.371813833</v>
      </c>
      <c r="R212" s="7">
        <f t="shared" si="8"/>
        <v>0.2487881038</v>
      </c>
      <c r="S212" s="7">
        <f t="shared" si="2"/>
        <v>1.053805784</v>
      </c>
      <c r="T212" s="7">
        <f t="shared" si="3"/>
        <v>0.4357751714</v>
      </c>
      <c r="U212" s="7">
        <f t="shared" si="4"/>
        <v>1</v>
      </c>
      <c r="V212" s="7">
        <f t="shared" si="5"/>
        <v>1</v>
      </c>
      <c r="W212" s="7">
        <f t="shared" ref="W212:X212" si="367">IF(AVERAGE(U152:U211) &gt; 0.25, 1, 0)</f>
        <v>1</v>
      </c>
      <c r="X212" s="7">
        <f t="shared" si="367"/>
        <v>1</v>
      </c>
      <c r="Y212" s="8">
        <v>1.0</v>
      </c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</row>
    <row r="213" ht="22.5" customHeight="1">
      <c r="B213" s="6">
        <v>212.0</v>
      </c>
      <c r="C213" s="6">
        <v>45731.0</v>
      </c>
      <c r="D213" s="6">
        <v>1.34</v>
      </c>
      <c r="E213" s="6">
        <v>0.61</v>
      </c>
      <c r="F213" s="6">
        <v>10.71</v>
      </c>
      <c r="G213" s="6">
        <v>-0.2</v>
      </c>
      <c r="H213" s="6">
        <v>0.08</v>
      </c>
      <c r="I213" s="6">
        <v>0.02</v>
      </c>
      <c r="J213" s="6">
        <v>33.35</v>
      </c>
      <c r="K213" s="7">
        <f t="shared" ref="K213:P213" si="368">abs(D213-D212)/200</f>
        <v>0.00585</v>
      </c>
      <c r="L213" s="7">
        <f t="shared" si="368"/>
        <v>0.0008</v>
      </c>
      <c r="M213" s="7">
        <f t="shared" si="368"/>
        <v>0.0008</v>
      </c>
      <c r="N213" s="7">
        <f t="shared" si="368"/>
        <v>0.00035</v>
      </c>
      <c r="O213" s="7">
        <f t="shared" si="368"/>
        <v>0.00005</v>
      </c>
      <c r="P213" s="7">
        <f t="shared" si="368"/>
        <v>0.00195</v>
      </c>
      <c r="Q213" s="7">
        <f t="shared" si="7"/>
        <v>0.2194420949</v>
      </c>
      <c r="R213" s="7">
        <f t="shared" si="8"/>
        <v>0.04307962907</v>
      </c>
      <c r="S213" s="7">
        <f t="shared" si="2"/>
        <v>1.010726155</v>
      </c>
      <c r="T213" s="7">
        <f t="shared" si="3"/>
        <v>0.2163330765</v>
      </c>
      <c r="U213" s="7">
        <f t="shared" si="4"/>
        <v>1</v>
      </c>
      <c r="V213" s="7">
        <f t="shared" si="5"/>
        <v>1</v>
      </c>
      <c r="W213" s="7">
        <f t="shared" ref="W213:X213" si="369">IF(AVERAGE(U153:U212) &gt; 0.25, 1, 0)</f>
        <v>1</v>
      </c>
      <c r="X213" s="7">
        <f t="shared" si="369"/>
        <v>1</v>
      </c>
      <c r="Y213" s="8">
        <v>1.0</v>
      </c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</row>
    <row r="214" ht="22.5" customHeight="1">
      <c r="B214" s="6">
        <v>213.0</v>
      </c>
      <c r="C214" s="6">
        <v>45935.0</v>
      </c>
      <c r="D214" s="6">
        <v>0.76</v>
      </c>
      <c r="E214" s="6">
        <v>0.74</v>
      </c>
      <c r="F214" s="6">
        <v>10.79</v>
      </c>
      <c r="G214" s="6">
        <v>-0.1</v>
      </c>
      <c r="H214" s="6">
        <v>0.12</v>
      </c>
      <c r="I214" s="6">
        <v>0.07</v>
      </c>
      <c r="J214" s="6">
        <v>33.35</v>
      </c>
      <c r="K214" s="7">
        <f t="shared" ref="K214:P214" si="370">abs(D214-D213)/200</f>
        <v>0.0029</v>
      </c>
      <c r="L214" s="7">
        <f t="shared" si="370"/>
        <v>0.00065</v>
      </c>
      <c r="M214" s="7">
        <f t="shared" si="370"/>
        <v>0.0004</v>
      </c>
      <c r="N214" s="7">
        <f t="shared" si="370"/>
        <v>0.0005</v>
      </c>
      <c r="O214" s="7">
        <f t="shared" si="370"/>
        <v>0.0002</v>
      </c>
      <c r="P214" s="7">
        <f t="shared" si="370"/>
        <v>0.00025</v>
      </c>
      <c r="Q214" s="7">
        <f t="shared" si="7"/>
        <v>0.04516064884</v>
      </c>
      <c r="R214" s="7">
        <f t="shared" si="8"/>
        <v>0.03128934021</v>
      </c>
      <c r="S214" s="7">
        <f t="shared" si="2"/>
        <v>1.042015495</v>
      </c>
      <c r="T214" s="7">
        <f t="shared" si="3"/>
        <v>0.1711724277</v>
      </c>
      <c r="U214" s="7">
        <f t="shared" si="4"/>
        <v>1</v>
      </c>
      <c r="V214" s="7">
        <f t="shared" si="5"/>
        <v>1</v>
      </c>
      <c r="W214" s="7">
        <f t="shared" ref="W214:X214" si="371">IF(AVERAGE(U154:U213) &gt; 0.25, 1, 0)</f>
        <v>1</v>
      </c>
      <c r="X214" s="7">
        <f t="shared" si="371"/>
        <v>1</v>
      </c>
      <c r="Y214" s="8">
        <v>1.0</v>
      </c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</row>
    <row r="215" ht="22.5" customHeight="1">
      <c r="B215" s="6">
        <v>214.0</v>
      </c>
      <c r="C215" s="6">
        <v>46139.0</v>
      </c>
      <c r="D215" s="6">
        <v>2.77</v>
      </c>
      <c r="E215" s="6">
        <v>-0.57</v>
      </c>
      <c r="F215" s="6">
        <v>10.72</v>
      </c>
      <c r="G215" s="6">
        <v>-0.11</v>
      </c>
      <c r="H215" s="6">
        <v>-0.03</v>
      </c>
      <c r="I215" s="6">
        <v>0.66</v>
      </c>
      <c r="J215" s="6">
        <v>33.34</v>
      </c>
      <c r="K215" s="7">
        <f t="shared" ref="K215:P215" si="372">abs(D215-D214)/200</f>
        <v>0.01005</v>
      </c>
      <c r="L215" s="7">
        <f t="shared" si="372"/>
        <v>0.00655</v>
      </c>
      <c r="M215" s="7">
        <f t="shared" si="372"/>
        <v>0.00035</v>
      </c>
      <c r="N215" s="7">
        <f t="shared" si="372"/>
        <v>0.00005</v>
      </c>
      <c r="O215" s="7">
        <f t="shared" si="372"/>
        <v>0.00075</v>
      </c>
      <c r="P215" s="7">
        <f t="shared" si="372"/>
        <v>0.00295</v>
      </c>
      <c r="Q215" s="7">
        <f t="shared" si="7"/>
        <v>0.4986036543</v>
      </c>
      <c r="R215" s="7">
        <f t="shared" si="8"/>
        <v>0.2447423716</v>
      </c>
      <c r="S215" s="7">
        <f t="shared" si="2"/>
        <v>1.286757867</v>
      </c>
      <c r="T215" s="7">
        <f t="shared" si="3"/>
        <v>0.669776082</v>
      </c>
      <c r="U215" s="7">
        <f t="shared" si="4"/>
        <v>1</v>
      </c>
      <c r="V215" s="7">
        <f t="shared" si="5"/>
        <v>1</v>
      </c>
      <c r="W215" s="7">
        <f t="shared" ref="W215:X215" si="373">IF(AVERAGE(U155:U214) &gt; 0.25, 1, 0)</f>
        <v>1</v>
      </c>
      <c r="X215" s="7">
        <f t="shared" si="373"/>
        <v>1</v>
      </c>
      <c r="Y215" s="8">
        <v>1.0</v>
      </c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</row>
    <row r="216" ht="22.5" customHeight="1">
      <c r="B216" s="6">
        <v>215.0</v>
      </c>
      <c r="C216" s="6">
        <v>46343.0</v>
      </c>
      <c r="D216" s="6">
        <v>3.54</v>
      </c>
      <c r="E216" s="6">
        <v>-1.73</v>
      </c>
      <c r="F216" s="6">
        <v>10.78</v>
      </c>
      <c r="G216" s="6">
        <v>-0.18</v>
      </c>
      <c r="H216" s="6">
        <v>-0.25</v>
      </c>
      <c r="I216" s="6">
        <v>-2.52</v>
      </c>
      <c r="J216" s="6">
        <v>33.34</v>
      </c>
      <c r="K216" s="7">
        <f t="shared" ref="K216:P216" si="374">abs(D216-D215)/200</f>
        <v>0.00385</v>
      </c>
      <c r="L216" s="7">
        <f t="shared" si="374"/>
        <v>0.0058</v>
      </c>
      <c r="M216" s="7">
        <f t="shared" si="374"/>
        <v>0.0003</v>
      </c>
      <c r="N216" s="7">
        <f t="shared" si="374"/>
        <v>0.00035</v>
      </c>
      <c r="O216" s="7">
        <f t="shared" si="374"/>
        <v>0.0011</v>
      </c>
      <c r="P216" s="7">
        <f t="shared" si="374"/>
        <v>0.0159</v>
      </c>
      <c r="Q216" s="7">
        <f t="shared" si="7"/>
        <v>1.868983458</v>
      </c>
      <c r="R216" s="7">
        <f t="shared" si="8"/>
        <v>0.3907375044</v>
      </c>
      <c r="S216" s="7">
        <f t="shared" si="2"/>
        <v>1.677495371</v>
      </c>
      <c r="T216" s="7">
        <f t="shared" si="3"/>
        <v>2.53875954</v>
      </c>
      <c r="U216" s="7">
        <f t="shared" si="4"/>
        <v>1</v>
      </c>
      <c r="V216" s="7">
        <f t="shared" si="5"/>
        <v>1</v>
      </c>
      <c r="W216" s="7">
        <f t="shared" ref="W216:X216" si="375">IF(AVERAGE(U156:U215) &gt; 0.25, 1, 0)</f>
        <v>1</v>
      </c>
      <c r="X216" s="7">
        <f t="shared" si="375"/>
        <v>1</v>
      </c>
      <c r="Y216" s="8">
        <v>1.0</v>
      </c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</row>
    <row r="217" ht="22.5" customHeight="1">
      <c r="B217" s="6">
        <v>216.0</v>
      </c>
      <c r="C217" s="6">
        <v>46547.0</v>
      </c>
      <c r="D217" s="6">
        <v>0.93</v>
      </c>
      <c r="E217" s="6">
        <v>1.19</v>
      </c>
      <c r="F217" s="6">
        <v>10.7</v>
      </c>
      <c r="G217" s="6">
        <v>0.06</v>
      </c>
      <c r="H217" s="6">
        <v>0.03</v>
      </c>
      <c r="I217" s="6">
        <v>1.45</v>
      </c>
      <c r="J217" s="6">
        <v>33.34</v>
      </c>
      <c r="K217" s="7">
        <f t="shared" ref="K217:P217" si="376">abs(D217-D216)/200</f>
        <v>0.01305</v>
      </c>
      <c r="L217" s="7">
        <f t="shared" si="376"/>
        <v>0.0146</v>
      </c>
      <c r="M217" s="7">
        <f t="shared" si="376"/>
        <v>0.0004</v>
      </c>
      <c r="N217" s="7">
        <f t="shared" si="376"/>
        <v>0.0012</v>
      </c>
      <c r="O217" s="7">
        <f t="shared" si="376"/>
        <v>0.0014</v>
      </c>
      <c r="P217" s="7">
        <f t="shared" si="376"/>
        <v>0.01985</v>
      </c>
      <c r="Q217" s="7">
        <f t="shared" si="7"/>
        <v>1.087208645</v>
      </c>
      <c r="R217" s="7">
        <f t="shared" si="8"/>
        <v>0.6714322585</v>
      </c>
      <c r="S217" s="7">
        <f t="shared" si="2"/>
        <v>1.006063113</v>
      </c>
      <c r="T217" s="7">
        <f t="shared" si="3"/>
        <v>1.451550895</v>
      </c>
      <c r="U217" s="7">
        <f t="shared" si="4"/>
        <v>1</v>
      </c>
      <c r="V217" s="7">
        <f t="shared" si="5"/>
        <v>1</v>
      </c>
      <c r="W217" s="7">
        <f t="shared" ref="W217:X217" si="377">IF(AVERAGE(U157:U216) &gt; 0.25, 1, 0)</f>
        <v>1</v>
      </c>
      <c r="X217" s="7">
        <f t="shared" si="377"/>
        <v>1</v>
      </c>
      <c r="Y217" s="8">
        <v>1.0</v>
      </c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</row>
    <row r="218" ht="22.5" customHeight="1">
      <c r="B218" s="6">
        <v>217.0</v>
      </c>
      <c r="C218" s="6">
        <v>46751.0</v>
      </c>
      <c r="D218" s="6">
        <v>3.18</v>
      </c>
      <c r="E218" s="6">
        <v>0.92</v>
      </c>
      <c r="F218" s="6">
        <v>10.47</v>
      </c>
      <c r="G218" s="6">
        <v>0.1</v>
      </c>
      <c r="H218" s="6">
        <v>-0.15</v>
      </c>
      <c r="I218" s="6">
        <v>2.15</v>
      </c>
      <c r="J218" s="6">
        <v>33.34</v>
      </c>
      <c r="K218" s="7">
        <f t="shared" ref="K218:P218" si="378">abs(D218-D217)/200</f>
        <v>0.01125</v>
      </c>
      <c r="L218" s="7">
        <f t="shared" si="378"/>
        <v>0.00135</v>
      </c>
      <c r="M218" s="7">
        <f t="shared" si="378"/>
        <v>0.00115</v>
      </c>
      <c r="N218" s="7">
        <f t="shared" si="378"/>
        <v>0.0002</v>
      </c>
      <c r="O218" s="7">
        <f t="shared" si="378"/>
        <v>0.0009</v>
      </c>
      <c r="P218" s="7">
        <f t="shared" si="378"/>
        <v>0.0035</v>
      </c>
      <c r="Q218" s="7">
        <f t="shared" si="7"/>
        <v>0.7059940063</v>
      </c>
      <c r="R218" s="7">
        <f t="shared" si="8"/>
        <v>0.1748157226</v>
      </c>
      <c r="S218" s="7">
        <f t="shared" si="2"/>
        <v>1.180878836</v>
      </c>
      <c r="T218" s="7">
        <f t="shared" si="3"/>
        <v>2.157544901</v>
      </c>
      <c r="U218" s="7">
        <f t="shared" si="4"/>
        <v>1</v>
      </c>
      <c r="V218" s="7">
        <f t="shared" si="5"/>
        <v>1</v>
      </c>
      <c r="W218" s="7">
        <f t="shared" ref="W218:X218" si="379">IF(AVERAGE(U158:U217) &gt; 0.25, 1, 0)</f>
        <v>1</v>
      </c>
      <c r="X218" s="7">
        <f t="shared" si="379"/>
        <v>1</v>
      </c>
      <c r="Y218" s="8">
        <v>1.0</v>
      </c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</row>
    <row r="219" ht="22.5" customHeight="1">
      <c r="B219" s="6">
        <v>218.0</v>
      </c>
      <c r="C219" s="6">
        <v>46955.0</v>
      </c>
      <c r="D219" s="6">
        <v>1.21</v>
      </c>
      <c r="E219" s="6">
        <v>-0.54</v>
      </c>
      <c r="F219" s="6">
        <v>10.72</v>
      </c>
      <c r="G219" s="6">
        <v>-0.08</v>
      </c>
      <c r="H219" s="6">
        <v>0.01</v>
      </c>
      <c r="I219" s="6">
        <v>0.22</v>
      </c>
      <c r="J219" s="6">
        <v>33.34</v>
      </c>
      <c r="K219" s="7">
        <f t="shared" ref="K219:P219" si="380">abs(D219-D218)/200</f>
        <v>0.00985</v>
      </c>
      <c r="L219" s="7">
        <f t="shared" si="380"/>
        <v>0.0073</v>
      </c>
      <c r="M219" s="7">
        <f t="shared" si="380"/>
        <v>0.00125</v>
      </c>
      <c r="N219" s="7">
        <f t="shared" si="380"/>
        <v>0.0009</v>
      </c>
      <c r="O219" s="7">
        <f t="shared" si="380"/>
        <v>0.0008</v>
      </c>
      <c r="P219" s="7">
        <f t="shared" si="380"/>
        <v>0.00965</v>
      </c>
      <c r="Q219" s="7">
        <f t="shared" si="7"/>
        <v>1.923237411</v>
      </c>
      <c r="R219" s="7">
        <f t="shared" si="8"/>
        <v>0.1793002472</v>
      </c>
      <c r="S219" s="7">
        <f t="shared" si="2"/>
        <v>1.001578588</v>
      </c>
      <c r="T219" s="7">
        <f t="shared" si="3"/>
        <v>0.2343074903</v>
      </c>
      <c r="U219" s="7">
        <f t="shared" si="4"/>
        <v>1</v>
      </c>
      <c r="V219" s="7">
        <f t="shared" si="5"/>
        <v>1</v>
      </c>
      <c r="W219" s="7">
        <f t="shared" ref="W219:X219" si="381">IF(AVERAGE(U159:U218) &gt; 0.25, 1, 0)</f>
        <v>1</v>
      </c>
      <c r="X219" s="7">
        <f t="shared" si="381"/>
        <v>1</v>
      </c>
      <c r="Y219" s="8">
        <v>1.0</v>
      </c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</row>
    <row r="220" ht="22.5" customHeight="1">
      <c r="B220" s="6">
        <v>219.0</v>
      </c>
      <c r="C220" s="6">
        <v>47159.0</v>
      </c>
      <c r="D220" s="6">
        <v>2.32</v>
      </c>
      <c r="E220" s="6">
        <v>0.17</v>
      </c>
      <c r="F220" s="6">
        <v>10.41</v>
      </c>
      <c r="G220" s="6">
        <v>-0.05</v>
      </c>
      <c r="H220" s="6">
        <v>-0.03</v>
      </c>
      <c r="I220" s="6">
        <v>0.2</v>
      </c>
      <c r="J220" s="6">
        <v>33.33</v>
      </c>
      <c r="K220" s="7">
        <f t="shared" ref="K220:P220" si="382">abs(D220-D219)/200</f>
        <v>0.00555</v>
      </c>
      <c r="L220" s="7">
        <f t="shared" si="382"/>
        <v>0.00355</v>
      </c>
      <c r="M220" s="7">
        <f t="shared" si="382"/>
        <v>0.00155</v>
      </c>
      <c r="N220" s="7">
        <f t="shared" si="382"/>
        <v>0.00015</v>
      </c>
      <c r="O220" s="7">
        <f t="shared" si="382"/>
        <v>0.0002</v>
      </c>
      <c r="P220" s="7">
        <f t="shared" si="382"/>
        <v>0.0001</v>
      </c>
      <c r="Q220" s="7">
        <f t="shared" si="7"/>
        <v>0.02598082372</v>
      </c>
      <c r="R220" s="7">
        <f t="shared" si="8"/>
        <v>0.1348358803</v>
      </c>
      <c r="S220" s="7">
        <f t="shared" si="2"/>
        <v>0.8667427081</v>
      </c>
      <c r="T220" s="7">
        <f t="shared" si="3"/>
        <v>0.2083266666</v>
      </c>
      <c r="U220" s="7">
        <f t="shared" si="4"/>
        <v>1</v>
      </c>
      <c r="V220" s="7">
        <f t="shared" si="5"/>
        <v>0</v>
      </c>
      <c r="W220" s="7">
        <f t="shared" ref="W220:X220" si="383">IF(AVERAGE(U160:U219) &gt; 0.25, 1, 0)</f>
        <v>1</v>
      </c>
      <c r="X220" s="7">
        <f t="shared" si="383"/>
        <v>1</v>
      </c>
      <c r="Y220" s="8">
        <v>1.0</v>
      </c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</row>
    <row r="221" ht="22.5" customHeight="1">
      <c r="B221" s="6">
        <v>220.0</v>
      </c>
      <c r="C221" s="6">
        <v>47363.0</v>
      </c>
      <c r="D221" s="6">
        <v>1.4</v>
      </c>
      <c r="E221" s="6">
        <v>0.9</v>
      </c>
      <c r="F221" s="6">
        <v>10.69</v>
      </c>
      <c r="G221" s="6">
        <v>-0.09</v>
      </c>
      <c r="H221" s="6">
        <v>-0.07</v>
      </c>
      <c r="I221" s="6">
        <v>-0.11</v>
      </c>
      <c r="J221" s="6">
        <v>33.35</v>
      </c>
      <c r="K221" s="7">
        <f t="shared" ref="K221:P221" si="384">abs(D221-D220)/200</f>
        <v>0.0046</v>
      </c>
      <c r="L221" s="7">
        <f t="shared" si="384"/>
        <v>0.00365</v>
      </c>
      <c r="M221" s="7">
        <f t="shared" si="384"/>
        <v>0.0014</v>
      </c>
      <c r="N221" s="7">
        <f t="shared" si="384"/>
        <v>0.0002</v>
      </c>
      <c r="O221" s="7">
        <f t="shared" si="384"/>
        <v>0.0002</v>
      </c>
      <c r="P221" s="7">
        <f t="shared" si="384"/>
        <v>0.00155</v>
      </c>
      <c r="Q221" s="7">
        <f t="shared" si="7"/>
        <v>0.04989687138</v>
      </c>
      <c r="R221" s="7">
        <f t="shared" si="8"/>
        <v>0.1520418817</v>
      </c>
      <c r="S221" s="7">
        <f t="shared" si="2"/>
        <v>1.01878459</v>
      </c>
      <c r="T221" s="7">
        <f t="shared" si="3"/>
        <v>0.1584297952</v>
      </c>
      <c r="U221" s="7">
        <f t="shared" si="4"/>
        <v>1</v>
      </c>
      <c r="V221" s="7">
        <f t="shared" si="5"/>
        <v>1</v>
      </c>
      <c r="W221" s="7">
        <f t="shared" ref="W221:X221" si="385">IF(AVERAGE(U161:U220) &gt; 0.25, 1, 0)</f>
        <v>1</v>
      </c>
      <c r="X221" s="7">
        <f t="shared" si="385"/>
        <v>1</v>
      </c>
      <c r="Y221" s="8">
        <v>1.0</v>
      </c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</row>
    <row r="222" ht="22.5" customHeight="1">
      <c r="B222" s="6">
        <v>221.0</v>
      </c>
      <c r="C222" s="6">
        <v>47567.0</v>
      </c>
      <c r="D222" s="6">
        <v>1.36</v>
      </c>
      <c r="E222" s="6">
        <v>1.14</v>
      </c>
      <c r="F222" s="6">
        <v>9.69</v>
      </c>
      <c r="G222" s="6">
        <v>0.31</v>
      </c>
      <c r="H222" s="6">
        <v>-0.06</v>
      </c>
      <c r="I222" s="6">
        <v>0.81</v>
      </c>
      <c r="J222" s="6">
        <v>33.34</v>
      </c>
      <c r="K222" s="7">
        <f t="shared" ref="K222:P222" si="386">abs(D222-D221)/200</f>
        <v>0.0002</v>
      </c>
      <c r="L222" s="7">
        <f t="shared" si="386"/>
        <v>0.0012</v>
      </c>
      <c r="M222" s="7">
        <f t="shared" si="386"/>
        <v>0.005</v>
      </c>
      <c r="N222" s="7">
        <f t="shared" si="386"/>
        <v>0.002</v>
      </c>
      <c r="O222" s="7">
        <f t="shared" si="386"/>
        <v>0.00005</v>
      </c>
      <c r="P222" s="7">
        <f t="shared" si="386"/>
        <v>0.0046</v>
      </c>
      <c r="Q222" s="7">
        <f t="shared" si="7"/>
        <v>0.7109377911</v>
      </c>
      <c r="R222" s="7">
        <f t="shared" si="8"/>
        <v>0.9676272974</v>
      </c>
      <c r="S222" s="7">
        <f t="shared" si="2"/>
        <v>0.05115729242</v>
      </c>
      <c r="T222" s="7">
        <f t="shared" si="3"/>
        <v>0.8693675862</v>
      </c>
      <c r="U222" s="7">
        <f t="shared" si="4"/>
        <v>1</v>
      </c>
      <c r="V222" s="7">
        <f t="shared" si="5"/>
        <v>1</v>
      </c>
      <c r="W222" s="7">
        <f t="shared" ref="W222:X222" si="387">IF(AVERAGE(U162:U221) &gt; 0.25, 1, 0)</f>
        <v>1</v>
      </c>
      <c r="X222" s="7">
        <f t="shared" si="387"/>
        <v>1</v>
      </c>
      <c r="Y222" s="8">
        <v>1.0</v>
      </c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</row>
    <row r="223" ht="22.5" customHeight="1">
      <c r="B223" s="6">
        <v>222.0</v>
      </c>
      <c r="C223" s="6">
        <v>47771.0</v>
      </c>
      <c r="D223" s="6">
        <v>1.46</v>
      </c>
      <c r="E223" s="6">
        <v>-0.83</v>
      </c>
      <c r="F223" s="6">
        <v>10.64</v>
      </c>
      <c r="G223" s="6">
        <v>0.15</v>
      </c>
      <c r="H223" s="6">
        <v>-0.02</v>
      </c>
      <c r="I223" s="6">
        <v>0.74</v>
      </c>
      <c r="J223" s="6">
        <v>33.35</v>
      </c>
      <c r="K223" s="7">
        <f t="shared" ref="K223:P223" si="388">abs(D223-D222)/200</f>
        <v>0.0005</v>
      </c>
      <c r="L223" s="7">
        <f t="shared" si="388"/>
        <v>0.00985</v>
      </c>
      <c r="M223" s="7">
        <f t="shared" si="388"/>
        <v>0.00475</v>
      </c>
      <c r="N223" s="7">
        <f t="shared" si="388"/>
        <v>0.0008</v>
      </c>
      <c r="O223" s="7">
        <f t="shared" si="388"/>
        <v>0.0002</v>
      </c>
      <c r="P223" s="7">
        <f t="shared" si="388"/>
        <v>0.00035</v>
      </c>
      <c r="Q223" s="7">
        <f t="shared" si="7"/>
        <v>0.1140530822</v>
      </c>
      <c r="R223" s="7">
        <f t="shared" si="8"/>
        <v>0.9205695886</v>
      </c>
      <c r="S223" s="7">
        <f t="shared" si="2"/>
        <v>0.9717268811</v>
      </c>
      <c r="T223" s="7">
        <f t="shared" si="3"/>
        <v>0.755314504</v>
      </c>
      <c r="U223" s="7">
        <f t="shared" si="4"/>
        <v>1</v>
      </c>
      <c r="V223" s="7">
        <f t="shared" si="5"/>
        <v>1</v>
      </c>
      <c r="W223" s="7">
        <f t="shared" ref="W223:X223" si="389">IF(AVERAGE(U163:U222) &gt; 0.25, 1, 0)</f>
        <v>1</v>
      </c>
      <c r="X223" s="7">
        <f t="shared" si="389"/>
        <v>1</v>
      </c>
      <c r="Y223" s="8">
        <v>1.0</v>
      </c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</row>
    <row r="224" ht="22.5" customHeight="1">
      <c r="B224" s="6">
        <v>223.0</v>
      </c>
      <c r="C224" s="6">
        <v>47975.0</v>
      </c>
      <c r="D224" s="6">
        <v>1.53</v>
      </c>
      <c r="E224" s="6">
        <v>-2.96</v>
      </c>
      <c r="F224" s="6">
        <v>10.59</v>
      </c>
      <c r="G224" s="6">
        <v>-0.09</v>
      </c>
      <c r="H224" s="6">
        <v>0.05</v>
      </c>
      <c r="I224" s="6">
        <v>0.86</v>
      </c>
      <c r="J224" s="6">
        <v>33.34</v>
      </c>
      <c r="K224" s="7">
        <f t="shared" ref="K224:P224" si="390">abs(D224-D223)/200</f>
        <v>0.00035</v>
      </c>
      <c r="L224" s="7">
        <f t="shared" si="390"/>
        <v>0.01065</v>
      </c>
      <c r="M224" s="7">
        <f t="shared" si="390"/>
        <v>0.00025</v>
      </c>
      <c r="N224" s="7">
        <f t="shared" si="390"/>
        <v>0.0012</v>
      </c>
      <c r="O224" s="7">
        <f t="shared" si="390"/>
        <v>0.00035</v>
      </c>
      <c r="P224" s="7">
        <f t="shared" si="390"/>
        <v>0.0006</v>
      </c>
      <c r="Q224" s="7">
        <f t="shared" si="7"/>
        <v>0.1108263621</v>
      </c>
      <c r="R224" s="7">
        <f t="shared" si="8"/>
        <v>0.3301017971</v>
      </c>
      <c r="S224" s="7">
        <f t="shared" si="2"/>
        <v>1.301828678</v>
      </c>
      <c r="T224" s="7">
        <f t="shared" si="3"/>
        <v>0.8661408661</v>
      </c>
      <c r="U224" s="7">
        <f t="shared" si="4"/>
        <v>1</v>
      </c>
      <c r="V224" s="7">
        <f t="shared" si="5"/>
        <v>1</v>
      </c>
      <c r="W224" s="7">
        <f t="shared" ref="W224:X224" si="391">IF(AVERAGE(U164:U223) &gt; 0.25, 1, 0)</f>
        <v>1</v>
      </c>
      <c r="X224" s="7">
        <f t="shared" si="391"/>
        <v>1</v>
      </c>
      <c r="Y224" s="8">
        <v>1.0</v>
      </c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</row>
    <row r="225" ht="22.5" customHeight="1">
      <c r="B225" s="6">
        <v>224.0</v>
      </c>
      <c r="C225" s="6">
        <v>48179.0</v>
      </c>
      <c r="D225" s="6">
        <v>1.85</v>
      </c>
      <c r="E225" s="6">
        <v>-1.19</v>
      </c>
      <c r="F225" s="6">
        <v>10.37</v>
      </c>
      <c r="G225" s="6">
        <v>-0.09</v>
      </c>
      <c r="H225" s="6">
        <v>0.29</v>
      </c>
      <c r="I225" s="6">
        <v>-0.56</v>
      </c>
      <c r="J225" s="6">
        <v>33.34</v>
      </c>
      <c r="K225" s="7">
        <f t="shared" ref="K225:P225" si="392">abs(D225-D224)/200</f>
        <v>0.0016</v>
      </c>
      <c r="L225" s="7">
        <f t="shared" si="392"/>
        <v>0.00885</v>
      </c>
      <c r="M225" s="7">
        <f t="shared" si="392"/>
        <v>0.0011</v>
      </c>
      <c r="N225" s="7">
        <f t="shared" si="392"/>
        <v>0</v>
      </c>
      <c r="O225" s="7">
        <f t="shared" si="392"/>
        <v>0.0012</v>
      </c>
      <c r="P225" s="7">
        <f t="shared" si="392"/>
        <v>0.0071</v>
      </c>
      <c r="Q225" s="7">
        <f t="shared" si="7"/>
        <v>0.2291165338</v>
      </c>
      <c r="R225" s="7">
        <f t="shared" si="8"/>
        <v>0.5010975713</v>
      </c>
      <c r="S225" s="7">
        <f t="shared" si="2"/>
        <v>0.8007311069</v>
      </c>
      <c r="T225" s="7">
        <f t="shared" si="3"/>
        <v>0.6370243323</v>
      </c>
      <c r="U225" s="7">
        <f t="shared" si="4"/>
        <v>1</v>
      </c>
      <c r="V225" s="7">
        <f t="shared" si="5"/>
        <v>1</v>
      </c>
      <c r="W225" s="7">
        <f t="shared" ref="W225:X225" si="393">IF(AVERAGE(U165:U224) &gt; 0.25, 1, 0)</f>
        <v>1</v>
      </c>
      <c r="X225" s="7">
        <f t="shared" si="393"/>
        <v>1</v>
      </c>
      <c r="Y225" s="8">
        <v>1.0</v>
      </c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</row>
    <row r="226" ht="22.5" customHeight="1">
      <c r="B226" s="6">
        <v>225.0</v>
      </c>
      <c r="C226" s="6">
        <v>48383.0</v>
      </c>
      <c r="D226" s="6">
        <v>1.2</v>
      </c>
      <c r="E226" s="6">
        <v>-1.6</v>
      </c>
      <c r="F226" s="6">
        <v>11.03</v>
      </c>
      <c r="G226" s="6">
        <v>-0.31</v>
      </c>
      <c r="H226" s="6">
        <v>-0.04</v>
      </c>
      <c r="I226" s="6">
        <v>-1.03</v>
      </c>
      <c r="J226" s="6">
        <v>33.35</v>
      </c>
      <c r="K226" s="7">
        <f t="shared" ref="K226:P226" si="394">abs(D226-D225)/200</f>
        <v>0.00325</v>
      </c>
      <c r="L226" s="7">
        <f t="shared" si="394"/>
        <v>0.00205</v>
      </c>
      <c r="M226" s="7">
        <f t="shared" si="394"/>
        <v>0.0033</v>
      </c>
      <c r="N226" s="7">
        <f t="shared" si="394"/>
        <v>0.0011</v>
      </c>
      <c r="O226" s="7">
        <f t="shared" si="394"/>
        <v>0.00165</v>
      </c>
      <c r="P226" s="7">
        <f t="shared" si="394"/>
        <v>0.00235</v>
      </c>
      <c r="Q226" s="7">
        <f t="shared" si="7"/>
        <v>0.4393584992</v>
      </c>
      <c r="R226" s="7">
        <f t="shared" si="8"/>
        <v>0.6091261625</v>
      </c>
      <c r="S226" s="7">
        <f t="shared" si="2"/>
        <v>1.409857269</v>
      </c>
      <c r="T226" s="7">
        <f t="shared" si="3"/>
        <v>1.076382832</v>
      </c>
      <c r="U226" s="7">
        <f t="shared" si="4"/>
        <v>1</v>
      </c>
      <c r="V226" s="7">
        <f t="shared" si="5"/>
        <v>1</v>
      </c>
      <c r="W226" s="7">
        <f t="shared" ref="W226:X226" si="395">IF(AVERAGE(U166:U225) &gt; 0.25, 1, 0)</f>
        <v>1</v>
      </c>
      <c r="X226" s="7">
        <f t="shared" si="395"/>
        <v>1</v>
      </c>
      <c r="Y226" s="8">
        <v>1.0</v>
      </c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</row>
    <row r="227" ht="22.5" customHeight="1">
      <c r="B227" s="6">
        <v>226.0</v>
      </c>
      <c r="C227" s="6">
        <v>48587.0</v>
      </c>
      <c r="D227" s="6">
        <v>1.47</v>
      </c>
      <c r="E227" s="6">
        <v>-0.72</v>
      </c>
      <c r="F227" s="6">
        <v>11.01</v>
      </c>
      <c r="G227" s="6">
        <v>-0.5</v>
      </c>
      <c r="H227" s="6">
        <v>-0.01</v>
      </c>
      <c r="I227" s="6">
        <v>-1.26</v>
      </c>
      <c r="J227" s="6">
        <v>33.35</v>
      </c>
      <c r="K227" s="7">
        <f t="shared" ref="K227:P227" si="396">abs(D227-D226)/200</f>
        <v>0.00135</v>
      </c>
      <c r="L227" s="7">
        <f t="shared" si="396"/>
        <v>0.0044</v>
      </c>
      <c r="M227" s="7">
        <f t="shared" si="396"/>
        <v>0.0001</v>
      </c>
      <c r="N227" s="7">
        <f t="shared" si="396"/>
        <v>0.00095</v>
      </c>
      <c r="O227" s="7">
        <f t="shared" si="396"/>
        <v>0.00015</v>
      </c>
      <c r="P227" s="7">
        <f t="shared" si="396"/>
        <v>0.00115</v>
      </c>
      <c r="Q227" s="7">
        <f t="shared" si="7"/>
        <v>0.2792351088</v>
      </c>
      <c r="R227" s="7">
        <f t="shared" si="8"/>
        <v>0.07884653361</v>
      </c>
      <c r="S227" s="7">
        <f t="shared" si="2"/>
        <v>1.331010736</v>
      </c>
      <c r="T227" s="7">
        <f t="shared" si="3"/>
        <v>1.35561794</v>
      </c>
      <c r="U227" s="7">
        <f t="shared" si="4"/>
        <v>1</v>
      </c>
      <c r="V227" s="7">
        <f t="shared" si="5"/>
        <v>1</v>
      </c>
      <c r="W227" s="7">
        <f t="shared" ref="W227:X227" si="397">IF(AVERAGE(U167:U226) &gt; 0.25, 1, 0)</f>
        <v>1</v>
      </c>
      <c r="X227" s="7">
        <f t="shared" si="397"/>
        <v>1</v>
      </c>
      <c r="Y227" s="8">
        <v>1.0</v>
      </c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</row>
    <row r="228" ht="22.5" customHeight="1">
      <c r="B228" s="6">
        <v>227.0</v>
      </c>
      <c r="C228" s="6">
        <v>48791.0</v>
      </c>
      <c r="D228" s="6">
        <v>0.8</v>
      </c>
      <c r="E228" s="6">
        <v>1.49</v>
      </c>
      <c r="F228" s="6">
        <v>10.28</v>
      </c>
      <c r="G228" s="6">
        <v>-0.14</v>
      </c>
      <c r="H228" s="6">
        <v>0.15</v>
      </c>
      <c r="I228" s="6">
        <v>-1.25</v>
      </c>
      <c r="J228" s="6">
        <v>33.35</v>
      </c>
      <c r="K228" s="7">
        <f t="shared" ref="K228:P228" si="398">abs(D228-D227)/200</f>
        <v>0.00335</v>
      </c>
      <c r="L228" s="7">
        <f t="shared" si="398"/>
        <v>0.01105</v>
      </c>
      <c r="M228" s="7">
        <f t="shared" si="398"/>
        <v>0.00365</v>
      </c>
      <c r="N228" s="7">
        <f t="shared" si="398"/>
        <v>0.0018</v>
      </c>
      <c r="O228" s="7">
        <f t="shared" si="398"/>
        <v>0.0008</v>
      </c>
      <c r="P228" s="7">
        <f t="shared" si="398"/>
        <v>0.00005</v>
      </c>
      <c r="Q228" s="7">
        <f t="shared" si="7"/>
        <v>0.08888987159</v>
      </c>
      <c r="R228" s="7">
        <f t="shared" si="8"/>
        <v>0.7128295126</v>
      </c>
      <c r="S228" s="7">
        <f t="shared" si="2"/>
        <v>0.6181812232</v>
      </c>
      <c r="T228" s="7">
        <f t="shared" si="3"/>
        <v>1.266728069</v>
      </c>
      <c r="U228" s="7">
        <f t="shared" si="4"/>
        <v>1</v>
      </c>
      <c r="V228" s="7">
        <f t="shared" si="5"/>
        <v>1</v>
      </c>
      <c r="W228" s="7">
        <f t="shared" ref="W228:X228" si="399">IF(AVERAGE(U168:U227) &gt; 0.25, 1, 0)</f>
        <v>1</v>
      </c>
      <c r="X228" s="7">
        <f t="shared" si="399"/>
        <v>1</v>
      </c>
      <c r="Y228" s="8">
        <v>1.0</v>
      </c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</row>
    <row r="229" ht="22.5" customHeight="1">
      <c r="B229" s="6">
        <v>228.0</v>
      </c>
      <c r="C229" s="6">
        <v>48995.0</v>
      </c>
      <c r="D229" s="6">
        <v>0.21</v>
      </c>
      <c r="E229" s="6">
        <v>1.61</v>
      </c>
      <c r="F229" s="6">
        <v>11.44</v>
      </c>
      <c r="G229" s="6">
        <v>-0.11</v>
      </c>
      <c r="H229" s="6">
        <v>0.1</v>
      </c>
      <c r="I229" s="6">
        <v>-0.23</v>
      </c>
      <c r="J229" s="6">
        <v>33.35</v>
      </c>
      <c r="K229" s="7">
        <f t="shared" ref="K229:P229" si="400">abs(D229-D228)/200</f>
        <v>0.00295</v>
      </c>
      <c r="L229" s="7">
        <f t="shared" si="400"/>
        <v>0.0006</v>
      </c>
      <c r="M229" s="7">
        <f t="shared" si="400"/>
        <v>0.0058</v>
      </c>
      <c r="N229" s="7">
        <f t="shared" si="400"/>
        <v>0.00015</v>
      </c>
      <c r="O229" s="7">
        <f t="shared" si="400"/>
        <v>0.00025</v>
      </c>
      <c r="P229" s="7">
        <f t="shared" si="400"/>
        <v>0.0051</v>
      </c>
      <c r="Q229" s="7">
        <f t="shared" si="7"/>
        <v>0.9928667899</v>
      </c>
      <c r="R229" s="7">
        <f t="shared" si="8"/>
        <v>1.136462865</v>
      </c>
      <c r="S229" s="7">
        <f t="shared" si="2"/>
        <v>1.754644088</v>
      </c>
      <c r="T229" s="7">
        <f t="shared" si="3"/>
        <v>0.2738612788</v>
      </c>
      <c r="U229" s="7">
        <f t="shared" si="4"/>
        <v>1</v>
      </c>
      <c r="V229" s="7">
        <f t="shared" si="5"/>
        <v>1</v>
      </c>
      <c r="W229" s="7">
        <f t="shared" ref="W229:X229" si="401">IF(AVERAGE(U169:U228) &gt; 0.25, 1, 0)</f>
        <v>1</v>
      </c>
      <c r="X229" s="7">
        <f t="shared" si="401"/>
        <v>1</v>
      </c>
      <c r="Y229" s="8">
        <v>1.0</v>
      </c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</row>
    <row r="230" ht="22.5" customHeight="1">
      <c r="B230" s="6">
        <v>229.0</v>
      </c>
      <c r="C230" s="6">
        <v>49199.0</v>
      </c>
      <c r="D230" s="6">
        <v>1.36</v>
      </c>
      <c r="E230" s="6">
        <v>-0.19</v>
      </c>
      <c r="F230" s="6">
        <v>10.67</v>
      </c>
      <c r="G230" s="6">
        <v>-0.1</v>
      </c>
      <c r="H230" s="6">
        <v>0.0</v>
      </c>
      <c r="I230" s="6">
        <v>-0.01</v>
      </c>
      <c r="J230" s="6">
        <v>33.35</v>
      </c>
      <c r="K230" s="7">
        <f t="shared" ref="K230:P230" si="402">abs(D230-D229)/200</f>
        <v>0.00575</v>
      </c>
      <c r="L230" s="7">
        <f t="shared" si="402"/>
        <v>0.009</v>
      </c>
      <c r="M230" s="7">
        <f t="shared" si="402"/>
        <v>0.00385</v>
      </c>
      <c r="N230" s="7">
        <f t="shared" si="402"/>
        <v>0.00005</v>
      </c>
      <c r="O230" s="7">
        <f t="shared" si="402"/>
        <v>0.0005</v>
      </c>
      <c r="P230" s="7">
        <f t="shared" si="402"/>
        <v>0.0011</v>
      </c>
      <c r="Q230" s="7">
        <f t="shared" si="7"/>
        <v>0.1733625225</v>
      </c>
      <c r="R230" s="7">
        <f t="shared" si="8"/>
        <v>0.7966424148</v>
      </c>
      <c r="S230" s="7">
        <f t="shared" si="2"/>
        <v>0.9580016732</v>
      </c>
      <c r="T230" s="7">
        <f t="shared" si="3"/>
        <v>0.1004987562</v>
      </c>
      <c r="U230" s="7">
        <f t="shared" si="4"/>
        <v>1</v>
      </c>
      <c r="V230" s="7">
        <f t="shared" si="5"/>
        <v>1</v>
      </c>
      <c r="W230" s="7">
        <f t="shared" ref="W230:X230" si="403">IF(AVERAGE(U170:U229) &gt; 0.25, 1, 0)</f>
        <v>1</v>
      </c>
      <c r="X230" s="7">
        <f t="shared" si="403"/>
        <v>1</v>
      </c>
      <c r="Y230" s="8">
        <v>1.0</v>
      </c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</row>
    <row r="231" ht="22.5" customHeight="1">
      <c r="B231" s="6">
        <v>230.0</v>
      </c>
      <c r="C231" s="6">
        <v>49403.0</v>
      </c>
      <c r="D231" s="6">
        <v>1.36</v>
      </c>
      <c r="E231" s="6">
        <v>-0.19</v>
      </c>
      <c r="F231" s="6">
        <v>10.67</v>
      </c>
      <c r="G231" s="6">
        <v>-0.1</v>
      </c>
      <c r="H231" s="6">
        <v>0.0</v>
      </c>
      <c r="I231" s="6">
        <v>-0.01</v>
      </c>
      <c r="J231" s="6">
        <v>33.35</v>
      </c>
      <c r="K231" s="7">
        <f t="shared" ref="K231:P231" si="404">abs(D231-D230)/200</f>
        <v>0</v>
      </c>
      <c r="L231" s="7">
        <f t="shared" si="404"/>
        <v>0</v>
      </c>
      <c r="M231" s="7">
        <f t="shared" si="404"/>
        <v>0</v>
      </c>
      <c r="N231" s="7">
        <f t="shared" si="404"/>
        <v>0</v>
      </c>
      <c r="O231" s="7">
        <f t="shared" si="404"/>
        <v>0</v>
      </c>
      <c r="P231" s="7">
        <f t="shared" si="404"/>
        <v>0</v>
      </c>
      <c r="Q231" s="7">
        <f t="shared" si="7"/>
        <v>0</v>
      </c>
      <c r="R231" s="7">
        <f t="shared" si="8"/>
        <v>0</v>
      </c>
      <c r="S231" s="7">
        <f t="shared" si="2"/>
        <v>0.9580016732</v>
      </c>
      <c r="T231" s="7">
        <f t="shared" si="3"/>
        <v>0.1004987562</v>
      </c>
      <c r="U231" s="7">
        <f t="shared" si="4"/>
        <v>0</v>
      </c>
      <c r="V231" s="7">
        <f t="shared" si="5"/>
        <v>0</v>
      </c>
      <c r="W231" s="7">
        <f t="shared" ref="W231:X231" si="405">IF(AVERAGE(U171:U230) &gt; 0.25, 1, 0)</f>
        <v>1</v>
      </c>
      <c r="X231" s="7">
        <f t="shared" si="405"/>
        <v>1</v>
      </c>
      <c r="Y231" s="8">
        <v>1.0</v>
      </c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</row>
    <row r="232" ht="22.5" customHeight="1">
      <c r="B232" s="6">
        <v>231.0</v>
      </c>
      <c r="C232" s="6">
        <v>49607.0</v>
      </c>
      <c r="D232" s="6">
        <v>1.35</v>
      </c>
      <c r="E232" s="6">
        <v>-0.19</v>
      </c>
      <c r="F232" s="6">
        <v>10.67</v>
      </c>
      <c r="G232" s="6">
        <v>-0.1</v>
      </c>
      <c r="H232" s="6">
        <v>0.0</v>
      </c>
      <c r="I232" s="6">
        <v>-0.01</v>
      </c>
      <c r="J232" s="6">
        <v>33.36</v>
      </c>
      <c r="K232" s="7">
        <f t="shared" ref="K232:P232" si="406">abs(D232-D231)/200</f>
        <v>0.00005</v>
      </c>
      <c r="L232" s="7">
        <f t="shared" si="406"/>
        <v>0</v>
      </c>
      <c r="M232" s="7">
        <f t="shared" si="406"/>
        <v>0</v>
      </c>
      <c r="N232" s="7">
        <f t="shared" si="406"/>
        <v>0</v>
      </c>
      <c r="O232" s="7">
        <f t="shared" si="406"/>
        <v>0</v>
      </c>
      <c r="P232" s="7">
        <f t="shared" si="406"/>
        <v>0</v>
      </c>
      <c r="Q232" s="7">
        <f t="shared" si="7"/>
        <v>0</v>
      </c>
      <c r="R232" s="7">
        <f t="shared" si="8"/>
        <v>0.001259601338</v>
      </c>
      <c r="S232" s="7">
        <f t="shared" si="2"/>
        <v>0.9567420718</v>
      </c>
      <c r="T232" s="7">
        <f t="shared" si="3"/>
        <v>0.1004987562</v>
      </c>
      <c r="U232" s="7">
        <f t="shared" si="4"/>
        <v>0</v>
      </c>
      <c r="V232" s="7">
        <f t="shared" si="5"/>
        <v>0</v>
      </c>
      <c r="W232" s="7">
        <f t="shared" ref="W232:X232" si="407">IF(AVERAGE(U172:U231) &gt; 0.25, 1, 0)</f>
        <v>1</v>
      </c>
      <c r="X232" s="7">
        <f t="shared" si="407"/>
        <v>1</v>
      </c>
      <c r="Y232" s="8">
        <v>1.0</v>
      </c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</row>
    <row r="233" ht="22.5" customHeight="1">
      <c r="B233" s="6">
        <v>232.0</v>
      </c>
      <c r="C233" s="6">
        <v>49811.0</v>
      </c>
      <c r="D233" s="6">
        <v>1.36</v>
      </c>
      <c r="E233" s="6">
        <v>-0.19</v>
      </c>
      <c r="F233" s="6">
        <v>10.67</v>
      </c>
      <c r="G233" s="6">
        <v>-0.1</v>
      </c>
      <c r="H233" s="6">
        <v>0.0</v>
      </c>
      <c r="I233" s="6">
        <v>-0.01</v>
      </c>
      <c r="J233" s="6">
        <v>33.35</v>
      </c>
      <c r="K233" s="7">
        <f t="shared" ref="K233:P233" si="408">abs(D233-D232)/200</f>
        <v>0.00005</v>
      </c>
      <c r="L233" s="7">
        <f t="shared" si="408"/>
        <v>0</v>
      </c>
      <c r="M233" s="7">
        <f t="shared" si="408"/>
        <v>0</v>
      </c>
      <c r="N233" s="7">
        <f t="shared" si="408"/>
        <v>0</v>
      </c>
      <c r="O233" s="7">
        <f t="shared" si="408"/>
        <v>0</v>
      </c>
      <c r="P233" s="7">
        <f t="shared" si="408"/>
        <v>0</v>
      </c>
      <c r="Q233" s="7">
        <f t="shared" si="7"/>
        <v>0</v>
      </c>
      <c r="R233" s="7">
        <f t="shared" si="8"/>
        <v>0.001259601338</v>
      </c>
      <c r="S233" s="7">
        <f t="shared" si="2"/>
        <v>0.9580016732</v>
      </c>
      <c r="T233" s="7">
        <f t="shared" si="3"/>
        <v>0.1004987562</v>
      </c>
      <c r="U233" s="7">
        <f t="shared" si="4"/>
        <v>0</v>
      </c>
      <c r="V233" s="7">
        <f t="shared" si="5"/>
        <v>0</v>
      </c>
      <c r="W233" s="7">
        <f t="shared" ref="W233:X233" si="409">IF(AVERAGE(U173:U232) &gt; 0.25, 1, 0)</f>
        <v>1</v>
      </c>
      <c r="X233" s="7">
        <f t="shared" si="409"/>
        <v>1</v>
      </c>
      <c r="Y233" s="8">
        <v>1.0</v>
      </c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</row>
    <row r="234" ht="22.5" customHeight="1">
      <c r="B234" s="6">
        <v>233.0</v>
      </c>
      <c r="C234" s="6">
        <v>50015.0</v>
      </c>
      <c r="D234" s="6">
        <v>1.36</v>
      </c>
      <c r="E234" s="6">
        <v>-0.19</v>
      </c>
      <c r="F234" s="6">
        <v>10.66</v>
      </c>
      <c r="G234" s="6">
        <v>-0.1</v>
      </c>
      <c r="H234" s="6">
        <v>0.0</v>
      </c>
      <c r="I234" s="6">
        <v>-0.01</v>
      </c>
      <c r="J234" s="6">
        <v>33.35</v>
      </c>
      <c r="K234" s="7">
        <f t="shared" ref="K234:P234" si="410">abs(D234-D233)/200</f>
        <v>0</v>
      </c>
      <c r="L234" s="7">
        <f t="shared" si="410"/>
        <v>0</v>
      </c>
      <c r="M234" s="7">
        <f t="shared" si="410"/>
        <v>0.00005</v>
      </c>
      <c r="N234" s="7">
        <f t="shared" si="410"/>
        <v>0</v>
      </c>
      <c r="O234" s="7">
        <f t="shared" si="410"/>
        <v>0</v>
      </c>
      <c r="P234" s="7">
        <f t="shared" si="410"/>
        <v>0</v>
      </c>
      <c r="Q234" s="7">
        <f t="shared" si="7"/>
        <v>0</v>
      </c>
      <c r="R234" s="7">
        <f t="shared" si="8"/>
        <v>0.00991812307</v>
      </c>
      <c r="S234" s="7">
        <f t="shared" si="2"/>
        <v>0.9480835501</v>
      </c>
      <c r="T234" s="7">
        <f t="shared" si="3"/>
        <v>0.1004987562</v>
      </c>
      <c r="U234" s="7">
        <f t="shared" si="4"/>
        <v>0</v>
      </c>
      <c r="V234" s="7">
        <f t="shared" si="5"/>
        <v>0</v>
      </c>
      <c r="W234" s="7">
        <f t="shared" ref="W234:X234" si="411">IF(AVERAGE(U174:U233) &gt; 0.25, 1, 0)</f>
        <v>1</v>
      </c>
      <c r="X234" s="7">
        <f t="shared" si="411"/>
        <v>1</v>
      </c>
      <c r="Y234" s="8">
        <v>1.0</v>
      </c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</row>
    <row r="235" ht="22.5" customHeight="1">
      <c r="B235" s="6">
        <v>234.0</v>
      </c>
      <c r="C235" s="6">
        <v>50219.0</v>
      </c>
      <c r="D235" s="6">
        <v>1.34</v>
      </c>
      <c r="E235" s="6">
        <v>-0.19</v>
      </c>
      <c r="F235" s="6">
        <v>10.67</v>
      </c>
      <c r="G235" s="6">
        <v>-0.1</v>
      </c>
      <c r="H235" s="6">
        <v>0.0</v>
      </c>
      <c r="I235" s="6">
        <v>-0.01</v>
      </c>
      <c r="J235" s="6">
        <v>33.35</v>
      </c>
      <c r="K235" s="7">
        <f t="shared" ref="K235:P235" si="412">abs(D235-D234)/200</f>
        <v>0.0001</v>
      </c>
      <c r="L235" s="7">
        <f t="shared" si="412"/>
        <v>0</v>
      </c>
      <c r="M235" s="7">
        <f t="shared" si="412"/>
        <v>0.00005</v>
      </c>
      <c r="N235" s="7">
        <f t="shared" si="412"/>
        <v>0</v>
      </c>
      <c r="O235" s="7">
        <f t="shared" si="412"/>
        <v>0</v>
      </c>
      <c r="P235" s="7">
        <f t="shared" si="412"/>
        <v>0</v>
      </c>
      <c r="Q235" s="7">
        <f t="shared" si="7"/>
        <v>0</v>
      </c>
      <c r="R235" s="7">
        <f t="shared" si="8"/>
        <v>0.00740807046</v>
      </c>
      <c r="S235" s="7">
        <f t="shared" si="2"/>
        <v>0.9554916206</v>
      </c>
      <c r="T235" s="7">
        <f t="shared" si="3"/>
        <v>0.1004987562</v>
      </c>
      <c r="U235" s="7">
        <f t="shared" si="4"/>
        <v>0</v>
      </c>
      <c r="V235" s="7">
        <f t="shared" si="5"/>
        <v>0</v>
      </c>
      <c r="W235" s="7">
        <f t="shared" ref="W235:X235" si="413">IF(AVERAGE(U175:U234) &gt; 0.25, 1, 0)</f>
        <v>1</v>
      </c>
      <c r="X235" s="7">
        <f t="shared" si="413"/>
        <v>1</v>
      </c>
      <c r="Y235" s="8">
        <v>1.0</v>
      </c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</row>
    <row r="236" ht="22.5" customHeight="1">
      <c r="B236" s="6">
        <v>235.0</v>
      </c>
      <c r="C236" s="6">
        <v>50423.0</v>
      </c>
      <c r="D236" s="6">
        <v>1.36</v>
      </c>
      <c r="E236" s="6">
        <v>-0.19</v>
      </c>
      <c r="F236" s="6">
        <v>10.67</v>
      </c>
      <c r="G236" s="6">
        <v>-0.1</v>
      </c>
      <c r="H236" s="6">
        <v>0.0</v>
      </c>
      <c r="I236" s="6">
        <v>-0.01</v>
      </c>
      <c r="J236" s="6">
        <v>33.36</v>
      </c>
      <c r="K236" s="7">
        <f t="shared" ref="K236:P236" si="414">abs(D236-D235)/200</f>
        <v>0.0001</v>
      </c>
      <c r="L236" s="7">
        <f t="shared" si="414"/>
        <v>0</v>
      </c>
      <c r="M236" s="7">
        <f t="shared" si="414"/>
        <v>0</v>
      </c>
      <c r="N236" s="7">
        <f t="shared" si="414"/>
        <v>0</v>
      </c>
      <c r="O236" s="7">
        <f t="shared" si="414"/>
        <v>0</v>
      </c>
      <c r="P236" s="7">
        <f t="shared" si="414"/>
        <v>0</v>
      </c>
      <c r="Q236" s="7">
        <f t="shared" si="7"/>
        <v>0</v>
      </c>
      <c r="R236" s="7">
        <f t="shared" si="8"/>
        <v>0.00251005261</v>
      </c>
      <c r="S236" s="7">
        <f t="shared" si="2"/>
        <v>0.9580016732</v>
      </c>
      <c r="T236" s="7">
        <f t="shared" si="3"/>
        <v>0.1004987562</v>
      </c>
      <c r="U236" s="7">
        <f t="shared" si="4"/>
        <v>0</v>
      </c>
      <c r="V236" s="7">
        <f t="shared" si="5"/>
        <v>0</v>
      </c>
      <c r="W236" s="7">
        <f t="shared" ref="W236:X236" si="415">IF(AVERAGE(U176:U235) &gt; 0.25, 1, 0)</f>
        <v>1</v>
      </c>
      <c r="X236" s="7">
        <f t="shared" si="415"/>
        <v>1</v>
      </c>
      <c r="Y236" s="8">
        <v>1.0</v>
      </c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</row>
    <row r="237" ht="22.5" customHeight="1">
      <c r="B237" s="6">
        <v>236.0</v>
      </c>
      <c r="C237" s="6">
        <v>50627.0</v>
      </c>
      <c r="D237" s="6">
        <v>1.35</v>
      </c>
      <c r="E237" s="6">
        <v>-0.18</v>
      </c>
      <c r="F237" s="6">
        <v>10.66</v>
      </c>
      <c r="G237" s="6">
        <v>-0.1</v>
      </c>
      <c r="H237" s="6">
        <v>0.0</v>
      </c>
      <c r="I237" s="6">
        <v>-0.01</v>
      </c>
      <c r="J237" s="6">
        <v>33.36</v>
      </c>
      <c r="K237" s="7">
        <f t="shared" ref="K237:P237" si="416">abs(D237-D236)/200</f>
        <v>0.00005</v>
      </c>
      <c r="L237" s="7">
        <f t="shared" si="416"/>
        <v>0.00005</v>
      </c>
      <c r="M237" s="7">
        <f t="shared" si="416"/>
        <v>0.00005</v>
      </c>
      <c r="N237" s="7">
        <f t="shared" si="416"/>
        <v>0</v>
      </c>
      <c r="O237" s="7">
        <f t="shared" si="416"/>
        <v>0</v>
      </c>
      <c r="P237" s="7">
        <f t="shared" si="416"/>
        <v>0</v>
      </c>
      <c r="Q237" s="7">
        <f t="shared" si="7"/>
        <v>0</v>
      </c>
      <c r="R237" s="7">
        <f t="shared" si="8"/>
        <v>0.01135103216</v>
      </c>
      <c r="S237" s="7">
        <f t="shared" si="2"/>
        <v>0.946650641</v>
      </c>
      <c r="T237" s="7">
        <f t="shared" si="3"/>
        <v>0.1004987562</v>
      </c>
      <c r="U237" s="7">
        <f t="shared" si="4"/>
        <v>0</v>
      </c>
      <c r="V237" s="7">
        <f t="shared" si="5"/>
        <v>0</v>
      </c>
      <c r="W237" s="7">
        <f t="shared" ref="W237:X237" si="417">IF(AVERAGE(U177:U236) &gt; 0.25, 1, 0)</f>
        <v>1</v>
      </c>
      <c r="X237" s="7">
        <f t="shared" si="417"/>
        <v>1</v>
      </c>
      <c r="Y237" s="8">
        <v>1.0</v>
      </c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</row>
    <row r="238" ht="22.5" customHeight="1">
      <c r="B238" s="6">
        <v>237.0</v>
      </c>
      <c r="C238" s="6">
        <v>50831.0</v>
      </c>
      <c r="D238" s="6">
        <v>1.36</v>
      </c>
      <c r="E238" s="6">
        <v>-0.19</v>
      </c>
      <c r="F238" s="6">
        <v>10.66</v>
      </c>
      <c r="G238" s="6">
        <v>-0.1</v>
      </c>
      <c r="H238" s="6">
        <v>0.0</v>
      </c>
      <c r="I238" s="6">
        <v>-0.01</v>
      </c>
      <c r="J238" s="6">
        <v>33.36</v>
      </c>
      <c r="K238" s="7">
        <f t="shared" ref="K238:P238" si="418">abs(D238-D237)/200</f>
        <v>0.00005</v>
      </c>
      <c r="L238" s="7">
        <f t="shared" si="418"/>
        <v>0.00005</v>
      </c>
      <c r="M238" s="7">
        <f t="shared" si="418"/>
        <v>0</v>
      </c>
      <c r="N238" s="7">
        <f t="shared" si="418"/>
        <v>0</v>
      </c>
      <c r="O238" s="7">
        <f t="shared" si="418"/>
        <v>0</v>
      </c>
      <c r="P238" s="7">
        <f t="shared" si="418"/>
        <v>0</v>
      </c>
      <c r="Q238" s="7">
        <f t="shared" si="7"/>
        <v>0</v>
      </c>
      <c r="R238" s="7">
        <f t="shared" si="8"/>
        <v>0.00143290909</v>
      </c>
      <c r="S238" s="7">
        <f t="shared" si="2"/>
        <v>0.9480835501</v>
      </c>
      <c r="T238" s="7">
        <f t="shared" si="3"/>
        <v>0.1004987562</v>
      </c>
      <c r="U238" s="7">
        <f t="shared" si="4"/>
        <v>0</v>
      </c>
      <c r="V238" s="7">
        <f t="shared" si="5"/>
        <v>0</v>
      </c>
      <c r="W238" s="7">
        <f t="shared" ref="W238:X238" si="419">IF(AVERAGE(U178:U237) &gt; 0.25, 1, 0)</f>
        <v>1</v>
      </c>
      <c r="X238" s="7">
        <f t="shared" si="419"/>
        <v>1</v>
      </c>
      <c r="Y238" s="8">
        <v>1.0</v>
      </c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</row>
    <row r="239" ht="22.5" customHeight="1">
      <c r="B239" s="6">
        <v>238.0</v>
      </c>
      <c r="C239" s="6">
        <v>51035.0</v>
      </c>
      <c r="D239" s="6">
        <v>1.36</v>
      </c>
      <c r="E239" s="6">
        <v>-0.19</v>
      </c>
      <c r="F239" s="6">
        <v>10.66</v>
      </c>
      <c r="G239" s="6">
        <v>-0.1</v>
      </c>
      <c r="H239" s="6">
        <v>0.0</v>
      </c>
      <c r="I239" s="6">
        <v>-0.01</v>
      </c>
      <c r="J239" s="6">
        <v>33.37</v>
      </c>
      <c r="K239" s="7">
        <f t="shared" ref="K239:P239" si="420">abs(D239-D238)/200</f>
        <v>0</v>
      </c>
      <c r="L239" s="7">
        <f t="shared" si="420"/>
        <v>0</v>
      </c>
      <c r="M239" s="7">
        <f t="shared" si="420"/>
        <v>0</v>
      </c>
      <c r="N239" s="7">
        <f t="shared" si="420"/>
        <v>0</v>
      </c>
      <c r="O239" s="7">
        <f t="shared" si="420"/>
        <v>0</v>
      </c>
      <c r="P239" s="7">
        <f t="shared" si="420"/>
        <v>0</v>
      </c>
      <c r="Q239" s="7">
        <f t="shared" si="7"/>
        <v>0</v>
      </c>
      <c r="R239" s="7">
        <f t="shared" si="8"/>
        <v>0</v>
      </c>
      <c r="S239" s="7">
        <f t="shared" si="2"/>
        <v>0.9480835501</v>
      </c>
      <c r="T239" s="7">
        <f t="shared" si="3"/>
        <v>0.1004987562</v>
      </c>
      <c r="U239" s="7">
        <f t="shared" si="4"/>
        <v>0</v>
      </c>
      <c r="V239" s="7">
        <f t="shared" si="5"/>
        <v>0</v>
      </c>
      <c r="W239" s="7">
        <f t="shared" ref="W239:X239" si="421">IF(AVERAGE(U179:U238) &gt; 0.25, 1, 0)</f>
        <v>1</v>
      </c>
      <c r="X239" s="7">
        <f t="shared" si="421"/>
        <v>1</v>
      </c>
      <c r="Y239" s="8">
        <v>1.0</v>
      </c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</row>
    <row r="240" ht="22.5" customHeight="1">
      <c r="B240" s="6">
        <v>239.0</v>
      </c>
      <c r="C240" s="6">
        <v>51239.0</v>
      </c>
      <c r="D240" s="6">
        <v>1.35</v>
      </c>
      <c r="E240" s="6">
        <v>-0.18</v>
      </c>
      <c r="F240" s="6">
        <v>10.67</v>
      </c>
      <c r="G240" s="6">
        <v>-0.1</v>
      </c>
      <c r="H240" s="6">
        <v>0.0</v>
      </c>
      <c r="I240" s="6">
        <v>-0.01</v>
      </c>
      <c r="J240" s="6">
        <v>33.37</v>
      </c>
      <c r="K240" s="7">
        <f t="shared" ref="K240:P240" si="422">abs(D240-D239)/200</f>
        <v>0.00005</v>
      </c>
      <c r="L240" s="7">
        <f t="shared" si="422"/>
        <v>0.00005</v>
      </c>
      <c r="M240" s="7">
        <f t="shared" si="422"/>
        <v>0.00005</v>
      </c>
      <c r="N240" s="7">
        <f t="shared" si="422"/>
        <v>0</v>
      </c>
      <c r="O240" s="7">
        <f t="shared" si="422"/>
        <v>0</v>
      </c>
      <c r="P240" s="7">
        <f t="shared" si="422"/>
        <v>0</v>
      </c>
      <c r="Q240" s="7">
        <f t="shared" si="7"/>
        <v>0</v>
      </c>
      <c r="R240" s="7">
        <f t="shared" si="8"/>
        <v>0.008486535198</v>
      </c>
      <c r="S240" s="7">
        <f t="shared" si="2"/>
        <v>0.9565700853</v>
      </c>
      <c r="T240" s="7">
        <f t="shared" si="3"/>
        <v>0.1004987562</v>
      </c>
      <c r="U240" s="7">
        <f t="shared" si="4"/>
        <v>0</v>
      </c>
      <c r="V240" s="7">
        <f t="shared" si="5"/>
        <v>0</v>
      </c>
      <c r="W240" s="7">
        <f t="shared" ref="W240:X240" si="423">IF(AVERAGE(U180:U239) &gt; 0.25, 1, 0)</f>
        <v>1</v>
      </c>
      <c r="X240" s="7">
        <f t="shared" si="423"/>
        <v>1</v>
      </c>
      <c r="Y240" s="8">
        <v>1.0</v>
      </c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</row>
    <row r="241" ht="22.5" customHeight="1">
      <c r="B241" s="6">
        <v>240.0</v>
      </c>
      <c r="C241" s="6">
        <v>51443.0</v>
      </c>
      <c r="D241" s="6">
        <v>1.35</v>
      </c>
      <c r="E241" s="6">
        <v>-0.19</v>
      </c>
      <c r="F241" s="6">
        <v>10.66</v>
      </c>
      <c r="G241" s="6">
        <v>-0.1</v>
      </c>
      <c r="H241" s="6">
        <v>0.0</v>
      </c>
      <c r="I241" s="6">
        <v>-0.01</v>
      </c>
      <c r="J241" s="6">
        <v>33.37</v>
      </c>
      <c r="K241" s="7">
        <f t="shared" ref="K241:P241" si="424">abs(D241-D240)/200</f>
        <v>0</v>
      </c>
      <c r="L241" s="7">
        <f t="shared" si="424"/>
        <v>0.00005</v>
      </c>
      <c r="M241" s="7">
        <f t="shared" si="424"/>
        <v>0.00005</v>
      </c>
      <c r="N241" s="7">
        <f t="shared" si="424"/>
        <v>0</v>
      </c>
      <c r="O241" s="7">
        <f t="shared" si="424"/>
        <v>0</v>
      </c>
      <c r="P241" s="7">
        <f t="shared" si="424"/>
        <v>0</v>
      </c>
      <c r="Q241" s="7">
        <f t="shared" si="7"/>
        <v>0</v>
      </c>
      <c r="R241" s="7">
        <f t="shared" si="8"/>
        <v>0.009747299008</v>
      </c>
      <c r="S241" s="7">
        <f t="shared" si="2"/>
        <v>0.9468227863</v>
      </c>
      <c r="T241" s="7">
        <f t="shared" si="3"/>
        <v>0.1004987562</v>
      </c>
      <c r="U241" s="7">
        <f t="shared" si="4"/>
        <v>0</v>
      </c>
      <c r="V241" s="7">
        <f t="shared" si="5"/>
        <v>0</v>
      </c>
      <c r="W241" s="7">
        <f t="shared" ref="W241:X241" si="425">IF(AVERAGE(U181:U240) &gt; 0.25, 1, 0)</f>
        <v>1</v>
      </c>
      <c r="X241" s="7">
        <f t="shared" si="425"/>
        <v>1</v>
      </c>
      <c r="Y241" s="8">
        <v>1.0</v>
      </c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</row>
    <row r="242" ht="22.5" customHeight="1">
      <c r="B242" s="6">
        <v>241.0</v>
      </c>
      <c r="C242" s="6">
        <v>51647.0</v>
      </c>
      <c r="D242" s="6">
        <v>1.35</v>
      </c>
      <c r="E242" s="6">
        <v>-0.18</v>
      </c>
      <c r="F242" s="6">
        <v>10.66</v>
      </c>
      <c r="G242" s="6">
        <v>-0.1</v>
      </c>
      <c r="H242" s="6">
        <v>0.0</v>
      </c>
      <c r="I242" s="6">
        <v>-0.01</v>
      </c>
      <c r="J242" s="6">
        <v>33.37</v>
      </c>
      <c r="K242" s="7">
        <f t="shared" ref="K242:P242" si="426">abs(D242-D241)/200</f>
        <v>0</v>
      </c>
      <c r="L242" s="7">
        <f t="shared" si="426"/>
        <v>0.00005</v>
      </c>
      <c r="M242" s="7">
        <f t="shared" si="426"/>
        <v>0</v>
      </c>
      <c r="N242" s="7">
        <f t="shared" si="426"/>
        <v>0</v>
      </c>
      <c r="O242" s="7">
        <f t="shared" si="426"/>
        <v>0</v>
      </c>
      <c r="P242" s="7">
        <f t="shared" si="426"/>
        <v>0</v>
      </c>
      <c r="Q242" s="7">
        <f t="shared" si="7"/>
        <v>0</v>
      </c>
      <c r="R242" s="7">
        <f t="shared" si="8"/>
        <v>0.0001721452799</v>
      </c>
      <c r="S242" s="7">
        <f t="shared" si="2"/>
        <v>0.946650641</v>
      </c>
      <c r="T242" s="7">
        <f t="shared" si="3"/>
        <v>0.1004987562</v>
      </c>
      <c r="U242" s="7">
        <f t="shared" si="4"/>
        <v>0</v>
      </c>
      <c r="V242" s="7">
        <f t="shared" si="5"/>
        <v>0</v>
      </c>
      <c r="W242" s="7">
        <f t="shared" ref="W242:X242" si="427">IF(AVERAGE(U182:U241) &gt; 0.25, 1, 0)</f>
        <v>1</v>
      </c>
      <c r="X242" s="7">
        <f t="shared" si="427"/>
        <v>1</v>
      </c>
      <c r="Y242" s="8">
        <v>1.0</v>
      </c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</row>
    <row r="243" ht="22.5" customHeight="1">
      <c r="B243" s="6">
        <v>242.0</v>
      </c>
      <c r="C243" s="6">
        <v>51851.0</v>
      </c>
      <c r="D243" s="6">
        <v>1.35</v>
      </c>
      <c r="E243" s="6">
        <v>-0.18</v>
      </c>
      <c r="F243" s="6">
        <v>10.66</v>
      </c>
      <c r="G243" s="6">
        <v>-0.1</v>
      </c>
      <c r="H243" s="6">
        <v>0.0</v>
      </c>
      <c r="I243" s="6">
        <v>-0.01</v>
      </c>
      <c r="J243" s="6">
        <v>33.35</v>
      </c>
      <c r="K243" s="7">
        <f t="shared" ref="K243:P243" si="428">abs(D243-D242)/200</f>
        <v>0</v>
      </c>
      <c r="L243" s="7">
        <f t="shared" si="428"/>
        <v>0</v>
      </c>
      <c r="M243" s="7">
        <f t="shared" si="428"/>
        <v>0</v>
      </c>
      <c r="N243" s="7">
        <f t="shared" si="428"/>
        <v>0</v>
      </c>
      <c r="O243" s="7">
        <f t="shared" si="428"/>
        <v>0</v>
      </c>
      <c r="P243" s="7">
        <f t="shared" si="428"/>
        <v>0</v>
      </c>
      <c r="Q243" s="7">
        <f t="shared" si="7"/>
        <v>0</v>
      </c>
      <c r="R243" s="7">
        <f t="shared" si="8"/>
        <v>0</v>
      </c>
      <c r="S243" s="7">
        <f t="shared" si="2"/>
        <v>0.946650641</v>
      </c>
      <c r="T243" s="7">
        <f t="shared" si="3"/>
        <v>0.1004987562</v>
      </c>
      <c r="U243" s="7">
        <f t="shared" si="4"/>
        <v>0</v>
      </c>
      <c r="V243" s="7">
        <f t="shared" si="5"/>
        <v>0</v>
      </c>
      <c r="W243" s="7">
        <f t="shared" ref="W243:X243" si="429">IF(AVERAGE(U183:U242) &gt; 0.25, 1, 0)</f>
        <v>1</v>
      </c>
      <c r="X243" s="7">
        <f t="shared" si="429"/>
        <v>1</v>
      </c>
      <c r="Y243" s="8">
        <v>1.0</v>
      </c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</row>
    <row r="244" ht="22.5" customHeight="1">
      <c r="B244" s="6">
        <v>243.0</v>
      </c>
      <c r="C244" s="6">
        <v>52055.0</v>
      </c>
      <c r="D244" s="6">
        <v>1.36</v>
      </c>
      <c r="E244" s="6">
        <v>-0.21</v>
      </c>
      <c r="F244" s="6">
        <v>10.58</v>
      </c>
      <c r="G244" s="6">
        <v>-0.1</v>
      </c>
      <c r="H244" s="6">
        <v>-0.03</v>
      </c>
      <c r="I244" s="6">
        <v>-0.01</v>
      </c>
      <c r="J244" s="6">
        <v>33.35</v>
      </c>
      <c r="K244" s="7">
        <f t="shared" ref="K244:P244" si="430">abs(D244-D243)/200</f>
        <v>0.00005</v>
      </c>
      <c r="L244" s="7">
        <f t="shared" si="430"/>
        <v>0.00015</v>
      </c>
      <c r="M244" s="7">
        <f t="shared" si="430"/>
        <v>0.0004</v>
      </c>
      <c r="N244" s="7">
        <f t="shared" si="430"/>
        <v>0</v>
      </c>
      <c r="O244" s="7">
        <f t="shared" si="430"/>
        <v>0.00015</v>
      </c>
      <c r="P244" s="7">
        <f t="shared" si="430"/>
        <v>0</v>
      </c>
      <c r="Q244" s="7">
        <f t="shared" si="7"/>
        <v>0.004382128606</v>
      </c>
      <c r="R244" s="7">
        <f t="shared" si="8"/>
        <v>0.07753165208</v>
      </c>
      <c r="S244" s="7">
        <f t="shared" si="2"/>
        <v>0.8691189889</v>
      </c>
      <c r="T244" s="7">
        <f t="shared" si="3"/>
        <v>0.1048808848</v>
      </c>
      <c r="U244" s="7">
        <f t="shared" si="4"/>
        <v>1</v>
      </c>
      <c r="V244" s="7">
        <f t="shared" si="5"/>
        <v>0</v>
      </c>
      <c r="W244" s="7">
        <f t="shared" ref="W244:X244" si="431">IF(AVERAGE(U184:U243) &gt; 0.25, 1, 0)</f>
        <v>1</v>
      </c>
      <c r="X244" s="7">
        <f t="shared" si="431"/>
        <v>1</v>
      </c>
      <c r="Y244" s="8">
        <v>1.0</v>
      </c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</row>
    <row r="245" ht="22.5" customHeight="1">
      <c r="B245" s="6">
        <v>244.0</v>
      </c>
      <c r="C245" s="6">
        <v>52259.0</v>
      </c>
      <c r="D245" s="6">
        <v>0.04</v>
      </c>
      <c r="E245" s="6">
        <v>2.41</v>
      </c>
      <c r="F245" s="6">
        <v>10.63</v>
      </c>
      <c r="G245" s="6">
        <v>-0.06</v>
      </c>
      <c r="H245" s="6">
        <v>-0.21</v>
      </c>
      <c r="I245" s="6">
        <v>-0.67</v>
      </c>
      <c r="J245" s="6">
        <v>33.37</v>
      </c>
      <c r="K245" s="7">
        <f t="shared" ref="K245:P245" si="432">abs(D245-D244)/200</f>
        <v>0.0066</v>
      </c>
      <c r="L245" s="7">
        <f t="shared" si="432"/>
        <v>0.0131</v>
      </c>
      <c r="M245" s="7">
        <f t="shared" si="432"/>
        <v>0.00025</v>
      </c>
      <c r="N245" s="7">
        <f t="shared" si="432"/>
        <v>0.0002</v>
      </c>
      <c r="O245" s="7">
        <f t="shared" si="432"/>
        <v>0.0009</v>
      </c>
      <c r="P245" s="7">
        <f t="shared" si="432"/>
        <v>0.0033</v>
      </c>
      <c r="Q245" s="7">
        <f t="shared" si="7"/>
        <v>0.5998176323</v>
      </c>
      <c r="R245" s="7">
        <f t="shared" si="8"/>
        <v>0.2307250466</v>
      </c>
      <c r="S245" s="7">
        <f t="shared" si="2"/>
        <v>1.099844036</v>
      </c>
      <c r="T245" s="7">
        <f t="shared" si="3"/>
        <v>0.7046985171</v>
      </c>
      <c r="U245" s="7">
        <f t="shared" si="4"/>
        <v>1</v>
      </c>
      <c r="V245" s="7">
        <f t="shared" si="5"/>
        <v>1</v>
      </c>
      <c r="W245" s="7">
        <f t="shared" ref="W245:X245" si="433">IF(AVERAGE(U185:U244) &gt; 0.25, 1, 0)</f>
        <v>1</v>
      </c>
      <c r="X245" s="7">
        <f t="shared" si="433"/>
        <v>1</v>
      </c>
      <c r="Y245" s="8">
        <v>1.0</v>
      </c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</row>
    <row r="246" ht="22.5" customHeight="1">
      <c r="B246" s="6">
        <v>245.0</v>
      </c>
      <c r="C246" s="6">
        <v>52463.0</v>
      </c>
      <c r="D246" s="6">
        <v>1.54</v>
      </c>
      <c r="E246" s="6">
        <v>-0.27</v>
      </c>
      <c r="F246" s="6">
        <v>10.52</v>
      </c>
      <c r="G246" s="6">
        <v>-0.03</v>
      </c>
      <c r="H246" s="6">
        <v>-0.29</v>
      </c>
      <c r="I246" s="6">
        <v>-0.04</v>
      </c>
      <c r="J246" s="6">
        <v>33.36</v>
      </c>
      <c r="K246" s="7">
        <f t="shared" ref="K246:P246" si="434">abs(D246-D245)/200</f>
        <v>0.0075</v>
      </c>
      <c r="L246" s="7">
        <f t="shared" si="434"/>
        <v>0.0134</v>
      </c>
      <c r="M246" s="7">
        <f t="shared" si="434"/>
        <v>0.00055</v>
      </c>
      <c r="N246" s="7">
        <f t="shared" si="434"/>
        <v>0.00015</v>
      </c>
      <c r="O246" s="7">
        <f t="shared" si="434"/>
        <v>0.0004</v>
      </c>
      <c r="P246" s="7">
        <f t="shared" si="434"/>
        <v>0.00315</v>
      </c>
      <c r="Q246" s="7">
        <f t="shared" si="7"/>
        <v>0.4104197377</v>
      </c>
      <c r="R246" s="7">
        <f t="shared" si="8"/>
        <v>0.2642951546</v>
      </c>
      <c r="S246" s="7">
        <f t="shared" si="2"/>
        <v>0.835548881</v>
      </c>
      <c r="T246" s="7">
        <f t="shared" si="3"/>
        <v>0.2942787794</v>
      </c>
      <c r="U246" s="7">
        <f t="shared" si="4"/>
        <v>1</v>
      </c>
      <c r="V246" s="7">
        <f t="shared" si="5"/>
        <v>1</v>
      </c>
      <c r="W246" s="7">
        <f t="shared" ref="W246:X246" si="435">IF(AVERAGE(U186:U245) &gt; 0.25, 1, 0)</f>
        <v>1</v>
      </c>
      <c r="X246" s="7">
        <f t="shared" si="435"/>
        <v>1</v>
      </c>
      <c r="Y246" s="8">
        <v>1.0</v>
      </c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</row>
    <row r="247" ht="22.5" customHeight="1">
      <c r="B247" s="6">
        <v>246.0</v>
      </c>
      <c r="C247" s="6">
        <v>52667.0</v>
      </c>
      <c r="D247" s="6">
        <v>2.3</v>
      </c>
      <c r="E247" s="6">
        <v>-1.93</v>
      </c>
      <c r="F247" s="6">
        <v>10.71</v>
      </c>
      <c r="G247" s="6">
        <v>0.17</v>
      </c>
      <c r="H247" s="6">
        <v>0.23</v>
      </c>
      <c r="I247" s="6">
        <v>0.47</v>
      </c>
      <c r="J247" s="6">
        <v>33.35</v>
      </c>
      <c r="K247" s="7">
        <f t="shared" ref="K247:P247" si="436">abs(D247-D246)/200</f>
        <v>0.0038</v>
      </c>
      <c r="L247" s="7">
        <f t="shared" si="436"/>
        <v>0.0083</v>
      </c>
      <c r="M247" s="7">
        <f t="shared" si="436"/>
        <v>0.00095</v>
      </c>
      <c r="N247" s="7">
        <f t="shared" si="436"/>
        <v>0.001</v>
      </c>
      <c r="O247" s="7">
        <f t="shared" si="436"/>
        <v>0.0026</v>
      </c>
      <c r="P247" s="7">
        <f t="shared" si="436"/>
        <v>0.00255</v>
      </c>
      <c r="Q247" s="7">
        <f t="shared" si="7"/>
        <v>0.2559030087</v>
      </c>
      <c r="R247" s="7">
        <f t="shared" si="8"/>
        <v>0.487355416</v>
      </c>
      <c r="S247" s="7">
        <f t="shared" si="2"/>
        <v>1.322904297</v>
      </c>
      <c r="T247" s="7">
        <f t="shared" si="3"/>
        <v>0.5501817881</v>
      </c>
      <c r="U247" s="7">
        <f t="shared" si="4"/>
        <v>1</v>
      </c>
      <c r="V247" s="7">
        <f t="shared" si="5"/>
        <v>1</v>
      </c>
      <c r="W247" s="7">
        <f t="shared" ref="W247:X247" si="437">IF(AVERAGE(U187:U246) &gt; 0.25, 1, 0)</f>
        <v>1</v>
      </c>
      <c r="X247" s="7">
        <f t="shared" si="437"/>
        <v>1</v>
      </c>
      <c r="Y247" s="8">
        <v>1.0</v>
      </c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</row>
    <row r="248" ht="22.5" customHeight="1">
      <c r="B248" s="6">
        <v>247.0</v>
      </c>
      <c r="C248" s="6">
        <v>52871.0</v>
      </c>
      <c r="D248" s="6">
        <v>2.19</v>
      </c>
      <c r="E248" s="6">
        <v>-2.88</v>
      </c>
      <c r="F248" s="6">
        <v>10.42</v>
      </c>
      <c r="G248" s="6">
        <v>-0.06</v>
      </c>
      <c r="H248" s="6">
        <v>-0.21</v>
      </c>
      <c r="I248" s="6">
        <v>0.59</v>
      </c>
      <c r="J248" s="6">
        <v>33.35</v>
      </c>
      <c r="K248" s="7">
        <f t="shared" ref="K248:P248" si="438">abs(D248-D247)/200</f>
        <v>0.00055</v>
      </c>
      <c r="L248" s="7">
        <f t="shared" si="438"/>
        <v>0.00475</v>
      </c>
      <c r="M248" s="7">
        <f t="shared" si="438"/>
        <v>0.00145</v>
      </c>
      <c r="N248" s="7">
        <f t="shared" si="438"/>
        <v>0.00115</v>
      </c>
      <c r="O248" s="7">
        <f t="shared" si="438"/>
        <v>0.0022</v>
      </c>
      <c r="P248" s="7">
        <f t="shared" si="438"/>
        <v>0.0006</v>
      </c>
      <c r="Q248" s="7">
        <f t="shared" si="7"/>
        <v>0.07894459026</v>
      </c>
      <c r="R248" s="7">
        <f t="shared" si="8"/>
        <v>0.09263231485</v>
      </c>
      <c r="S248" s="7">
        <f t="shared" si="2"/>
        <v>1.230271982</v>
      </c>
      <c r="T248" s="7">
        <f t="shared" si="3"/>
        <v>0.6291263784</v>
      </c>
      <c r="U248" s="7">
        <f t="shared" si="4"/>
        <v>1</v>
      </c>
      <c r="V248" s="7">
        <f t="shared" si="5"/>
        <v>1</v>
      </c>
      <c r="W248" s="7">
        <f t="shared" ref="W248:X248" si="439">IF(AVERAGE(U188:U247) &gt; 0.25, 1, 0)</f>
        <v>1</v>
      </c>
      <c r="X248" s="7">
        <f t="shared" si="439"/>
        <v>1</v>
      </c>
      <c r="Y248" s="8">
        <v>1.0</v>
      </c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</row>
    <row r="249" ht="22.5" customHeight="1">
      <c r="B249" s="6">
        <v>248.0</v>
      </c>
      <c r="C249" s="6">
        <v>53075.0</v>
      </c>
      <c r="D249" s="6">
        <v>1.77</v>
      </c>
      <c r="E249" s="6">
        <v>-0.62</v>
      </c>
      <c r="F249" s="6">
        <v>10.88</v>
      </c>
      <c r="G249" s="6">
        <v>-0.32</v>
      </c>
      <c r="H249" s="6">
        <v>-0.17</v>
      </c>
      <c r="I249" s="6">
        <v>-0.45</v>
      </c>
      <c r="J249" s="6">
        <v>33.35</v>
      </c>
      <c r="K249" s="7">
        <f t="shared" ref="K249:P249" si="440">abs(D249-D248)/200</f>
        <v>0.0021</v>
      </c>
      <c r="L249" s="7">
        <f t="shared" si="440"/>
        <v>0.0113</v>
      </c>
      <c r="M249" s="7">
        <f t="shared" si="440"/>
        <v>0.0023</v>
      </c>
      <c r="N249" s="7">
        <f t="shared" si="440"/>
        <v>0.0013</v>
      </c>
      <c r="O249" s="7">
        <f t="shared" si="440"/>
        <v>0.0002</v>
      </c>
      <c r="P249" s="7">
        <f t="shared" si="440"/>
        <v>0.0052</v>
      </c>
      <c r="Q249" s="7">
        <f t="shared" si="7"/>
        <v>0.05137210537</v>
      </c>
      <c r="R249" s="7">
        <f t="shared" si="8"/>
        <v>0.01018543592</v>
      </c>
      <c r="S249" s="7">
        <f t="shared" si="2"/>
        <v>1.240457418</v>
      </c>
      <c r="T249" s="7">
        <f t="shared" si="3"/>
        <v>0.577754273</v>
      </c>
      <c r="U249" s="7">
        <f t="shared" si="4"/>
        <v>1</v>
      </c>
      <c r="V249" s="7">
        <f t="shared" si="5"/>
        <v>1</v>
      </c>
      <c r="W249" s="7">
        <f t="shared" ref="W249:X249" si="441">IF(AVERAGE(U189:U248) &gt; 0.25, 1, 0)</f>
        <v>1</v>
      </c>
      <c r="X249" s="7">
        <f t="shared" si="441"/>
        <v>1</v>
      </c>
      <c r="Y249" s="8">
        <v>1.0</v>
      </c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</row>
    <row r="250" ht="22.5" customHeight="1">
      <c r="B250" s="6">
        <v>249.0</v>
      </c>
      <c r="C250" s="6">
        <v>53279.0</v>
      </c>
      <c r="D250" s="6">
        <v>1.14</v>
      </c>
      <c r="E250" s="6">
        <v>0.3</v>
      </c>
      <c r="F250" s="6">
        <v>10.78</v>
      </c>
      <c r="G250" s="6">
        <v>-0.24</v>
      </c>
      <c r="H250" s="6">
        <v>0.06</v>
      </c>
      <c r="I250" s="6">
        <v>-0.64</v>
      </c>
      <c r="J250" s="6">
        <v>33.37</v>
      </c>
      <c r="K250" s="7">
        <f t="shared" ref="K250:P250" si="442">abs(D250-D249)/200</f>
        <v>0.00315</v>
      </c>
      <c r="L250" s="7">
        <f t="shared" si="442"/>
        <v>0.0046</v>
      </c>
      <c r="M250" s="7">
        <f t="shared" si="442"/>
        <v>0.0005</v>
      </c>
      <c r="N250" s="7">
        <f t="shared" si="442"/>
        <v>0.0004</v>
      </c>
      <c r="O250" s="7">
        <f t="shared" si="442"/>
        <v>0.00115</v>
      </c>
      <c r="P250" s="7">
        <f t="shared" si="442"/>
        <v>0.00095</v>
      </c>
      <c r="Q250" s="7">
        <f t="shared" si="7"/>
        <v>0.1083943989</v>
      </c>
      <c r="R250" s="7">
        <f t="shared" si="8"/>
        <v>0.196196263</v>
      </c>
      <c r="S250" s="7">
        <f t="shared" si="2"/>
        <v>1.044261155</v>
      </c>
      <c r="T250" s="7">
        <f t="shared" si="3"/>
        <v>0.6861486719</v>
      </c>
      <c r="U250" s="7">
        <f t="shared" si="4"/>
        <v>1</v>
      </c>
      <c r="V250" s="7">
        <f t="shared" si="5"/>
        <v>1</v>
      </c>
      <c r="W250" s="7">
        <f t="shared" ref="W250:X250" si="443">IF(AVERAGE(U190:U249) &gt; 0.25, 1, 0)</f>
        <v>1</v>
      </c>
      <c r="X250" s="7">
        <f t="shared" si="443"/>
        <v>1</v>
      </c>
      <c r="Y250" s="8">
        <v>1.0</v>
      </c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</row>
    <row r="251" ht="22.5" customHeight="1">
      <c r="B251" s="6">
        <v>250.0</v>
      </c>
      <c r="C251" s="6">
        <v>53483.0</v>
      </c>
      <c r="D251" s="6">
        <v>1.18</v>
      </c>
      <c r="E251" s="6">
        <v>1.54</v>
      </c>
      <c r="F251" s="6">
        <v>10.62</v>
      </c>
      <c r="G251" s="6">
        <v>-0.15</v>
      </c>
      <c r="H251" s="6">
        <v>0.13</v>
      </c>
      <c r="I251" s="6">
        <v>-0.11</v>
      </c>
      <c r="J251" s="6">
        <v>33.36</v>
      </c>
      <c r="K251" s="7">
        <f t="shared" ref="K251:P251" si="444">abs(D251-D250)/200</f>
        <v>0.0002</v>
      </c>
      <c r="L251" s="7">
        <f t="shared" si="444"/>
        <v>0.0062</v>
      </c>
      <c r="M251" s="7">
        <f t="shared" si="444"/>
        <v>0.0008</v>
      </c>
      <c r="N251" s="7">
        <f t="shared" si="444"/>
        <v>0.00045</v>
      </c>
      <c r="O251" s="7">
        <f t="shared" si="444"/>
        <v>0.00035</v>
      </c>
      <c r="P251" s="7">
        <f t="shared" si="444"/>
        <v>0.00265</v>
      </c>
      <c r="Q251" s="7">
        <f t="shared" si="7"/>
        <v>0.4592125576</v>
      </c>
      <c r="R251" s="7">
        <f t="shared" si="8"/>
        <v>0.04850272875</v>
      </c>
      <c r="S251" s="7">
        <f t="shared" si="2"/>
        <v>0.9957584263</v>
      </c>
      <c r="T251" s="7">
        <f t="shared" si="3"/>
        <v>0.2269361144</v>
      </c>
      <c r="U251" s="7">
        <f t="shared" si="4"/>
        <v>1</v>
      </c>
      <c r="V251" s="7">
        <f t="shared" si="5"/>
        <v>1</v>
      </c>
      <c r="W251" s="7">
        <f t="shared" ref="W251:X251" si="445">IF(AVERAGE(U191:U250) &gt; 0.25, 1, 0)</f>
        <v>1</v>
      </c>
      <c r="X251" s="7">
        <f t="shared" si="445"/>
        <v>1</v>
      </c>
      <c r="Y251" s="8">
        <v>1.0</v>
      </c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</row>
    <row r="252" ht="22.5" customHeight="1">
      <c r="B252" s="6">
        <v>251.0</v>
      </c>
      <c r="C252" s="6">
        <v>53687.0</v>
      </c>
      <c r="D252" s="6">
        <v>1.31</v>
      </c>
      <c r="E252" s="6">
        <v>0.48</v>
      </c>
      <c r="F252" s="6">
        <v>10.58</v>
      </c>
      <c r="G252" s="6">
        <v>-0.15</v>
      </c>
      <c r="H252" s="6">
        <v>0.02</v>
      </c>
      <c r="I252" s="6">
        <v>-0.1</v>
      </c>
      <c r="J252" s="6">
        <v>33.36</v>
      </c>
      <c r="K252" s="7">
        <f t="shared" ref="K252:P252" si="446">abs(D252-D251)/200</f>
        <v>0.00065</v>
      </c>
      <c r="L252" s="7">
        <f t="shared" si="446"/>
        <v>0.0053</v>
      </c>
      <c r="M252" s="7">
        <f t="shared" si="446"/>
        <v>0.0002</v>
      </c>
      <c r="N252" s="7">
        <f t="shared" si="446"/>
        <v>0</v>
      </c>
      <c r="O252" s="7">
        <f t="shared" si="446"/>
        <v>0.00055</v>
      </c>
      <c r="P252" s="7">
        <f t="shared" si="446"/>
        <v>0.00005</v>
      </c>
      <c r="Q252" s="7">
        <f t="shared" si="7"/>
        <v>0.04555254289</v>
      </c>
      <c r="R252" s="7">
        <f t="shared" si="8"/>
        <v>0.1241652932</v>
      </c>
      <c r="S252" s="7">
        <f t="shared" si="2"/>
        <v>0.8715931332</v>
      </c>
      <c r="T252" s="7">
        <f t="shared" si="3"/>
        <v>0.1813835715</v>
      </c>
      <c r="U252" s="7">
        <f t="shared" si="4"/>
        <v>1</v>
      </c>
      <c r="V252" s="7">
        <f t="shared" si="5"/>
        <v>1</v>
      </c>
      <c r="W252" s="7">
        <f t="shared" ref="W252:X252" si="447">IF(AVERAGE(U192:U251) &gt; 0.25, 1, 0)</f>
        <v>1</v>
      </c>
      <c r="X252" s="7">
        <f t="shared" si="447"/>
        <v>1</v>
      </c>
      <c r="Y252" s="8">
        <v>1.0</v>
      </c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</row>
    <row r="253" ht="22.5" customHeight="1">
      <c r="B253" s="6">
        <v>252.0</v>
      </c>
      <c r="C253" s="6">
        <v>53891.0</v>
      </c>
      <c r="D253" s="6">
        <v>1.07</v>
      </c>
      <c r="E253" s="6">
        <v>1.53</v>
      </c>
      <c r="F253" s="6">
        <v>10.59</v>
      </c>
      <c r="G253" s="6">
        <v>-0.08</v>
      </c>
      <c r="H253" s="6">
        <v>0.01</v>
      </c>
      <c r="I253" s="6">
        <v>-0.34</v>
      </c>
      <c r="J253" s="6">
        <v>33.36</v>
      </c>
      <c r="K253" s="7">
        <f t="shared" ref="K253:P253" si="448">abs(D253-D252)/200</f>
        <v>0.0012</v>
      </c>
      <c r="L253" s="7">
        <f t="shared" si="448"/>
        <v>0.00525</v>
      </c>
      <c r="M253" s="7">
        <f t="shared" si="448"/>
        <v>0.00005</v>
      </c>
      <c r="N253" s="7">
        <f t="shared" si="448"/>
        <v>0.00035</v>
      </c>
      <c r="O253" s="7">
        <f t="shared" si="448"/>
        <v>0.00005</v>
      </c>
      <c r="P253" s="7">
        <f t="shared" si="448"/>
        <v>0.0012</v>
      </c>
      <c r="Q253" s="7">
        <f t="shared" si="7"/>
        <v>0.1680445327</v>
      </c>
      <c r="R253" s="7">
        <f t="shared" si="8"/>
        <v>0.08172728426</v>
      </c>
      <c r="S253" s="7">
        <f t="shared" si="2"/>
        <v>0.9533204174</v>
      </c>
      <c r="T253" s="7">
        <f t="shared" si="3"/>
        <v>0.3494281042</v>
      </c>
      <c r="U253" s="7">
        <f t="shared" si="4"/>
        <v>1</v>
      </c>
      <c r="V253" s="7">
        <f t="shared" si="5"/>
        <v>1</v>
      </c>
      <c r="W253" s="7">
        <f t="shared" ref="W253:X253" si="449">IF(AVERAGE(U193:U252) &gt; 0.25, 1, 0)</f>
        <v>1</v>
      </c>
      <c r="X253" s="7">
        <f t="shared" si="449"/>
        <v>1</v>
      </c>
      <c r="Y253" s="8">
        <v>1.0</v>
      </c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</row>
    <row r="254" ht="22.5" customHeight="1">
      <c r="B254" s="6">
        <v>253.0</v>
      </c>
      <c r="C254" s="6">
        <v>54095.0</v>
      </c>
      <c r="D254" s="6">
        <v>1.54</v>
      </c>
      <c r="E254" s="6">
        <v>0.79</v>
      </c>
      <c r="F254" s="6">
        <v>10.64</v>
      </c>
      <c r="G254" s="6">
        <v>-0.01</v>
      </c>
      <c r="H254" s="6">
        <v>0.05</v>
      </c>
      <c r="I254" s="6">
        <v>0.0</v>
      </c>
      <c r="J254" s="6">
        <v>33.35</v>
      </c>
      <c r="K254" s="7">
        <f t="shared" ref="K254:P254" si="450">abs(D254-D253)/200</f>
        <v>0.00235</v>
      </c>
      <c r="L254" s="7">
        <f t="shared" si="450"/>
        <v>0.0037</v>
      </c>
      <c r="M254" s="7">
        <f t="shared" si="450"/>
        <v>0.00025</v>
      </c>
      <c r="N254" s="7">
        <f t="shared" si="450"/>
        <v>0.00035</v>
      </c>
      <c r="O254" s="7">
        <f t="shared" si="450"/>
        <v>0.0002</v>
      </c>
      <c r="P254" s="7">
        <f t="shared" si="450"/>
        <v>0.0017</v>
      </c>
      <c r="Q254" s="7">
        <f t="shared" si="7"/>
        <v>0.2984379091</v>
      </c>
      <c r="R254" s="7">
        <f t="shared" si="8"/>
        <v>0.02653579682</v>
      </c>
      <c r="S254" s="7">
        <f t="shared" si="2"/>
        <v>0.9798562143</v>
      </c>
      <c r="T254" s="7">
        <f t="shared" si="3"/>
        <v>0.05099019514</v>
      </c>
      <c r="U254" s="7">
        <f t="shared" si="4"/>
        <v>1</v>
      </c>
      <c r="V254" s="7">
        <f t="shared" si="5"/>
        <v>1</v>
      </c>
      <c r="W254" s="7">
        <f t="shared" ref="W254:X254" si="451">IF(AVERAGE(U194:U253) &gt; 0.25, 1, 0)</f>
        <v>1</v>
      </c>
      <c r="X254" s="7">
        <f t="shared" si="451"/>
        <v>1</v>
      </c>
      <c r="Y254" s="8">
        <v>1.0</v>
      </c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</row>
    <row r="255" ht="22.5" customHeight="1">
      <c r="B255" s="6">
        <v>254.0</v>
      </c>
      <c r="C255" s="6">
        <v>54299.0</v>
      </c>
      <c r="D255" s="6">
        <v>1.57</v>
      </c>
      <c r="E255" s="6">
        <v>-1.05</v>
      </c>
      <c r="F255" s="6">
        <v>10.77</v>
      </c>
      <c r="G255" s="6">
        <v>0.02</v>
      </c>
      <c r="H255" s="6">
        <v>0.03</v>
      </c>
      <c r="I255" s="6">
        <v>0.07</v>
      </c>
      <c r="J255" s="6">
        <v>33.36</v>
      </c>
      <c r="K255" s="7">
        <f t="shared" ref="K255:P255" si="452">abs(D255-D254)/200</f>
        <v>0.00015</v>
      </c>
      <c r="L255" s="7">
        <f t="shared" si="452"/>
        <v>0.0092</v>
      </c>
      <c r="M255" s="7">
        <f t="shared" si="452"/>
        <v>0.00065</v>
      </c>
      <c r="N255" s="7">
        <f t="shared" si="452"/>
        <v>0.00015</v>
      </c>
      <c r="O255" s="7">
        <f t="shared" si="452"/>
        <v>0.0001</v>
      </c>
      <c r="P255" s="7">
        <f t="shared" si="452"/>
        <v>0.00035</v>
      </c>
      <c r="Q255" s="7">
        <f t="shared" si="7"/>
        <v>0.0277498836</v>
      </c>
      <c r="R255" s="7">
        <f t="shared" si="8"/>
        <v>0.1545070502</v>
      </c>
      <c r="S255" s="7">
        <f t="shared" si="2"/>
        <v>1.134363264</v>
      </c>
      <c r="T255" s="7">
        <f t="shared" si="3"/>
        <v>0.07874007874</v>
      </c>
      <c r="U255" s="7">
        <f t="shared" si="4"/>
        <v>1</v>
      </c>
      <c r="V255" s="7">
        <f t="shared" si="5"/>
        <v>1</v>
      </c>
      <c r="W255" s="7">
        <f t="shared" ref="W255:X255" si="453">IF(AVERAGE(U195:U254) &gt; 0.25, 1, 0)</f>
        <v>1</v>
      </c>
      <c r="X255" s="7">
        <f t="shared" si="453"/>
        <v>1</v>
      </c>
      <c r="Y255" s="8">
        <v>1.0</v>
      </c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</row>
    <row r="256" ht="22.5" customHeight="1">
      <c r="B256" s="6">
        <v>255.0</v>
      </c>
      <c r="C256" s="6">
        <v>54503.0</v>
      </c>
      <c r="D256" s="6">
        <v>2.03</v>
      </c>
      <c r="E256" s="6">
        <v>-1.51</v>
      </c>
      <c r="F256" s="6">
        <v>10.67</v>
      </c>
      <c r="G256" s="6">
        <v>-0.08</v>
      </c>
      <c r="H256" s="6">
        <v>-0.03</v>
      </c>
      <c r="I256" s="6">
        <v>0.0</v>
      </c>
      <c r="J256" s="6">
        <v>33.36</v>
      </c>
      <c r="K256" s="7">
        <f t="shared" ref="K256:P256" si="454">abs(D256-D255)/200</f>
        <v>0.0023</v>
      </c>
      <c r="L256" s="7">
        <f t="shared" si="454"/>
        <v>0.0023</v>
      </c>
      <c r="M256" s="7">
        <f t="shared" si="454"/>
        <v>0.0005</v>
      </c>
      <c r="N256" s="7">
        <f t="shared" si="454"/>
        <v>0.0005</v>
      </c>
      <c r="O256" s="7">
        <f t="shared" si="454"/>
        <v>0.0003</v>
      </c>
      <c r="P256" s="7">
        <f t="shared" si="454"/>
        <v>0.00035</v>
      </c>
      <c r="Q256" s="7">
        <f t="shared" si="7"/>
        <v>0.006699958713</v>
      </c>
      <c r="R256" s="7">
        <f t="shared" si="8"/>
        <v>0.03148827562</v>
      </c>
      <c r="S256" s="7">
        <f t="shared" si="2"/>
        <v>1.16585154</v>
      </c>
      <c r="T256" s="7">
        <f t="shared" si="3"/>
        <v>0.08544003745</v>
      </c>
      <c r="U256" s="7">
        <f t="shared" si="4"/>
        <v>1</v>
      </c>
      <c r="V256" s="7">
        <f t="shared" si="5"/>
        <v>1</v>
      </c>
      <c r="W256" s="7">
        <f t="shared" ref="W256:X256" si="455">IF(AVERAGE(U196:U255) &gt; 0.25, 1, 0)</f>
        <v>1</v>
      </c>
      <c r="X256" s="7">
        <f t="shared" si="455"/>
        <v>1</v>
      </c>
      <c r="Y256" s="8">
        <v>1.0</v>
      </c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</row>
    <row r="257" ht="22.5" customHeight="1">
      <c r="B257" s="6">
        <v>256.0</v>
      </c>
      <c r="C257" s="6">
        <v>54707.0</v>
      </c>
      <c r="D257" s="6">
        <v>2.3</v>
      </c>
      <c r="E257" s="6">
        <v>-1.16</v>
      </c>
      <c r="F257" s="6">
        <v>10.55</v>
      </c>
      <c r="G257" s="6">
        <v>-0.16</v>
      </c>
      <c r="H257" s="6">
        <v>-0.04</v>
      </c>
      <c r="I257" s="6">
        <v>-0.12</v>
      </c>
      <c r="J257" s="6">
        <v>33.37</v>
      </c>
      <c r="K257" s="7">
        <f t="shared" ref="K257:P257" si="456">abs(D257-D256)/200</f>
        <v>0.00135</v>
      </c>
      <c r="L257" s="7">
        <f t="shared" si="456"/>
        <v>0.00175</v>
      </c>
      <c r="M257" s="7">
        <f t="shared" si="456"/>
        <v>0.0006</v>
      </c>
      <c r="N257" s="7">
        <f t="shared" si="456"/>
        <v>0.0004</v>
      </c>
      <c r="O257" s="7">
        <f t="shared" si="456"/>
        <v>0.00005</v>
      </c>
      <c r="P257" s="7">
        <f t="shared" si="456"/>
        <v>0.0006</v>
      </c>
      <c r="Q257" s="7">
        <f t="shared" si="7"/>
        <v>0.1185207431</v>
      </c>
      <c r="R257" s="7">
        <f t="shared" si="8"/>
        <v>0.1059206011</v>
      </c>
      <c r="S257" s="7">
        <f t="shared" si="2"/>
        <v>1.059930939</v>
      </c>
      <c r="T257" s="7">
        <f t="shared" si="3"/>
        <v>0.2039607805</v>
      </c>
      <c r="U257" s="7">
        <f t="shared" si="4"/>
        <v>1</v>
      </c>
      <c r="V257" s="7">
        <f t="shared" si="5"/>
        <v>1</v>
      </c>
      <c r="W257" s="7">
        <f t="shared" ref="W257:X257" si="457">IF(AVERAGE(U197:U256) &gt; 0.25, 1, 0)</f>
        <v>1</v>
      </c>
      <c r="X257" s="7">
        <f t="shared" si="457"/>
        <v>1</v>
      </c>
      <c r="Y257" s="8">
        <v>1.0</v>
      </c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</row>
    <row r="258" ht="22.5" customHeight="1">
      <c r="B258" s="6">
        <v>257.0</v>
      </c>
      <c r="C258" s="6">
        <v>54911.0</v>
      </c>
      <c r="D258" s="6">
        <v>1.57</v>
      </c>
      <c r="E258" s="6">
        <v>-0.15</v>
      </c>
      <c r="F258" s="6">
        <v>10.69</v>
      </c>
      <c r="G258" s="6">
        <v>-0.28</v>
      </c>
      <c r="H258" s="6">
        <v>0.1</v>
      </c>
      <c r="I258" s="6">
        <v>-0.66</v>
      </c>
      <c r="J258" s="6">
        <v>33.36</v>
      </c>
      <c r="K258" s="7">
        <f t="shared" ref="K258:P258" si="458">abs(D258-D257)/200</f>
        <v>0.00365</v>
      </c>
      <c r="L258" s="7">
        <f t="shared" si="458"/>
        <v>0.00505</v>
      </c>
      <c r="M258" s="7">
        <f t="shared" si="458"/>
        <v>0.0007</v>
      </c>
      <c r="N258" s="7">
        <f t="shared" si="458"/>
        <v>0.0006</v>
      </c>
      <c r="O258" s="7">
        <f t="shared" si="458"/>
        <v>0.0007</v>
      </c>
      <c r="P258" s="7">
        <f t="shared" si="458"/>
        <v>0.0027</v>
      </c>
      <c r="Q258" s="7">
        <f t="shared" si="7"/>
        <v>0.5199176623</v>
      </c>
      <c r="R258" s="7">
        <f t="shared" si="8"/>
        <v>0.05421485908</v>
      </c>
      <c r="S258" s="7">
        <f t="shared" si="2"/>
        <v>1.00571608</v>
      </c>
      <c r="T258" s="7">
        <f t="shared" si="3"/>
        <v>0.7238784428</v>
      </c>
      <c r="U258" s="7">
        <f t="shared" si="4"/>
        <v>1</v>
      </c>
      <c r="V258" s="7">
        <f t="shared" si="5"/>
        <v>1</v>
      </c>
      <c r="W258" s="7">
        <f t="shared" ref="W258:X258" si="459">IF(AVERAGE(U198:U257) &gt; 0.25, 1, 0)</f>
        <v>1</v>
      </c>
      <c r="X258" s="7">
        <f t="shared" si="459"/>
        <v>1</v>
      </c>
      <c r="Y258" s="8">
        <v>1.0</v>
      </c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</row>
    <row r="259" ht="22.5" customHeight="1">
      <c r="B259" s="6">
        <v>258.0</v>
      </c>
      <c r="C259" s="6">
        <v>55115.0</v>
      </c>
      <c r="D259" s="6">
        <v>0.31</v>
      </c>
      <c r="E259" s="6">
        <v>0.91</v>
      </c>
      <c r="F259" s="6">
        <v>10.83</v>
      </c>
      <c r="G259" s="6">
        <v>-0.22</v>
      </c>
      <c r="H259" s="6">
        <v>-0.08</v>
      </c>
      <c r="I259" s="6">
        <v>-0.44</v>
      </c>
      <c r="J259" s="6">
        <v>33.36</v>
      </c>
      <c r="K259" s="7">
        <f t="shared" ref="K259:P259" si="460">abs(D259-D258)/200</f>
        <v>0.0063</v>
      </c>
      <c r="L259" s="7">
        <f t="shared" si="460"/>
        <v>0.0053</v>
      </c>
      <c r="M259" s="7">
        <f t="shared" si="460"/>
        <v>0.0007</v>
      </c>
      <c r="N259" s="7">
        <f t="shared" si="460"/>
        <v>0.0003</v>
      </c>
      <c r="O259" s="7">
        <f t="shared" si="460"/>
        <v>0.0009</v>
      </c>
      <c r="P259" s="7">
        <f t="shared" si="460"/>
        <v>0.0011</v>
      </c>
      <c r="Q259" s="7">
        <f t="shared" si="7"/>
        <v>0.2254810111</v>
      </c>
      <c r="R259" s="7">
        <f t="shared" si="8"/>
        <v>0.06686870935</v>
      </c>
      <c r="S259" s="7">
        <f t="shared" si="2"/>
        <v>1.072584789</v>
      </c>
      <c r="T259" s="7">
        <f t="shared" si="3"/>
        <v>0.4983974318</v>
      </c>
      <c r="U259" s="7">
        <f t="shared" si="4"/>
        <v>1</v>
      </c>
      <c r="V259" s="7">
        <f t="shared" si="5"/>
        <v>1</v>
      </c>
      <c r="W259" s="7">
        <f t="shared" ref="W259:X259" si="461">IF(AVERAGE(U199:U258) &gt; 0.25, 1, 0)</f>
        <v>1</v>
      </c>
      <c r="X259" s="7">
        <f t="shared" si="461"/>
        <v>1</v>
      </c>
      <c r="Y259" s="8">
        <v>1.0</v>
      </c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</row>
    <row r="260" ht="22.5" customHeight="1">
      <c r="B260" s="6">
        <v>259.0</v>
      </c>
      <c r="C260" s="6">
        <v>55319.0</v>
      </c>
      <c r="D260" s="6">
        <v>1.09</v>
      </c>
      <c r="E260" s="6">
        <v>0.79</v>
      </c>
      <c r="F260" s="6">
        <v>10.81</v>
      </c>
      <c r="G260" s="6">
        <v>-0.13</v>
      </c>
      <c r="H260" s="6">
        <v>-0.18</v>
      </c>
      <c r="I260" s="6">
        <v>-0.27</v>
      </c>
      <c r="J260" s="6">
        <v>33.36</v>
      </c>
      <c r="K260" s="7">
        <f t="shared" ref="K260:P260" si="462">abs(D260-D259)/200</f>
        <v>0.0039</v>
      </c>
      <c r="L260" s="7">
        <f t="shared" si="462"/>
        <v>0.0006</v>
      </c>
      <c r="M260" s="7">
        <f t="shared" si="462"/>
        <v>0.0001</v>
      </c>
      <c r="N260" s="7">
        <f t="shared" si="462"/>
        <v>0.00045</v>
      </c>
      <c r="O260" s="7">
        <f t="shared" si="462"/>
        <v>0.0005</v>
      </c>
      <c r="P260" s="7">
        <f t="shared" si="462"/>
        <v>0.00085</v>
      </c>
      <c r="Q260" s="7">
        <f t="shared" si="7"/>
        <v>0.1488262659</v>
      </c>
      <c r="R260" s="7">
        <f t="shared" si="8"/>
        <v>0.02091327149</v>
      </c>
      <c r="S260" s="7">
        <f t="shared" si="2"/>
        <v>1.093498061</v>
      </c>
      <c r="T260" s="7">
        <f t="shared" si="3"/>
        <v>0.3495711659</v>
      </c>
      <c r="U260" s="7">
        <f t="shared" si="4"/>
        <v>1</v>
      </c>
      <c r="V260" s="7">
        <f t="shared" si="5"/>
        <v>1</v>
      </c>
      <c r="W260" s="7">
        <f t="shared" ref="W260:X260" si="463">IF(AVERAGE(U200:U259) &gt; 0.25, 1, 0)</f>
        <v>1</v>
      </c>
      <c r="X260" s="7">
        <f t="shared" si="463"/>
        <v>1</v>
      </c>
      <c r="Y260" s="8">
        <v>1.0</v>
      </c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</row>
    <row r="261" ht="22.5" customHeight="1">
      <c r="B261" s="6">
        <v>260.0</v>
      </c>
      <c r="C261" s="6">
        <v>55523.0</v>
      </c>
      <c r="D261" s="6">
        <v>1.43</v>
      </c>
      <c r="E261" s="6">
        <v>-0.17</v>
      </c>
      <c r="F261" s="6">
        <v>10.85</v>
      </c>
      <c r="G261" s="6">
        <v>-0.19</v>
      </c>
      <c r="H261" s="6">
        <v>0.29</v>
      </c>
      <c r="I261" s="6">
        <v>-0.01</v>
      </c>
      <c r="J261" s="6">
        <v>33.37</v>
      </c>
      <c r="K261" s="7">
        <f t="shared" ref="K261:P261" si="464">abs(D261-D260)/200</f>
        <v>0.0017</v>
      </c>
      <c r="L261" s="7">
        <f t="shared" si="464"/>
        <v>0.0048</v>
      </c>
      <c r="M261" s="7">
        <f t="shared" si="464"/>
        <v>0.0002</v>
      </c>
      <c r="N261" s="7">
        <f t="shared" si="464"/>
        <v>0.0003</v>
      </c>
      <c r="O261" s="7">
        <f t="shared" si="464"/>
        <v>0.00235</v>
      </c>
      <c r="P261" s="7">
        <f t="shared" si="464"/>
        <v>0.0013</v>
      </c>
      <c r="Q261" s="7">
        <f t="shared" si="7"/>
        <v>0.002728261938</v>
      </c>
      <c r="R261" s="7">
        <f t="shared" si="8"/>
        <v>0.0516515499</v>
      </c>
      <c r="S261" s="7">
        <f t="shared" si="2"/>
        <v>1.145149611</v>
      </c>
      <c r="T261" s="7">
        <f t="shared" si="3"/>
        <v>0.3468429039</v>
      </c>
      <c r="U261" s="7">
        <f t="shared" si="4"/>
        <v>1</v>
      </c>
      <c r="V261" s="7">
        <f t="shared" si="5"/>
        <v>1</v>
      </c>
      <c r="W261" s="7">
        <f t="shared" ref="W261:X261" si="465">IF(AVERAGE(U201:U260) &gt; 0.25, 1, 0)</f>
        <v>1</v>
      </c>
      <c r="X261" s="7">
        <f t="shared" si="465"/>
        <v>1</v>
      </c>
      <c r="Y261" s="8">
        <v>1.0</v>
      </c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</row>
    <row r="262" ht="22.5" customHeight="1">
      <c r="B262" s="6">
        <v>261.0</v>
      </c>
      <c r="C262" s="6">
        <v>55727.0</v>
      </c>
      <c r="D262" s="6">
        <v>1.36</v>
      </c>
      <c r="E262" s="6">
        <v>-0.21</v>
      </c>
      <c r="F262" s="6">
        <v>10.68</v>
      </c>
      <c r="G262" s="6">
        <v>-0.1</v>
      </c>
      <c r="H262" s="6">
        <v>0.0</v>
      </c>
      <c r="I262" s="6">
        <v>-0.01</v>
      </c>
      <c r="J262" s="6">
        <v>33.37</v>
      </c>
      <c r="K262" s="7">
        <f t="shared" ref="K262:P262" si="466">abs(D262-D261)/200</f>
        <v>0.00035</v>
      </c>
      <c r="L262" s="7">
        <f t="shared" si="466"/>
        <v>0.0002</v>
      </c>
      <c r="M262" s="7">
        <f t="shared" si="466"/>
        <v>0.00085</v>
      </c>
      <c r="N262" s="7">
        <f t="shared" si="466"/>
        <v>0.00045</v>
      </c>
      <c r="O262" s="7">
        <f t="shared" si="466"/>
        <v>0.00145</v>
      </c>
      <c r="P262" s="7">
        <f t="shared" si="466"/>
        <v>0</v>
      </c>
      <c r="Q262" s="7">
        <f t="shared" si="7"/>
        <v>0.2463441477</v>
      </c>
      <c r="R262" s="7">
        <f t="shared" si="8"/>
        <v>0.1768581956</v>
      </c>
      <c r="S262" s="7">
        <f t="shared" si="2"/>
        <v>0.9682914151</v>
      </c>
      <c r="T262" s="7">
        <f t="shared" si="3"/>
        <v>0.1004987562</v>
      </c>
      <c r="U262" s="7">
        <f t="shared" si="4"/>
        <v>1</v>
      </c>
      <c r="V262" s="7">
        <f t="shared" si="5"/>
        <v>1</v>
      </c>
      <c r="W262" s="7">
        <f t="shared" ref="W262:X262" si="467">IF(AVERAGE(U202:U261) &gt; 0.25, 1, 0)</f>
        <v>1</v>
      </c>
      <c r="X262" s="7">
        <f t="shared" si="467"/>
        <v>1</v>
      </c>
      <c r="Y262" s="8">
        <v>1.0</v>
      </c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</row>
    <row r="263" ht="22.5" customHeight="1">
      <c r="B263" s="6">
        <v>262.0</v>
      </c>
      <c r="C263" s="6">
        <v>55931.0</v>
      </c>
      <c r="D263" s="6">
        <v>1.39</v>
      </c>
      <c r="E263" s="6">
        <v>-0.23</v>
      </c>
      <c r="F263" s="6">
        <v>10.68</v>
      </c>
      <c r="G263" s="6">
        <v>-0.09</v>
      </c>
      <c r="H263" s="6">
        <v>-0.01</v>
      </c>
      <c r="I263" s="6">
        <v>-0.02</v>
      </c>
      <c r="J263" s="6">
        <v>33.37</v>
      </c>
      <c r="K263" s="7">
        <f t="shared" ref="K263:P263" si="468">abs(D263-D262)/200</f>
        <v>0.00015</v>
      </c>
      <c r="L263" s="7">
        <f t="shared" si="468"/>
        <v>0.0001</v>
      </c>
      <c r="M263" s="7">
        <f t="shared" si="468"/>
        <v>0</v>
      </c>
      <c r="N263" s="7">
        <f t="shared" si="468"/>
        <v>0.00005</v>
      </c>
      <c r="O263" s="7">
        <f t="shared" si="468"/>
        <v>0.00005</v>
      </c>
      <c r="P263" s="7">
        <f t="shared" si="468"/>
        <v>0.00005</v>
      </c>
      <c r="Q263" s="7">
        <f t="shared" si="7"/>
        <v>0.007762571256</v>
      </c>
      <c r="R263" s="7">
        <f t="shared" si="8"/>
        <v>0.004238464205</v>
      </c>
      <c r="S263" s="7">
        <f t="shared" si="2"/>
        <v>0.9725298793</v>
      </c>
      <c r="T263" s="7">
        <f t="shared" si="3"/>
        <v>0.09273618495</v>
      </c>
      <c r="U263" s="7">
        <f t="shared" si="4"/>
        <v>0</v>
      </c>
      <c r="V263" s="7">
        <f t="shared" si="5"/>
        <v>0</v>
      </c>
      <c r="W263" s="7">
        <f t="shared" ref="W263:X263" si="469">IF(AVERAGE(U203:U262) &gt; 0.25, 1, 0)</f>
        <v>1</v>
      </c>
      <c r="X263" s="7">
        <f t="shared" si="469"/>
        <v>1</v>
      </c>
      <c r="Y263" s="8">
        <v>1.0</v>
      </c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</row>
    <row r="264" ht="22.5" customHeight="1">
      <c r="B264" s="6">
        <v>263.0</v>
      </c>
      <c r="C264" s="6">
        <v>56135.0</v>
      </c>
      <c r="D264" s="6">
        <v>1.39</v>
      </c>
      <c r="E264" s="6">
        <v>-0.22</v>
      </c>
      <c r="F264" s="6">
        <v>10.68</v>
      </c>
      <c r="G264" s="6">
        <v>-0.09</v>
      </c>
      <c r="H264" s="6">
        <v>-0.01</v>
      </c>
      <c r="I264" s="6">
        <v>-0.02</v>
      </c>
      <c r="J264" s="6">
        <v>33.36</v>
      </c>
      <c r="K264" s="7">
        <f t="shared" ref="K264:P264" si="470">abs(D264-D263)/200</f>
        <v>0</v>
      </c>
      <c r="L264" s="7">
        <f t="shared" si="470"/>
        <v>0.00005</v>
      </c>
      <c r="M264" s="7">
        <f t="shared" si="470"/>
        <v>0</v>
      </c>
      <c r="N264" s="7">
        <f t="shared" si="470"/>
        <v>0</v>
      </c>
      <c r="O264" s="7">
        <f t="shared" si="470"/>
        <v>0</v>
      </c>
      <c r="P264" s="7">
        <f t="shared" si="470"/>
        <v>0</v>
      </c>
      <c r="Q264" s="7">
        <f t="shared" si="7"/>
        <v>0</v>
      </c>
      <c r="R264" s="7">
        <f t="shared" si="8"/>
        <v>0.0002088666114</v>
      </c>
      <c r="S264" s="7">
        <f t="shared" si="2"/>
        <v>0.9723210127</v>
      </c>
      <c r="T264" s="7">
        <f t="shared" si="3"/>
        <v>0.09273618495</v>
      </c>
      <c r="U264" s="7">
        <f t="shared" si="4"/>
        <v>0</v>
      </c>
      <c r="V264" s="7">
        <f t="shared" si="5"/>
        <v>0</v>
      </c>
      <c r="W264" s="7">
        <f t="shared" ref="W264:X264" si="471">IF(AVERAGE(U204:U263) &gt; 0.25, 1, 0)</f>
        <v>1</v>
      </c>
      <c r="X264" s="7">
        <f t="shared" si="471"/>
        <v>1</v>
      </c>
      <c r="Y264" s="8">
        <v>1.0</v>
      </c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</row>
    <row r="265" ht="22.5" customHeight="1">
      <c r="B265" s="6">
        <v>264.0</v>
      </c>
      <c r="C265" s="6">
        <v>56339.0</v>
      </c>
      <c r="D265" s="6">
        <v>1.37</v>
      </c>
      <c r="E265" s="6">
        <v>-0.19</v>
      </c>
      <c r="F265" s="6">
        <v>10.66</v>
      </c>
      <c r="G265" s="6">
        <v>-0.1</v>
      </c>
      <c r="H265" s="6">
        <v>0.0</v>
      </c>
      <c r="I265" s="6">
        <v>-0.01</v>
      </c>
      <c r="J265" s="6">
        <v>33.36</v>
      </c>
      <c r="K265" s="7">
        <f t="shared" ref="K265:P265" si="472">abs(D265-D264)/200</f>
        <v>0.0001</v>
      </c>
      <c r="L265" s="7">
        <f t="shared" si="472"/>
        <v>0.00015</v>
      </c>
      <c r="M265" s="7">
        <f t="shared" si="472"/>
        <v>0.0001</v>
      </c>
      <c r="N265" s="7">
        <f t="shared" si="472"/>
        <v>0.00005</v>
      </c>
      <c r="O265" s="7">
        <f t="shared" si="472"/>
        <v>0.00005</v>
      </c>
      <c r="P265" s="7">
        <f t="shared" si="472"/>
        <v>0.00005</v>
      </c>
      <c r="Q265" s="7">
        <f t="shared" si="7"/>
        <v>0.007762571256</v>
      </c>
      <c r="R265" s="7">
        <f t="shared" si="8"/>
        <v>0.02296754374</v>
      </c>
      <c r="S265" s="7">
        <f t="shared" si="2"/>
        <v>0.9493534689</v>
      </c>
      <c r="T265" s="7">
        <f t="shared" si="3"/>
        <v>0.1004987562</v>
      </c>
      <c r="U265" s="7">
        <f t="shared" si="4"/>
        <v>0</v>
      </c>
      <c r="V265" s="7">
        <f t="shared" si="5"/>
        <v>0</v>
      </c>
      <c r="W265" s="7">
        <f t="shared" ref="W265:X265" si="473">IF(AVERAGE(U205:U264) &gt; 0.25, 1, 0)</f>
        <v>1</v>
      </c>
      <c r="X265" s="7">
        <f t="shared" si="473"/>
        <v>1</v>
      </c>
      <c r="Y265" s="8">
        <v>1.0</v>
      </c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</row>
    <row r="266" ht="22.5" customHeight="1">
      <c r="B266" s="6">
        <v>265.0</v>
      </c>
      <c r="C266" s="6">
        <v>56543.0</v>
      </c>
      <c r="D266" s="6">
        <v>1.38</v>
      </c>
      <c r="E266" s="6">
        <v>-0.2</v>
      </c>
      <c r="F266" s="6">
        <v>10.67</v>
      </c>
      <c r="G266" s="6">
        <v>-0.1</v>
      </c>
      <c r="H266" s="6">
        <v>0.0</v>
      </c>
      <c r="I266" s="6">
        <v>-0.01</v>
      </c>
      <c r="J266" s="6">
        <v>33.35</v>
      </c>
      <c r="K266" s="7">
        <f t="shared" ref="K266:P266" si="474">abs(D266-D265)/200</f>
        <v>0.00005</v>
      </c>
      <c r="L266" s="7">
        <f t="shared" si="474"/>
        <v>0.00005</v>
      </c>
      <c r="M266" s="7">
        <f t="shared" si="474"/>
        <v>0.00005</v>
      </c>
      <c r="N266" s="7">
        <f t="shared" si="474"/>
        <v>0</v>
      </c>
      <c r="O266" s="7">
        <f t="shared" si="474"/>
        <v>0</v>
      </c>
      <c r="P266" s="7">
        <f t="shared" si="474"/>
        <v>0</v>
      </c>
      <c r="Q266" s="7">
        <f t="shared" si="7"/>
        <v>0</v>
      </c>
      <c r="R266" s="7">
        <f t="shared" si="8"/>
        <v>0.01137606024</v>
      </c>
      <c r="S266" s="7">
        <f t="shared" si="2"/>
        <v>0.9607295292</v>
      </c>
      <c r="T266" s="7">
        <f t="shared" si="3"/>
        <v>0.1004987562</v>
      </c>
      <c r="U266" s="7">
        <f t="shared" si="4"/>
        <v>0</v>
      </c>
      <c r="V266" s="7">
        <f t="shared" si="5"/>
        <v>0</v>
      </c>
      <c r="W266" s="7">
        <f t="shared" ref="W266:X266" si="475">IF(AVERAGE(U206:U265) &gt; 0.25, 1, 0)</f>
        <v>1</v>
      </c>
      <c r="X266" s="7">
        <f t="shared" si="475"/>
        <v>1</v>
      </c>
      <c r="Y266" s="8">
        <v>1.0</v>
      </c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</row>
    <row r="267" ht="22.5" customHeight="1">
      <c r="B267" s="6">
        <v>266.0</v>
      </c>
      <c r="C267" s="6">
        <v>56747.0</v>
      </c>
      <c r="D267" s="6">
        <v>1.38</v>
      </c>
      <c r="E267" s="6">
        <v>-0.21</v>
      </c>
      <c r="F267" s="6">
        <v>10.67</v>
      </c>
      <c r="G267" s="6">
        <v>-0.1</v>
      </c>
      <c r="H267" s="6">
        <v>0.0</v>
      </c>
      <c r="I267" s="6">
        <v>-0.01</v>
      </c>
      <c r="J267" s="6">
        <v>33.37</v>
      </c>
      <c r="K267" s="7">
        <f t="shared" ref="K267:P267" si="476">abs(D267-D266)/200</f>
        <v>0</v>
      </c>
      <c r="L267" s="7">
        <f t="shared" si="476"/>
        <v>0.00005</v>
      </c>
      <c r="M267" s="7">
        <f t="shared" si="476"/>
        <v>0</v>
      </c>
      <c r="N267" s="7">
        <f t="shared" si="476"/>
        <v>0</v>
      </c>
      <c r="O267" s="7">
        <f t="shared" si="476"/>
        <v>0</v>
      </c>
      <c r="P267" s="7">
        <f t="shared" si="476"/>
        <v>0</v>
      </c>
      <c r="Q267" s="7">
        <f t="shared" si="7"/>
        <v>0</v>
      </c>
      <c r="R267" s="7">
        <f t="shared" si="8"/>
        <v>0.0001905058433</v>
      </c>
      <c r="S267" s="7">
        <f t="shared" si="2"/>
        <v>0.960920035</v>
      </c>
      <c r="T267" s="7">
        <f t="shared" si="3"/>
        <v>0.1004987562</v>
      </c>
      <c r="U267" s="7">
        <f t="shared" si="4"/>
        <v>0</v>
      </c>
      <c r="V267" s="7">
        <f t="shared" si="5"/>
        <v>0</v>
      </c>
      <c r="W267" s="7">
        <f t="shared" ref="W267:X267" si="477">IF(AVERAGE(U207:U266) &gt; 0.25, 1, 0)</f>
        <v>1</v>
      </c>
      <c r="X267" s="7">
        <f t="shared" si="477"/>
        <v>1</v>
      </c>
      <c r="Y267" s="8">
        <v>1.0</v>
      </c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</row>
    <row r="268" ht="22.5" customHeight="1">
      <c r="B268" s="6">
        <v>267.0</v>
      </c>
      <c r="C268" s="6">
        <v>56951.0</v>
      </c>
      <c r="D268" s="6">
        <v>1.37</v>
      </c>
      <c r="E268" s="6">
        <v>-0.21</v>
      </c>
      <c r="F268" s="6">
        <v>10.67</v>
      </c>
      <c r="G268" s="6">
        <v>-0.1</v>
      </c>
      <c r="H268" s="6">
        <v>0.0</v>
      </c>
      <c r="I268" s="6">
        <v>-0.01</v>
      </c>
      <c r="J268" s="6">
        <v>33.36</v>
      </c>
      <c r="K268" s="7">
        <f t="shared" ref="K268:P268" si="478">abs(D268-D267)/200</f>
        <v>0.00005</v>
      </c>
      <c r="L268" s="7">
        <f t="shared" si="478"/>
        <v>0</v>
      </c>
      <c r="M268" s="7">
        <f t="shared" si="478"/>
        <v>0</v>
      </c>
      <c r="N268" s="7">
        <f t="shared" si="478"/>
        <v>0</v>
      </c>
      <c r="O268" s="7">
        <f t="shared" si="478"/>
        <v>0</v>
      </c>
      <c r="P268" s="7">
        <f t="shared" si="478"/>
        <v>0</v>
      </c>
      <c r="Q268" s="7">
        <f t="shared" si="7"/>
        <v>0</v>
      </c>
      <c r="R268" s="7">
        <f t="shared" si="8"/>
        <v>0.001277847656</v>
      </c>
      <c r="S268" s="7">
        <f t="shared" si="2"/>
        <v>0.9596421874</v>
      </c>
      <c r="T268" s="7">
        <f t="shared" si="3"/>
        <v>0.1004987562</v>
      </c>
      <c r="U268" s="7">
        <f t="shared" si="4"/>
        <v>0</v>
      </c>
      <c r="V268" s="7">
        <f t="shared" si="5"/>
        <v>0</v>
      </c>
      <c r="W268" s="7">
        <f t="shared" ref="W268:X268" si="479">IF(AVERAGE(U208:U267) &gt; 0.25, 1, 0)</f>
        <v>1</v>
      </c>
      <c r="X268" s="7">
        <f t="shared" si="479"/>
        <v>1</v>
      </c>
      <c r="Y268" s="8">
        <v>1.0</v>
      </c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</row>
    <row r="269" ht="22.5" customHeight="1">
      <c r="B269" s="6">
        <v>268.0</v>
      </c>
      <c r="C269" s="6">
        <v>57155.0</v>
      </c>
      <c r="D269" s="6">
        <v>1.37</v>
      </c>
      <c r="E269" s="6">
        <v>-0.22</v>
      </c>
      <c r="F269" s="6">
        <v>10.66</v>
      </c>
      <c r="G269" s="6">
        <v>-0.1</v>
      </c>
      <c r="H269" s="6">
        <v>0.0</v>
      </c>
      <c r="I269" s="6">
        <v>-0.01</v>
      </c>
      <c r="J269" s="6">
        <v>33.35</v>
      </c>
      <c r="K269" s="7">
        <f t="shared" ref="K269:P269" si="480">abs(D269-D268)/200</f>
        <v>0</v>
      </c>
      <c r="L269" s="7">
        <f t="shared" si="480"/>
        <v>0.00005</v>
      </c>
      <c r="M269" s="7">
        <f t="shared" si="480"/>
        <v>0.00005</v>
      </c>
      <c r="N269" s="7">
        <f t="shared" si="480"/>
        <v>0</v>
      </c>
      <c r="O269" s="7">
        <f t="shared" si="480"/>
        <v>0</v>
      </c>
      <c r="P269" s="7">
        <f t="shared" si="480"/>
        <v>0</v>
      </c>
      <c r="Q269" s="7">
        <f t="shared" si="7"/>
        <v>0</v>
      </c>
      <c r="R269" s="7">
        <f t="shared" si="8"/>
        <v>0.009716606221</v>
      </c>
      <c r="S269" s="7">
        <f t="shared" si="2"/>
        <v>0.9499255811</v>
      </c>
      <c r="T269" s="7">
        <f t="shared" si="3"/>
        <v>0.1004987562</v>
      </c>
      <c r="U269" s="7">
        <f t="shared" si="4"/>
        <v>0</v>
      </c>
      <c r="V269" s="7">
        <f t="shared" si="5"/>
        <v>0</v>
      </c>
      <c r="W269" s="7">
        <f t="shared" ref="W269:X269" si="481">IF(AVERAGE(U209:U268) &gt; 0.25, 1, 0)</f>
        <v>1</v>
      </c>
      <c r="X269" s="7">
        <f t="shared" si="481"/>
        <v>1</v>
      </c>
      <c r="Y269" s="8">
        <v>1.0</v>
      </c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</row>
    <row r="270" ht="22.5" customHeight="1">
      <c r="B270" s="6">
        <v>269.0</v>
      </c>
      <c r="C270" s="6">
        <v>57359.0</v>
      </c>
      <c r="D270" s="6">
        <v>1.32</v>
      </c>
      <c r="E270" s="6">
        <v>-0.09</v>
      </c>
      <c r="F270" s="6">
        <v>10.36</v>
      </c>
      <c r="G270" s="6">
        <v>-0.07</v>
      </c>
      <c r="H270" s="6">
        <v>0.06</v>
      </c>
      <c r="I270" s="6">
        <v>-0.01</v>
      </c>
      <c r="J270" s="6">
        <v>33.37</v>
      </c>
      <c r="K270" s="7">
        <f t="shared" ref="K270:P270" si="482">abs(D270-D269)/200</f>
        <v>0.00025</v>
      </c>
      <c r="L270" s="7">
        <f t="shared" si="482"/>
        <v>0.00065</v>
      </c>
      <c r="M270" s="7">
        <f t="shared" si="482"/>
        <v>0.0015</v>
      </c>
      <c r="N270" s="7">
        <f t="shared" si="482"/>
        <v>0.00015</v>
      </c>
      <c r="O270" s="7">
        <f t="shared" si="482"/>
        <v>0.0003</v>
      </c>
      <c r="P270" s="7">
        <f t="shared" si="482"/>
        <v>0</v>
      </c>
      <c r="Q270" s="7">
        <f t="shared" si="7"/>
        <v>0.007762571256</v>
      </c>
      <c r="R270" s="7">
        <f t="shared" si="8"/>
        <v>0.3057836824</v>
      </c>
      <c r="S270" s="7">
        <f t="shared" si="2"/>
        <v>0.6441418987</v>
      </c>
      <c r="T270" s="7">
        <f t="shared" si="3"/>
        <v>0.09273618495</v>
      </c>
      <c r="U270" s="7">
        <f t="shared" si="4"/>
        <v>1</v>
      </c>
      <c r="V270" s="7">
        <f t="shared" si="5"/>
        <v>0</v>
      </c>
      <c r="W270" s="7">
        <f t="shared" ref="W270:X270" si="483">IF(AVERAGE(U210:U269) &gt; 0.25, 1, 0)</f>
        <v>1</v>
      </c>
      <c r="X270" s="7">
        <f t="shared" si="483"/>
        <v>1</v>
      </c>
      <c r="Y270" s="8">
        <v>1.0</v>
      </c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</row>
    <row r="271" ht="22.5" customHeight="1">
      <c r="B271" s="6">
        <v>270.0</v>
      </c>
      <c r="C271" s="6">
        <v>563.0</v>
      </c>
      <c r="D271" s="6">
        <v>0.29</v>
      </c>
      <c r="E271" s="6">
        <v>0.69</v>
      </c>
      <c r="F271" s="6">
        <v>10.57</v>
      </c>
      <c r="G271" s="6">
        <v>0.04</v>
      </c>
      <c r="H271" s="6">
        <v>-0.06</v>
      </c>
      <c r="I271" s="6">
        <v>0.51</v>
      </c>
      <c r="J271" s="6">
        <v>33.37</v>
      </c>
      <c r="K271" s="7">
        <f t="shared" ref="K271:P271" si="484">abs(D271-D270)/200</f>
        <v>0.00515</v>
      </c>
      <c r="L271" s="7">
        <f t="shared" si="484"/>
        <v>0.0039</v>
      </c>
      <c r="M271" s="7">
        <f t="shared" si="484"/>
        <v>0.00105</v>
      </c>
      <c r="N271" s="7">
        <f t="shared" si="484"/>
        <v>0.00055</v>
      </c>
      <c r="O271" s="7">
        <f t="shared" si="484"/>
        <v>0.0006</v>
      </c>
      <c r="P271" s="7">
        <f t="shared" si="484"/>
        <v>0.0026</v>
      </c>
      <c r="Q271" s="7">
        <f t="shared" si="7"/>
        <v>0.4223366254</v>
      </c>
      <c r="R271" s="7">
        <f t="shared" si="8"/>
        <v>0.1523244935</v>
      </c>
      <c r="S271" s="7">
        <f t="shared" si="2"/>
        <v>0.7964663922</v>
      </c>
      <c r="T271" s="7">
        <f t="shared" si="3"/>
        <v>0.5150728104</v>
      </c>
      <c r="U271" s="7">
        <f t="shared" si="4"/>
        <v>1</v>
      </c>
      <c r="V271" s="7">
        <f t="shared" si="5"/>
        <v>1</v>
      </c>
      <c r="W271" s="7">
        <f t="shared" ref="W271:X271" si="485">IF(AVERAGE(U211:U270) &gt; 0.25, 1, 0)</f>
        <v>1</v>
      </c>
      <c r="X271" s="7">
        <f t="shared" si="485"/>
        <v>1</v>
      </c>
      <c r="Y271" s="8">
        <v>1.0</v>
      </c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</row>
    <row r="272" ht="22.5" customHeight="1">
      <c r="B272" s="6">
        <v>271.0</v>
      </c>
      <c r="C272" s="6">
        <v>57767.0</v>
      </c>
      <c r="D272" s="6">
        <v>2.72</v>
      </c>
      <c r="E272" s="6">
        <v>-1.62</v>
      </c>
      <c r="F272" s="6">
        <v>10.63</v>
      </c>
      <c r="G272" s="6">
        <v>0.16</v>
      </c>
      <c r="H272" s="6">
        <v>-0.09</v>
      </c>
      <c r="I272" s="6">
        <v>1.71</v>
      </c>
      <c r="J272" s="6">
        <v>33.36</v>
      </c>
      <c r="K272" s="7">
        <f t="shared" ref="K272:P272" si="486">abs(D272-D271)/200</f>
        <v>0.01215</v>
      </c>
      <c r="L272" s="7">
        <f t="shared" si="486"/>
        <v>0.01155</v>
      </c>
      <c r="M272" s="7">
        <f t="shared" si="486"/>
        <v>0.0003</v>
      </c>
      <c r="N272" s="7">
        <f t="shared" si="486"/>
        <v>0.0006</v>
      </c>
      <c r="O272" s="7">
        <f t="shared" si="486"/>
        <v>0.00015</v>
      </c>
      <c r="P272" s="7">
        <f t="shared" si="486"/>
        <v>0.006</v>
      </c>
      <c r="Q272" s="7">
        <f t="shared" si="7"/>
        <v>1.204752762</v>
      </c>
      <c r="R272" s="7">
        <f t="shared" si="8"/>
        <v>0.4949582233</v>
      </c>
      <c r="S272" s="7">
        <f t="shared" si="2"/>
        <v>1.291424615</v>
      </c>
      <c r="T272" s="7">
        <f t="shared" si="3"/>
        <v>1.719825573</v>
      </c>
      <c r="U272" s="7">
        <f t="shared" si="4"/>
        <v>1</v>
      </c>
      <c r="V272" s="7">
        <f t="shared" si="5"/>
        <v>1</v>
      </c>
      <c r="W272" s="7">
        <f t="shared" ref="W272:X272" si="487">IF(AVERAGE(U212:U271) &gt; 0.25, 1, 0)</f>
        <v>1</v>
      </c>
      <c r="X272" s="7">
        <f t="shared" si="487"/>
        <v>1</v>
      </c>
      <c r="Y272" s="8">
        <v>1.0</v>
      </c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</row>
    <row r="273" ht="22.5" customHeight="1">
      <c r="B273" s="6">
        <v>272.0</v>
      </c>
      <c r="C273" s="6">
        <v>57971.0</v>
      </c>
      <c r="D273" s="6">
        <v>3.34</v>
      </c>
      <c r="E273" s="6">
        <v>-1.71</v>
      </c>
      <c r="F273" s="6">
        <v>10.26</v>
      </c>
      <c r="G273" s="6">
        <v>-0.18</v>
      </c>
      <c r="H273" s="6">
        <v>0.01</v>
      </c>
      <c r="I273" s="6">
        <v>-0.18</v>
      </c>
      <c r="J273" s="6">
        <v>33.37</v>
      </c>
      <c r="K273" s="7">
        <f t="shared" ref="K273:P273" si="488">abs(D273-D272)/200</f>
        <v>0.0031</v>
      </c>
      <c r="L273" s="7">
        <f t="shared" si="488"/>
        <v>0.00045</v>
      </c>
      <c r="M273" s="7">
        <f t="shared" si="488"/>
        <v>0.00185</v>
      </c>
      <c r="N273" s="7">
        <f t="shared" si="488"/>
        <v>0.0017</v>
      </c>
      <c r="O273" s="7">
        <f t="shared" si="488"/>
        <v>0.0005</v>
      </c>
      <c r="P273" s="7">
        <f t="shared" si="488"/>
        <v>0.00945</v>
      </c>
      <c r="Q273" s="7">
        <f t="shared" si="7"/>
        <v>1.465070788</v>
      </c>
      <c r="R273" s="7">
        <f t="shared" si="8"/>
        <v>0.1668056289</v>
      </c>
      <c r="S273" s="7">
        <f t="shared" si="2"/>
        <v>1.124618986</v>
      </c>
      <c r="T273" s="7">
        <f t="shared" si="3"/>
        <v>0.2547547841</v>
      </c>
      <c r="U273" s="7">
        <f t="shared" si="4"/>
        <v>1</v>
      </c>
      <c r="V273" s="7">
        <f t="shared" si="5"/>
        <v>1</v>
      </c>
      <c r="W273" s="7">
        <f t="shared" ref="W273:X273" si="489">IF(AVERAGE(U213:U272) &gt; 0.25, 1, 0)</f>
        <v>1</v>
      </c>
      <c r="X273" s="7">
        <f t="shared" si="489"/>
        <v>1</v>
      </c>
      <c r="Y273" s="8">
        <v>1.0</v>
      </c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</row>
    <row r="274" ht="22.5" customHeight="1">
      <c r="B274" s="6">
        <v>273.0</v>
      </c>
      <c r="C274" s="6">
        <v>58175.0</v>
      </c>
      <c r="D274" s="6">
        <v>1.11</v>
      </c>
      <c r="E274" s="6">
        <v>-0.07</v>
      </c>
      <c r="F274" s="6">
        <v>10.61</v>
      </c>
      <c r="G274" s="6">
        <v>-0.3</v>
      </c>
      <c r="H274" s="6">
        <v>-0.02</v>
      </c>
      <c r="I274" s="6">
        <v>-1.0</v>
      </c>
      <c r="J274" s="6">
        <v>33.36</v>
      </c>
      <c r="K274" s="7">
        <f t="shared" ref="K274:P274" si="490">abs(D274-D273)/200</f>
        <v>0.01115</v>
      </c>
      <c r="L274" s="7">
        <f t="shared" si="490"/>
        <v>0.0082</v>
      </c>
      <c r="M274" s="7">
        <f t="shared" si="490"/>
        <v>0.00175</v>
      </c>
      <c r="N274" s="7">
        <f t="shared" si="490"/>
        <v>0.0006</v>
      </c>
      <c r="O274" s="7">
        <f t="shared" si="490"/>
        <v>0.00015</v>
      </c>
      <c r="P274" s="7">
        <f t="shared" si="490"/>
        <v>0.0041</v>
      </c>
      <c r="Q274" s="7">
        <f t="shared" si="7"/>
        <v>0.7894674145</v>
      </c>
      <c r="R274" s="7">
        <f t="shared" si="8"/>
        <v>0.2564841917</v>
      </c>
      <c r="S274" s="7">
        <f t="shared" si="2"/>
        <v>0.8681347948</v>
      </c>
      <c r="T274" s="7">
        <f t="shared" si="3"/>
        <v>1.044222199</v>
      </c>
      <c r="U274" s="7">
        <f t="shared" si="4"/>
        <v>1</v>
      </c>
      <c r="V274" s="7">
        <f t="shared" si="5"/>
        <v>1</v>
      </c>
      <c r="W274" s="7">
        <f t="shared" ref="W274:X274" si="491">IF(AVERAGE(U214:U273) &gt; 0.25, 1, 0)</f>
        <v>1</v>
      </c>
      <c r="X274" s="7">
        <f t="shared" si="491"/>
        <v>1</v>
      </c>
      <c r="Y274" s="8">
        <v>1.0</v>
      </c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</row>
    <row r="275" ht="22.5" customHeight="1">
      <c r="B275" s="6">
        <v>274.0</v>
      </c>
      <c r="C275" s="6">
        <v>58379.0</v>
      </c>
      <c r="D275" s="6">
        <v>0.3</v>
      </c>
      <c r="E275" s="6">
        <v>0.45</v>
      </c>
      <c r="F275" s="6">
        <v>10.41</v>
      </c>
      <c r="G275" s="6">
        <v>-0.13</v>
      </c>
      <c r="H275" s="6">
        <v>0.11</v>
      </c>
      <c r="I275" s="6">
        <v>-0.43</v>
      </c>
      <c r="J275" s="6">
        <v>33.37</v>
      </c>
      <c r="K275" s="7">
        <f t="shared" ref="K275:P275" si="492">abs(D275-D274)/200</f>
        <v>0.00405</v>
      </c>
      <c r="L275" s="7">
        <f t="shared" si="492"/>
        <v>0.0026</v>
      </c>
      <c r="M275" s="7">
        <f t="shared" si="492"/>
        <v>0.001</v>
      </c>
      <c r="N275" s="7">
        <f t="shared" si="492"/>
        <v>0.00085</v>
      </c>
      <c r="O275" s="7">
        <f t="shared" si="492"/>
        <v>0.00065</v>
      </c>
      <c r="P275" s="7">
        <f t="shared" si="492"/>
        <v>0.00285</v>
      </c>
      <c r="Q275" s="7">
        <f t="shared" si="7"/>
        <v>0.5817289554</v>
      </c>
      <c r="R275" s="7">
        <f t="shared" si="8"/>
        <v>0.2440952707</v>
      </c>
      <c r="S275" s="7">
        <f t="shared" si="2"/>
        <v>0.6240395241</v>
      </c>
      <c r="T275" s="7">
        <f t="shared" si="3"/>
        <v>0.4624932432</v>
      </c>
      <c r="U275" s="7">
        <f t="shared" si="4"/>
        <v>1</v>
      </c>
      <c r="V275" s="7">
        <f t="shared" si="5"/>
        <v>1</v>
      </c>
      <c r="W275" s="7">
        <f t="shared" ref="W275:X275" si="493">IF(AVERAGE(U215:U274) &gt; 0.25, 1, 0)</f>
        <v>1</v>
      </c>
      <c r="X275" s="7">
        <f t="shared" si="493"/>
        <v>1</v>
      </c>
      <c r="Y275" s="8">
        <v>1.0</v>
      </c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</row>
    <row r="276" ht="22.5" customHeight="1">
      <c r="B276" s="6">
        <v>275.0</v>
      </c>
      <c r="C276" s="6">
        <v>58583.0</v>
      </c>
      <c r="D276" s="6">
        <v>0.5</v>
      </c>
      <c r="E276" s="6">
        <v>0.52</v>
      </c>
      <c r="F276" s="6">
        <v>10.75</v>
      </c>
      <c r="G276" s="6">
        <v>0.01</v>
      </c>
      <c r="H276" s="6">
        <v>0.03</v>
      </c>
      <c r="I276" s="6">
        <v>0.18</v>
      </c>
      <c r="J276" s="6">
        <v>33.37</v>
      </c>
      <c r="K276" s="7">
        <f t="shared" ref="K276:P276" si="494">abs(D276-D275)/200</f>
        <v>0.001</v>
      </c>
      <c r="L276" s="7">
        <f t="shared" si="494"/>
        <v>0.00035</v>
      </c>
      <c r="M276" s="7">
        <f t="shared" si="494"/>
        <v>0.0017</v>
      </c>
      <c r="N276" s="7">
        <f t="shared" si="494"/>
        <v>0.0007</v>
      </c>
      <c r="O276" s="7">
        <f t="shared" si="494"/>
        <v>0.0004</v>
      </c>
      <c r="P276" s="7">
        <f t="shared" si="494"/>
        <v>0.00305</v>
      </c>
      <c r="Q276" s="7">
        <f t="shared" si="7"/>
        <v>0.2797365744</v>
      </c>
      <c r="R276" s="7">
        <f t="shared" si="8"/>
        <v>0.3501379387</v>
      </c>
      <c r="S276" s="7">
        <f t="shared" si="2"/>
        <v>0.9741774628</v>
      </c>
      <c r="T276" s="7">
        <f t="shared" si="3"/>
        <v>0.1827566688</v>
      </c>
      <c r="U276" s="7">
        <f t="shared" si="4"/>
        <v>1</v>
      </c>
      <c r="V276" s="7">
        <f t="shared" si="5"/>
        <v>1</v>
      </c>
      <c r="W276" s="7">
        <f t="shared" ref="W276:X276" si="495">IF(AVERAGE(U216:U275) &gt; 0.25, 1, 0)</f>
        <v>1</v>
      </c>
      <c r="X276" s="7">
        <f t="shared" si="495"/>
        <v>1</v>
      </c>
      <c r="Y276" s="8">
        <v>1.0</v>
      </c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</row>
    <row r="277" ht="22.5" customHeight="1">
      <c r="B277" s="6">
        <v>276.0</v>
      </c>
      <c r="C277" s="6">
        <v>58787.0</v>
      </c>
      <c r="D277" s="6">
        <v>1.83</v>
      </c>
      <c r="E277" s="6">
        <v>-1.11</v>
      </c>
      <c r="F277" s="6">
        <v>10.71</v>
      </c>
      <c r="G277" s="6">
        <v>0.05</v>
      </c>
      <c r="H277" s="6">
        <v>0.16</v>
      </c>
      <c r="I277" s="6">
        <v>0.89</v>
      </c>
      <c r="J277" s="6">
        <v>33.37</v>
      </c>
      <c r="K277" s="7">
        <f t="shared" ref="K277:P277" si="496">abs(D277-D276)/200</f>
        <v>0.00665</v>
      </c>
      <c r="L277" s="7">
        <f t="shared" si="496"/>
        <v>0.00815</v>
      </c>
      <c r="M277" s="7">
        <f t="shared" si="496"/>
        <v>0.0002</v>
      </c>
      <c r="N277" s="7">
        <f t="shared" si="496"/>
        <v>0.0002</v>
      </c>
      <c r="O277" s="7">
        <f t="shared" si="496"/>
        <v>0.00065</v>
      </c>
      <c r="P277" s="7">
        <f t="shared" si="496"/>
        <v>0.00355</v>
      </c>
      <c r="Q277" s="7">
        <f t="shared" si="7"/>
        <v>0.7228922698</v>
      </c>
      <c r="R277" s="7">
        <f t="shared" si="8"/>
        <v>0.1475943715</v>
      </c>
      <c r="S277" s="7">
        <f t="shared" si="2"/>
        <v>1.121771834</v>
      </c>
      <c r="T277" s="7">
        <f t="shared" si="3"/>
        <v>0.9056489386</v>
      </c>
      <c r="U277" s="7">
        <f t="shared" si="4"/>
        <v>1</v>
      </c>
      <c r="V277" s="7">
        <f t="shared" si="5"/>
        <v>1</v>
      </c>
      <c r="W277" s="7">
        <f t="shared" ref="W277:X277" si="497">IF(AVERAGE(U217:U276) &gt; 0.25, 1, 0)</f>
        <v>1</v>
      </c>
      <c r="X277" s="7">
        <f t="shared" si="497"/>
        <v>1</v>
      </c>
      <c r="Y277" s="8">
        <v>1.0</v>
      </c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</row>
    <row r="278" ht="22.5" customHeight="1">
      <c r="B278" s="6">
        <v>277.0</v>
      </c>
      <c r="C278" s="6">
        <v>58991.0</v>
      </c>
      <c r="D278" s="6">
        <v>1.12</v>
      </c>
      <c r="E278" s="6">
        <v>-1.1</v>
      </c>
      <c r="F278" s="6">
        <v>10.7</v>
      </c>
      <c r="G278" s="6">
        <v>-0.14</v>
      </c>
      <c r="H278" s="6">
        <v>-0.27</v>
      </c>
      <c r="I278" s="6">
        <v>0.21</v>
      </c>
      <c r="J278" s="6">
        <v>33.37</v>
      </c>
      <c r="K278" s="7">
        <f t="shared" ref="K278:P278" si="498">abs(D278-D277)/200</f>
        <v>0.00355</v>
      </c>
      <c r="L278" s="7">
        <f t="shared" si="498"/>
        <v>0.00005</v>
      </c>
      <c r="M278" s="7">
        <f t="shared" si="498"/>
        <v>0.00005</v>
      </c>
      <c r="N278" s="7">
        <f t="shared" si="498"/>
        <v>0.00095</v>
      </c>
      <c r="O278" s="7">
        <f t="shared" si="498"/>
        <v>0.00215</v>
      </c>
      <c r="P278" s="7">
        <f t="shared" si="498"/>
        <v>0.0034</v>
      </c>
      <c r="Q278" s="7">
        <f t="shared" si="7"/>
        <v>0.5360545664</v>
      </c>
      <c r="R278" s="7">
        <f t="shared" si="8"/>
        <v>0.1072260741</v>
      </c>
      <c r="S278" s="7">
        <f t="shared" si="2"/>
        <v>1.01454576</v>
      </c>
      <c r="T278" s="7">
        <f t="shared" si="3"/>
        <v>0.3695943723</v>
      </c>
      <c r="U278" s="7">
        <f t="shared" si="4"/>
        <v>1</v>
      </c>
      <c r="V278" s="7">
        <f t="shared" si="5"/>
        <v>1</v>
      </c>
      <c r="W278" s="7">
        <f t="shared" ref="W278:X278" si="499">IF(AVERAGE(U218:U277) &gt; 0.25, 1, 0)</f>
        <v>1</v>
      </c>
      <c r="X278" s="7">
        <f t="shared" si="499"/>
        <v>1</v>
      </c>
      <c r="Y278" s="8">
        <v>1.0</v>
      </c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</row>
    <row r="279" ht="22.5" customHeight="1">
      <c r="B279" s="6">
        <v>278.0</v>
      </c>
      <c r="C279" s="6">
        <v>59195.0</v>
      </c>
      <c r="D279" s="6">
        <v>1.7</v>
      </c>
      <c r="E279" s="6">
        <v>-0.64</v>
      </c>
      <c r="F279" s="6">
        <v>10.56</v>
      </c>
      <c r="G279" s="6">
        <v>-0.22</v>
      </c>
      <c r="H279" s="6">
        <v>-0.07</v>
      </c>
      <c r="I279" s="6">
        <v>-0.53</v>
      </c>
      <c r="J279" s="6">
        <v>33.36</v>
      </c>
      <c r="K279" s="7">
        <f t="shared" ref="K279:P279" si="500">abs(D279-D278)/200</f>
        <v>0.0029</v>
      </c>
      <c r="L279" s="7">
        <f t="shared" si="500"/>
        <v>0.0023</v>
      </c>
      <c r="M279" s="7">
        <f t="shared" si="500"/>
        <v>0.0007</v>
      </c>
      <c r="N279" s="7">
        <f t="shared" si="500"/>
        <v>0.0004</v>
      </c>
      <c r="O279" s="7">
        <f t="shared" si="500"/>
        <v>0.001</v>
      </c>
      <c r="P279" s="7">
        <f t="shared" si="500"/>
        <v>0.0037</v>
      </c>
      <c r="Q279" s="7">
        <f t="shared" si="7"/>
        <v>0.2085059651</v>
      </c>
      <c r="R279" s="7">
        <f t="shared" si="8"/>
        <v>0.0994536001</v>
      </c>
      <c r="S279" s="7">
        <f t="shared" si="2"/>
        <v>0.9150921601</v>
      </c>
      <c r="T279" s="7">
        <f t="shared" si="3"/>
        <v>0.5781003373</v>
      </c>
      <c r="U279" s="7">
        <f t="shared" si="4"/>
        <v>1</v>
      </c>
      <c r="V279" s="7">
        <f t="shared" si="5"/>
        <v>1</v>
      </c>
      <c r="W279" s="7">
        <f t="shared" ref="W279:X279" si="501">IF(AVERAGE(U219:U278) &gt; 0.25, 1, 0)</f>
        <v>1</v>
      </c>
      <c r="X279" s="7">
        <f t="shared" si="501"/>
        <v>1</v>
      </c>
      <c r="Y279" s="8">
        <v>1.0</v>
      </c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</row>
    <row r="280" ht="22.5" customHeight="1">
      <c r="B280" s="6">
        <v>279.0</v>
      </c>
      <c r="C280" s="6">
        <v>59399.0</v>
      </c>
      <c r="D280" s="6">
        <v>0.7</v>
      </c>
      <c r="E280" s="6">
        <v>0.23</v>
      </c>
      <c r="F280" s="6">
        <v>10.75</v>
      </c>
      <c r="G280" s="6">
        <v>-0.23</v>
      </c>
      <c r="H280" s="6">
        <v>-0.09</v>
      </c>
      <c r="I280" s="6">
        <v>-0.85</v>
      </c>
      <c r="J280" s="6">
        <v>33.37</v>
      </c>
      <c r="K280" s="7">
        <f t="shared" ref="K280:P280" si="502">abs(D280-D279)/200</f>
        <v>0.005</v>
      </c>
      <c r="L280" s="7">
        <f t="shared" si="502"/>
        <v>0.00435</v>
      </c>
      <c r="M280" s="7">
        <f t="shared" si="502"/>
        <v>0.00095</v>
      </c>
      <c r="N280" s="7">
        <f t="shared" si="502"/>
        <v>0.00005</v>
      </c>
      <c r="O280" s="7">
        <f t="shared" si="502"/>
        <v>0.0001</v>
      </c>
      <c r="P280" s="7">
        <f t="shared" si="502"/>
        <v>0.0016</v>
      </c>
      <c r="Q280" s="7">
        <f t="shared" si="7"/>
        <v>0.3070550163</v>
      </c>
      <c r="R280" s="7">
        <f t="shared" si="8"/>
        <v>0.06012941532</v>
      </c>
      <c r="S280" s="7">
        <f t="shared" si="2"/>
        <v>0.9752215754</v>
      </c>
      <c r="T280" s="7">
        <f t="shared" si="3"/>
        <v>0.8851553536</v>
      </c>
      <c r="U280" s="7">
        <f t="shared" si="4"/>
        <v>1</v>
      </c>
      <c r="V280" s="7">
        <f t="shared" si="5"/>
        <v>1</v>
      </c>
      <c r="W280" s="7">
        <f t="shared" ref="W280:X280" si="503">IF(AVERAGE(U220:U279) &gt; 0.25, 1, 0)</f>
        <v>1</v>
      </c>
      <c r="X280" s="7">
        <f t="shared" si="503"/>
        <v>1</v>
      </c>
      <c r="Y280" s="8">
        <v>1.0</v>
      </c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</row>
    <row r="281" ht="22.5" customHeight="1">
      <c r="B281" s="6">
        <v>280.0</v>
      </c>
      <c r="C281" s="6">
        <v>59603.0</v>
      </c>
      <c r="D281" s="6">
        <v>1.0</v>
      </c>
      <c r="E281" s="6">
        <v>0.36</v>
      </c>
      <c r="F281" s="6">
        <v>10.74</v>
      </c>
      <c r="G281" s="6">
        <v>-0.09</v>
      </c>
      <c r="H281" s="6">
        <v>0.16</v>
      </c>
      <c r="I281" s="6">
        <v>-0.21</v>
      </c>
      <c r="J281" s="6">
        <v>33.37</v>
      </c>
      <c r="K281" s="7">
        <f t="shared" ref="K281:P281" si="504">abs(D281-D280)/200</f>
        <v>0.0015</v>
      </c>
      <c r="L281" s="7">
        <f t="shared" si="504"/>
        <v>0.00065</v>
      </c>
      <c r="M281" s="7">
        <f t="shared" si="504"/>
        <v>0.00005</v>
      </c>
      <c r="N281" s="7">
        <f t="shared" si="504"/>
        <v>0.0007</v>
      </c>
      <c r="O281" s="7">
        <f t="shared" si="504"/>
        <v>0.00125</v>
      </c>
      <c r="P281" s="7">
        <f t="shared" si="504"/>
        <v>0.0032</v>
      </c>
      <c r="Q281" s="7">
        <f t="shared" si="7"/>
        <v>0.60622884</v>
      </c>
      <c r="R281" s="7">
        <f t="shared" si="8"/>
        <v>0.01723875573</v>
      </c>
      <c r="S281" s="7">
        <f t="shared" si="2"/>
        <v>0.9924603312</v>
      </c>
      <c r="T281" s="7">
        <f t="shared" si="3"/>
        <v>0.2789265136</v>
      </c>
      <c r="U281" s="7">
        <f t="shared" si="4"/>
        <v>1</v>
      </c>
      <c r="V281" s="7">
        <f t="shared" si="5"/>
        <v>1</v>
      </c>
      <c r="W281" s="7">
        <f t="shared" ref="W281:X281" si="505">IF(AVERAGE(U221:U280) &gt; 0.25, 1, 0)</f>
        <v>1</v>
      </c>
      <c r="X281" s="7">
        <f t="shared" si="505"/>
        <v>1</v>
      </c>
      <c r="Y281" s="8">
        <v>1.0</v>
      </c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</row>
    <row r="282" ht="22.5" customHeight="1">
      <c r="B282" s="6">
        <v>281.0</v>
      </c>
      <c r="C282" s="6">
        <v>59807.0</v>
      </c>
      <c r="D282" s="6">
        <v>0.74</v>
      </c>
      <c r="E282" s="6">
        <v>0.4</v>
      </c>
      <c r="F282" s="6">
        <v>10.76</v>
      </c>
      <c r="G282" s="6">
        <v>-0.04</v>
      </c>
      <c r="H282" s="6">
        <v>0.06</v>
      </c>
      <c r="I282" s="6">
        <v>0.15</v>
      </c>
      <c r="J282" s="6">
        <v>33.37</v>
      </c>
      <c r="K282" s="7">
        <f t="shared" ref="K282:P282" si="506">abs(D282-D281)/200</f>
        <v>0.0013</v>
      </c>
      <c r="L282" s="7">
        <f t="shared" si="506"/>
        <v>0.0002</v>
      </c>
      <c r="M282" s="7">
        <f t="shared" si="506"/>
        <v>0.0001</v>
      </c>
      <c r="N282" s="7">
        <f t="shared" si="506"/>
        <v>0.00025</v>
      </c>
      <c r="O282" s="7">
        <f t="shared" si="506"/>
        <v>0.0005</v>
      </c>
      <c r="P282" s="7">
        <f t="shared" si="506"/>
        <v>0.0018</v>
      </c>
      <c r="Q282" s="7">
        <f t="shared" si="7"/>
        <v>0.1124933438</v>
      </c>
      <c r="R282" s="7">
        <f t="shared" si="8"/>
        <v>0.0003706227493</v>
      </c>
      <c r="S282" s="7">
        <f t="shared" si="2"/>
        <v>0.9928309539</v>
      </c>
      <c r="T282" s="7">
        <f t="shared" si="3"/>
        <v>0.1664331698</v>
      </c>
      <c r="U282" s="7">
        <f t="shared" si="4"/>
        <v>1</v>
      </c>
      <c r="V282" s="7">
        <f t="shared" si="5"/>
        <v>1</v>
      </c>
      <c r="W282" s="7">
        <f t="shared" ref="W282:X282" si="507">IF(AVERAGE(U222:U281) &gt; 0.25, 1, 0)</f>
        <v>1</v>
      </c>
      <c r="X282" s="7">
        <f t="shared" si="507"/>
        <v>1</v>
      </c>
      <c r="Y282" s="8">
        <v>1.0</v>
      </c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</row>
    <row r="283" ht="22.5" customHeight="1">
      <c r="B283" s="6">
        <v>282.0</v>
      </c>
      <c r="C283" s="6">
        <v>60011.0</v>
      </c>
      <c r="D283" s="6">
        <v>0.49</v>
      </c>
      <c r="E283" s="6">
        <v>-0.7</v>
      </c>
      <c r="F283" s="6">
        <v>10.73</v>
      </c>
      <c r="G283" s="6">
        <v>0.01</v>
      </c>
      <c r="H283" s="6">
        <v>0.08</v>
      </c>
      <c r="I283" s="6">
        <v>0.71</v>
      </c>
      <c r="J283" s="6">
        <v>33.37</v>
      </c>
      <c r="K283" s="7">
        <f t="shared" ref="K283:P283" si="508">abs(D283-D282)/200</f>
        <v>0.00125</v>
      </c>
      <c r="L283" s="7">
        <f t="shared" si="508"/>
        <v>0.0055</v>
      </c>
      <c r="M283" s="7">
        <f t="shared" si="508"/>
        <v>0.00015</v>
      </c>
      <c r="N283" s="7">
        <f t="shared" si="508"/>
        <v>0.00025</v>
      </c>
      <c r="O283" s="7">
        <f t="shared" si="508"/>
        <v>0.0001</v>
      </c>
      <c r="P283" s="7">
        <f t="shared" si="508"/>
        <v>0.0028</v>
      </c>
      <c r="Q283" s="7">
        <f t="shared" si="7"/>
        <v>0.5481296336</v>
      </c>
      <c r="R283" s="7">
        <f t="shared" si="8"/>
        <v>0.02886328396</v>
      </c>
      <c r="S283" s="7">
        <f t="shared" si="2"/>
        <v>0.96396767</v>
      </c>
      <c r="T283" s="7">
        <f t="shared" si="3"/>
        <v>0.7145628034</v>
      </c>
      <c r="U283" s="7">
        <f t="shared" si="4"/>
        <v>1</v>
      </c>
      <c r="V283" s="7">
        <f t="shared" si="5"/>
        <v>1</v>
      </c>
      <c r="W283" s="7">
        <f t="shared" ref="W283:X283" si="509">IF(AVERAGE(U223:U282) &gt; 0.25, 1, 0)</f>
        <v>1</v>
      </c>
      <c r="X283" s="7">
        <f t="shared" si="509"/>
        <v>1</v>
      </c>
      <c r="Y283" s="8">
        <v>1.0</v>
      </c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</row>
    <row r="284" ht="22.5" customHeight="1">
      <c r="B284" s="6">
        <v>283.0</v>
      </c>
      <c r="C284" s="6">
        <v>60215.0</v>
      </c>
      <c r="D284" s="6">
        <v>1.99</v>
      </c>
      <c r="E284" s="6">
        <v>-1.39</v>
      </c>
      <c r="F284" s="6">
        <v>10.64</v>
      </c>
      <c r="G284" s="6">
        <v>0.04</v>
      </c>
      <c r="H284" s="6">
        <v>-0.16</v>
      </c>
      <c r="I284" s="6">
        <v>1.15</v>
      </c>
      <c r="J284" s="6">
        <v>33.37</v>
      </c>
      <c r="K284" s="7">
        <f t="shared" ref="K284:P284" si="510">abs(D284-D283)/200</f>
        <v>0.0075</v>
      </c>
      <c r="L284" s="7">
        <f t="shared" si="510"/>
        <v>0.00345</v>
      </c>
      <c r="M284" s="7">
        <f t="shared" si="510"/>
        <v>0.00045</v>
      </c>
      <c r="N284" s="7">
        <f t="shared" si="510"/>
        <v>0.00015</v>
      </c>
      <c r="O284" s="7">
        <f t="shared" si="510"/>
        <v>0.0012</v>
      </c>
      <c r="P284" s="7">
        <f t="shared" si="510"/>
        <v>0.0022</v>
      </c>
      <c r="Q284" s="7">
        <f t="shared" si="7"/>
        <v>0.4472030938</v>
      </c>
      <c r="R284" s="7">
        <f t="shared" si="8"/>
        <v>0.1494094426</v>
      </c>
      <c r="S284" s="7">
        <f t="shared" si="2"/>
        <v>1.113377113</v>
      </c>
      <c r="T284" s="7">
        <f t="shared" si="3"/>
        <v>1.161765897</v>
      </c>
      <c r="U284" s="7">
        <f t="shared" si="4"/>
        <v>1</v>
      </c>
      <c r="V284" s="7">
        <f t="shared" si="5"/>
        <v>1</v>
      </c>
      <c r="W284" s="7">
        <f t="shared" ref="W284:X284" si="511">IF(AVERAGE(U224:U283) &gt; 0.25, 1, 0)</f>
        <v>1</v>
      </c>
      <c r="X284" s="7">
        <f t="shared" si="511"/>
        <v>1</v>
      </c>
      <c r="Y284" s="8">
        <v>1.0</v>
      </c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</row>
    <row r="285" ht="22.5" customHeight="1">
      <c r="B285" s="6">
        <v>284.0</v>
      </c>
      <c r="C285" s="6">
        <v>60419.0</v>
      </c>
      <c r="D285" s="6">
        <v>2.16</v>
      </c>
      <c r="E285" s="6">
        <v>-1.1</v>
      </c>
      <c r="F285" s="6">
        <v>10.63</v>
      </c>
      <c r="G285" s="6">
        <v>-0.2</v>
      </c>
      <c r="H285" s="6">
        <v>-0.14</v>
      </c>
      <c r="I285" s="6">
        <v>-0.22</v>
      </c>
      <c r="J285" s="6">
        <v>33.37</v>
      </c>
      <c r="K285" s="7">
        <f t="shared" ref="K285:P285" si="512">abs(D285-D284)/200</f>
        <v>0.00085</v>
      </c>
      <c r="L285" s="7">
        <f t="shared" si="512"/>
        <v>0.00145</v>
      </c>
      <c r="M285" s="7">
        <f t="shared" si="512"/>
        <v>0.00005</v>
      </c>
      <c r="N285" s="7">
        <f t="shared" si="512"/>
        <v>0.0012</v>
      </c>
      <c r="O285" s="7">
        <f t="shared" si="512"/>
        <v>0.0001</v>
      </c>
      <c r="P285" s="7">
        <f t="shared" si="512"/>
        <v>0.00685</v>
      </c>
      <c r="Q285" s="7">
        <f t="shared" si="7"/>
        <v>0.8331323627</v>
      </c>
      <c r="R285" s="7">
        <f t="shared" si="8"/>
        <v>0.01051051698</v>
      </c>
      <c r="S285" s="7">
        <f t="shared" si="2"/>
        <v>1.102866596</v>
      </c>
      <c r="T285" s="7">
        <f t="shared" si="3"/>
        <v>0.3286335345</v>
      </c>
      <c r="U285" s="7">
        <f t="shared" si="4"/>
        <v>1</v>
      </c>
      <c r="V285" s="7">
        <f t="shared" si="5"/>
        <v>1</v>
      </c>
      <c r="W285" s="7">
        <f t="shared" ref="W285:X285" si="513">IF(AVERAGE(U225:U284) &gt; 0.25, 1, 0)</f>
        <v>1</v>
      </c>
      <c r="X285" s="7">
        <f t="shared" si="513"/>
        <v>1</v>
      </c>
      <c r="Y285" s="8">
        <v>1.0</v>
      </c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</row>
    <row r="286" ht="22.5" customHeight="1">
      <c r="B286" s="6">
        <v>285.0</v>
      </c>
      <c r="C286" s="6">
        <v>60623.0</v>
      </c>
      <c r="D286" s="6">
        <v>-0.26</v>
      </c>
      <c r="E286" s="6">
        <v>1.33</v>
      </c>
      <c r="F286" s="6">
        <v>10.89</v>
      </c>
      <c r="G286" s="6">
        <v>-0.24</v>
      </c>
      <c r="H286" s="6">
        <v>0.02</v>
      </c>
      <c r="I286" s="6">
        <v>-0.81</v>
      </c>
      <c r="J286" s="6">
        <v>33.38</v>
      </c>
      <c r="K286" s="7">
        <f t="shared" ref="K286:P286" si="514">abs(D286-D285)/200</f>
        <v>0.0121</v>
      </c>
      <c r="L286" s="7">
        <f t="shared" si="514"/>
        <v>0.01215</v>
      </c>
      <c r="M286" s="7">
        <f t="shared" si="514"/>
        <v>0.0013</v>
      </c>
      <c r="N286" s="7">
        <f t="shared" si="514"/>
        <v>0.0002</v>
      </c>
      <c r="O286" s="7">
        <f t="shared" si="514"/>
        <v>0.0008</v>
      </c>
      <c r="P286" s="7">
        <f t="shared" si="514"/>
        <v>0.00295</v>
      </c>
      <c r="Q286" s="7">
        <f t="shared" si="7"/>
        <v>0.516410843</v>
      </c>
      <c r="R286" s="7">
        <f t="shared" si="8"/>
        <v>0.07112994174</v>
      </c>
      <c r="S286" s="7">
        <f t="shared" si="2"/>
        <v>1.173996537</v>
      </c>
      <c r="T286" s="7">
        <f t="shared" si="3"/>
        <v>0.8450443775</v>
      </c>
      <c r="U286" s="7">
        <f t="shared" si="4"/>
        <v>1</v>
      </c>
      <c r="V286" s="7">
        <f t="shared" si="5"/>
        <v>1</v>
      </c>
      <c r="W286" s="7">
        <f t="shared" ref="W286:X286" si="515">IF(AVERAGE(U226:U285) &gt; 0.25, 1, 0)</f>
        <v>1</v>
      </c>
      <c r="X286" s="7">
        <f t="shared" si="515"/>
        <v>1</v>
      </c>
      <c r="Y286" s="8">
        <v>1.0</v>
      </c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</row>
    <row r="287" ht="22.5" customHeight="1">
      <c r="B287" s="6">
        <v>286.0</v>
      </c>
      <c r="C287" s="6">
        <v>60827.0</v>
      </c>
      <c r="D287" s="6">
        <v>0.57</v>
      </c>
      <c r="E287" s="6">
        <v>0.97</v>
      </c>
      <c r="F287" s="6">
        <v>10.73</v>
      </c>
      <c r="G287" s="6">
        <v>-0.04</v>
      </c>
      <c r="H287" s="6">
        <v>0.12</v>
      </c>
      <c r="I287" s="6">
        <v>0.3</v>
      </c>
      <c r="J287" s="6">
        <v>33.38</v>
      </c>
      <c r="K287" s="7">
        <f t="shared" ref="K287:P287" si="516">abs(D287-D286)/200</f>
        <v>0.00415</v>
      </c>
      <c r="L287" s="7">
        <f t="shared" si="516"/>
        <v>0.0018</v>
      </c>
      <c r="M287" s="7">
        <f t="shared" si="516"/>
        <v>0.0008</v>
      </c>
      <c r="N287" s="7">
        <f t="shared" si="516"/>
        <v>0.001</v>
      </c>
      <c r="O287" s="7">
        <f t="shared" si="516"/>
        <v>0.0005</v>
      </c>
      <c r="P287" s="7">
        <f t="shared" si="516"/>
        <v>0.00555</v>
      </c>
      <c r="Q287" s="7">
        <f t="shared" si="7"/>
        <v>0.5194679656</v>
      </c>
      <c r="R287" s="7">
        <f t="shared" si="8"/>
        <v>0.1851736172</v>
      </c>
      <c r="S287" s="7">
        <f t="shared" si="2"/>
        <v>0.98882292</v>
      </c>
      <c r="T287" s="7">
        <f t="shared" si="3"/>
        <v>0.3255764119</v>
      </c>
      <c r="U287" s="7">
        <f t="shared" si="4"/>
        <v>1</v>
      </c>
      <c r="V287" s="7">
        <f t="shared" si="5"/>
        <v>1</v>
      </c>
      <c r="W287" s="7">
        <f t="shared" ref="W287:X287" si="517">IF(AVERAGE(U227:U286) &gt; 0.25, 1, 0)</f>
        <v>1</v>
      </c>
      <c r="X287" s="7">
        <f t="shared" si="517"/>
        <v>1</v>
      </c>
      <c r="Y287" s="8">
        <v>1.0</v>
      </c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</row>
    <row r="288" ht="22.5" customHeight="1">
      <c r="B288" s="6">
        <v>287.0</v>
      </c>
      <c r="C288" s="6">
        <v>61031.0</v>
      </c>
      <c r="D288" s="6">
        <v>0.0</v>
      </c>
      <c r="E288" s="6">
        <v>0.56</v>
      </c>
      <c r="F288" s="6">
        <v>10.76</v>
      </c>
      <c r="G288" s="6">
        <v>-0.02</v>
      </c>
      <c r="H288" s="6">
        <v>0.04</v>
      </c>
      <c r="I288" s="6">
        <v>0.19</v>
      </c>
      <c r="J288" s="6">
        <v>33.37</v>
      </c>
      <c r="K288" s="7">
        <f t="shared" ref="K288:P288" si="518">abs(D288-D287)/200</f>
        <v>0.00285</v>
      </c>
      <c r="L288" s="7">
        <f t="shared" si="518"/>
        <v>0.00205</v>
      </c>
      <c r="M288" s="7">
        <f t="shared" si="518"/>
        <v>0.00015</v>
      </c>
      <c r="N288" s="7">
        <f t="shared" si="518"/>
        <v>0.0001</v>
      </c>
      <c r="O288" s="7">
        <f t="shared" si="518"/>
        <v>0.0004</v>
      </c>
      <c r="P288" s="7">
        <f t="shared" si="518"/>
        <v>0.00055</v>
      </c>
      <c r="Q288" s="7">
        <f t="shared" si="7"/>
        <v>0.130384199</v>
      </c>
      <c r="R288" s="7">
        <f t="shared" si="8"/>
        <v>0.01426028391</v>
      </c>
      <c r="S288" s="7">
        <f t="shared" si="2"/>
        <v>0.9745626361</v>
      </c>
      <c r="T288" s="7">
        <f t="shared" si="3"/>
        <v>0.195192213</v>
      </c>
      <c r="U288" s="7">
        <f t="shared" si="4"/>
        <v>1</v>
      </c>
      <c r="V288" s="7">
        <f t="shared" si="5"/>
        <v>1</v>
      </c>
      <c r="W288" s="7">
        <f t="shared" ref="W288:X288" si="519">IF(AVERAGE(U228:U287) &gt; 0.25, 1, 0)</f>
        <v>1</v>
      </c>
      <c r="X288" s="7">
        <f t="shared" si="519"/>
        <v>1</v>
      </c>
      <c r="Y288" s="8">
        <v>1.0</v>
      </c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</row>
    <row r="289" ht="22.5" customHeight="1">
      <c r="B289" s="6">
        <v>288.0</v>
      </c>
      <c r="C289" s="6">
        <v>61235.0</v>
      </c>
      <c r="D289" s="6">
        <v>2.51</v>
      </c>
      <c r="E289" s="6">
        <v>-1.7</v>
      </c>
      <c r="F289" s="6">
        <v>10.57</v>
      </c>
      <c r="G289" s="6">
        <v>-0.04</v>
      </c>
      <c r="H289" s="6">
        <v>0.06</v>
      </c>
      <c r="I289" s="6">
        <v>0.41</v>
      </c>
      <c r="J289" s="6">
        <v>33.38</v>
      </c>
      <c r="K289" s="7">
        <f t="shared" ref="K289:P289" si="520">abs(D289-D288)/200</f>
        <v>0.01255</v>
      </c>
      <c r="L289" s="7">
        <f t="shared" si="520"/>
        <v>0.0113</v>
      </c>
      <c r="M289" s="7">
        <f t="shared" si="520"/>
        <v>0.00095</v>
      </c>
      <c r="N289" s="7">
        <f t="shared" si="520"/>
        <v>0.0001</v>
      </c>
      <c r="O289" s="7">
        <f t="shared" si="520"/>
        <v>0.0001</v>
      </c>
      <c r="P289" s="7">
        <f t="shared" si="520"/>
        <v>0.0011</v>
      </c>
      <c r="Q289" s="7">
        <f t="shared" si="7"/>
        <v>0.221100953</v>
      </c>
      <c r="R289" s="7">
        <f t="shared" si="8"/>
        <v>0.2215730487</v>
      </c>
      <c r="S289" s="7">
        <f t="shared" si="2"/>
        <v>1.196135685</v>
      </c>
      <c r="T289" s="7">
        <f t="shared" si="3"/>
        <v>0.4162931659</v>
      </c>
      <c r="U289" s="7">
        <f t="shared" si="4"/>
        <v>1</v>
      </c>
      <c r="V289" s="7">
        <f t="shared" si="5"/>
        <v>1</v>
      </c>
      <c r="W289" s="7">
        <f t="shared" ref="W289:X289" si="521">IF(AVERAGE(U229:U288) &gt; 0.25, 1, 0)</f>
        <v>1</v>
      </c>
      <c r="X289" s="7">
        <f t="shared" si="521"/>
        <v>1</v>
      </c>
      <c r="Y289" s="8">
        <v>1.0</v>
      </c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</row>
    <row r="290" ht="22.5" customHeight="1">
      <c r="B290" s="6">
        <v>289.0</v>
      </c>
      <c r="C290" s="6">
        <v>61439.0</v>
      </c>
      <c r="D290" s="6">
        <v>1.35</v>
      </c>
      <c r="E290" s="6">
        <v>-0.49</v>
      </c>
      <c r="F290" s="6">
        <v>10.66</v>
      </c>
      <c r="G290" s="6">
        <v>-0.15</v>
      </c>
      <c r="H290" s="6">
        <v>-0.09</v>
      </c>
      <c r="I290" s="6">
        <v>-0.16</v>
      </c>
      <c r="J290" s="6">
        <v>33.38</v>
      </c>
      <c r="K290" s="7">
        <f t="shared" ref="K290:P290" si="522">abs(D290-D289)/200</f>
        <v>0.0058</v>
      </c>
      <c r="L290" s="7">
        <f t="shared" si="522"/>
        <v>0.00605</v>
      </c>
      <c r="M290" s="7">
        <f t="shared" si="522"/>
        <v>0.00045</v>
      </c>
      <c r="N290" s="7">
        <f t="shared" si="522"/>
        <v>0.00055</v>
      </c>
      <c r="O290" s="7">
        <f t="shared" si="522"/>
        <v>0.00075</v>
      </c>
      <c r="P290" s="7">
        <f t="shared" si="522"/>
        <v>0.00285</v>
      </c>
      <c r="Q290" s="7">
        <f t="shared" si="7"/>
        <v>0.1792277741</v>
      </c>
      <c r="R290" s="7">
        <f t="shared" si="8"/>
        <v>0.2398259087</v>
      </c>
      <c r="S290" s="7">
        <f t="shared" si="2"/>
        <v>0.9563097761</v>
      </c>
      <c r="T290" s="7">
        <f t="shared" si="3"/>
        <v>0.2370653918</v>
      </c>
      <c r="U290" s="7">
        <f t="shared" si="4"/>
        <v>1</v>
      </c>
      <c r="V290" s="7">
        <f t="shared" si="5"/>
        <v>1</v>
      </c>
      <c r="W290" s="7">
        <f t="shared" ref="W290:X290" si="523">IF(AVERAGE(U230:U289) &gt; 0.25, 1, 0)</f>
        <v>1</v>
      </c>
      <c r="X290" s="7">
        <f t="shared" si="523"/>
        <v>1</v>
      </c>
      <c r="Y290" s="8">
        <v>1.0</v>
      </c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</row>
    <row r="291" ht="22.5" customHeight="1">
      <c r="B291" s="6">
        <v>290.0</v>
      </c>
      <c r="C291" s="6">
        <v>61643.0</v>
      </c>
      <c r="D291" s="6">
        <v>1.82</v>
      </c>
      <c r="E291" s="6">
        <v>-0.43</v>
      </c>
      <c r="F291" s="6">
        <v>10.72</v>
      </c>
      <c r="G291" s="6">
        <v>-0.21</v>
      </c>
      <c r="H291" s="6">
        <v>-0.03</v>
      </c>
      <c r="I291" s="6">
        <v>-0.67</v>
      </c>
      <c r="J291" s="6">
        <v>33.38</v>
      </c>
      <c r="K291" s="7">
        <f t="shared" ref="K291:P291" si="524">abs(D291-D290)/200</f>
        <v>0.00235</v>
      </c>
      <c r="L291" s="7">
        <f t="shared" si="524"/>
        <v>0.0003</v>
      </c>
      <c r="M291" s="7">
        <f t="shared" si="524"/>
        <v>0.0003</v>
      </c>
      <c r="N291" s="7">
        <f t="shared" si="524"/>
        <v>0.0003</v>
      </c>
      <c r="O291" s="7">
        <f t="shared" si="524"/>
        <v>0.0003</v>
      </c>
      <c r="P291" s="7">
        <f t="shared" si="524"/>
        <v>0.00255</v>
      </c>
      <c r="Q291" s="7">
        <f t="shared" si="7"/>
        <v>0.4657148014</v>
      </c>
      <c r="R291" s="7">
        <f t="shared" si="8"/>
        <v>0.1255880363</v>
      </c>
      <c r="S291" s="7">
        <f t="shared" si="2"/>
        <v>1.081897812</v>
      </c>
      <c r="T291" s="7">
        <f t="shared" si="3"/>
        <v>0.7027801932</v>
      </c>
      <c r="U291" s="7">
        <f t="shared" si="4"/>
        <v>1</v>
      </c>
      <c r="V291" s="7">
        <f t="shared" si="5"/>
        <v>1</v>
      </c>
      <c r="W291" s="7">
        <f t="shared" ref="W291:X291" si="525">IF(AVERAGE(U231:U290) &gt; 0.25, 1, 0)</f>
        <v>1</v>
      </c>
      <c r="X291" s="7">
        <f t="shared" si="525"/>
        <v>1</v>
      </c>
      <c r="Y291" s="8">
        <v>1.0</v>
      </c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</row>
    <row r="292" ht="22.5" customHeight="1">
      <c r="B292" s="6">
        <v>291.0</v>
      </c>
      <c r="C292" s="6">
        <v>61847.0</v>
      </c>
      <c r="D292" s="6">
        <v>-0.09</v>
      </c>
      <c r="E292" s="6">
        <v>0.89</v>
      </c>
      <c r="F292" s="6">
        <v>10.86</v>
      </c>
      <c r="G292" s="6">
        <v>-0.27</v>
      </c>
      <c r="H292" s="6">
        <v>0.07</v>
      </c>
      <c r="I292" s="6">
        <v>-1.27</v>
      </c>
      <c r="J292" s="6">
        <v>33.37</v>
      </c>
      <c r="K292" s="7">
        <f t="shared" ref="K292:P292" si="526">abs(D292-D291)/200</f>
        <v>0.00955</v>
      </c>
      <c r="L292" s="7">
        <f t="shared" si="526"/>
        <v>0.0066</v>
      </c>
      <c r="M292" s="7">
        <f t="shared" si="526"/>
        <v>0.0007</v>
      </c>
      <c r="N292" s="7">
        <f t="shared" si="526"/>
        <v>0.0003</v>
      </c>
      <c r="O292" s="7">
        <f t="shared" si="526"/>
        <v>0.0005</v>
      </c>
      <c r="P292" s="7">
        <f t="shared" si="526"/>
        <v>0.003</v>
      </c>
      <c r="Q292" s="7">
        <f t="shared" si="7"/>
        <v>0.5974890097</v>
      </c>
      <c r="R292" s="7">
        <f t="shared" si="8"/>
        <v>0.01488152828</v>
      </c>
      <c r="S292" s="7">
        <f t="shared" si="2"/>
        <v>1.096779341</v>
      </c>
      <c r="T292" s="7">
        <f t="shared" si="3"/>
        <v>1.300269203</v>
      </c>
      <c r="U292" s="7">
        <f t="shared" si="4"/>
        <v>1</v>
      </c>
      <c r="V292" s="7">
        <f t="shared" si="5"/>
        <v>1</v>
      </c>
      <c r="W292" s="7">
        <f t="shared" ref="W292:X292" si="527">IF(AVERAGE(U232:U291) &gt; 0.25, 1, 0)</f>
        <v>1</v>
      </c>
      <c r="X292" s="7">
        <f t="shared" si="527"/>
        <v>1</v>
      </c>
      <c r="Y292" s="8">
        <v>1.0</v>
      </c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</row>
    <row r="293" ht="22.5" customHeight="1">
      <c r="B293" s="6">
        <v>292.0</v>
      </c>
      <c r="C293" s="6">
        <v>62051.0</v>
      </c>
      <c r="D293" s="6">
        <v>0.49</v>
      </c>
      <c r="E293" s="6">
        <v>0.69</v>
      </c>
      <c r="F293" s="6">
        <v>10.7</v>
      </c>
      <c r="G293" s="6">
        <v>-0.02</v>
      </c>
      <c r="H293" s="6">
        <v>0.05</v>
      </c>
      <c r="I293" s="6">
        <v>0.46</v>
      </c>
      <c r="J293" s="6">
        <v>33.38</v>
      </c>
      <c r="K293" s="7">
        <f t="shared" ref="K293:P293" si="528">abs(D293-D292)/200</f>
        <v>0.0029</v>
      </c>
      <c r="L293" s="7">
        <f t="shared" si="528"/>
        <v>0.001</v>
      </c>
      <c r="M293" s="7">
        <f t="shared" si="528"/>
        <v>0.0008</v>
      </c>
      <c r="N293" s="7">
        <f t="shared" si="528"/>
        <v>0.00125</v>
      </c>
      <c r="O293" s="7">
        <f t="shared" si="528"/>
        <v>0.0001</v>
      </c>
      <c r="P293" s="7">
        <f t="shared" si="528"/>
        <v>0.00865</v>
      </c>
      <c r="Q293" s="7">
        <f t="shared" si="7"/>
        <v>0.8371277558</v>
      </c>
      <c r="R293" s="7">
        <f t="shared" si="8"/>
        <v>0.1633642271</v>
      </c>
      <c r="S293" s="7">
        <f t="shared" si="2"/>
        <v>0.9334151136</v>
      </c>
      <c r="T293" s="7">
        <f t="shared" si="3"/>
        <v>0.4631414471</v>
      </c>
      <c r="U293" s="7">
        <f t="shared" si="4"/>
        <v>1</v>
      </c>
      <c r="V293" s="7">
        <f t="shared" si="5"/>
        <v>1</v>
      </c>
      <c r="W293" s="7">
        <f t="shared" ref="W293:X293" si="529">IF(AVERAGE(U233:U292) &gt; 0.25, 1, 0)</f>
        <v>1</v>
      </c>
      <c r="X293" s="7">
        <f t="shared" si="529"/>
        <v>1</v>
      </c>
      <c r="Y293" s="8">
        <v>1.0</v>
      </c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</row>
    <row r="294" ht="22.5" customHeight="1">
      <c r="B294" s="6">
        <v>293.0</v>
      </c>
      <c r="C294" s="6">
        <v>62255.0</v>
      </c>
      <c r="D294" s="6">
        <v>0.82</v>
      </c>
      <c r="E294" s="6">
        <v>-0.52</v>
      </c>
      <c r="F294" s="6">
        <v>10.78</v>
      </c>
      <c r="G294" s="6">
        <v>0.05</v>
      </c>
      <c r="H294" s="6">
        <v>0.05</v>
      </c>
      <c r="I294" s="6">
        <v>1.21</v>
      </c>
      <c r="J294" s="6">
        <v>33.37</v>
      </c>
      <c r="K294" s="7">
        <f t="shared" ref="K294:P294" si="530">abs(D294-D293)/200</f>
        <v>0.00165</v>
      </c>
      <c r="L294" s="7">
        <f t="shared" si="530"/>
        <v>0.00605</v>
      </c>
      <c r="M294" s="7">
        <f t="shared" si="530"/>
        <v>0.0004</v>
      </c>
      <c r="N294" s="7">
        <f t="shared" si="530"/>
        <v>0.00035</v>
      </c>
      <c r="O294" s="7">
        <f t="shared" si="530"/>
        <v>0</v>
      </c>
      <c r="P294" s="7">
        <f t="shared" si="530"/>
        <v>0.00375</v>
      </c>
      <c r="Q294" s="7">
        <f t="shared" si="7"/>
        <v>0.7489229077</v>
      </c>
      <c r="R294" s="7">
        <f t="shared" si="8"/>
        <v>0.09022567871</v>
      </c>
      <c r="S294" s="7">
        <f t="shared" si="2"/>
        <v>1.023640792</v>
      </c>
      <c r="T294" s="7">
        <f t="shared" si="3"/>
        <v>1.212064355</v>
      </c>
      <c r="U294" s="7">
        <f t="shared" si="4"/>
        <v>1</v>
      </c>
      <c r="V294" s="7">
        <f t="shared" si="5"/>
        <v>1</v>
      </c>
      <c r="W294" s="7">
        <f t="shared" ref="W294:X294" si="531">IF(AVERAGE(U234:U293) &gt; 0.25, 1, 0)</f>
        <v>1</v>
      </c>
      <c r="X294" s="7">
        <f t="shared" si="531"/>
        <v>1</v>
      </c>
      <c r="Y294" s="8">
        <v>1.0</v>
      </c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</row>
    <row r="295" ht="22.5" customHeight="1">
      <c r="B295" s="6">
        <v>294.0</v>
      </c>
      <c r="C295" s="6">
        <v>62459.0</v>
      </c>
      <c r="D295" s="6">
        <v>1.12</v>
      </c>
      <c r="E295" s="6">
        <v>-0.51</v>
      </c>
      <c r="F295" s="6">
        <v>10.93</v>
      </c>
      <c r="G295" s="6">
        <v>-0.12</v>
      </c>
      <c r="H295" s="6">
        <v>-0.18</v>
      </c>
      <c r="I295" s="6">
        <v>0.07</v>
      </c>
      <c r="J295" s="6">
        <v>33.37</v>
      </c>
      <c r="K295" s="7">
        <f t="shared" ref="K295:P295" si="532">abs(D295-D294)/200</f>
        <v>0.0015</v>
      </c>
      <c r="L295" s="7">
        <f t="shared" si="532"/>
        <v>0.00005</v>
      </c>
      <c r="M295" s="7">
        <f t="shared" si="532"/>
        <v>0.00075</v>
      </c>
      <c r="N295" s="7">
        <f t="shared" si="532"/>
        <v>0.00085</v>
      </c>
      <c r="O295" s="7">
        <f t="shared" si="532"/>
        <v>0.00115</v>
      </c>
      <c r="P295" s="7">
        <f t="shared" si="532"/>
        <v>0.0057</v>
      </c>
      <c r="Q295" s="7">
        <f t="shared" si="7"/>
        <v>0.9846880147</v>
      </c>
      <c r="R295" s="7">
        <f t="shared" si="8"/>
        <v>0.1754228042</v>
      </c>
      <c r="S295" s="7">
        <f t="shared" si="2"/>
        <v>1.199063597</v>
      </c>
      <c r="T295" s="7">
        <f t="shared" si="3"/>
        <v>0.22737634</v>
      </c>
      <c r="U295" s="7">
        <f t="shared" si="4"/>
        <v>1</v>
      </c>
      <c r="V295" s="7">
        <f t="shared" si="5"/>
        <v>1</v>
      </c>
      <c r="W295" s="7">
        <f t="shared" ref="W295:X295" si="533">IF(AVERAGE(U235:U294) &gt; 0.25, 1, 0)</f>
        <v>1</v>
      </c>
      <c r="X295" s="7">
        <f t="shared" si="533"/>
        <v>1</v>
      </c>
      <c r="Y295" s="8">
        <v>1.0</v>
      </c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</row>
    <row r="296" ht="22.5" customHeight="1">
      <c r="B296" s="6">
        <v>295.0</v>
      </c>
      <c r="C296" s="6">
        <v>62663.0</v>
      </c>
      <c r="D296" s="6">
        <v>1.95</v>
      </c>
      <c r="E296" s="6">
        <v>-0.99</v>
      </c>
      <c r="F296" s="6">
        <v>10.68</v>
      </c>
      <c r="G296" s="6">
        <v>-0.26</v>
      </c>
      <c r="H296" s="6">
        <v>-0.06</v>
      </c>
      <c r="I296" s="6">
        <v>-0.79</v>
      </c>
      <c r="J296" s="6">
        <v>33.36</v>
      </c>
      <c r="K296" s="7">
        <f t="shared" ref="K296:P296" si="534">abs(D296-D295)/200</f>
        <v>0.00415</v>
      </c>
      <c r="L296" s="7">
        <f t="shared" si="534"/>
        <v>0.0024</v>
      </c>
      <c r="M296" s="7">
        <f t="shared" si="534"/>
        <v>0.00125</v>
      </c>
      <c r="N296" s="7">
        <f t="shared" si="534"/>
        <v>0.0007</v>
      </c>
      <c r="O296" s="7">
        <f t="shared" si="534"/>
        <v>0.0006</v>
      </c>
      <c r="P296" s="7">
        <f t="shared" si="534"/>
        <v>0.0043</v>
      </c>
      <c r="Q296" s="7">
        <f t="shared" si="7"/>
        <v>0.6064701686</v>
      </c>
      <c r="R296" s="7">
        <f t="shared" si="8"/>
        <v>0.09745821014</v>
      </c>
      <c r="S296" s="7">
        <f t="shared" si="2"/>
        <v>1.101605386</v>
      </c>
      <c r="T296" s="7">
        <f t="shared" si="3"/>
        <v>0.8338465087</v>
      </c>
      <c r="U296" s="7">
        <f t="shared" si="4"/>
        <v>1</v>
      </c>
      <c r="V296" s="7">
        <f t="shared" si="5"/>
        <v>1</v>
      </c>
      <c r="W296" s="7">
        <f t="shared" ref="W296:X296" si="535">IF(AVERAGE(U236:U295) &gt; 0.25, 1, 0)</f>
        <v>1</v>
      </c>
      <c r="X296" s="7">
        <f t="shared" si="535"/>
        <v>1</v>
      </c>
      <c r="Y296" s="8">
        <v>1.0</v>
      </c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</row>
    <row r="297" ht="22.5" customHeight="1">
      <c r="B297" s="6">
        <v>296.0</v>
      </c>
      <c r="C297" s="6">
        <v>62867.0</v>
      </c>
      <c r="D297" s="6">
        <v>-0.14</v>
      </c>
      <c r="E297" s="6">
        <v>0.89</v>
      </c>
      <c r="F297" s="6">
        <v>10.86</v>
      </c>
      <c r="G297" s="6">
        <v>-0.29</v>
      </c>
      <c r="H297" s="6">
        <v>-0.08</v>
      </c>
      <c r="I297" s="6">
        <v>-1.35</v>
      </c>
      <c r="J297" s="6">
        <v>33.36</v>
      </c>
      <c r="K297" s="7">
        <f t="shared" ref="K297:P297" si="536">abs(D297-D296)/200</f>
        <v>0.01045</v>
      </c>
      <c r="L297" s="7">
        <f t="shared" si="536"/>
        <v>0.0094</v>
      </c>
      <c r="M297" s="7">
        <f t="shared" si="536"/>
        <v>0.0009</v>
      </c>
      <c r="N297" s="7">
        <f t="shared" si="536"/>
        <v>0.00015</v>
      </c>
      <c r="O297" s="7">
        <f t="shared" si="536"/>
        <v>0.0001</v>
      </c>
      <c r="P297" s="7">
        <f t="shared" si="536"/>
        <v>0.0028</v>
      </c>
      <c r="Q297" s="7">
        <f t="shared" si="7"/>
        <v>0.5492659235</v>
      </c>
      <c r="R297" s="7">
        <f t="shared" si="8"/>
        <v>0.004298379585</v>
      </c>
      <c r="S297" s="7">
        <f t="shared" si="2"/>
        <v>1.097307007</v>
      </c>
      <c r="T297" s="7">
        <f t="shared" si="3"/>
        <v>1.383112432</v>
      </c>
      <c r="U297" s="7">
        <f t="shared" si="4"/>
        <v>1</v>
      </c>
      <c r="V297" s="7">
        <f t="shared" si="5"/>
        <v>1</v>
      </c>
      <c r="W297" s="7">
        <f t="shared" ref="W297:X297" si="537">IF(AVERAGE(U237:U296) &gt; 0.25, 1, 0)</f>
        <v>1</v>
      </c>
      <c r="X297" s="7">
        <f t="shared" si="537"/>
        <v>1</v>
      </c>
      <c r="Y297" s="8">
        <v>1.0</v>
      </c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</row>
    <row r="298" ht="22.5" customHeight="1">
      <c r="B298" s="6">
        <v>297.0</v>
      </c>
      <c r="C298" s="6">
        <v>63071.0</v>
      </c>
      <c r="D298" s="6">
        <v>0.82</v>
      </c>
      <c r="E298" s="6">
        <v>0.81</v>
      </c>
      <c r="F298" s="6">
        <v>10.69</v>
      </c>
      <c r="G298" s="6">
        <v>-0.09</v>
      </c>
      <c r="H298" s="6">
        <v>0.06</v>
      </c>
      <c r="I298" s="6">
        <v>-0.11</v>
      </c>
      <c r="J298" s="6">
        <v>33.37</v>
      </c>
      <c r="K298" s="7">
        <f t="shared" ref="K298:P298" si="538">abs(D298-D297)/200</f>
        <v>0.0048</v>
      </c>
      <c r="L298" s="7">
        <f t="shared" si="538"/>
        <v>0.0004</v>
      </c>
      <c r="M298" s="7">
        <f t="shared" si="538"/>
        <v>0.00085</v>
      </c>
      <c r="N298" s="7">
        <f t="shared" si="538"/>
        <v>0.001</v>
      </c>
      <c r="O298" s="7">
        <f t="shared" si="538"/>
        <v>0.0007</v>
      </c>
      <c r="P298" s="7">
        <f t="shared" si="538"/>
        <v>0.0062</v>
      </c>
      <c r="Q298" s="7">
        <f t="shared" si="7"/>
        <v>1.228839946</v>
      </c>
      <c r="R298" s="7">
        <f t="shared" si="8"/>
        <v>0.1453490456</v>
      </c>
      <c r="S298" s="7">
        <f t="shared" si="2"/>
        <v>0.9519579612</v>
      </c>
      <c r="T298" s="7">
        <f t="shared" si="3"/>
        <v>0.1542724862</v>
      </c>
      <c r="U298" s="7">
        <f t="shared" si="4"/>
        <v>1</v>
      </c>
      <c r="V298" s="7">
        <f t="shared" si="5"/>
        <v>1</v>
      </c>
      <c r="W298" s="7">
        <f t="shared" ref="W298:X298" si="539">IF(AVERAGE(U238:U297) &gt; 0.25, 1, 0)</f>
        <v>1</v>
      </c>
      <c r="X298" s="7">
        <f t="shared" si="539"/>
        <v>1</v>
      </c>
      <c r="Y298" s="8">
        <v>1.0</v>
      </c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</row>
    <row r="299" ht="22.5" customHeight="1">
      <c r="B299" s="6">
        <v>298.0</v>
      </c>
      <c r="C299" s="6">
        <v>63275.0</v>
      </c>
      <c r="D299" s="6">
        <v>0.81</v>
      </c>
      <c r="E299" s="6">
        <v>-0.14</v>
      </c>
      <c r="F299" s="6">
        <v>10.74</v>
      </c>
      <c r="G299" s="6">
        <v>0.03</v>
      </c>
      <c r="H299" s="6">
        <v>0.11</v>
      </c>
      <c r="I299" s="6">
        <v>0.7</v>
      </c>
      <c r="J299" s="6">
        <v>33.37</v>
      </c>
      <c r="K299" s="7">
        <f t="shared" ref="K299:P299" si="540">abs(D299-D298)/200</f>
        <v>0.00005</v>
      </c>
      <c r="L299" s="7">
        <f t="shared" si="540"/>
        <v>0.00475</v>
      </c>
      <c r="M299" s="7">
        <f t="shared" si="540"/>
        <v>0.00025</v>
      </c>
      <c r="N299" s="7">
        <f t="shared" si="540"/>
        <v>0.0006</v>
      </c>
      <c r="O299" s="7">
        <f t="shared" si="540"/>
        <v>0.00025</v>
      </c>
      <c r="P299" s="7">
        <f t="shared" si="540"/>
        <v>0.00405</v>
      </c>
      <c r="Q299" s="7">
        <f t="shared" si="7"/>
        <v>0.5549524429</v>
      </c>
      <c r="R299" s="7">
        <f t="shared" si="8"/>
        <v>0.01945327408</v>
      </c>
      <c r="S299" s="7">
        <f t="shared" si="2"/>
        <v>0.9714112353</v>
      </c>
      <c r="T299" s="7">
        <f t="shared" si="3"/>
        <v>0.7092249291</v>
      </c>
      <c r="U299" s="7">
        <f t="shared" si="4"/>
        <v>1</v>
      </c>
      <c r="V299" s="7">
        <f t="shared" si="5"/>
        <v>1</v>
      </c>
      <c r="W299" s="7">
        <f t="shared" ref="W299:X299" si="541">IF(AVERAGE(U239:U298) &gt; 0.25, 1, 0)</f>
        <v>1</v>
      </c>
      <c r="X299" s="7">
        <f t="shared" si="541"/>
        <v>1</v>
      </c>
      <c r="Y299" s="8">
        <v>1.0</v>
      </c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</row>
    <row r="300" ht="22.5" customHeight="1">
      <c r="B300" s="6">
        <v>299.0</v>
      </c>
      <c r="C300" s="6">
        <v>63479.0</v>
      </c>
      <c r="D300" s="6">
        <v>2.18</v>
      </c>
      <c r="E300" s="6">
        <v>-1.96</v>
      </c>
      <c r="F300" s="6">
        <v>10.6</v>
      </c>
      <c r="G300" s="6">
        <v>0.0</v>
      </c>
      <c r="H300" s="6">
        <v>0.04</v>
      </c>
      <c r="I300" s="6">
        <v>0.66</v>
      </c>
      <c r="J300" s="6">
        <v>33.37</v>
      </c>
      <c r="K300" s="7">
        <f t="shared" ref="K300:P300" si="542">abs(D300-D299)/200</f>
        <v>0.00685</v>
      </c>
      <c r="L300" s="7">
        <f t="shared" si="542"/>
        <v>0.0091</v>
      </c>
      <c r="M300" s="7">
        <f t="shared" si="542"/>
        <v>0.0007</v>
      </c>
      <c r="N300" s="7">
        <f t="shared" si="542"/>
        <v>0.00015</v>
      </c>
      <c r="O300" s="7">
        <f t="shared" si="542"/>
        <v>0.00035</v>
      </c>
      <c r="P300" s="7">
        <f t="shared" si="542"/>
        <v>0.0002</v>
      </c>
      <c r="Q300" s="7">
        <f t="shared" si="7"/>
        <v>0.04801391887</v>
      </c>
      <c r="R300" s="7">
        <f t="shared" si="8"/>
        <v>0.2264976568</v>
      </c>
      <c r="S300" s="7">
        <f t="shared" si="2"/>
        <v>1.197908892</v>
      </c>
      <c r="T300" s="7">
        <f t="shared" si="3"/>
        <v>0.6612110102</v>
      </c>
      <c r="U300" s="7">
        <f t="shared" si="4"/>
        <v>1</v>
      </c>
      <c r="V300" s="7">
        <f t="shared" si="5"/>
        <v>1</v>
      </c>
      <c r="W300" s="7">
        <f t="shared" ref="W300:X300" si="543">IF(AVERAGE(U240:U299) &gt; 0.25, 1, 0)</f>
        <v>1</v>
      </c>
      <c r="X300" s="7">
        <f t="shared" si="543"/>
        <v>1</v>
      </c>
      <c r="Y300" s="8">
        <v>1.0</v>
      </c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</row>
    <row r="301" ht="22.5" customHeight="1">
      <c r="B301" s="6">
        <v>300.0</v>
      </c>
      <c r="C301" s="6">
        <v>63683.0</v>
      </c>
      <c r="D301" s="6">
        <v>1.64</v>
      </c>
      <c r="E301" s="6">
        <v>-1.47</v>
      </c>
      <c r="F301" s="6">
        <v>10.68</v>
      </c>
      <c r="G301" s="6">
        <v>-0.22</v>
      </c>
      <c r="H301" s="6">
        <v>-0.14</v>
      </c>
      <c r="I301" s="6">
        <v>-0.74</v>
      </c>
      <c r="J301" s="6">
        <v>33.37</v>
      </c>
      <c r="K301" s="7">
        <f t="shared" ref="K301:P301" si="544">abs(D301-D300)/200</f>
        <v>0.0027</v>
      </c>
      <c r="L301" s="7">
        <f t="shared" si="544"/>
        <v>0.00245</v>
      </c>
      <c r="M301" s="7">
        <f t="shared" si="544"/>
        <v>0.0004</v>
      </c>
      <c r="N301" s="7">
        <f t="shared" si="544"/>
        <v>0.0011</v>
      </c>
      <c r="O301" s="7">
        <f t="shared" si="544"/>
        <v>0.0009</v>
      </c>
      <c r="P301" s="7">
        <f t="shared" si="544"/>
        <v>0.007</v>
      </c>
      <c r="Q301" s="7">
        <f t="shared" si="7"/>
        <v>0.1233907996</v>
      </c>
      <c r="R301" s="7">
        <f t="shared" si="8"/>
        <v>0.09318973024</v>
      </c>
      <c r="S301" s="7">
        <f t="shared" si="2"/>
        <v>1.104719162</v>
      </c>
      <c r="T301" s="7">
        <f t="shared" si="3"/>
        <v>0.7846018098</v>
      </c>
      <c r="U301" s="7">
        <f t="shared" si="4"/>
        <v>1</v>
      </c>
      <c r="V301" s="7">
        <f t="shared" si="5"/>
        <v>1</v>
      </c>
      <c r="W301" s="7">
        <f t="shared" ref="W301:X301" si="545">IF(AVERAGE(U241:U300) &gt; 0.25, 1, 0)</f>
        <v>1</v>
      </c>
      <c r="X301" s="7">
        <f t="shared" si="545"/>
        <v>1</v>
      </c>
      <c r="Y301" s="8">
        <v>1.0</v>
      </c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</row>
    <row r="302" ht="22.5" customHeight="1">
      <c r="B302" s="6">
        <v>301.0</v>
      </c>
      <c r="C302" s="6">
        <v>63887.0</v>
      </c>
      <c r="D302" s="6">
        <v>0.72</v>
      </c>
      <c r="E302" s="6">
        <v>-0.24</v>
      </c>
      <c r="F302" s="6">
        <v>10.64</v>
      </c>
      <c r="G302" s="6">
        <v>-0.25</v>
      </c>
      <c r="H302" s="6">
        <v>-0.15</v>
      </c>
      <c r="I302" s="6">
        <v>-1.13</v>
      </c>
      <c r="J302" s="6">
        <v>33.38</v>
      </c>
      <c r="K302" s="7">
        <f t="shared" ref="K302:P302" si="546">abs(D302-D301)/200</f>
        <v>0.0046</v>
      </c>
      <c r="L302" s="7">
        <f t="shared" si="546"/>
        <v>0.00615</v>
      </c>
      <c r="M302" s="7">
        <f t="shared" si="546"/>
        <v>0.0002</v>
      </c>
      <c r="N302" s="7">
        <f t="shared" si="546"/>
        <v>0.00015</v>
      </c>
      <c r="O302" s="7">
        <f t="shared" si="546"/>
        <v>0.00005</v>
      </c>
      <c r="P302" s="7">
        <f t="shared" si="546"/>
        <v>0.00195</v>
      </c>
      <c r="Q302" s="7">
        <f t="shared" si="7"/>
        <v>0.3824029031</v>
      </c>
      <c r="R302" s="7">
        <f t="shared" si="8"/>
        <v>0.2376858349</v>
      </c>
      <c r="S302" s="7">
        <f t="shared" si="2"/>
        <v>0.867033327</v>
      </c>
      <c r="T302" s="7">
        <f t="shared" si="3"/>
        <v>1.167004713</v>
      </c>
      <c r="U302" s="7">
        <f t="shared" si="4"/>
        <v>1</v>
      </c>
      <c r="V302" s="7">
        <f t="shared" si="5"/>
        <v>1</v>
      </c>
      <c r="W302" s="7">
        <f t="shared" ref="W302:X302" si="547">IF(AVERAGE(U242:U301) &gt; 0.25, 1, 0)</f>
        <v>1</v>
      </c>
      <c r="X302" s="7">
        <f t="shared" si="547"/>
        <v>1</v>
      </c>
      <c r="Y302" s="8">
        <v>1.0</v>
      </c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</row>
    <row r="303" ht="22.5" customHeight="1">
      <c r="B303" s="6">
        <v>302.0</v>
      </c>
      <c r="C303" s="6">
        <v>64091.0</v>
      </c>
      <c r="D303" s="6">
        <v>0.7</v>
      </c>
      <c r="E303" s="6">
        <v>1.03</v>
      </c>
      <c r="F303" s="6">
        <v>10.71</v>
      </c>
      <c r="G303" s="6">
        <v>-0.06</v>
      </c>
      <c r="H303" s="6">
        <v>0.12</v>
      </c>
      <c r="I303" s="6">
        <v>-0.05</v>
      </c>
      <c r="J303" s="6">
        <v>33.37</v>
      </c>
      <c r="K303" s="7">
        <f t="shared" ref="K303:P303" si="548">abs(D303-D302)/200</f>
        <v>0.0001</v>
      </c>
      <c r="L303" s="7">
        <f t="shared" si="548"/>
        <v>0.00635</v>
      </c>
      <c r="M303" s="7">
        <f t="shared" si="548"/>
        <v>0.00035</v>
      </c>
      <c r="N303" s="7">
        <f t="shared" si="548"/>
        <v>0.00095</v>
      </c>
      <c r="O303" s="7">
        <f t="shared" si="548"/>
        <v>0.00135</v>
      </c>
      <c r="P303" s="7">
        <f t="shared" si="548"/>
        <v>0.0054</v>
      </c>
      <c r="Q303" s="7">
        <f t="shared" si="7"/>
        <v>1.023826502</v>
      </c>
      <c r="R303" s="7">
        <f t="shared" si="8"/>
        <v>0.1151278663</v>
      </c>
      <c r="S303" s="7">
        <f t="shared" si="2"/>
        <v>0.9821611934</v>
      </c>
      <c r="T303" s="7">
        <f t="shared" si="3"/>
        <v>0.1431782106</v>
      </c>
      <c r="U303" s="7">
        <f t="shared" si="4"/>
        <v>1</v>
      </c>
      <c r="V303" s="7">
        <f t="shared" si="5"/>
        <v>1</v>
      </c>
      <c r="W303" s="7">
        <f t="shared" ref="W303:X303" si="549">IF(AVERAGE(U243:U302) &gt; 0.25, 1, 0)</f>
        <v>1</v>
      </c>
      <c r="X303" s="7">
        <f t="shared" si="549"/>
        <v>1</v>
      </c>
      <c r="Y303" s="8">
        <v>1.0</v>
      </c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</row>
    <row r="304" ht="22.5" customHeight="1">
      <c r="B304" s="6">
        <v>303.0</v>
      </c>
      <c r="C304" s="6">
        <v>64295.0</v>
      </c>
      <c r="D304" s="6">
        <v>0.25</v>
      </c>
      <c r="E304" s="6">
        <v>0.35</v>
      </c>
      <c r="F304" s="6">
        <v>10.76</v>
      </c>
      <c r="G304" s="6">
        <v>0.04</v>
      </c>
      <c r="H304" s="6">
        <v>0.11</v>
      </c>
      <c r="I304" s="6">
        <v>1.0</v>
      </c>
      <c r="J304" s="6">
        <v>33.37</v>
      </c>
      <c r="K304" s="7">
        <f t="shared" ref="K304:P304" si="550">abs(D304-D303)/200</f>
        <v>0.00225</v>
      </c>
      <c r="L304" s="7">
        <f t="shared" si="550"/>
        <v>0.0034</v>
      </c>
      <c r="M304" s="7">
        <f t="shared" si="550"/>
        <v>0.00025</v>
      </c>
      <c r="N304" s="7">
        <f t="shared" si="550"/>
        <v>0.0005</v>
      </c>
      <c r="O304" s="7">
        <f t="shared" si="550"/>
        <v>0.00005</v>
      </c>
      <c r="P304" s="7">
        <f t="shared" si="550"/>
        <v>0.00525</v>
      </c>
      <c r="Q304" s="7">
        <f t="shared" si="7"/>
        <v>0.8636484875</v>
      </c>
      <c r="R304" s="7">
        <f t="shared" si="8"/>
        <v>0.01356797049</v>
      </c>
      <c r="S304" s="7">
        <f t="shared" si="2"/>
        <v>0.9685932229</v>
      </c>
      <c r="T304" s="7">
        <f t="shared" si="3"/>
        <v>1.006826698</v>
      </c>
      <c r="U304" s="7">
        <f t="shared" si="4"/>
        <v>1</v>
      </c>
      <c r="V304" s="7">
        <f t="shared" si="5"/>
        <v>1</v>
      </c>
      <c r="W304" s="7">
        <f t="shared" ref="W304:X304" si="551">IF(AVERAGE(U244:U303) &gt; 0.25, 1, 0)</f>
        <v>1</v>
      </c>
      <c r="X304" s="7">
        <f t="shared" si="551"/>
        <v>1</v>
      </c>
      <c r="Y304" s="8">
        <v>1.0</v>
      </c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</row>
    <row r="305" ht="22.5" customHeight="1">
      <c r="B305" s="6">
        <v>304.0</v>
      </c>
      <c r="C305" s="6">
        <v>64499.0</v>
      </c>
      <c r="D305" s="6">
        <v>0.7</v>
      </c>
      <c r="E305" s="6">
        <v>-1.45</v>
      </c>
      <c r="F305" s="6">
        <v>10.73</v>
      </c>
      <c r="G305" s="6">
        <v>0.21</v>
      </c>
      <c r="H305" s="6">
        <v>-0.05</v>
      </c>
      <c r="I305" s="6">
        <v>2.0</v>
      </c>
      <c r="J305" s="6">
        <v>33.37</v>
      </c>
      <c r="K305" s="7">
        <f t="shared" ref="K305:P305" si="552">abs(D305-D304)/200</f>
        <v>0.00225</v>
      </c>
      <c r="L305" s="7">
        <f t="shared" si="552"/>
        <v>0.009</v>
      </c>
      <c r="M305" s="7">
        <f t="shared" si="552"/>
        <v>0.00015</v>
      </c>
      <c r="N305" s="7">
        <f t="shared" si="552"/>
        <v>0.00085</v>
      </c>
      <c r="O305" s="7">
        <f t="shared" si="552"/>
        <v>0.0008</v>
      </c>
      <c r="P305" s="7">
        <f t="shared" si="552"/>
        <v>0.005</v>
      </c>
      <c r="Q305" s="7">
        <f t="shared" si="7"/>
        <v>1.004789567</v>
      </c>
      <c r="R305" s="7">
        <f t="shared" si="8"/>
        <v>0.08154041684</v>
      </c>
      <c r="S305" s="7">
        <f t="shared" si="2"/>
        <v>1.05013364</v>
      </c>
      <c r="T305" s="7">
        <f t="shared" si="3"/>
        <v>2.011616266</v>
      </c>
      <c r="U305" s="7">
        <f t="shared" si="4"/>
        <v>1</v>
      </c>
      <c r="V305" s="7">
        <f t="shared" si="5"/>
        <v>1</v>
      </c>
      <c r="W305" s="7">
        <f t="shared" ref="W305:X305" si="553">IF(AVERAGE(U245:U304) &gt; 0.25, 1, 0)</f>
        <v>1</v>
      </c>
      <c r="X305" s="7">
        <f t="shared" si="553"/>
        <v>1</v>
      </c>
      <c r="Y305" s="8">
        <v>1.0</v>
      </c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</row>
    <row r="306" ht="22.5" customHeight="1">
      <c r="B306" s="6">
        <v>305.0</v>
      </c>
      <c r="C306" s="6">
        <v>64703.0</v>
      </c>
      <c r="D306" s="6">
        <v>2.47</v>
      </c>
      <c r="E306" s="6">
        <v>2.35</v>
      </c>
      <c r="F306" s="6">
        <v>10.59</v>
      </c>
      <c r="G306" s="6">
        <v>0.42</v>
      </c>
      <c r="H306" s="6">
        <v>0.12</v>
      </c>
      <c r="I306" s="6">
        <v>5.17</v>
      </c>
      <c r="J306" s="6">
        <v>33.37</v>
      </c>
      <c r="K306" s="7">
        <f t="shared" ref="K306:P306" si="554">abs(D306-D305)/200</f>
        <v>0.00885</v>
      </c>
      <c r="L306" s="7">
        <f t="shared" si="554"/>
        <v>0.019</v>
      </c>
      <c r="M306" s="7">
        <f t="shared" si="554"/>
        <v>0.0007</v>
      </c>
      <c r="N306" s="7">
        <f t="shared" si="554"/>
        <v>0.00105</v>
      </c>
      <c r="O306" s="7">
        <f t="shared" si="554"/>
        <v>0.00085</v>
      </c>
      <c r="P306" s="7">
        <f t="shared" si="554"/>
        <v>0.01585</v>
      </c>
      <c r="Q306" s="7">
        <f t="shared" si="7"/>
        <v>3.176803532</v>
      </c>
      <c r="R306" s="7">
        <f t="shared" si="8"/>
        <v>0.2751304021</v>
      </c>
      <c r="S306" s="7">
        <f t="shared" si="2"/>
        <v>1.325264042</v>
      </c>
      <c r="T306" s="7">
        <f t="shared" si="3"/>
        <v>5.188419798</v>
      </c>
      <c r="U306" s="7">
        <f t="shared" si="4"/>
        <v>1</v>
      </c>
      <c r="V306" s="7">
        <f t="shared" si="5"/>
        <v>1</v>
      </c>
      <c r="W306" s="7">
        <f t="shared" ref="W306:X306" si="555">IF(AVERAGE(U246:U305) &gt; 0.25, 1, 0)</f>
        <v>1</v>
      </c>
      <c r="X306" s="7">
        <f t="shared" si="555"/>
        <v>1</v>
      </c>
      <c r="Y306" s="8">
        <v>1.0</v>
      </c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</row>
    <row r="307" ht="22.5" customHeight="1">
      <c r="B307" s="6">
        <v>306.0</v>
      </c>
      <c r="C307" s="6">
        <v>64907.0</v>
      </c>
      <c r="D307" s="6">
        <v>1.22</v>
      </c>
      <c r="E307" s="6">
        <v>0.0</v>
      </c>
      <c r="F307" s="6">
        <v>10.65</v>
      </c>
      <c r="G307" s="6">
        <v>-0.09</v>
      </c>
      <c r="H307" s="6">
        <v>0.0</v>
      </c>
      <c r="I307" s="6">
        <v>0.05</v>
      </c>
      <c r="J307" s="6">
        <v>33.37</v>
      </c>
      <c r="K307" s="7">
        <f t="shared" ref="K307:P307" si="556">abs(D307-D306)/200</f>
        <v>0.00625</v>
      </c>
      <c r="L307" s="7">
        <f t="shared" si="556"/>
        <v>0.01175</v>
      </c>
      <c r="M307" s="7">
        <f t="shared" si="556"/>
        <v>0.0003</v>
      </c>
      <c r="N307" s="7">
        <f t="shared" si="556"/>
        <v>0.00255</v>
      </c>
      <c r="O307" s="7">
        <f t="shared" si="556"/>
        <v>0.0006</v>
      </c>
      <c r="P307" s="7">
        <f t="shared" si="556"/>
        <v>0.0256</v>
      </c>
      <c r="Q307" s="7">
        <f t="shared" si="7"/>
        <v>5.085463497</v>
      </c>
      <c r="R307" s="7">
        <f t="shared" si="8"/>
        <v>0.405613861</v>
      </c>
      <c r="S307" s="7">
        <f t="shared" si="2"/>
        <v>0.9196501809</v>
      </c>
      <c r="T307" s="7">
        <f t="shared" si="3"/>
        <v>0.1029563014</v>
      </c>
      <c r="U307" s="7">
        <f t="shared" si="4"/>
        <v>1</v>
      </c>
      <c r="V307" s="7">
        <f t="shared" si="5"/>
        <v>1</v>
      </c>
      <c r="W307" s="7">
        <f t="shared" ref="W307:X307" si="557">IF(AVERAGE(U247:U306) &gt; 0.25, 1, 0)</f>
        <v>1</v>
      </c>
      <c r="X307" s="7">
        <f t="shared" si="557"/>
        <v>1</v>
      </c>
      <c r="Y307" s="8">
        <v>1.0</v>
      </c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</row>
    <row r="308" ht="22.5" customHeight="1">
      <c r="B308" s="6">
        <v>307.0</v>
      </c>
      <c r="C308" s="6">
        <v>65111.0</v>
      </c>
      <c r="D308" s="6">
        <v>1.25</v>
      </c>
      <c r="E308" s="6">
        <v>0.06</v>
      </c>
      <c r="F308" s="6">
        <v>10.62</v>
      </c>
      <c r="G308" s="6">
        <v>-0.1</v>
      </c>
      <c r="H308" s="6">
        <v>-0.01</v>
      </c>
      <c r="I308" s="6">
        <v>-0.01</v>
      </c>
      <c r="J308" s="6">
        <v>33.37</v>
      </c>
      <c r="K308" s="7">
        <f t="shared" ref="K308:P308" si="558">abs(D308-D307)/200</f>
        <v>0.00015</v>
      </c>
      <c r="L308" s="7">
        <f t="shared" si="558"/>
        <v>0.0003</v>
      </c>
      <c r="M308" s="7">
        <f t="shared" si="558"/>
        <v>0.00015</v>
      </c>
      <c r="N308" s="7">
        <f t="shared" si="558"/>
        <v>0.00005</v>
      </c>
      <c r="O308" s="7">
        <f t="shared" si="558"/>
        <v>0.00005</v>
      </c>
      <c r="P308" s="7">
        <f t="shared" si="558"/>
        <v>0.0003</v>
      </c>
      <c r="Q308" s="7">
        <f t="shared" si="7"/>
        <v>0.001961252026</v>
      </c>
      <c r="R308" s="7">
        <f t="shared" si="8"/>
        <v>0.02617085933</v>
      </c>
      <c r="S308" s="7">
        <f t="shared" si="2"/>
        <v>0.8934793215</v>
      </c>
      <c r="T308" s="7">
        <f t="shared" si="3"/>
        <v>0.1009950494</v>
      </c>
      <c r="U308" s="7">
        <f t="shared" si="4"/>
        <v>0</v>
      </c>
      <c r="V308" s="7">
        <f t="shared" si="5"/>
        <v>0</v>
      </c>
      <c r="W308" s="7">
        <f t="shared" ref="W308:X308" si="559">IF(AVERAGE(U248:U307) &gt; 0.25, 1, 0)</f>
        <v>1</v>
      </c>
      <c r="X308" s="7">
        <f t="shared" si="559"/>
        <v>1</v>
      </c>
      <c r="Y308" s="8">
        <v>1.0</v>
      </c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</row>
    <row r="309" ht="22.5" customHeight="1">
      <c r="B309" s="6">
        <v>308.0</v>
      </c>
      <c r="C309" s="6">
        <v>65315.0</v>
      </c>
      <c r="D309" s="6">
        <v>1.28</v>
      </c>
      <c r="E309" s="6">
        <v>0.04</v>
      </c>
      <c r="F309" s="6">
        <v>10.69</v>
      </c>
      <c r="G309" s="6">
        <v>-0.09</v>
      </c>
      <c r="H309" s="6">
        <v>-0.01</v>
      </c>
      <c r="I309" s="6">
        <v>-0.01</v>
      </c>
      <c r="J309" s="6">
        <v>33.37</v>
      </c>
      <c r="K309" s="7">
        <f t="shared" ref="K309:P309" si="560">abs(D309-D308)/200</f>
        <v>0.00015</v>
      </c>
      <c r="L309" s="7">
        <f t="shared" si="560"/>
        <v>0.0001</v>
      </c>
      <c r="M309" s="7">
        <f t="shared" si="560"/>
        <v>0.00035</v>
      </c>
      <c r="N309" s="7">
        <f t="shared" si="560"/>
        <v>0.00005</v>
      </c>
      <c r="O309" s="7">
        <f t="shared" si="560"/>
        <v>0</v>
      </c>
      <c r="P309" s="7">
        <f t="shared" si="560"/>
        <v>0</v>
      </c>
      <c r="Q309" s="7">
        <f t="shared" si="7"/>
        <v>0.009890713592</v>
      </c>
      <c r="R309" s="7">
        <f t="shared" si="8"/>
        <v>0.07295462848</v>
      </c>
      <c r="S309" s="7">
        <f t="shared" si="2"/>
        <v>0.96643395</v>
      </c>
      <c r="T309" s="7">
        <f t="shared" si="3"/>
        <v>0.09110433579</v>
      </c>
      <c r="U309" s="7">
        <f t="shared" si="4"/>
        <v>1</v>
      </c>
      <c r="V309" s="7">
        <f t="shared" si="5"/>
        <v>0</v>
      </c>
      <c r="W309" s="7">
        <f t="shared" ref="W309:X309" si="561">IF(AVERAGE(U249:U308) &gt; 0.25, 1, 0)</f>
        <v>1</v>
      </c>
      <c r="X309" s="7">
        <f t="shared" si="561"/>
        <v>1</v>
      </c>
      <c r="Y309" s="8">
        <v>1.0</v>
      </c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</row>
    <row r="310" ht="22.5" customHeight="1">
      <c r="B310" s="6">
        <v>309.0</v>
      </c>
      <c r="C310" s="6">
        <v>65519.0</v>
      </c>
      <c r="D310" s="6">
        <v>1.31</v>
      </c>
      <c r="E310" s="6">
        <v>0.04</v>
      </c>
      <c r="F310" s="6">
        <v>10.68</v>
      </c>
      <c r="G310" s="6">
        <v>-0.09</v>
      </c>
      <c r="H310" s="6">
        <v>-0.01</v>
      </c>
      <c r="I310" s="6">
        <v>-0.02</v>
      </c>
      <c r="J310" s="6">
        <v>33.37</v>
      </c>
      <c r="K310" s="7">
        <f t="shared" ref="K310:P310" si="562">abs(D310-D309)/200</f>
        <v>0.00015</v>
      </c>
      <c r="L310" s="7">
        <f t="shared" si="562"/>
        <v>0</v>
      </c>
      <c r="M310" s="7">
        <f t="shared" si="562"/>
        <v>0.00005</v>
      </c>
      <c r="N310" s="7">
        <f t="shared" si="562"/>
        <v>0</v>
      </c>
      <c r="O310" s="7">
        <f t="shared" si="562"/>
        <v>0</v>
      </c>
      <c r="P310" s="7">
        <f t="shared" si="562"/>
        <v>0.00005</v>
      </c>
      <c r="Q310" s="7">
        <f t="shared" si="7"/>
        <v>0.001631849164</v>
      </c>
      <c r="R310" s="7">
        <f t="shared" si="8"/>
        <v>0.006317779637</v>
      </c>
      <c r="S310" s="7">
        <f t="shared" si="2"/>
        <v>0.9601161704</v>
      </c>
      <c r="T310" s="7">
        <f t="shared" si="3"/>
        <v>0.09273618495</v>
      </c>
      <c r="U310" s="7">
        <f t="shared" si="4"/>
        <v>0</v>
      </c>
      <c r="V310" s="7">
        <f t="shared" si="5"/>
        <v>0</v>
      </c>
      <c r="W310" s="7">
        <f t="shared" ref="W310:X310" si="563">IF(AVERAGE(U250:U309) &gt; 0.25, 1, 0)</f>
        <v>1</v>
      </c>
      <c r="X310" s="7">
        <f t="shared" si="563"/>
        <v>1</v>
      </c>
      <c r="Y310" s="8">
        <v>1.0</v>
      </c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</row>
    <row r="311" ht="22.5" customHeight="1">
      <c r="B311" s="6">
        <v>310.0</v>
      </c>
      <c r="C311" s="6">
        <v>65723.0</v>
      </c>
      <c r="D311" s="6">
        <v>1.33</v>
      </c>
      <c r="E311" s="6">
        <v>0.04</v>
      </c>
      <c r="F311" s="6">
        <v>10.69</v>
      </c>
      <c r="G311" s="6">
        <v>-0.1</v>
      </c>
      <c r="H311" s="6">
        <v>-0.01</v>
      </c>
      <c r="I311" s="6">
        <v>-0.01</v>
      </c>
      <c r="J311" s="6">
        <v>33.36</v>
      </c>
      <c r="K311" s="7">
        <f t="shared" ref="K311:P311" si="564">abs(D311-D310)/200</f>
        <v>0.0001</v>
      </c>
      <c r="L311" s="7">
        <f t="shared" si="564"/>
        <v>0</v>
      </c>
      <c r="M311" s="7">
        <f t="shared" si="564"/>
        <v>0.00005</v>
      </c>
      <c r="N311" s="7">
        <f t="shared" si="564"/>
        <v>0.00005</v>
      </c>
      <c r="O311" s="7">
        <f t="shared" si="564"/>
        <v>0</v>
      </c>
      <c r="P311" s="7">
        <f t="shared" si="564"/>
        <v>0.00005</v>
      </c>
      <c r="Q311" s="7">
        <f t="shared" si="7"/>
        <v>0.008258864429</v>
      </c>
      <c r="R311" s="7">
        <f t="shared" si="8"/>
        <v>0.01237657736</v>
      </c>
      <c r="S311" s="7">
        <f t="shared" si="2"/>
        <v>0.9724927477</v>
      </c>
      <c r="T311" s="7">
        <f t="shared" si="3"/>
        <v>0.1009950494</v>
      </c>
      <c r="U311" s="7">
        <f t="shared" si="4"/>
        <v>0</v>
      </c>
      <c r="V311" s="7">
        <f t="shared" si="5"/>
        <v>0</v>
      </c>
      <c r="W311" s="7">
        <f t="shared" ref="W311:X311" si="565">IF(AVERAGE(U251:U310) &gt; 0.25, 1, 0)</f>
        <v>1</v>
      </c>
      <c r="X311" s="7">
        <f t="shared" si="565"/>
        <v>1</v>
      </c>
      <c r="Y311" s="8">
        <v>1.0</v>
      </c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</row>
    <row r="312" ht="22.5" customHeight="1">
      <c r="B312" s="6">
        <v>311.0</v>
      </c>
      <c r="C312" s="6">
        <v>65927.0</v>
      </c>
      <c r="D312" s="6">
        <v>1.64</v>
      </c>
      <c r="E312" s="6">
        <v>0.41</v>
      </c>
      <c r="F312" s="6">
        <v>10.28</v>
      </c>
      <c r="G312" s="6">
        <v>-0.22</v>
      </c>
      <c r="H312" s="6">
        <v>0.01</v>
      </c>
      <c r="I312" s="6">
        <v>-0.28</v>
      </c>
      <c r="J312" s="6">
        <v>33.37</v>
      </c>
      <c r="K312" s="7">
        <f t="shared" ref="K312:P312" si="566">abs(D312-D311)/200</f>
        <v>0.00155</v>
      </c>
      <c r="L312" s="7">
        <f t="shared" si="566"/>
        <v>0.00185</v>
      </c>
      <c r="M312" s="7">
        <f t="shared" si="566"/>
        <v>0.00205</v>
      </c>
      <c r="N312" s="7">
        <f t="shared" si="566"/>
        <v>0.0006</v>
      </c>
      <c r="O312" s="7">
        <f t="shared" si="566"/>
        <v>0.0001</v>
      </c>
      <c r="P312" s="7">
        <f t="shared" si="566"/>
        <v>0.00135</v>
      </c>
      <c r="Q312" s="7">
        <f t="shared" si="7"/>
        <v>0.2552352132</v>
      </c>
      <c r="R312" s="7">
        <f t="shared" si="8"/>
        <v>0.3544267084</v>
      </c>
      <c r="S312" s="7">
        <f t="shared" si="2"/>
        <v>0.6180660393</v>
      </c>
      <c r="T312" s="7">
        <f t="shared" si="3"/>
        <v>0.3562302626</v>
      </c>
      <c r="U312" s="7">
        <f t="shared" si="4"/>
        <v>1</v>
      </c>
      <c r="V312" s="7">
        <f t="shared" si="5"/>
        <v>1</v>
      </c>
      <c r="W312" s="7">
        <f t="shared" ref="W312:X312" si="567">IF(AVERAGE(U252:U311) &gt; 0.25, 1, 0)</f>
        <v>1</v>
      </c>
      <c r="X312" s="7">
        <f t="shared" si="567"/>
        <v>1</v>
      </c>
      <c r="Y312" s="8">
        <v>1.0</v>
      </c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</row>
    <row r="313" ht="22.5" customHeight="1">
      <c r="B313" s="6">
        <v>312.0</v>
      </c>
      <c r="C313" s="6">
        <v>66131.0</v>
      </c>
      <c r="D313" s="6">
        <v>-0.79</v>
      </c>
      <c r="E313" s="6">
        <v>-2.84</v>
      </c>
      <c r="F313" s="6">
        <v>11.41</v>
      </c>
      <c r="G313" s="6">
        <v>0.36</v>
      </c>
      <c r="H313" s="6">
        <v>0.58</v>
      </c>
      <c r="I313" s="6">
        <v>0.48</v>
      </c>
      <c r="J313" s="6">
        <v>33.37</v>
      </c>
      <c r="K313" s="7">
        <f t="shared" ref="K313:P313" si="568">abs(D313-D312)/200</f>
        <v>0.01215</v>
      </c>
      <c r="L313" s="7">
        <f t="shared" si="568"/>
        <v>0.01625</v>
      </c>
      <c r="M313" s="7">
        <f t="shared" si="568"/>
        <v>0.00565</v>
      </c>
      <c r="N313" s="7">
        <f t="shared" si="568"/>
        <v>0.0029</v>
      </c>
      <c r="O313" s="7">
        <f t="shared" si="568"/>
        <v>0.00285</v>
      </c>
      <c r="P313" s="7">
        <f t="shared" si="568"/>
        <v>0.0038</v>
      </c>
      <c r="Q313" s="7">
        <f t="shared" si="7"/>
        <v>0.4782755792</v>
      </c>
      <c r="R313" s="7">
        <f t="shared" si="8"/>
        <v>1.366576509</v>
      </c>
      <c r="S313" s="7">
        <f t="shared" si="2"/>
        <v>1.984642549</v>
      </c>
      <c r="T313" s="7">
        <f t="shared" si="3"/>
        <v>0.8345058418</v>
      </c>
      <c r="U313" s="7">
        <f t="shared" si="4"/>
        <v>1</v>
      </c>
      <c r="V313" s="7">
        <f t="shared" si="5"/>
        <v>1</v>
      </c>
      <c r="W313" s="7">
        <f t="shared" ref="W313:X313" si="569">IF(AVERAGE(U253:U312) &gt; 0.25, 1, 0)</f>
        <v>1</v>
      </c>
      <c r="X313" s="7">
        <f t="shared" si="569"/>
        <v>1</v>
      </c>
      <c r="Y313" s="8">
        <v>1.0</v>
      </c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</row>
    <row r="314" ht="22.5" customHeight="1">
      <c r="B314" s="6">
        <v>313.0</v>
      </c>
      <c r="C314" s="6">
        <v>66335.0</v>
      </c>
      <c r="D314" s="6">
        <v>4.23</v>
      </c>
      <c r="E314" s="6">
        <v>-0.1</v>
      </c>
      <c r="F314" s="6">
        <v>10.78</v>
      </c>
      <c r="G314" s="6">
        <v>0.07</v>
      </c>
      <c r="H314" s="6">
        <v>-0.14</v>
      </c>
      <c r="I314" s="6">
        <v>3.92</v>
      </c>
      <c r="J314" s="6">
        <v>33.37</v>
      </c>
      <c r="K314" s="7">
        <f t="shared" ref="K314:P314" si="570">abs(D314-D313)/200</f>
        <v>0.0251</v>
      </c>
      <c r="L314" s="7">
        <f t="shared" si="570"/>
        <v>0.0137</v>
      </c>
      <c r="M314" s="7">
        <f t="shared" si="570"/>
        <v>0.00315</v>
      </c>
      <c r="N314" s="7">
        <f t="shared" si="570"/>
        <v>0.00145</v>
      </c>
      <c r="O314" s="7">
        <f t="shared" si="570"/>
        <v>0.0036</v>
      </c>
      <c r="P314" s="7">
        <f t="shared" si="570"/>
        <v>0.0172</v>
      </c>
      <c r="Q314" s="7">
        <f t="shared" si="7"/>
        <v>3.088617914</v>
      </c>
      <c r="R314" s="7">
        <f t="shared" si="8"/>
        <v>0.2039992159</v>
      </c>
      <c r="S314" s="7">
        <f t="shared" si="2"/>
        <v>1.780643333</v>
      </c>
      <c r="T314" s="7">
        <f t="shared" si="3"/>
        <v>3.923123755</v>
      </c>
      <c r="U314" s="7">
        <f t="shared" si="4"/>
        <v>1</v>
      </c>
      <c r="V314" s="7">
        <f t="shared" si="5"/>
        <v>1</v>
      </c>
      <c r="W314" s="7">
        <f t="shared" ref="W314:X314" si="571">IF(AVERAGE(U254:U313) &gt; 0.25, 1, 0)</f>
        <v>1</v>
      </c>
      <c r="X314" s="7">
        <f t="shared" si="571"/>
        <v>1</v>
      </c>
      <c r="Y314" s="8">
        <v>1.0</v>
      </c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</row>
    <row r="315" ht="22.5" customHeight="1">
      <c r="B315" s="6">
        <v>314.0</v>
      </c>
      <c r="C315" s="6">
        <v>66539.0</v>
      </c>
      <c r="D315" s="6">
        <v>1.57</v>
      </c>
      <c r="E315" s="6">
        <v>-0.92</v>
      </c>
      <c r="F315" s="6">
        <v>10.8</v>
      </c>
      <c r="G315" s="6">
        <v>-0.3</v>
      </c>
      <c r="H315" s="6">
        <v>-0.08</v>
      </c>
      <c r="I315" s="6">
        <v>-2.34</v>
      </c>
      <c r="J315" s="6">
        <v>33.36</v>
      </c>
      <c r="K315" s="7">
        <f t="shared" ref="K315:P315" si="572">abs(D315-D314)/200</f>
        <v>0.0133</v>
      </c>
      <c r="L315" s="7">
        <f t="shared" si="572"/>
        <v>0.0041</v>
      </c>
      <c r="M315" s="7">
        <f t="shared" si="572"/>
        <v>0.0001</v>
      </c>
      <c r="N315" s="7">
        <f t="shared" si="572"/>
        <v>0.00185</v>
      </c>
      <c r="O315" s="7">
        <f t="shared" si="572"/>
        <v>0.0003</v>
      </c>
      <c r="P315" s="7">
        <f t="shared" si="572"/>
        <v>0.0313</v>
      </c>
      <c r="Q315" s="7">
        <f t="shared" si="7"/>
        <v>1.562615336</v>
      </c>
      <c r="R315" s="7">
        <f t="shared" si="8"/>
        <v>0.6284152489</v>
      </c>
      <c r="S315" s="7">
        <f t="shared" si="2"/>
        <v>1.152228084</v>
      </c>
      <c r="T315" s="7">
        <f t="shared" si="3"/>
        <v>2.36050842</v>
      </c>
      <c r="U315" s="7">
        <f t="shared" si="4"/>
        <v>1</v>
      </c>
      <c r="V315" s="7">
        <f t="shared" si="5"/>
        <v>1</v>
      </c>
      <c r="W315" s="7">
        <f t="shared" ref="W315:X315" si="573">IF(AVERAGE(U255:U314) &gt; 0.25, 1, 0)</f>
        <v>1</v>
      </c>
      <c r="X315" s="7">
        <f t="shared" si="573"/>
        <v>1</v>
      </c>
      <c r="Y315" s="8">
        <v>1.0</v>
      </c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</row>
    <row r="316" ht="22.5" customHeight="1">
      <c r="B316" s="6">
        <v>315.0</v>
      </c>
      <c r="C316" s="6">
        <v>66743.0</v>
      </c>
      <c r="D316" s="6">
        <v>-6.9</v>
      </c>
      <c r="E316" s="6">
        <v>0.93</v>
      </c>
      <c r="F316" s="6">
        <v>10.91</v>
      </c>
      <c r="G316" s="6">
        <v>-0.1</v>
      </c>
      <c r="H316" s="6">
        <v>0.42</v>
      </c>
      <c r="I316" s="6">
        <v>1.06</v>
      </c>
      <c r="J316" s="6">
        <v>33.36</v>
      </c>
      <c r="K316" s="7">
        <f t="shared" ref="K316:P316" si="574">abs(D316-D315)/200</f>
        <v>0.04235</v>
      </c>
      <c r="L316" s="7">
        <f t="shared" si="574"/>
        <v>0.00925</v>
      </c>
      <c r="M316" s="7">
        <f t="shared" si="574"/>
        <v>0.00055</v>
      </c>
      <c r="N316" s="7">
        <f t="shared" si="574"/>
        <v>0.001</v>
      </c>
      <c r="O316" s="7">
        <f t="shared" si="574"/>
        <v>0.0025</v>
      </c>
      <c r="P316" s="7">
        <f t="shared" si="574"/>
        <v>0.017</v>
      </c>
      <c r="Q316" s="7">
        <f t="shared" si="7"/>
        <v>1.215956106</v>
      </c>
      <c r="R316" s="7">
        <f t="shared" si="8"/>
        <v>1.990066921</v>
      </c>
      <c r="S316" s="7">
        <f t="shared" si="2"/>
        <v>3.142295005</v>
      </c>
      <c r="T316" s="7">
        <f t="shared" si="3"/>
        <v>1.144552314</v>
      </c>
      <c r="U316" s="7">
        <f t="shared" si="4"/>
        <v>1</v>
      </c>
      <c r="V316" s="7">
        <f t="shared" si="5"/>
        <v>1</v>
      </c>
      <c r="W316" s="7">
        <f t="shared" ref="W316:X316" si="575">IF(AVERAGE(U256:U315) &gt; 0.25, 1, 0)</f>
        <v>1</v>
      </c>
      <c r="X316" s="7">
        <f t="shared" si="575"/>
        <v>1</v>
      </c>
      <c r="Y316" s="8">
        <v>1.0</v>
      </c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</row>
    <row r="317" ht="22.5" customHeight="1">
      <c r="B317" s="6">
        <v>316.0</v>
      </c>
      <c r="C317" s="6">
        <v>66947.0</v>
      </c>
      <c r="D317" s="6">
        <v>8.62</v>
      </c>
      <c r="E317" s="6">
        <v>-3.98</v>
      </c>
      <c r="F317" s="6">
        <v>9.81</v>
      </c>
      <c r="G317" s="6">
        <v>0.21</v>
      </c>
      <c r="H317" s="6">
        <v>0.12</v>
      </c>
      <c r="I317" s="6">
        <v>1.31</v>
      </c>
      <c r="J317" s="6">
        <v>33.36</v>
      </c>
      <c r="K317" s="7">
        <f t="shared" ref="K317:P317" si="576">abs(D317-D316)/200</f>
        <v>0.0776</v>
      </c>
      <c r="L317" s="7">
        <f t="shared" si="576"/>
        <v>0.02455</v>
      </c>
      <c r="M317" s="7">
        <f t="shared" si="576"/>
        <v>0.0055</v>
      </c>
      <c r="N317" s="7">
        <f t="shared" si="576"/>
        <v>0.00155</v>
      </c>
      <c r="O317" s="7">
        <f t="shared" si="576"/>
        <v>0.0015</v>
      </c>
      <c r="P317" s="7">
        <f t="shared" si="576"/>
        <v>0.00125</v>
      </c>
      <c r="Q317" s="7">
        <f t="shared" si="7"/>
        <v>0.1875888194</v>
      </c>
      <c r="R317" s="7">
        <f t="shared" si="8"/>
        <v>0.7098440214</v>
      </c>
      <c r="S317" s="7">
        <f t="shared" si="2"/>
        <v>3.852139027</v>
      </c>
      <c r="T317" s="7">
        <f t="shared" si="3"/>
        <v>1.332141134</v>
      </c>
      <c r="U317" s="7">
        <f t="shared" si="4"/>
        <v>1</v>
      </c>
      <c r="V317" s="7">
        <f t="shared" si="5"/>
        <v>1</v>
      </c>
      <c r="W317" s="7">
        <f t="shared" ref="W317:X317" si="577">IF(AVERAGE(U257:U316) &gt; 0.25, 1, 0)</f>
        <v>1</v>
      </c>
      <c r="X317" s="7">
        <f t="shared" si="577"/>
        <v>1</v>
      </c>
      <c r="Y317" s="8">
        <v>1.0</v>
      </c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</row>
    <row r="318" ht="22.5" customHeight="1">
      <c r="B318" s="6">
        <v>317.0</v>
      </c>
      <c r="C318" s="6">
        <v>67151.0</v>
      </c>
      <c r="D318" s="6">
        <v>0.19</v>
      </c>
      <c r="E318" s="6">
        <v>-1.38</v>
      </c>
      <c r="F318" s="6">
        <v>10.83</v>
      </c>
      <c r="G318" s="6">
        <v>-0.14</v>
      </c>
      <c r="H318" s="6">
        <v>-0.05</v>
      </c>
      <c r="I318" s="6">
        <v>-3.28</v>
      </c>
      <c r="J318" s="6">
        <v>33.37</v>
      </c>
      <c r="K318" s="7">
        <f t="shared" ref="K318:P318" si="578">abs(D318-D317)/200</f>
        <v>0.04215</v>
      </c>
      <c r="L318" s="7">
        <f t="shared" si="578"/>
        <v>0.013</v>
      </c>
      <c r="M318" s="7">
        <f t="shared" si="578"/>
        <v>0.0051</v>
      </c>
      <c r="N318" s="7">
        <f t="shared" si="578"/>
        <v>0.00175</v>
      </c>
      <c r="O318" s="7">
        <f t="shared" si="578"/>
        <v>0.00085</v>
      </c>
      <c r="P318" s="7">
        <f t="shared" si="578"/>
        <v>0.02295</v>
      </c>
      <c r="Q318" s="7">
        <f t="shared" si="7"/>
        <v>1.95122604</v>
      </c>
      <c r="R318" s="7">
        <f t="shared" si="8"/>
        <v>2.732917443</v>
      </c>
      <c r="S318" s="7">
        <f t="shared" si="2"/>
        <v>1.119221584</v>
      </c>
      <c r="T318" s="7">
        <f t="shared" si="3"/>
        <v>3.283367174</v>
      </c>
      <c r="U318" s="7">
        <f t="shared" si="4"/>
        <v>1</v>
      </c>
      <c r="V318" s="7">
        <f t="shared" si="5"/>
        <v>1</v>
      </c>
      <c r="W318" s="7">
        <f t="shared" ref="W318:X318" si="579">IF(AVERAGE(U258:U317) &gt; 0.25, 1, 0)</f>
        <v>1</v>
      </c>
      <c r="X318" s="7">
        <f t="shared" si="579"/>
        <v>1</v>
      </c>
      <c r="Y318" s="8">
        <v>1.0</v>
      </c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</row>
    <row r="319" ht="22.5" customHeight="1">
      <c r="B319" s="6">
        <v>318.0</v>
      </c>
      <c r="C319" s="6">
        <v>67355.0</v>
      </c>
      <c r="D319" s="6">
        <v>-0.19</v>
      </c>
      <c r="E319" s="6">
        <v>0.41</v>
      </c>
      <c r="F319" s="6">
        <v>10.74</v>
      </c>
      <c r="G319" s="6">
        <v>-0.28</v>
      </c>
      <c r="H319" s="6">
        <v>-0.38</v>
      </c>
      <c r="I319" s="6">
        <v>-1.48</v>
      </c>
      <c r="J319" s="6">
        <v>33.36</v>
      </c>
      <c r="K319" s="7">
        <f t="shared" ref="K319:P319" si="580">abs(D319-D318)/200</f>
        <v>0.0019</v>
      </c>
      <c r="L319" s="7">
        <f t="shared" si="580"/>
        <v>0.00895</v>
      </c>
      <c r="M319" s="7">
        <f t="shared" si="580"/>
        <v>0.00045</v>
      </c>
      <c r="N319" s="7">
        <f t="shared" si="580"/>
        <v>0.0007</v>
      </c>
      <c r="O319" s="7">
        <f t="shared" si="580"/>
        <v>0.00165</v>
      </c>
      <c r="P319" s="7">
        <f t="shared" si="580"/>
        <v>0.009</v>
      </c>
      <c r="Q319" s="7">
        <f t="shared" si="7"/>
        <v>1.729919396</v>
      </c>
      <c r="R319" s="7">
        <f t="shared" si="8"/>
        <v>0.1697192699</v>
      </c>
      <c r="S319" s="7">
        <f t="shared" si="2"/>
        <v>0.9495023141</v>
      </c>
      <c r="T319" s="7">
        <f t="shared" si="3"/>
        <v>1.553447778</v>
      </c>
      <c r="U319" s="7">
        <f t="shared" si="4"/>
        <v>1</v>
      </c>
      <c r="V319" s="7">
        <f t="shared" si="5"/>
        <v>1</v>
      </c>
      <c r="W319" s="7">
        <f t="shared" ref="W319:X319" si="581">IF(AVERAGE(U259:U318) &gt; 0.25, 1, 0)</f>
        <v>1</v>
      </c>
      <c r="X319" s="7">
        <f t="shared" si="581"/>
        <v>1</v>
      </c>
      <c r="Y319" s="8">
        <v>1.0</v>
      </c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</row>
    <row r="320" ht="22.5" customHeight="1">
      <c r="B320" s="6">
        <v>319.0</v>
      </c>
      <c r="C320" s="6">
        <v>67559.0</v>
      </c>
      <c r="D320" s="6">
        <v>-1.59</v>
      </c>
      <c r="E320" s="6">
        <v>2.74</v>
      </c>
      <c r="F320" s="6">
        <v>10.73</v>
      </c>
      <c r="G320" s="6">
        <v>-0.14</v>
      </c>
      <c r="H320" s="6">
        <v>-0.12</v>
      </c>
      <c r="I320" s="6">
        <v>-1.1</v>
      </c>
      <c r="J320" s="6">
        <v>33.37</v>
      </c>
      <c r="K320" s="7">
        <f t="shared" ref="K320:P320" si="582">abs(D320-D319)/200</f>
        <v>0.007</v>
      </c>
      <c r="L320" s="7">
        <f t="shared" si="582"/>
        <v>0.01165</v>
      </c>
      <c r="M320" s="7">
        <f t="shared" si="582"/>
        <v>0.00005</v>
      </c>
      <c r="N320" s="7">
        <f t="shared" si="582"/>
        <v>0.0007</v>
      </c>
      <c r="O320" s="7">
        <f t="shared" si="582"/>
        <v>0.0013</v>
      </c>
      <c r="P320" s="7">
        <f t="shared" si="582"/>
        <v>0.0019</v>
      </c>
      <c r="Q320" s="7">
        <f t="shared" si="7"/>
        <v>0.4381002988</v>
      </c>
      <c r="R320" s="7">
        <f t="shared" si="8"/>
        <v>0.4383750539</v>
      </c>
      <c r="S320" s="7">
        <f t="shared" si="2"/>
        <v>1.387877368</v>
      </c>
      <c r="T320" s="7">
        <f t="shared" si="3"/>
        <v>1.115347479</v>
      </c>
      <c r="U320" s="7">
        <f t="shared" si="4"/>
        <v>1</v>
      </c>
      <c r="V320" s="7">
        <f t="shared" si="5"/>
        <v>1</v>
      </c>
      <c r="W320" s="7">
        <f t="shared" ref="W320:X320" si="583">IF(AVERAGE(U260:U319) &gt; 0.25, 1, 0)</f>
        <v>1</v>
      </c>
      <c r="X320" s="7">
        <f t="shared" si="583"/>
        <v>1</v>
      </c>
      <c r="Y320" s="8">
        <v>1.0</v>
      </c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</row>
    <row r="321" ht="22.5" customHeight="1">
      <c r="B321" s="6">
        <v>320.0</v>
      </c>
      <c r="C321" s="6">
        <v>67763.0</v>
      </c>
      <c r="D321" s="6">
        <v>0.77</v>
      </c>
      <c r="E321" s="6">
        <v>0.79</v>
      </c>
      <c r="F321" s="6">
        <v>10.76</v>
      </c>
      <c r="G321" s="6">
        <v>-0.07</v>
      </c>
      <c r="H321" s="6">
        <v>0.04</v>
      </c>
      <c r="I321" s="6">
        <v>-0.86</v>
      </c>
      <c r="J321" s="6">
        <v>33.37</v>
      </c>
      <c r="K321" s="7">
        <f t="shared" ref="K321:P321" si="584">abs(D321-D320)/200</f>
        <v>0.0118</v>
      </c>
      <c r="L321" s="7">
        <f t="shared" si="584"/>
        <v>0.00975</v>
      </c>
      <c r="M321" s="7">
        <f t="shared" si="584"/>
        <v>0.00015</v>
      </c>
      <c r="N321" s="7">
        <f t="shared" si="584"/>
        <v>0.00035</v>
      </c>
      <c r="O321" s="7">
        <f t="shared" si="584"/>
        <v>0.0008</v>
      </c>
      <c r="P321" s="7">
        <f t="shared" si="584"/>
        <v>0.0012</v>
      </c>
      <c r="Q321" s="7">
        <f t="shared" si="7"/>
        <v>0.2515766766</v>
      </c>
      <c r="R321" s="7">
        <f t="shared" si="8"/>
        <v>0.3714731595</v>
      </c>
      <c r="S321" s="7">
        <f t="shared" si="2"/>
        <v>1.016404208</v>
      </c>
      <c r="T321" s="7">
        <f t="shared" si="3"/>
        <v>0.8637708029</v>
      </c>
      <c r="U321" s="7">
        <f t="shared" si="4"/>
        <v>1</v>
      </c>
      <c r="V321" s="7">
        <f t="shared" si="5"/>
        <v>1</v>
      </c>
      <c r="W321" s="7">
        <f t="shared" ref="W321:X321" si="585">IF(AVERAGE(U261:U320) &gt; 0.25, 1, 0)</f>
        <v>1</v>
      </c>
      <c r="X321" s="7">
        <f t="shared" si="585"/>
        <v>1</v>
      </c>
      <c r="Y321" s="8">
        <v>1.0</v>
      </c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</row>
    <row r="322" ht="22.5" customHeight="1">
      <c r="B322" s="6">
        <v>321.0</v>
      </c>
      <c r="C322" s="6">
        <v>67967.0</v>
      </c>
      <c r="D322" s="6">
        <v>-1.07</v>
      </c>
      <c r="E322" s="6">
        <v>1.02</v>
      </c>
      <c r="F322" s="6">
        <v>10.68</v>
      </c>
      <c r="G322" s="6">
        <v>-0.09</v>
      </c>
      <c r="H322" s="6">
        <v>0.15</v>
      </c>
      <c r="I322" s="6">
        <v>0.86</v>
      </c>
      <c r="J322" s="6">
        <v>33.37</v>
      </c>
      <c r="K322" s="7">
        <f t="shared" ref="K322:P322" si="586">abs(D322-D321)/200</f>
        <v>0.0092</v>
      </c>
      <c r="L322" s="7">
        <f t="shared" si="586"/>
        <v>0.00115</v>
      </c>
      <c r="M322" s="7">
        <f t="shared" si="586"/>
        <v>0.0004</v>
      </c>
      <c r="N322" s="7">
        <f t="shared" si="586"/>
        <v>0.0001</v>
      </c>
      <c r="O322" s="7">
        <f t="shared" si="586"/>
        <v>0.00055</v>
      </c>
      <c r="P322" s="7">
        <f t="shared" si="586"/>
        <v>0.0086</v>
      </c>
      <c r="Q322" s="7">
        <f t="shared" si="7"/>
        <v>0.01383958898</v>
      </c>
      <c r="R322" s="7">
        <f t="shared" si="8"/>
        <v>0.03458154247</v>
      </c>
      <c r="S322" s="7">
        <f t="shared" si="2"/>
        <v>0.981822666</v>
      </c>
      <c r="T322" s="7">
        <f t="shared" si="3"/>
        <v>0.8776103919</v>
      </c>
      <c r="U322" s="7">
        <f t="shared" si="4"/>
        <v>1</v>
      </c>
      <c r="V322" s="7">
        <f t="shared" si="5"/>
        <v>1</v>
      </c>
      <c r="W322" s="7">
        <f t="shared" ref="W322:X322" si="587">IF(AVERAGE(U262:U321) &gt; 0.25, 1, 0)</f>
        <v>1</v>
      </c>
      <c r="X322" s="7">
        <f t="shared" si="587"/>
        <v>1</v>
      </c>
      <c r="Y322" s="8">
        <v>1.0</v>
      </c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</row>
    <row r="323" ht="22.5" customHeight="1">
      <c r="B323" s="6">
        <v>322.0</v>
      </c>
      <c r="C323" s="6">
        <v>68171.0</v>
      </c>
      <c r="D323" s="6">
        <v>-0.23</v>
      </c>
      <c r="E323" s="6">
        <v>-0.58</v>
      </c>
      <c r="F323" s="6">
        <v>10.89</v>
      </c>
      <c r="G323" s="6">
        <v>-0.14</v>
      </c>
      <c r="H323" s="6">
        <v>0.21</v>
      </c>
      <c r="I323" s="6">
        <v>2.25</v>
      </c>
      <c r="J323" s="6">
        <v>33.36</v>
      </c>
      <c r="K323" s="7">
        <f t="shared" ref="K323:P323" si="588">abs(D323-D322)/200</f>
        <v>0.0042</v>
      </c>
      <c r="L323" s="7">
        <f t="shared" si="588"/>
        <v>0.008</v>
      </c>
      <c r="M323" s="7">
        <f t="shared" si="588"/>
        <v>0.00105</v>
      </c>
      <c r="N323" s="7">
        <f t="shared" si="588"/>
        <v>0.00025</v>
      </c>
      <c r="O323" s="7">
        <f t="shared" si="588"/>
        <v>0.0003</v>
      </c>
      <c r="P323" s="7">
        <f t="shared" si="588"/>
        <v>0.00695</v>
      </c>
      <c r="Q323" s="7">
        <f t="shared" si="7"/>
        <v>1.386500913</v>
      </c>
      <c r="R323" s="7">
        <f t="shared" si="8"/>
        <v>0.1260368858</v>
      </c>
      <c r="S323" s="7">
        <f t="shared" si="2"/>
        <v>1.107859552</v>
      </c>
      <c r="T323" s="7">
        <f t="shared" si="3"/>
        <v>2.264111305</v>
      </c>
      <c r="U323" s="7">
        <f t="shared" si="4"/>
        <v>1</v>
      </c>
      <c r="V323" s="7">
        <f t="shared" si="5"/>
        <v>1</v>
      </c>
      <c r="W323" s="7">
        <f t="shared" ref="W323:X323" si="589">IF(AVERAGE(U263:U322) &gt; 0.25, 1, 0)</f>
        <v>1</v>
      </c>
      <c r="X323" s="7">
        <f t="shared" si="589"/>
        <v>1</v>
      </c>
      <c r="Y323" s="8">
        <v>1.0</v>
      </c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</row>
    <row r="324" ht="22.5" customHeight="1">
      <c r="B324" s="6">
        <v>323.0</v>
      </c>
      <c r="C324" s="6">
        <v>68375.0</v>
      </c>
      <c r="D324" s="6">
        <v>-0.62</v>
      </c>
      <c r="E324" s="6">
        <v>-2.1</v>
      </c>
      <c r="F324" s="6">
        <v>10.99</v>
      </c>
      <c r="G324" s="6">
        <v>0.0</v>
      </c>
      <c r="H324" s="6">
        <v>0.27</v>
      </c>
      <c r="I324" s="6">
        <v>4.6</v>
      </c>
      <c r="J324" s="6">
        <v>33.36</v>
      </c>
      <c r="K324" s="7">
        <f t="shared" ref="K324:P324" si="590">abs(D324-D323)/200</f>
        <v>0.00195</v>
      </c>
      <c r="L324" s="7">
        <f t="shared" si="590"/>
        <v>0.0076</v>
      </c>
      <c r="M324" s="7">
        <f t="shared" si="590"/>
        <v>0.0005</v>
      </c>
      <c r="N324" s="7">
        <f t="shared" si="590"/>
        <v>0.0007</v>
      </c>
      <c r="O324" s="7">
        <f t="shared" si="590"/>
        <v>0.0003</v>
      </c>
      <c r="P324" s="7">
        <f t="shared" si="590"/>
        <v>0.01175</v>
      </c>
      <c r="Q324" s="7">
        <f t="shared" si="7"/>
        <v>2.343805795</v>
      </c>
      <c r="R324" s="7">
        <f t="shared" si="8"/>
        <v>0.2981433039</v>
      </c>
      <c r="S324" s="7">
        <f t="shared" si="2"/>
        <v>1.406002856</v>
      </c>
      <c r="T324" s="7">
        <f t="shared" si="3"/>
        <v>4.6079171</v>
      </c>
      <c r="U324" s="7">
        <f t="shared" si="4"/>
        <v>1</v>
      </c>
      <c r="V324" s="7">
        <f t="shared" si="5"/>
        <v>1</v>
      </c>
      <c r="W324" s="7">
        <f t="shared" ref="W324:X324" si="591">IF(AVERAGE(U264:U323) &gt; 0.25, 1, 0)</f>
        <v>1</v>
      </c>
      <c r="X324" s="7">
        <f t="shared" si="591"/>
        <v>1</v>
      </c>
      <c r="Y324" s="8">
        <v>1.0</v>
      </c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</row>
    <row r="325" ht="22.5" customHeight="1">
      <c r="B325" s="6">
        <v>324.0</v>
      </c>
      <c r="C325" s="6">
        <v>68579.0</v>
      </c>
      <c r="D325" s="6">
        <v>4.09</v>
      </c>
      <c r="E325" s="6">
        <v>-2.17</v>
      </c>
      <c r="F325" s="6">
        <v>10.38</v>
      </c>
      <c r="G325" s="6">
        <v>0.13</v>
      </c>
      <c r="H325" s="6">
        <v>-0.04</v>
      </c>
      <c r="I325" s="6">
        <v>1.3</v>
      </c>
      <c r="J325" s="6">
        <v>33.36</v>
      </c>
      <c r="K325" s="7">
        <f t="shared" ref="K325:P325" si="592">abs(D325-D324)/200</f>
        <v>0.02355</v>
      </c>
      <c r="L325" s="7">
        <f t="shared" si="592"/>
        <v>0.00035</v>
      </c>
      <c r="M325" s="7">
        <f t="shared" si="592"/>
        <v>0.00305</v>
      </c>
      <c r="N325" s="7">
        <f t="shared" si="592"/>
        <v>0.00065</v>
      </c>
      <c r="O325" s="7">
        <f t="shared" si="592"/>
        <v>0.00155</v>
      </c>
      <c r="P325" s="7">
        <f t="shared" si="592"/>
        <v>0.0165</v>
      </c>
      <c r="Q325" s="7">
        <f t="shared" si="7"/>
        <v>3.300821082</v>
      </c>
      <c r="R325" s="7">
        <f t="shared" si="8"/>
        <v>0.1597967203</v>
      </c>
      <c r="S325" s="7">
        <f t="shared" si="2"/>
        <v>1.565799576</v>
      </c>
      <c r="T325" s="7">
        <f t="shared" si="3"/>
        <v>1.307096018</v>
      </c>
      <c r="U325" s="7">
        <f t="shared" si="4"/>
        <v>1</v>
      </c>
      <c r="V325" s="7">
        <f t="shared" si="5"/>
        <v>1</v>
      </c>
      <c r="W325" s="7">
        <f t="shared" ref="W325:X325" si="593">IF(AVERAGE(U265:U324) &gt; 0.25, 1, 0)</f>
        <v>1</v>
      </c>
      <c r="X325" s="7">
        <f t="shared" si="593"/>
        <v>1</v>
      </c>
      <c r="Y325" s="8">
        <v>1.0</v>
      </c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</row>
    <row r="326" ht="22.5" customHeight="1">
      <c r="B326" s="6">
        <v>325.0</v>
      </c>
      <c r="C326" s="6">
        <v>68783.0</v>
      </c>
      <c r="D326" s="6">
        <v>1.27</v>
      </c>
      <c r="E326" s="6">
        <v>-2.81</v>
      </c>
      <c r="F326" s="6">
        <v>11.23</v>
      </c>
      <c r="G326" s="6">
        <v>-0.39</v>
      </c>
      <c r="H326" s="6">
        <v>-0.53</v>
      </c>
      <c r="I326" s="6">
        <v>-3.93</v>
      </c>
      <c r="J326" s="6">
        <v>33.36</v>
      </c>
      <c r="K326" s="7">
        <f t="shared" ref="K326:P326" si="594">abs(D326-D325)/200</f>
        <v>0.0141</v>
      </c>
      <c r="L326" s="7">
        <f t="shared" si="594"/>
        <v>0.0032</v>
      </c>
      <c r="M326" s="7">
        <f t="shared" si="594"/>
        <v>0.00425</v>
      </c>
      <c r="N326" s="7">
        <f t="shared" si="594"/>
        <v>0.0026</v>
      </c>
      <c r="O326" s="7">
        <f t="shared" si="594"/>
        <v>0.00245</v>
      </c>
      <c r="P326" s="7">
        <f t="shared" si="594"/>
        <v>0.02615</v>
      </c>
      <c r="Q326" s="7">
        <f t="shared" si="7"/>
        <v>2.677612252</v>
      </c>
      <c r="R326" s="7">
        <f t="shared" si="8"/>
        <v>0.2798820271</v>
      </c>
      <c r="S326" s="7">
        <f t="shared" si="2"/>
        <v>1.845681603</v>
      </c>
      <c r="T326" s="7">
        <f t="shared" si="3"/>
        <v>3.98470827</v>
      </c>
      <c r="U326" s="7">
        <f t="shared" si="4"/>
        <v>1</v>
      </c>
      <c r="V326" s="7">
        <f t="shared" si="5"/>
        <v>1</v>
      </c>
      <c r="W326" s="7">
        <f t="shared" ref="W326:X326" si="595">IF(AVERAGE(U266:U325) &gt; 0.25, 1, 0)</f>
        <v>1</v>
      </c>
      <c r="X326" s="7">
        <f t="shared" si="595"/>
        <v>1</v>
      </c>
      <c r="Y326" s="8">
        <v>1.0</v>
      </c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</row>
    <row r="327" ht="22.5" customHeight="1">
      <c r="B327" s="6">
        <v>326.0</v>
      </c>
      <c r="C327" s="6">
        <v>68987.0</v>
      </c>
      <c r="D327" s="6">
        <v>-3.25</v>
      </c>
      <c r="E327" s="6">
        <v>-0.09</v>
      </c>
      <c r="F327" s="6">
        <v>11.48</v>
      </c>
      <c r="G327" s="6">
        <v>-0.43</v>
      </c>
      <c r="H327" s="6">
        <v>-0.4</v>
      </c>
      <c r="I327" s="6">
        <v>-3.6</v>
      </c>
      <c r="J327" s="6">
        <v>33.35</v>
      </c>
      <c r="K327" s="7">
        <f t="shared" ref="K327:P327" si="596">abs(D327-D326)/200</f>
        <v>0.0226</v>
      </c>
      <c r="L327" s="7">
        <f t="shared" si="596"/>
        <v>0.0136</v>
      </c>
      <c r="M327" s="7">
        <f t="shared" si="596"/>
        <v>0.00125</v>
      </c>
      <c r="N327" s="7">
        <f t="shared" si="596"/>
        <v>0.0002</v>
      </c>
      <c r="O327" s="7">
        <f t="shared" si="596"/>
        <v>0.00065</v>
      </c>
      <c r="P327" s="7">
        <f t="shared" si="596"/>
        <v>0.00165</v>
      </c>
      <c r="Q327" s="7">
        <f t="shared" si="7"/>
        <v>0.3371200261</v>
      </c>
      <c r="R327" s="7">
        <f t="shared" si="8"/>
        <v>0.2858312935</v>
      </c>
      <c r="S327" s="7">
        <f t="shared" si="2"/>
        <v>2.131512897</v>
      </c>
      <c r="T327" s="7">
        <f t="shared" si="3"/>
        <v>3.647588244</v>
      </c>
      <c r="U327" s="7">
        <f t="shared" si="4"/>
        <v>1</v>
      </c>
      <c r="V327" s="7">
        <f t="shared" si="5"/>
        <v>1</v>
      </c>
      <c r="W327" s="7">
        <f t="shared" ref="W327:X327" si="597">IF(AVERAGE(U267:U326) &gt; 0.25, 1, 0)</f>
        <v>1</v>
      </c>
      <c r="X327" s="7">
        <f t="shared" si="597"/>
        <v>1</v>
      </c>
      <c r="Y327" s="8">
        <v>1.0</v>
      </c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</row>
    <row r="328" ht="22.5" customHeight="1">
      <c r="B328" s="6">
        <v>327.0</v>
      </c>
      <c r="C328" s="6">
        <v>69191.0</v>
      </c>
      <c r="D328" s="6">
        <v>-1.93</v>
      </c>
      <c r="E328" s="6">
        <v>0.15</v>
      </c>
      <c r="F328" s="6">
        <v>10.78</v>
      </c>
      <c r="G328" s="6">
        <v>-0.23</v>
      </c>
      <c r="H328" s="6">
        <v>0.24</v>
      </c>
      <c r="I328" s="6">
        <v>-1.27</v>
      </c>
      <c r="J328" s="6">
        <v>33.35</v>
      </c>
      <c r="K328" s="7">
        <f t="shared" ref="K328:P328" si="598">abs(D328-D327)/200</f>
        <v>0.0066</v>
      </c>
      <c r="L328" s="7">
        <f t="shared" si="598"/>
        <v>0.0012</v>
      </c>
      <c r="M328" s="7">
        <f t="shared" si="598"/>
        <v>0.0035</v>
      </c>
      <c r="N328" s="7">
        <f t="shared" si="598"/>
        <v>0.001</v>
      </c>
      <c r="O328" s="7">
        <f t="shared" si="598"/>
        <v>0.0032</v>
      </c>
      <c r="P328" s="7">
        <f t="shared" si="598"/>
        <v>0.01165</v>
      </c>
      <c r="Q328" s="7">
        <f t="shared" si="7"/>
        <v>2.334804942</v>
      </c>
      <c r="R328" s="7">
        <f t="shared" si="8"/>
        <v>0.979079377</v>
      </c>
      <c r="S328" s="7">
        <f t="shared" si="2"/>
        <v>1.15243352</v>
      </c>
      <c r="T328" s="7">
        <f t="shared" si="3"/>
        <v>1.312783303</v>
      </c>
      <c r="U328" s="7">
        <f t="shared" si="4"/>
        <v>1</v>
      </c>
      <c r="V328" s="7">
        <f t="shared" si="5"/>
        <v>1</v>
      </c>
      <c r="W328" s="7">
        <f t="shared" ref="W328:X328" si="599">IF(AVERAGE(U268:U327) &gt; 0.25, 1, 0)</f>
        <v>1</v>
      </c>
      <c r="X328" s="7">
        <f t="shared" si="599"/>
        <v>1</v>
      </c>
      <c r="Y328" s="8">
        <v>1.0</v>
      </c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</row>
    <row r="329" ht="22.5" customHeight="1">
      <c r="B329" s="6">
        <v>328.0</v>
      </c>
      <c r="C329" s="6">
        <v>69395.0</v>
      </c>
      <c r="D329" s="6">
        <v>1.08</v>
      </c>
      <c r="E329" s="6">
        <v>0.19</v>
      </c>
      <c r="F329" s="6">
        <v>10.99</v>
      </c>
      <c r="G329" s="6">
        <v>-0.15</v>
      </c>
      <c r="H329" s="6">
        <v>0.4</v>
      </c>
      <c r="I329" s="6">
        <v>2.13</v>
      </c>
      <c r="J329" s="6">
        <v>33.36</v>
      </c>
      <c r="K329" s="7">
        <f t="shared" ref="K329:P329" si="600">abs(D329-D328)/200</f>
        <v>0.01505</v>
      </c>
      <c r="L329" s="7">
        <f t="shared" si="600"/>
        <v>0.0002</v>
      </c>
      <c r="M329" s="7">
        <f t="shared" si="600"/>
        <v>0.00105</v>
      </c>
      <c r="N329" s="7">
        <f t="shared" si="600"/>
        <v>0.0004</v>
      </c>
      <c r="O329" s="7">
        <f t="shared" si="600"/>
        <v>0.0008</v>
      </c>
      <c r="P329" s="7">
        <f t="shared" si="600"/>
        <v>0.017</v>
      </c>
      <c r="Q329" s="7">
        <f t="shared" si="7"/>
        <v>0.8596347049</v>
      </c>
      <c r="R329" s="7">
        <f t="shared" si="8"/>
        <v>0.09213980857</v>
      </c>
      <c r="S329" s="7">
        <f t="shared" si="2"/>
        <v>1.244573328</v>
      </c>
      <c r="T329" s="7">
        <f t="shared" si="3"/>
        <v>2.172418008</v>
      </c>
      <c r="U329" s="7">
        <f t="shared" si="4"/>
        <v>1</v>
      </c>
      <c r="V329" s="7">
        <f t="shared" si="5"/>
        <v>1</v>
      </c>
      <c r="W329" s="7">
        <f t="shared" ref="W329:X329" si="601">IF(AVERAGE(U269:U328) &gt; 0.25, 1, 0)</f>
        <v>1</v>
      </c>
      <c r="X329" s="7">
        <f t="shared" si="601"/>
        <v>1</v>
      </c>
      <c r="Y329" s="8">
        <v>1.0</v>
      </c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</row>
    <row r="330" ht="22.5" customHeight="1">
      <c r="B330" s="6">
        <v>329.0</v>
      </c>
      <c r="C330" s="6">
        <v>69599.0</v>
      </c>
      <c r="D330" s="6">
        <v>0.3</v>
      </c>
      <c r="E330" s="6">
        <v>-0.3</v>
      </c>
      <c r="F330" s="6">
        <v>10.85</v>
      </c>
      <c r="G330" s="6">
        <v>-0.16</v>
      </c>
      <c r="H330" s="6">
        <v>0.22</v>
      </c>
      <c r="I330" s="6">
        <v>2.88</v>
      </c>
      <c r="J330" s="6">
        <v>33.36</v>
      </c>
      <c r="K330" s="7">
        <f t="shared" ref="K330:P330" si="602">abs(D330-D329)/200</f>
        <v>0.0039</v>
      </c>
      <c r="L330" s="7">
        <f t="shared" si="602"/>
        <v>0.00245</v>
      </c>
      <c r="M330" s="7">
        <f t="shared" si="602"/>
        <v>0.0007</v>
      </c>
      <c r="N330" s="7">
        <f t="shared" si="602"/>
        <v>0.00005</v>
      </c>
      <c r="O330" s="7">
        <f t="shared" si="602"/>
        <v>0.0009</v>
      </c>
      <c r="P330" s="7">
        <f t="shared" si="602"/>
        <v>0.00375</v>
      </c>
      <c r="Q330" s="7">
        <f t="shared" si="7"/>
        <v>0.720400687</v>
      </c>
      <c r="R330" s="7">
        <f t="shared" si="8"/>
        <v>0.1862815656</v>
      </c>
      <c r="S330" s="7">
        <f t="shared" si="2"/>
        <v>1.058291763</v>
      </c>
      <c r="T330" s="7">
        <f t="shared" si="3"/>
        <v>2.892818695</v>
      </c>
      <c r="U330" s="7">
        <f t="shared" si="4"/>
        <v>1</v>
      </c>
      <c r="V330" s="7">
        <f t="shared" si="5"/>
        <v>1</v>
      </c>
      <c r="W330" s="7">
        <f t="shared" ref="W330:X330" si="603">IF(AVERAGE(U270:U329) &gt; 0.25, 1, 0)</f>
        <v>1</v>
      </c>
      <c r="X330" s="7">
        <f t="shared" si="603"/>
        <v>1</v>
      </c>
      <c r="Y330" s="8">
        <v>1.0</v>
      </c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</row>
    <row r="331" ht="22.5" customHeight="1">
      <c r="B331" s="6">
        <v>330.0</v>
      </c>
      <c r="C331" s="6">
        <v>69803.0</v>
      </c>
      <c r="D331" s="6">
        <v>4.48</v>
      </c>
      <c r="E331" s="6">
        <v>-2.61</v>
      </c>
      <c r="F331" s="6">
        <v>10.46</v>
      </c>
      <c r="G331" s="6">
        <v>0.12</v>
      </c>
      <c r="H331" s="6">
        <v>0.15</v>
      </c>
      <c r="I331" s="6">
        <v>2.95</v>
      </c>
      <c r="J331" s="6">
        <v>33.34</v>
      </c>
      <c r="K331" s="7">
        <f t="shared" ref="K331:P331" si="604">abs(D331-D330)/200</f>
        <v>0.0209</v>
      </c>
      <c r="L331" s="7">
        <f t="shared" si="604"/>
        <v>0.01155</v>
      </c>
      <c r="M331" s="7">
        <f t="shared" si="604"/>
        <v>0.00195</v>
      </c>
      <c r="N331" s="7">
        <f t="shared" si="604"/>
        <v>0.0014</v>
      </c>
      <c r="O331" s="7">
        <f t="shared" si="604"/>
        <v>0.00035</v>
      </c>
      <c r="P331" s="7">
        <f t="shared" si="604"/>
        <v>0.00035</v>
      </c>
      <c r="Q331" s="7">
        <f t="shared" si="7"/>
        <v>0.06342892693</v>
      </c>
      <c r="R331" s="7">
        <f t="shared" si="8"/>
        <v>0.816214651</v>
      </c>
      <c r="S331" s="7">
        <f t="shared" si="2"/>
        <v>1.874506414</v>
      </c>
      <c r="T331" s="7">
        <f t="shared" si="3"/>
        <v>2.956247622</v>
      </c>
      <c r="U331" s="7">
        <f t="shared" si="4"/>
        <v>1</v>
      </c>
      <c r="V331" s="7">
        <f t="shared" si="5"/>
        <v>1</v>
      </c>
      <c r="W331" s="7">
        <f t="shared" ref="W331:X331" si="605">IF(AVERAGE(U271:U330) &gt; 0.25, 1, 0)</f>
        <v>1</v>
      </c>
      <c r="X331" s="7">
        <f t="shared" si="605"/>
        <v>1</v>
      </c>
      <c r="Y331" s="8">
        <v>1.0</v>
      </c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</row>
    <row r="332" ht="22.5" customHeight="1">
      <c r="B332" s="6">
        <v>331.0</v>
      </c>
      <c r="C332" s="6">
        <v>70007.0</v>
      </c>
      <c r="D332" s="6">
        <v>4.22</v>
      </c>
      <c r="E332" s="6">
        <v>-2.35</v>
      </c>
      <c r="F332" s="6">
        <v>10.48</v>
      </c>
      <c r="G332" s="6">
        <v>-0.18</v>
      </c>
      <c r="H332" s="6">
        <v>-0.16</v>
      </c>
      <c r="I332" s="6">
        <v>-1.79</v>
      </c>
      <c r="J332" s="6">
        <v>33.34</v>
      </c>
      <c r="K332" s="7">
        <f t="shared" ref="K332:P332" si="606">abs(D332-D331)/200</f>
        <v>0.0013</v>
      </c>
      <c r="L332" s="7">
        <f t="shared" si="606"/>
        <v>0.0013</v>
      </c>
      <c r="M332" s="7">
        <f t="shared" si="606"/>
        <v>0.0001</v>
      </c>
      <c r="N332" s="7">
        <f t="shared" si="606"/>
        <v>0.0015</v>
      </c>
      <c r="O332" s="7">
        <f t="shared" si="606"/>
        <v>0.00155</v>
      </c>
      <c r="P332" s="7">
        <f t="shared" si="606"/>
        <v>0.0237</v>
      </c>
      <c r="Q332" s="7">
        <f t="shared" si="7"/>
        <v>1.150119165</v>
      </c>
      <c r="R332" s="7">
        <f t="shared" si="8"/>
        <v>0.134952696</v>
      </c>
      <c r="S332" s="7">
        <f t="shared" si="2"/>
        <v>1.739553718</v>
      </c>
      <c r="T332" s="7">
        <f t="shared" si="3"/>
        <v>1.806128456</v>
      </c>
      <c r="U332" s="7">
        <f t="shared" si="4"/>
        <v>1</v>
      </c>
      <c r="V332" s="7">
        <f t="shared" si="5"/>
        <v>1</v>
      </c>
      <c r="W332" s="7">
        <f t="shared" ref="W332:X332" si="607">IF(AVERAGE(U272:U331) &gt; 0.25, 1, 0)</f>
        <v>1</v>
      </c>
      <c r="X332" s="7">
        <f t="shared" si="607"/>
        <v>1</v>
      </c>
      <c r="Y332" s="8">
        <v>1.0</v>
      </c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</row>
    <row r="333" ht="22.5" customHeight="1">
      <c r="B333" s="6">
        <v>332.0</v>
      </c>
      <c r="C333" s="6">
        <v>70211.0</v>
      </c>
      <c r="D333" s="6">
        <v>-1.11</v>
      </c>
      <c r="E333" s="6">
        <v>-1.3</v>
      </c>
      <c r="F333" s="6">
        <v>11.05</v>
      </c>
      <c r="G333" s="6">
        <v>-0.42</v>
      </c>
      <c r="H333" s="6">
        <v>-0.56</v>
      </c>
      <c r="I333" s="6">
        <v>-3.86</v>
      </c>
      <c r="J333" s="6">
        <v>33.34</v>
      </c>
      <c r="K333" s="7">
        <f t="shared" ref="K333:P333" si="608">abs(D333-D332)/200</f>
        <v>0.02665</v>
      </c>
      <c r="L333" s="7">
        <f t="shared" si="608"/>
        <v>0.00525</v>
      </c>
      <c r="M333" s="7">
        <f t="shared" si="608"/>
        <v>0.00285</v>
      </c>
      <c r="N333" s="7">
        <f t="shared" si="608"/>
        <v>0.0012</v>
      </c>
      <c r="O333" s="7">
        <f t="shared" si="608"/>
        <v>0.002</v>
      </c>
      <c r="P333" s="7">
        <f t="shared" si="608"/>
        <v>0.01035</v>
      </c>
      <c r="Q333" s="7">
        <f t="shared" si="7"/>
        <v>2.116829611</v>
      </c>
      <c r="R333" s="7">
        <f t="shared" si="8"/>
        <v>0.3581137387</v>
      </c>
      <c r="S333" s="7">
        <f t="shared" si="2"/>
        <v>1.381439979</v>
      </c>
      <c r="T333" s="7">
        <f t="shared" si="3"/>
        <v>3.922958068</v>
      </c>
      <c r="U333" s="7">
        <f t="shared" si="4"/>
        <v>1</v>
      </c>
      <c r="V333" s="7">
        <f t="shared" si="5"/>
        <v>1</v>
      </c>
      <c r="W333" s="7">
        <f t="shared" ref="W333:X333" si="609">IF(AVERAGE(U273:U332) &gt; 0.25, 1, 0)</f>
        <v>1</v>
      </c>
      <c r="X333" s="7">
        <f t="shared" si="609"/>
        <v>1</v>
      </c>
      <c r="Y333" s="8">
        <v>1.0</v>
      </c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</row>
    <row r="334" ht="22.5" customHeight="1">
      <c r="B334" s="6">
        <v>333.0</v>
      </c>
      <c r="C334" s="6">
        <v>70415.0</v>
      </c>
      <c r="D334" s="6">
        <v>-3.19</v>
      </c>
      <c r="E334" s="6">
        <v>0.39</v>
      </c>
      <c r="F334" s="6">
        <v>10.89</v>
      </c>
      <c r="G334" s="6">
        <v>-0.35</v>
      </c>
      <c r="H334" s="6">
        <v>-0.23</v>
      </c>
      <c r="I334" s="6">
        <v>-2.72</v>
      </c>
      <c r="J334" s="6">
        <v>33.35</v>
      </c>
      <c r="K334" s="7">
        <f t="shared" ref="K334:P334" si="610">abs(D334-D333)/200</f>
        <v>0.0104</v>
      </c>
      <c r="L334" s="7">
        <f t="shared" si="610"/>
        <v>0.00845</v>
      </c>
      <c r="M334" s="7">
        <f t="shared" si="610"/>
        <v>0.0008</v>
      </c>
      <c r="N334" s="7">
        <f t="shared" si="610"/>
        <v>0.00035</v>
      </c>
      <c r="O334" s="7">
        <f t="shared" si="610"/>
        <v>0.00165</v>
      </c>
      <c r="P334" s="7">
        <f t="shared" si="610"/>
        <v>0.0057</v>
      </c>
      <c r="Q334" s="7">
        <f t="shared" si="7"/>
        <v>1.170904289</v>
      </c>
      <c r="R334" s="7">
        <f t="shared" si="8"/>
        <v>0.1728675738</v>
      </c>
      <c r="S334" s="7">
        <f t="shared" si="2"/>
        <v>1.554307553</v>
      </c>
      <c r="T334" s="7">
        <f t="shared" si="3"/>
        <v>2.752053779</v>
      </c>
      <c r="U334" s="7">
        <f t="shared" si="4"/>
        <v>1</v>
      </c>
      <c r="V334" s="7">
        <f t="shared" si="5"/>
        <v>1</v>
      </c>
      <c r="W334" s="7">
        <f t="shared" ref="W334:X334" si="611">IF(AVERAGE(U274:U333) &gt; 0.25, 1, 0)</f>
        <v>1</v>
      </c>
      <c r="X334" s="7">
        <f t="shared" si="611"/>
        <v>1</v>
      </c>
      <c r="Y334" s="8">
        <v>1.0</v>
      </c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</row>
    <row r="335" ht="22.5" customHeight="1">
      <c r="B335" s="6">
        <v>334.0</v>
      </c>
      <c r="C335" s="6">
        <v>70619.0</v>
      </c>
      <c r="D335" s="6">
        <v>-1.42</v>
      </c>
      <c r="E335" s="6">
        <v>1.04</v>
      </c>
      <c r="F335" s="6">
        <v>10.81</v>
      </c>
      <c r="G335" s="6">
        <v>-0.3</v>
      </c>
      <c r="H335" s="6">
        <v>0.22</v>
      </c>
      <c r="I335" s="6">
        <v>-1.17</v>
      </c>
      <c r="J335" s="6">
        <v>33.36</v>
      </c>
      <c r="K335" s="7">
        <f t="shared" ref="K335:P335" si="612">abs(D335-D334)/200</f>
        <v>0.00885</v>
      </c>
      <c r="L335" s="7">
        <f t="shared" si="612"/>
        <v>0.00325</v>
      </c>
      <c r="M335" s="7">
        <f t="shared" si="612"/>
        <v>0.0004</v>
      </c>
      <c r="N335" s="7">
        <f t="shared" si="612"/>
        <v>0.00025</v>
      </c>
      <c r="O335" s="7">
        <f t="shared" si="612"/>
        <v>0.00225</v>
      </c>
      <c r="P335" s="7">
        <f t="shared" si="612"/>
        <v>0.00775</v>
      </c>
      <c r="Q335" s="7">
        <f t="shared" si="7"/>
        <v>1.524332312</v>
      </c>
      <c r="R335" s="7">
        <f t="shared" si="8"/>
        <v>0.4019516417</v>
      </c>
      <c r="S335" s="7">
        <f t="shared" si="2"/>
        <v>1.152355911</v>
      </c>
      <c r="T335" s="7">
        <f t="shared" si="3"/>
        <v>1.227721467</v>
      </c>
      <c r="U335" s="7">
        <f t="shared" si="4"/>
        <v>1</v>
      </c>
      <c r="V335" s="7">
        <f t="shared" si="5"/>
        <v>1</v>
      </c>
      <c r="W335" s="7">
        <f t="shared" ref="W335:X335" si="613">IF(AVERAGE(U275:U334) &gt; 0.25, 1, 0)</f>
        <v>1</v>
      </c>
      <c r="X335" s="7">
        <f t="shared" si="613"/>
        <v>1</v>
      </c>
      <c r="Y335" s="8">
        <v>1.0</v>
      </c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</row>
    <row r="336" ht="22.5" customHeight="1">
      <c r="B336" s="6">
        <v>335.0</v>
      </c>
      <c r="C336" s="6">
        <v>70823.0</v>
      </c>
      <c r="D336" s="6">
        <v>0.51</v>
      </c>
      <c r="E336" s="6">
        <v>-0.3</v>
      </c>
      <c r="F336" s="6">
        <v>10.98</v>
      </c>
      <c r="G336" s="6">
        <v>-0.05</v>
      </c>
      <c r="H336" s="6">
        <v>0.35</v>
      </c>
      <c r="I336" s="6">
        <v>2.42</v>
      </c>
      <c r="J336" s="6">
        <v>33.34</v>
      </c>
      <c r="K336" s="7">
        <f t="shared" ref="K336:P336" si="614">abs(D336-D335)/200</f>
        <v>0.00965</v>
      </c>
      <c r="L336" s="7">
        <f t="shared" si="614"/>
        <v>0.0067</v>
      </c>
      <c r="M336" s="7">
        <f t="shared" si="614"/>
        <v>0.00085</v>
      </c>
      <c r="N336" s="7">
        <f t="shared" si="614"/>
        <v>0.00125</v>
      </c>
      <c r="O336" s="7">
        <f t="shared" si="614"/>
        <v>0.00065</v>
      </c>
      <c r="P336" s="7">
        <f t="shared" si="614"/>
        <v>0.01795</v>
      </c>
      <c r="Q336" s="7">
        <f t="shared" si="7"/>
        <v>1.21796862</v>
      </c>
      <c r="R336" s="7">
        <f t="shared" si="8"/>
        <v>0.04357515468</v>
      </c>
      <c r="S336" s="7">
        <f t="shared" si="2"/>
        <v>1.195931066</v>
      </c>
      <c r="T336" s="7">
        <f t="shared" si="3"/>
        <v>2.445690087</v>
      </c>
      <c r="U336" s="7">
        <f t="shared" si="4"/>
        <v>1</v>
      </c>
      <c r="V336" s="7">
        <f t="shared" si="5"/>
        <v>1</v>
      </c>
      <c r="W336" s="7">
        <f t="shared" ref="W336:X336" si="615">IF(AVERAGE(U276:U335) &gt; 0.25, 1, 0)</f>
        <v>1</v>
      </c>
      <c r="X336" s="7">
        <f t="shared" si="615"/>
        <v>1</v>
      </c>
      <c r="Y336" s="8">
        <v>1.0</v>
      </c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</row>
    <row r="337" ht="22.5" customHeight="1">
      <c r="B337" s="6">
        <v>336.0</v>
      </c>
      <c r="C337" s="6">
        <v>71027.0</v>
      </c>
      <c r="D337" s="6">
        <v>-1.59</v>
      </c>
      <c r="E337" s="6">
        <v>-0.29</v>
      </c>
      <c r="F337" s="6">
        <v>10.89</v>
      </c>
      <c r="G337" s="6">
        <v>-0.06</v>
      </c>
      <c r="H337" s="6">
        <v>0.22</v>
      </c>
      <c r="I337" s="6">
        <v>3.78</v>
      </c>
      <c r="J337" s="6">
        <v>33.34</v>
      </c>
      <c r="K337" s="7">
        <f t="shared" ref="K337:P337" si="616">abs(D337-D336)/200</f>
        <v>0.0105</v>
      </c>
      <c r="L337" s="7">
        <f t="shared" si="616"/>
        <v>0.00005</v>
      </c>
      <c r="M337" s="7">
        <f t="shared" si="616"/>
        <v>0.00045</v>
      </c>
      <c r="N337" s="7">
        <f t="shared" si="616"/>
        <v>0.00005</v>
      </c>
      <c r="O337" s="7">
        <f t="shared" si="616"/>
        <v>0.00065</v>
      </c>
      <c r="P337" s="7">
        <f t="shared" si="616"/>
        <v>0.0068</v>
      </c>
      <c r="Q337" s="7">
        <f t="shared" si="7"/>
        <v>1.341181973</v>
      </c>
      <c r="R337" s="7">
        <f t="shared" si="8"/>
        <v>0.01335138147</v>
      </c>
      <c r="S337" s="7">
        <f t="shared" si="2"/>
        <v>1.209282447</v>
      </c>
      <c r="T337" s="7">
        <f t="shared" si="3"/>
        <v>3.78687206</v>
      </c>
      <c r="U337" s="7">
        <f t="shared" si="4"/>
        <v>1</v>
      </c>
      <c r="V337" s="7">
        <f t="shared" si="5"/>
        <v>1</v>
      </c>
      <c r="W337" s="7">
        <f t="shared" ref="W337:X337" si="617">IF(AVERAGE(U277:U336) &gt; 0.25, 1, 0)</f>
        <v>1</v>
      </c>
      <c r="X337" s="7">
        <f t="shared" si="617"/>
        <v>1</v>
      </c>
      <c r="Y337" s="8">
        <v>1.0</v>
      </c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</row>
    <row r="338" ht="22.5" customHeight="1">
      <c r="B338" s="6">
        <v>337.0</v>
      </c>
      <c r="C338" s="6">
        <v>71231.0</v>
      </c>
      <c r="D338" s="6">
        <v>4.72</v>
      </c>
      <c r="E338" s="6">
        <v>-2.57</v>
      </c>
      <c r="F338" s="6">
        <v>10.47</v>
      </c>
      <c r="G338" s="6">
        <v>0.15</v>
      </c>
      <c r="H338" s="6">
        <v>0.14</v>
      </c>
      <c r="I338" s="6">
        <v>2.5</v>
      </c>
      <c r="J338" s="6">
        <v>33.35</v>
      </c>
      <c r="K338" s="7">
        <f t="shared" ref="K338:P338" si="618">abs(D338-D337)/200</f>
        <v>0.03155</v>
      </c>
      <c r="L338" s="7">
        <f t="shared" si="618"/>
        <v>0.0114</v>
      </c>
      <c r="M338" s="7">
        <f t="shared" si="618"/>
        <v>0.0021</v>
      </c>
      <c r="N338" s="7">
        <f t="shared" si="618"/>
        <v>0.00105</v>
      </c>
      <c r="O338" s="7">
        <f t="shared" si="618"/>
        <v>0.0004</v>
      </c>
      <c r="P338" s="7">
        <f t="shared" si="618"/>
        <v>0.0064</v>
      </c>
      <c r="Q338" s="7">
        <f t="shared" si="7"/>
        <v>1.278466192</v>
      </c>
      <c r="R338" s="7">
        <f t="shared" si="8"/>
        <v>0.7594982884</v>
      </c>
      <c r="S338" s="7">
        <f t="shared" si="2"/>
        <v>1.968780735</v>
      </c>
      <c r="T338" s="7">
        <f t="shared" si="3"/>
        <v>2.508405868</v>
      </c>
      <c r="U338" s="7">
        <f t="shared" si="4"/>
        <v>1</v>
      </c>
      <c r="V338" s="7">
        <f t="shared" si="5"/>
        <v>1</v>
      </c>
      <c r="W338" s="7">
        <f t="shared" ref="W338:X338" si="619">IF(AVERAGE(U278:U337) &gt; 0.25, 1, 0)</f>
        <v>1</v>
      </c>
      <c r="X338" s="7">
        <f t="shared" si="619"/>
        <v>1</v>
      </c>
      <c r="Y338" s="8">
        <v>1.0</v>
      </c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</row>
    <row r="339" ht="22.5" customHeight="1">
      <c r="B339" s="6">
        <v>338.0</v>
      </c>
      <c r="C339" s="6">
        <v>71435.0</v>
      </c>
      <c r="D339" s="6">
        <v>3.85</v>
      </c>
      <c r="E339" s="6">
        <v>-2.55</v>
      </c>
      <c r="F339" s="6">
        <v>10.53</v>
      </c>
      <c r="G339" s="6">
        <v>-0.27</v>
      </c>
      <c r="H339" s="6">
        <v>-0.19</v>
      </c>
      <c r="I339" s="6">
        <v>-2.35</v>
      </c>
      <c r="J339" s="6">
        <v>33.35</v>
      </c>
      <c r="K339" s="7">
        <f t="shared" ref="K339:P339" si="620">abs(D339-D338)/200</f>
        <v>0.00435</v>
      </c>
      <c r="L339" s="7">
        <f t="shared" si="620"/>
        <v>0.0001</v>
      </c>
      <c r="M339" s="7">
        <f t="shared" si="620"/>
        <v>0.0003</v>
      </c>
      <c r="N339" s="7">
        <f t="shared" si="620"/>
        <v>0.0021</v>
      </c>
      <c r="O339" s="7">
        <f t="shared" si="620"/>
        <v>0.00165</v>
      </c>
      <c r="P339" s="7">
        <f t="shared" si="620"/>
        <v>0.02425</v>
      </c>
      <c r="Q339" s="7">
        <f t="shared" si="7"/>
        <v>0.1353276985</v>
      </c>
      <c r="R339" s="7">
        <f t="shared" si="8"/>
        <v>0.2706982867</v>
      </c>
      <c r="S339" s="7">
        <f t="shared" si="2"/>
        <v>1.698082449</v>
      </c>
      <c r="T339" s="7">
        <f t="shared" si="3"/>
        <v>2.37307817</v>
      </c>
      <c r="U339" s="7">
        <f t="shared" si="4"/>
        <v>1</v>
      </c>
      <c r="V339" s="7">
        <f t="shared" si="5"/>
        <v>1</v>
      </c>
      <c r="W339" s="7">
        <f t="shared" ref="W339:X339" si="621">IF(AVERAGE(U279:U338) &gt; 0.25, 1, 0)</f>
        <v>1</v>
      </c>
      <c r="X339" s="7">
        <f t="shared" si="621"/>
        <v>1</v>
      </c>
      <c r="Y339" s="8">
        <v>1.0</v>
      </c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</row>
    <row r="340" ht="22.5" customHeight="1">
      <c r="B340" s="6">
        <v>339.0</v>
      </c>
      <c r="C340" s="6">
        <v>71639.0</v>
      </c>
      <c r="D340" s="6">
        <v>-0.92</v>
      </c>
      <c r="E340" s="6">
        <v>-2.81</v>
      </c>
      <c r="F340" s="6">
        <v>11.23</v>
      </c>
      <c r="G340" s="6">
        <v>-0.43</v>
      </c>
      <c r="H340" s="6">
        <v>-0.62</v>
      </c>
      <c r="I340" s="6">
        <v>-3.93</v>
      </c>
      <c r="J340" s="6">
        <v>33.35</v>
      </c>
      <c r="K340" s="7">
        <f t="shared" ref="K340:P340" si="622">abs(D340-D339)/200</f>
        <v>0.02385</v>
      </c>
      <c r="L340" s="7">
        <f t="shared" si="622"/>
        <v>0.0013</v>
      </c>
      <c r="M340" s="7">
        <f t="shared" si="622"/>
        <v>0.0035</v>
      </c>
      <c r="N340" s="7">
        <f t="shared" si="622"/>
        <v>0.0008</v>
      </c>
      <c r="O340" s="7">
        <f t="shared" si="622"/>
        <v>0.00215</v>
      </c>
      <c r="P340" s="7">
        <f t="shared" si="622"/>
        <v>0.0079</v>
      </c>
      <c r="Q340" s="7">
        <f t="shared" si="7"/>
        <v>1.628696437</v>
      </c>
      <c r="R340" s="7">
        <f t="shared" si="8"/>
        <v>0.1146433294</v>
      </c>
      <c r="S340" s="7">
        <f t="shared" si="2"/>
        <v>1.812725778</v>
      </c>
      <c r="T340" s="7">
        <f t="shared" si="3"/>
        <v>4.001774606</v>
      </c>
      <c r="U340" s="7">
        <f t="shared" si="4"/>
        <v>1</v>
      </c>
      <c r="V340" s="7">
        <f t="shared" si="5"/>
        <v>1</v>
      </c>
      <c r="W340" s="7">
        <f t="shared" ref="W340:X340" si="623">IF(AVERAGE(U280:U339) &gt; 0.25, 1, 0)</f>
        <v>1</v>
      </c>
      <c r="X340" s="7">
        <f t="shared" si="623"/>
        <v>1</v>
      </c>
      <c r="Y340" s="8">
        <v>1.0</v>
      </c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</row>
    <row r="341" ht="22.5" customHeight="1">
      <c r="B341" s="6">
        <v>340.0</v>
      </c>
      <c r="C341" s="6">
        <v>71843.0</v>
      </c>
      <c r="D341" s="6">
        <v>-1.18</v>
      </c>
      <c r="E341" s="6">
        <v>-0.04</v>
      </c>
      <c r="F341" s="6">
        <v>11.26</v>
      </c>
      <c r="G341" s="6">
        <v>-0.4</v>
      </c>
      <c r="H341" s="6">
        <v>-0.15</v>
      </c>
      <c r="I341" s="6">
        <v>-2.82</v>
      </c>
      <c r="J341" s="6">
        <v>33.34</v>
      </c>
      <c r="K341" s="7">
        <f t="shared" ref="K341:P341" si="624">abs(D341-D340)/200</f>
        <v>0.0013</v>
      </c>
      <c r="L341" s="7">
        <f t="shared" si="624"/>
        <v>0.01385</v>
      </c>
      <c r="M341" s="7">
        <f t="shared" si="624"/>
        <v>0.00015</v>
      </c>
      <c r="N341" s="7">
        <f t="shared" si="624"/>
        <v>0.00015</v>
      </c>
      <c r="O341" s="7">
        <f t="shared" si="624"/>
        <v>0.00235</v>
      </c>
      <c r="P341" s="7">
        <f t="shared" si="624"/>
        <v>0.00555</v>
      </c>
      <c r="Q341" s="7">
        <f t="shared" si="7"/>
        <v>1.149599997</v>
      </c>
      <c r="R341" s="7">
        <f t="shared" si="8"/>
        <v>0.2909944618</v>
      </c>
      <c r="S341" s="7">
        <f t="shared" si="2"/>
        <v>1.521731316</v>
      </c>
      <c r="T341" s="7">
        <f t="shared" si="3"/>
        <v>2.852174609</v>
      </c>
      <c r="U341" s="7">
        <f t="shared" si="4"/>
        <v>1</v>
      </c>
      <c r="V341" s="7">
        <f t="shared" si="5"/>
        <v>1</v>
      </c>
      <c r="W341" s="7">
        <f t="shared" ref="W341:X341" si="625">IF(AVERAGE(U281:U340) &gt; 0.25, 1, 0)</f>
        <v>1</v>
      </c>
      <c r="X341" s="7">
        <f t="shared" si="625"/>
        <v>1</v>
      </c>
      <c r="Y341" s="8">
        <v>1.0</v>
      </c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</row>
    <row r="342" ht="22.5" customHeight="1">
      <c r="B342" s="6">
        <v>341.0</v>
      </c>
      <c r="C342" s="6">
        <v>72047.0</v>
      </c>
      <c r="D342" s="6">
        <v>-2.14</v>
      </c>
      <c r="E342" s="6">
        <v>0.78</v>
      </c>
      <c r="F342" s="6">
        <v>10.81</v>
      </c>
      <c r="G342" s="6">
        <v>-0.29</v>
      </c>
      <c r="H342" s="6">
        <v>0.28</v>
      </c>
      <c r="I342" s="6">
        <v>-2.02</v>
      </c>
      <c r="J342" s="6">
        <v>33.35</v>
      </c>
      <c r="K342" s="7">
        <f t="shared" ref="K342:P342" si="626">abs(D342-D341)/200</f>
        <v>0.0048</v>
      </c>
      <c r="L342" s="7">
        <f t="shared" si="626"/>
        <v>0.0041</v>
      </c>
      <c r="M342" s="7">
        <f t="shared" si="626"/>
        <v>0.00225</v>
      </c>
      <c r="N342" s="7">
        <f t="shared" si="626"/>
        <v>0.00055</v>
      </c>
      <c r="O342" s="7">
        <f t="shared" si="626"/>
        <v>0.00215</v>
      </c>
      <c r="P342" s="7">
        <f t="shared" si="626"/>
        <v>0.004</v>
      </c>
      <c r="Q342" s="7">
        <f t="shared" si="7"/>
        <v>0.7923445189</v>
      </c>
      <c r="R342" s="7">
        <f t="shared" si="8"/>
        <v>0.2743741664</v>
      </c>
      <c r="S342" s="7">
        <f t="shared" si="2"/>
        <v>1.24735715</v>
      </c>
      <c r="T342" s="7">
        <f t="shared" si="3"/>
        <v>2.05983009</v>
      </c>
      <c r="U342" s="7">
        <f t="shared" si="4"/>
        <v>1</v>
      </c>
      <c r="V342" s="7">
        <f t="shared" si="5"/>
        <v>1</v>
      </c>
      <c r="W342" s="7">
        <f t="shared" ref="W342:X342" si="627">IF(AVERAGE(U282:U341) &gt; 0.25, 1, 0)</f>
        <v>1</v>
      </c>
      <c r="X342" s="7">
        <f t="shared" si="627"/>
        <v>1</v>
      </c>
      <c r="Y342" s="8">
        <v>1.0</v>
      </c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</row>
    <row r="343" ht="22.5" customHeight="1">
      <c r="B343" s="6">
        <v>342.0</v>
      </c>
      <c r="C343" s="6">
        <v>72251.0</v>
      </c>
      <c r="D343" s="6">
        <v>1.06</v>
      </c>
      <c r="E343" s="6">
        <v>-0.85</v>
      </c>
      <c r="F343" s="6">
        <v>10.83</v>
      </c>
      <c r="G343" s="6">
        <v>-0.06</v>
      </c>
      <c r="H343" s="6">
        <v>0.45</v>
      </c>
      <c r="I343" s="6">
        <v>2.62</v>
      </c>
      <c r="J343" s="6">
        <v>33.36</v>
      </c>
      <c r="K343" s="7">
        <f t="shared" ref="K343:P343" si="628">abs(D343-D342)/200</f>
        <v>0.016</v>
      </c>
      <c r="L343" s="7">
        <f t="shared" si="628"/>
        <v>0.00815</v>
      </c>
      <c r="M343" s="7">
        <f t="shared" si="628"/>
        <v>0.0001</v>
      </c>
      <c r="N343" s="7">
        <f t="shared" si="628"/>
        <v>0.00115</v>
      </c>
      <c r="O343" s="7">
        <f t="shared" si="628"/>
        <v>0.00085</v>
      </c>
      <c r="P343" s="7">
        <f t="shared" si="628"/>
        <v>0.0232</v>
      </c>
      <c r="Q343" s="7">
        <f t="shared" si="7"/>
        <v>0.5992110905</v>
      </c>
      <c r="R343" s="7">
        <f t="shared" si="8"/>
        <v>0.1324590744</v>
      </c>
      <c r="S343" s="7">
        <f t="shared" si="2"/>
        <v>1.114898076</v>
      </c>
      <c r="T343" s="7">
        <f t="shared" si="3"/>
        <v>2.659041181</v>
      </c>
      <c r="U343" s="7">
        <f t="shared" si="4"/>
        <v>1</v>
      </c>
      <c r="V343" s="7">
        <f t="shared" si="5"/>
        <v>1</v>
      </c>
      <c r="W343" s="7">
        <f t="shared" ref="W343:X343" si="629">IF(AVERAGE(U283:U342) &gt; 0.25, 1, 0)</f>
        <v>1</v>
      </c>
      <c r="X343" s="7">
        <f t="shared" si="629"/>
        <v>1</v>
      </c>
      <c r="Y343" s="8">
        <v>1.0</v>
      </c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</row>
    <row r="344" ht="22.5" customHeight="1">
      <c r="B344" s="6">
        <v>343.0</v>
      </c>
      <c r="C344" s="6">
        <v>74699.0</v>
      </c>
      <c r="D344" s="6">
        <v>-0.02</v>
      </c>
      <c r="E344" s="6">
        <v>-1.3</v>
      </c>
      <c r="F344" s="6">
        <v>10.14</v>
      </c>
      <c r="G344" s="6">
        <v>-0.36</v>
      </c>
      <c r="H344" s="6">
        <v>-0.16</v>
      </c>
      <c r="I344" s="6">
        <v>-3.26</v>
      </c>
      <c r="J344" s="6">
        <v>33.33</v>
      </c>
      <c r="K344" s="7">
        <f t="shared" ref="K344:P344" si="630">abs(D344-D343)/200</f>
        <v>0.0054</v>
      </c>
      <c r="L344" s="7">
        <f t="shared" si="630"/>
        <v>0.00225</v>
      </c>
      <c r="M344" s="7">
        <f t="shared" si="630"/>
        <v>0.00345</v>
      </c>
      <c r="N344" s="7">
        <f t="shared" si="630"/>
        <v>0.0015</v>
      </c>
      <c r="O344" s="7">
        <f t="shared" si="630"/>
        <v>0.00305</v>
      </c>
      <c r="P344" s="7">
        <f t="shared" si="630"/>
        <v>0.0294</v>
      </c>
      <c r="Q344" s="7">
        <f t="shared" si="7"/>
        <v>0.624676225</v>
      </c>
      <c r="R344" s="7">
        <f t="shared" si="8"/>
        <v>0.6918848211</v>
      </c>
      <c r="S344" s="7">
        <f t="shared" si="2"/>
        <v>0.4230132544</v>
      </c>
      <c r="T344" s="7">
        <f t="shared" si="3"/>
        <v>3.283717406</v>
      </c>
      <c r="U344" s="7">
        <f t="shared" si="4"/>
        <v>1</v>
      </c>
      <c r="V344" s="7">
        <f t="shared" si="5"/>
        <v>1</v>
      </c>
      <c r="W344" s="7">
        <f t="shared" ref="W344:X344" si="631">IF(AVERAGE(U284:U343) &gt; 0.25, 1, 0)</f>
        <v>1</v>
      </c>
      <c r="X344" s="7">
        <f t="shared" si="631"/>
        <v>1</v>
      </c>
      <c r="Y344" s="8">
        <v>1.0</v>
      </c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</row>
    <row r="345" ht="22.5" customHeight="1">
      <c r="B345" s="6">
        <v>344.0</v>
      </c>
      <c r="C345" s="6">
        <v>74903.0</v>
      </c>
      <c r="D345" s="6">
        <v>-1.46</v>
      </c>
      <c r="E345" s="6">
        <v>-0.27</v>
      </c>
      <c r="F345" s="6">
        <v>10.88</v>
      </c>
      <c r="G345" s="6">
        <v>-0.34</v>
      </c>
      <c r="H345" s="6">
        <v>0.12</v>
      </c>
      <c r="I345" s="6">
        <v>-1.95</v>
      </c>
      <c r="J345" s="6">
        <v>33.33</v>
      </c>
      <c r="K345" s="7">
        <f t="shared" ref="K345:P345" si="632">abs(D345-D344)/200</f>
        <v>0.0072</v>
      </c>
      <c r="L345" s="7">
        <f t="shared" si="632"/>
        <v>0.00515</v>
      </c>
      <c r="M345" s="7">
        <f t="shared" si="632"/>
        <v>0.0037</v>
      </c>
      <c r="N345" s="7">
        <f t="shared" si="632"/>
        <v>0.0001</v>
      </c>
      <c r="O345" s="7">
        <f t="shared" si="632"/>
        <v>0.0014</v>
      </c>
      <c r="P345" s="7">
        <f t="shared" si="632"/>
        <v>0.00655</v>
      </c>
      <c r="Q345" s="7">
        <f t="shared" si="7"/>
        <v>1.300664204</v>
      </c>
      <c r="R345" s="7">
        <f t="shared" si="8"/>
        <v>0.7578291541</v>
      </c>
      <c r="S345" s="7">
        <f t="shared" si="2"/>
        <v>1.180842408</v>
      </c>
      <c r="T345" s="7">
        <f t="shared" si="3"/>
        <v>1.983053202</v>
      </c>
      <c r="U345" s="7">
        <f t="shared" si="4"/>
        <v>1</v>
      </c>
      <c r="V345" s="7">
        <f t="shared" si="5"/>
        <v>1</v>
      </c>
      <c r="W345" s="7">
        <f t="shared" ref="W345:X345" si="633">IF(AVERAGE(U285:U344) &gt; 0.25, 1, 0)</f>
        <v>1</v>
      </c>
      <c r="X345" s="7">
        <f t="shared" si="633"/>
        <v>1</v>
      </c>
      <c r="Y345" s="8">
        <v>1.0</v>
      </c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</row>
    <row r="346" ht="22.5" customHeight="1">
      <c r="B346" s="6">
        <v>345.0</v>
      </c>
      <c r="C346" s="6">
        <v>75107.0</v>
      </c>
      <c r="D346" s="6">
        <v>-0.6</v>
      </c>
      <c r="E346" s="6">
        <v>-0.19</v>
      </c>
      <c r="F346" s="6">
        <v>10.84</v>
      </c>
      <c r="G346" s="6">
        <v>-0.14</v>
      </c>
      <c r="H346" s="6">
        <v>0.26</v>
      </c>
      <c r="I346" s="6">
        <v>2.41</v>
      </c>
      <c r="J346" s="6">
        <v>33.33</v>
      </c>
      <c r="K346" s="7">
        <f t="shared" ref="K346:P346" si="634">abs(D346-D345)/200</f>
        <v>0.0043</v>
      </c>
      <c r="L346" s="7">
        <f t="shared" si="634"/>
        <v>0.0004</v>
      </c>
      <c r="M346" s="7">
        <f t="shared" si="634"/>
        <v>0.0002</v>
      </c>
      <c r="N346" s="7">
        <f t="shared" si="634"/>
        <v>0.001</v>
      </c>
      <c r="O346" s="7">
        <f t="shared" si="634"/>
        <v>0.0007</v>
      </c>
      <c r="P346" s="7">
        <f t="shared" si="634"/>
        <v>0.0218</v>
      </c>
      <c r="Q346" s="7">
        <f t="shared" si="7"/>
        <v>0.4449706864</v>
      </c>
      <c r="R346" s="7">
        <f t="shared" si="8"/>
        <v>0.1225874842</v>
      </c>
      <c r="S346" s="7">
        <f t="shared" si="2"/>
        <v>1.058254924</v>
      </c>
      <c r="T346" s="7">
        <f t="shared" si="3"/>
        <v>2.428023888</v>
      </c>
      <c r="U346" s="7">
        <f t="shared" si="4"/>
        <v>1</v>
      </c>
      <c r="V346" s="7">
        <f t="shared" si="5"/>
        <v>1</v>
      </c>
      <c r="W346" s="7">
        <f t="shared" ref="W346:X346" si="635">IF(AVERAGE(U286:U345) &gt; 0.25, 1, 0)</f>
        <v>1</v>
      </c>
      <c r="X346" s="7">
        <f t="shared" si="635"/>
        <v>1</v>
      </c>
      <c r="Y346" s="8">
        <v>1.0</v>
      </c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</row>
    <row r="347" ht="22.5" customHeight="1">
      <c r="B347" s="6">
        <v>346.0</v>
      </c>
      <c r="C347" s="6">
        <v>75311.0</v>
      </c>
      <c r="D347" s="6">
        <v>1.62</v>
      </c>
      <c r="E347" s="6">
        <v>-1.29</v>
      </c>
      <c r="F347" s="6">
        <v>10.79</v>
      </c>
      <c r="G347" s="6">
        <v>-0.01</v>
      </c>
      <c r="H347" s="6">
        <v>0.3</v>
      </c>
      <c r="I347" s="6">
        <v>3.61</v>
      </c>
      <c r="J347" s="6">
        <v>33.33</v>
      </c>
      <c r="K347" s="7">
        <f t="shared" ref="K347:P347" si="636">abs(D347-D346)/200</f>
        <v>0.0111</v>
      </c>
      <c r="L347" s="7">
        <f t="shared" si="636"/>
        <v>0.0055</v>
      </c>
      <c r="M347" s="7">
        <f t="shared" si="636"/>
        <v>0.00025</v>
      </c>
      <c r="N347" s="7">
        <f t="shared" si="636"/>
        <v>0.00065</v>
      </c>
      <c r="O347" s="7">
        <f t="shared" si="636"/>
        <v>0.0002</v>
      </c>
      <c r="P347" s="7">
        <f t="shared" si="636"/>
        <v>0.006</v>
      </c>
      <c r="Q347" s="7">
        <f t="shared" si="7"/>
        <v>1.194433841</v>
      </c>
      <c r="R347" s="7">
        <f t="shared" si="8"/>
        <v>0.128673673</v>
      </c>
      <c r="S347" s="7">
        <f t="shared" si="2"/>
        <v>1.186928597</v>
      </c>
      <c r="T347" s="7">
        <f t="shared" si="3"/>
        <v>3.622457729</v>
      </c>
      <c r="U347" s="7">
        <f t="shared" si="4"/>
        <v>1</v>
      </c>
      <c r="V347" s="7">
        <f t="shared" si="5"/>
        <v>1</v>
      </c>
      <c r="W347" s="7">
        <f t="shared" ref="W347:X347" si="637">IF(AVERAGE(U287:U346) &gt; 0.25, 1, 0)</f>
        <v>1</v>
      </c>
      <c r="X347" s="7">
        <f t="shared" si="637"/>
        <v>1</v>
      </c>
      <c r="Y347" s="8">
        <v>1.0</v>
      </c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</row>
    <row r="348" ht="22.5" customHeight="1">
      <c r="B348" s="6">
        <v>347.0</v>
      </c>
      <c r="C348" s="6">
        <v>75515.0</v>
      </c>
      <c r="D348" s="6">
        <v>4.93</v>
      </c>
      <c r="E348" s="6">
        <v>-3.48</v>
      </c>
      <c r="F348" s="6">
        <v>10.5</v>
      </c>
      <c r="G348" s="6">
        <v>0.26</v>
      </c>
      <c r="H348" s="6">
        <v>0.13</v>
      </c>
      <c r="I348" s="6">
        <v>4.1</v>
      </c>
      <c r="J348" s="6">
        <v>33.34</v>
      </c>
      <c r="K348" s="7">
        <f t="shared" ref="K348:P348" si="638">abs(D348-D347)/200</f>
        <v>0.01655</v>
      </c>
      <c r="L348" s="7">
        <f t="shared" si="638"/>
        <v>0.01095</v>
      </c>
      <c r="M348" s="7">
        <f t="shared" si="638"/>
        <v>0.00145</v>
      </c>
      <c r="N348" s="7">
        <f t="shared" si="638"/>
        <v>0.00135</v>
      </c>
      <c r="O348" s="7">
        <f t="shared" si="638"/>
        <v>0.00085</v>
      </c>
      <c r="P348" s="7">
        <f t="shared" si="638"/>
        <v>0.00245</v>
      </c>
      <c r="Q348" s="7">
        <f t="shared" si="7"/>
        <v>0.4878342312</v>
      </c>
      <c r="R348" s="7">
        <f t="shared" si="8"/>
        <v>1.123616395</v>
      </c>
      <c r="S348" s="7">
        <f t="shared" si="2"/>
        <v>2.310544992</v>
      </c>
      <c r="T348" s="7">
        <f t="shared" si="3"/>
        <v>4.11029196</v>
      </c>
      <c r="U348" s="7">
        <f t="shared" si="4"/>
        <v>1</v>
      </c>
      <c r="V348" s="7">
        <f t="shared" si="5"/>
        <v>1</v>
      </c>
      <c r="W348" s="7">
        <f t="shared" ref="W348:X348" si="639">IF(AVERAGE(U288:U347) &gt; 0.25, 1, 0)</f>
        <v>1</v>
      </c>
      <c r="X348" s="7">
        <f t="shared" si="639"/>
        <v>1</v>
      </c>
      <c r="Y348" s="8">
        <v>1.0</v>
      </c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</row>
    <row r="349" ht="22.5" customHeight="1">
      <c r="B349" s="6">
        <v>348.0</v>
      </c>
      <c r="C349" s="6">
        <v>75719.0</v>
      </c>
      <c r="D349" s="6">
        <v>3.63</v>
      </c>
      <c r="E349" s="6">
        <v>-3.89</v>
      </c>
      <c r="F349" s="6">
        <v>10.39</v>
      </c>
      <c r="G349" s="6">
        <v>-0.36</v>
      </c>
      <c r="H349" s="6">
        <v>-0.34</v>
      </c>
      <c r="I349" s="6">
        <v>-2.98</v>
      </c>
      <c r="J349" s="6">
        <v>33.34</v>
      </c>
      <c r="K349" s="7">
        <f t="shared" ref="K349:P349" si="640">abs(D349-D348)/200</f>
        <v>0.0065</v>
      </c>
      <c r="L349" s="7">
        <f t="shared" si="640"/>
        <v>0.00205</v>
      </c>
      <c r="M349" s="7">
        <f t="shared" si="640"/>
        <v>0.00055</v>
      </c>
      <c r="N349" s="7">
        <f t="shared" si="640"/>
        <v>0.0031</v>
      </c>
      <c r="O349" s="7">
        <f t="shared" si="640"/>
        <v>0.00235</v>
      </c>
      <c r="P349" s="7">
        <f t="shared" si="640"/>
        <v>0.0354</v>
      </c>
      <c r="Q349" s="7">
        <f t="shared" si="7"/>
        <v>1.089431156</v>
      </c>
      <c r="R349" s="7">
        <f t="shared" si="8"/>
        <v>0.4374519999</v>
      </c>
      <c r="S349" s="7">
        <f t="shared" si="2"/>
        <v>1.873092992</v>
      </c>
      <c r="T349" s="7">
        <f t="shared" si="3"/>
        <v>3.020860804</v>
      </c>
      <c r="U349" s="7">
        <f t="shared" si="4"/>
        <v>1</v>
      </c>
      <c r="V349" s="7">
        <f t="shared" si="5"/>
        <v>1</v>
      </c>
      <c r="W349" s="7">
        <f t="shared" ref="W349:X349" si="641">IF(AVERAGE(U289:U348) &gt; 0.25, 1, 0)</f>
        <v>1</v>
      </c>
      <c r="X349" s="7">
        <f t="shared" si="641"/>
        <v>1</v>
      </c>
      <c r="Y349" s="8">
        <v>1.0</v>
      </c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</row>
    <row r="350" ht="22.5" customHeight="1">
      <c r="B350" s="6">
        <v>349.0</v>
      </c>
      <c r="C350" s="6">
        <v>75923.0</v>
      </c>
      <c r="D350" s="6">
        <v>-3.54</v>
      </c>
      <c r="E350" s="6">
        <v>-3.37</v>
      </c>
      <c r="F350" s="6">
        <v>11.27</v>
      </c>
      <c r="G350" s="6">
        <v>-0.55</v>
      </c>
      <c r="H350" s="6">
        <v>-0.62</v>
      </c>
      <c r="I350" s="6">
        <v>-5.24</v>
      </c>
      <c r="J350" s="6">
        <v>33.34</v>
      </c>
      <c r="K350" s="7">
        <f t="shared" ref="K350:P350" si="642">abs(D350-D349)/200</f>
        <v>0.03585</v>
      </c>
      <c r="L350" s="7">
        <f t="shared" si="642"/>
        <v>0.0026</v>
      </c>
      <c r="M350" s="7">
        <f t="shared" si="642"/>
        <v>0.0044</v>
      </c>
      <c r="N350" s="7">
        <f t="shared" si="642"/>
        <v>0.00095</v>
      </c>
      <c r="O350" s="7">
        <f t="shared" si="642"/>
        <v>0.0014</v>
      </c>
      <c r="P350" s="7">
        <f t="shared" si="642"/>
        <v>0.0113</v>
      </c>
      <c r="Q350" s="7">
        <f t="shared" si="7"/>
        <v>2.284278213</v>
      </c>
      <c r="R350" s="7">
        <f t="shared" si="8"/>
        <v>0.6111001032</v>
      </c>
      <c r="S350" s="7">
        <f t="shared" si="2"/>
        <v>2.484193095</v>
      </c>
      <c r="T350" s="7">
        <f t="shared" si="3"/>
        <v>5.305139018</v>
      </c>
      <c r="U350" s="7">
        <f t="shared" si="4"/>
        <v>1</v>
      </c>
      <c r="V350" s="7">
        <f t="shared" si="5"/>
        <v>1</v>
      </c>
      <c r="W350" s="7">
        <f t="shared" ref="W350:X350" si="643">IF(AVERAGE(U290:U349) &gt; 0.25, 1, 0)</f>
        <v>1</v>
      </c>
      <c r="X350" s="7">
        <f t="shared" si="643"/>
        <v>1</v>
      </c>
      <c r="Y350" s="8">
        <v>1.0</v>
      </c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</row>
    <row r="351" ht="22.5" customHeight="1">
      <c r="B351" s="6">
        <v>350.0</v>
      </c>
      <c r="C351" s="6">
        <v>76127.0</v>
      </c>
      <c r="D351" s="6">
        <v>-2.51</v>
      </c>
      <c r="E351" s="6">
        <v>1.17</v>
      </c>
      <c r="F351" s="6">
        <v>10.75</v>
      </c>
      <c r="G351" s="6">
        <v>-0.22</v>
      </c>
      <c r="H351" s="6">
        <v>-0.08</v>
      </c>
      <c r="I351" s="6">
        <v>-1.07</v>
      </c>
      <c r="J351" s="6">
        <v>33.34</v>
      </c>
      <c r="K351" s="7">
        <f t="shared" ref="K351:P351" si="644">abs(D351-D350)/200</f>
        <v>0.00515</v>
      </c>
      <c r="L351" s="7">
        <f t="shared" si="644"/>
        <v>0.0227</v>
      </c>
      <c r="M351" s="7">
        <f t="shared" si="644"/>
        <v>0.0026</v>
      </c>
      <c r="N351" s="7">
        <f t="shared" si="644"/>
        <v>0.00165</v>
      </c>
      <c r="O351" s="7">
        <f t="shared" si="644"/>
        <v>0.0027</v>
      </c>
      <c r="P351" s="7">
        <f t="shared" si="644"/>
        <v>0.02085</v>
      </c>
      <c r="Q351" s="7">
        <f t="shared" si="7"/>
        <v>4.209830842</v>
      </c>
      <c r="R351" s="7">
        <f t="shared" si="8"/>
        <v>1.183224669</v>
      </c>
      <c r="S351" s="7">
        <f t="shared" si="2"/>
        <v>1.300968426</v>
      </c>
      <c r="T351" s="7">
        <f t="shared" si="3"/>
        <v>1.095308176</v>
      </c>
      <c r="U351" s="7">
        <f t="shared" si="4"/>
        <v>1</v>
      </c>
      <c r="V351" s="7">
        <f t="shared" si="5"/>
        <v>1</v>
      </c>
      <c r="W351" s="7">
        <f t="shared" ref="W351:X351" si="645">IF(AVERAGE(U291:U350) &gt; 0.25, 1, 0)</f>
        <v>1</v>
      </c>
      <c r="X351" s="7">
        <f t="shared" si="645"/>
        <v>1</v>
      </c>
      <c r="Y351" s="8">
        <v>1.0</v>
      </c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</row>
    <row r="352" ht="22.5" customHeight="1">
      <c r="B352" s="6">
        <v>351.0</v>
      </c>
      <c r="C352" s="6">
        <v>76331.0</v>
      </c>
      <c r="D352" s="6">
        <v>-0.18</v>
      </c>
      <c r="E352" s="6">
        <v>1.06</v>
      </c>
      <c r="F352" s="6">
        <v>10.72</v>
      </c>
      <c r="G352" s="6">
        <v>-0.03</v>
      </c>
      <c r="H352" s="6">
        <v>0.11</v>
      </c>
      <c r="I352" s="6">
        <v>1.25</v>
      </c>
      <c r="J352" s="6">
        <v>33.34</v>
      </c>
      <c r="K352" s="7">
        <f t="shared" ref="K352:P352" si="646">abs(D352-D351)/200</f>
        <v>0.01165</v>
      </c>
      <c r="L352" s="7">
        <f t="shared" si="646"/>
        <v>0.00055</v>
      </c>
      <c r="M352" s="7">
        <f t="shared" si="646"/>
        <v>0.00015</v>
      </c>
      <c r="N352" s="7">
        <f t="shared" si="646"/>
        <v>0.00095</v>
      </c>
      <c r="O352" s="7">
        <f t="shared" si="646"/>
        <v>0.00095</v>
      </c>
      <c r="P352" s="7">
        <f t="shared" si="646"/>
        <v>0.0116</v>
      </c>
      <c r="Q352" s="7">
        <f t="shared" si="7"/>
        <v>0.159881053</v>
      </c>
      <c r="R352" s="7">
        <f t="shared" si="8"/>
        <v>0.3271854323</v>
      </c>
      <c r="S352" s="7">
        <f t="shared" si="2"/>
        <v>0.9737829939</v>
      </c>
      <c r="T352" s="7">
        <f t="shared" si="3"/>
        <v>1.255189229</v>
      </c>
      <c r="U352" s="7">
        <f t="shared" si="4"/>
        <v>1</v>
      </c>
      <c r="V352" s="7">
        <f t="shared" si="5"/>
        <v>1</v>
      </c>
      <c r="W352" s="7">
        <f t="shared" ref="W352:X352" si="647">IF(AVERAGE(U292:U351) &gt; 0.25, 1, 0)</f>
        <v>1</v>
      </c>
      <c r="X352" s="7">
        <f t="shared" si="647"/>
        <v>1</v>
      </c>
      <c r="Y352" s="8">
        <v>1.0</v>
      </c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</row>
    <row r="353" ht="22.5" customHeight="1">
      <c r="B353" s="6">
        <v>352.0</v>
      </c>
      <c r="C353" s="6">
        <v>76535.0</v>
      </c>
      <c r="D353" s="6">
        <v>-0.27</v>
      </c>
      <c r="E353" s="6">
        <v>0.32</v>
      </c>
      <c r="F353" s="6">
        <v>10.95</v>
      </c>
      <c r="G353" s="6">
        <v>-0.15</v>
      </c>
      <c r="H353" s="6">
        <v>0.39</v>
      </c>
      <c r="I353" s="6">
        <v>1.51</v>
      </c>
      <c r="J353" s="6">
        <v>33.34</v>
      </c>
      <c r="K353" s="7">
        <f t="shared" ref="K353:P353" si="648">abs(D353-D352)/200</f>
        <v>0.00045</v>
      </c>
      <c r="L353" s="7">
        <f t="shared" si="648"/>
        <v>0.0037</v>
      </c>
      <c r="M353" s="7">
        <f t="shared" si="648"/>
        <v>0.00115</v>
      </c>
      <c r="N353" s="7">
        <f t="shared" si="648"/>
        <v>0.0006</v>
      </c>
      <c r="O353" s="7">
        <f t="shared" si="648"/>
        <v>0.0014</v>
      </c>
      <c r="P353" s="7">
        <f t="shared" si="648"/>
        <v>0.0013</v>
      </c>
      <c r="Q353" s="7">
        <f t="shared" si="7"/>
        <v>0.3115589961</v>
      </c>
      <c r="R353" s="7">
        <f t="shared" si="8"/>
        <v>0.1842186487</v>
      </c>
      <c r="S353" s="7">
        <f t="shared" si="2"/>
        <v>1.158001643</v>
      </c>
      <c r="T353" s="7">
        <f t="shared" si="3"/>
        <v>1.566748225</v>
      </c>
      <c r="U353" s="7">
        <f t="shared" si="4"/>
        <v>1</v>
      </c>
      <c r="V353" s="7">
        <f t="shared" si="5"/>
        <v>1</v>
      </c>
      <c r="W353" s="7">
        <f t="shared" ref="W353:X353" si="649">IF(AVERAGE(U293:U352) &gt; 0.25, 1, 0)</f>
        <v>1</v>
      </c>
      <c r="X353" s="7">
        <f t="shared" si="649"/>
        <v>1</v>
      </c>
      <c r="Y353" s="8">
        <v>1.0</v>
      </c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</row>
    <row r="354" ht="22.5" customHeight="1">
      <c r="B354" s="6">
        <v>353.0</v>
      </c>
      <c r="C354" s="6">
        <v>76739.0</v>
      </c>
      <c r="D354" s="6">
        <v>0.4</v>
      </c>
      <c r="E354" s="6">
        <v>-0.16</v>
      </c>
      <c r="F354" s="6">
        <v>10.98</v>
      </c>
      <c r="G354" s="6">
        <v>-0.07</v>
      </c>
      <c r="H354" s="6">
        <v>0.33</v>
      </c>
      <c r="I354" s="6">
        <v>2.91</v>
      </c>
      <c r="J354" s="6">
        <v>33.35</v>
      </c>
      <c r="K354" s="7">
        <f t="shared" ref="K354:P354" si="650">abs(D354-D353)/200</f>
        <v>0.00335</v>
      </c>
      <c r="L354" s="7">
        <f t="shared" si="650"/>
        <v>0.0024</v>
      </c>
      <c r="M354" s="7">
        <f t="shared" si="650"/>
        <v>0.00015</v>
      </c>
      <c r="N354" s="7">
        <f t="shared" si="650"/>
        <v>0.0004</v>
      </c>
      <c r="O354" s="7">
        <f t="shared" si="650"/>
        <v>0.0003</v>
      </c>
      <c r="P354" s="7">
        <f t="shared" si="650"/>
        <v>0.007</v>
      </c>
      <c r="Q354" s="7">
        <f t="shared" si="7"/>
        <v>1.362739785</v>
      </c>
      <c r="R354" s="7">
        <f t="shared" si="8"/>
        <v>0.03044683747</v>
      </c>
      <c r="S354" s="7">
        <f t="shared" si="2"/>
        <v>1.18844848</v>
      </c>
      <c r="T354" s="7">
        <f t="shared" si="3"/>
        <v>2.92948801</v>
      </c>
      <c r="U354" s="7">
        <f t="shared" si="4"/>
        <v>1</v>
      </c>
      <c r="V354" s="7">
        <f t="shared" si="5"/>
        <v>1</v>
      </c>
      <c r="W354" s="7">
        <f t="shared" ref="W354:X354" si="651">IF(AVERAGE(U294:U353) &gt; 0.25, 1, 0)</f>
        <v>1</v>
      </c>
      <c r="X354" s="7">
        <f t="shared" si="651"/>
        <v>1</v>
      </c>
      <c r="Y354" s="8">
        <v>1.0</v>
      </c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</row>
    <row r="355" ht="22.5" customHeight="1">
      <c r="B355" s="6">
        <v>354.0</v>
      </c>
      <c r="C355" s="6">
        <v>76943.0</v>
      </c>
      <c r="D355" s="6">
        <v>1.71</v>
      </c>
      <c r="E355" s="6">
        <v>-1.14</v>
      </c>
      <c r="F355" s="6">
        <v>10.52</v>
      </c>
      <c r="G355" s="6">
        <v>0.07</v>
      </c>
      <c r="H355" s="6">
        <v>0.1</v>
      </c>
      <c r="I355" s="6">
        <v>3.7</v>
      </c>
      <c r="J355" s="6">
        <v>33.35</v>
      </c>
      <c r="K355" s="7">
        <f t="shared" ref="K355:P355" si="652">abs(D355-D354)/200</f>
        <v>0.00655</v>
      </c>
      <c r="L355" s="7">
        <f t="shared" si="652"/>
        <v>0.0049</v>
      </c>
      <c r="M355" s="7">
        <f t="shared" si="652"/>
        <v>0.0023</v>
      </c>
      <c r="N355" s="7">
        <f t="shared" si="652"/>
        <v>0.0007</v>
      </c>
      <c r="O355" s="7">
        <f t="shared" si="652"/>
        <v>0.00115</v>
      </c>
      <c r="P355" s="7">
        <f t="shared" si="652"/>
        <v>0.00395</v>
      </c>
      <c r="Q355" s="7">
        <f t="shared" si="7"/>
        <v>0.7725249561</v>
      </c>
      <c r="R355" s="7">
        <f t="shared" si="8"/>
        <v>0.2695819356</v>
      </c>
      <c r="S355" s="7">
        <f t="shared" si="2"/>
        <v>0.9188665446</v>
      </c>
      <c r="T355" s="7">
        <f t="shared" si="3"/>
        <v>3.702012966</v>
      </c>
      <c r="U355" s="7">
        <f t="shared" si="4"/>
        <v>1</v>
      </c>
      <c r="V355" s="7">
        <f t="shared" si="5"/>
        <v>1</v>
      </c>
      <c r="W355" s="7">
        <f t="shared" ref="W355:X355" si="653">IF(AVERAGE(U295:U354) &gt; 0.25, 1, 0)</f>
        <v>1</v>
      </c>
      <c r="X355" s="7">
        <f t="shared" si="653"/>
        <v>1</v>
      </c>
      <c r="Y355" s="8">
        <v>1.0</v>
      </c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</row>
    <row r="356" ht="22.5" customHeight="1">
      <c r="B356" s="6">
        <v>355.0</v>
      </c>
      <c r="C356" s="6">
        <v>77147.0</v>
      </c>
      <c r="D356" s="6">
        <v>3.79</v>
      </c>
      <c r="E356" s="6">
        <v>-2.49</v>
      </c>
      <c r="F356" s="6">
        <v>10.45</v>
      </c>
      <c r="G356" s="6">
        <v>0.07</v>
      </c>
      <c r="H356" s="6">
        <v>-0.09</v>
      </c>
      <c r="I356" s="6">
        <v>1.06</v>
      </c>
      <c r="J356" s="6">
        <v>33.33</v>
      </c>
      <c r="K356" s="7">
        <f t="shared" ref="K356:P356" si="654">abs(D356-D355)/200</f>
        <v>0.0104</v>
      </c>
      <c r="L356" s="7">
        <f t="shared" si="654"/>
        <v>0.00675</v>
      </c>
      <c r="M356" s="7">
        <f t="shared" si="654"/>
        <v>0.00035</v>
      </c>
      <c r="N356" s="7">
        <f t="shared" si="654"/>
        <v>0</v>
      </c>
      <c r="O356" s="7">
        <f t="shared" si="654"/>
        <v>0.00095</v>
      </c>
      <c r="P356" s="7">
        <f t="shared" si="654"/>
        <v>0.0132</v>
      </c>
      <c r="Q356" s="7">
        <f t="shared" si="7"/>
        <v>2.635898526</v>
      </c>
      <c r="R356" s="7">
        <f t="shared" si="8"/>
        <v>0.6726522304</v>
      </c>
      <c r="S356" s="7">
        <f t="shared" si="2"/>
        <v>1.591518775</v>
      </c>
      <c r="T356" s="7">
        <f t="shared" si="3"/>
        <v>1.06611444</v>
      </c>
      <c r="U356" s="7">
        <f t="shared" si="4"/>
        <v>1</v>
      </c>
      <c r="V356" s="7">
        <f t="shared" si="5"/>
        <v>1</v>
      </c>
      <c r="W356" s="7">
        <f t="shared" ref="W356:X356" si="655">IF(AVERAGE(U296:U355) &gt; 0.25, 1, 0)</f>
        <v>1</v>
      </c>
      <c r="X356" s="7">
        <f t="shared" si="655"/>
        <v>1</v>
      </c>
      <c r="Y356" s="8">
        <v>1.0</v>
      </c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</row>
    <row r="357" ht="22.5" customHeight="1">
      <c r="B357" s="6">
        <v>356.0</v>
      </c>
      <c r="C357" s="6">
        <v>77351.0</v>
      </c>
      <c r="D357" s="6">
        <v>1.11</v>
      </c>
      <c r="E357" s="6">
        <v>-1.97</v>
      </c>
      <c r="F357" s="6">
        <v>11.06</v>
      </c>
      <c r="G357" s="6">
        <v>-0.4</v>
      </c>
      <c r="H357" s="6">
        <v>-0.5</v>
      </c>
      <c r="I357" s="6">
        <v>-3.49</v>
      </c>
      <c r="J357" s="6">
        <v>33.36</v>
      </c>
      <c r="K357" s="7">
        <f t="shared" ref="K357:P357" si="656">abs(D357-D356)/200</f>
        <v>0.0134</v>
      </c>
      <c r="L357" s="7">
        <f t="shared" si="656"/>
        <v>0.0026</v>
      </c>
      <c r="M357" s="7">
        <f t="shared" si="656"/>
        <v>0.00305</v>
      </c>
      <c r="N357" s="7">
        <f t="shared" si="656"/>
        <v>0.00235</v>
      </c>
      <c r="O357" s="7">
        <f t="shared" si="656"/>
        <v>0.00205</v>
      </c>
      <c r="P357" s="7">
        <f t="shared" si="656"/>
        <v>0.02275</v>
      </c>
      <c r="Q357" s="7">
        <f t="shared" si="7"/>
        <v>2.482138651</v>
      </c>
      <c r="R357" s="7">
        <f t="shared" si="8"/>
        <v>0.1027367326</v>
      </c>
      <c r="S357" s="7">
        <f t="shared" si="2"/>
        <v>1.488782042</v>
      </c>
      <c r="T357" s="7">
        <f t="shared" si="3"/>
        <v>3.548253091</v>
      </c>
      <c r="U357" s="7">
        <f t="shared" si="4"/>
        <v>1</v>
      </c>
      <c r="V357" s="7">
        <f t="shared" si="5"/>
        <v>1</v>
      </c>
      <c r="W357" s="7">
        <f t="shared" ref="W357:X357" si="657">IF(AVERAGE(U297:U356) &gt; 0.25, 1, 0)</f>
        <v>1</v>
      </c>
      <c r="X357" s="7">
        <f t="shared" si="657"/>
        <v>1</v>
      </c>
      <c r="Y357" s="8">
        <v>1.0</v>
      </c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</row>
    <row r="358" ht="22.5" customHeight="1">
      <c r="B358" s="6">
        <v>357.0</v>
      </c>
      <c r="C358" s="6">
        <v>77555.0</v>
      </c>
      <c r="D358" s="6">
        <v>-1.75</v>
      </c>
      <c r="E358" s="6">
        <v>-0.88</v>
      </c>
      <c r="F358" s="6">
        <v>11.12</v>
      </c>
      <c r="G358" s="6">
        <v>-0.47</v>
      </c>
      <c r="H358" s="6">
        <v>-0.49</v>
      </c>
      <c r="I358" s="6">
        <v>-3.89</v>
      </c>
      <c r="J358" s="6">
        <v>33.34</v>
      </c>
      <c r="K358" s="7">
        <f t="shared" ref="K358:P358" si="658">abs(D358-D357)/200</f>
        <v>0.0143</v>
      </c>
      <c r="L358" s="7">
        <f t="shared" si="658"/>
        <v>0.00545</v>
      </c>
      <c r="M358" s="7">
        <f t="shared" si="658"/>
        <v>0.0003</v>
      </c>
      <c r="N358" s="7">
        <f t="shared" si="658"/>
        <v>0.00035</v>
      </c>
      <c r="O358" s="7">
        <f t="shared" si="658"/>
        <v>0.00005</v>
      </c>
      <c r="P358" s="7">
        <f t="shared" si="658"/>
        <v>0.002</v>
      </c>
      <c r="Q358" s="7">
        <f t="shared" si="7"/>
        <v>0.400556856</v>
      </c>
      <c r="R358" s="7">
        <f t="shared" si="8"/>
        <v>0.002422499225</v>
      </c>
      <c r="S358" s="7">
        <f t="shared" si="2"/>
        <v>1.491204542</v>
      </c>
      <c r="T358" s="7">
        <f t="shared" si="3"/>
        <v>3.948809947</v>
      </c>
      <c r="U358" s="7">
        <f t="shared" si="4"/>
        <v>1</v>
      </c>
      <c r="V358" s="7">
        <f t="shared" si="5"/>
        <v>1</v>
      </c>
      <c r="W358" s="7">
        <f t="shared" ref="W358:X358" si="659">IF(AVERAGE(U298:U357) &gt; 0.25, 1, 0)</f>
        <v>1</v>
      </c>
      <c r="X358" s="7">
        <f t="shared" si="659"/>
        <v>1</v>
      </c>
      <c r="Y358" s="8">
        <v>1.0</v>
      </c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</row>
    <row r="359" ht="22.5" customHeight="1">
      <c r="B359" s="6">
        <v>358.0</v>
      </c>
      <c r="C359" s="6">
        <v>77759.0</v>
      </c>
      <c r="D359" s="6">
        <v>-1.62</v>
      </c>
      <c r="E359" s="6">
        <v>0.87</v>
      </c>
      <c r="F359" s="6">
        <v>10.65</v>
      </c>
      <c r="G359" s="6">
        <v>-0.23</v>
      </c>
      <c r="H359" s="6">
        <v>-0.03</v>
      </c>
      <c r="I359" s="6">
        <v>-1.77</v>
      </c>
      <c r="J359" s="6">
        <v>33.34</v>
      </c>
      <c r="K359" s="7">
        <f t="shared" ref="K359:P359" si="660">abs(D359-D358)/200</f>
        <v>0.00065</v>
      </c>
      <c r="L359" s="7">
        <f t="shared" si="660"/>
        <v>0.00875</v>
      </c>
      <c r="M359" s="7">
        <f t="shared" si="660"/>
        <v>0.00235</v>
      </c>
      <c r="N359" s="7">
        <f t="shared" si="660"/>
        <v>0.0012</v>
      </c>
      <c r="O359" s="7">
        <f t="shared" si="660"/>
        <v>0.0023</v>
      </c>
      <c r="P359" s="7">
        <f t="shared" si="660"/>
        <v>0.0106</v>
      </c>
      <c r="Q359" s="7">
        <f t="shared" si="7"/>
        <v>2.163676899</v>
      </c>
      <c r="R359" s="7">
        <f t="shared" si="8"/>
        <v>0.4836238687</v>
      </c>
      <c r="S359" s="7">
        <f t="shared" si="2"/>
        <v>1.007580673</v>
      </c>
      <c r="T359" s="7">
        <f t="shared" si="3"/>
        <v>1.785133048</v>
      </c>
      <c r="U359" s="7">
        <f t="shared" si="4"/>
        <v>1</v>
      </c>
      <c r="V359" s="7">
        <f t="shared" si="5"/>
        <v>1</v>
      </c>
      <c r="W359" s="7">
        <f t="shared" ref="W359:X359" si="661">IF(AVERAGE(U299:U358) &gt; 0.25, 1, 0)</f>
        <v>1</v>
      </c>
      <c r="X359" s="7">
        <f t="shared" si="661"/>
        <v>1</v>
      </c>
      <c r="Y359" s="8">
        <v>1.0</v>
      </c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</row>
    <row r="360" ht="22.5" customHeight="1">
      <c r="B360" s="6">
        <v>359.0</v>
      </c>
      <c r="C360" s="6">
        <v>77963.0</v>
      </c>
      <c r="D360" s="6">
        <v>-3.36</v>
      </c>
      <c r="E360" s="6">
        <v>0.49</v>
      </c>
      <c r="F360" s="6">
        <v>10.56</v>
      </c>
      <c r="G360" s="6">
        <v>-0.17</v>
      </c>
      <c r="H360" s="6">
        <v>0.35</v>
      </c>
      <c r="I360" s="6">
        <v>1.88</v>
      </c>
      <c r="J360" s="6">
        <v>33.35</v>
      </c>
      <c r="K360" s="7">
        <f t="shared" ref="K360:P360" si="662">abs(D360-D359)/200</f>
        <v>0.0087</v>
      </c>
      <c r="L360" s="7">
        <f t="shared" si="662"/>
        <v>0.0019</v>
      </c>
      <c r="M360" s="7">
        <f t="shared" si="662"/>
        <v>0.00045</v>
      </c>
      <c r="N360" s="7">
        <f t="shared" si="662"/>
        <v>0.0003</v>
      </c>
      <c r="O360" s="7">
        <f t="shared" si="662"/>
        <v>0.0019</v>
      </c>
      <c r="P360" s="7">
        <f t="shared" si="662"/>
        <v>0.01825</v>
      </c>
      <c r="Q360" s="7">
        <f t="shared" si="7"/>
        <v>0.1347106954</v>
      </c>
      <c r="R360" s="7">
        <f t="shared" si="8"/>
        <v>0.2849077766</v>
      </c>
      <c r="S360" s="7">
        <f t="shared" si="2"/>
        <v>1.292488449</v>
      </c>
      <c r="T360" s="7">
        <f t="shared" si="3"/>
        <v>1.919843744</v>
      </c>
      <c r="U360" s="7">
        <f t="shared" si="4"/>
        <v>1</v>
      </c>
      <c r="V360" s="7">
        <f t="shared" si="5"/>
        <v>1</v>
      </c>
      <c r="W360" s="7">
        <f t="shared" ref="W360:X360" si="663">IF(AVERAGE(U300:U359) &gt; 0.25, 1, 0)</f>
        <v>1</v>
      </c>
      <c r="X360" s="7">
        <f t="shared" si="663"/>
        <v>1</v>
      </c>
      <c r="Y360" s="8">
        <v>1.0</v>
      </c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</row>
    <row r="361" ht="22.5" customHeight="1">
      <c r="B361" s="6">
        <v>360.0</v>
      </c>
      <c r="C361" s="6">
        <v>78167.0</v>
      </c>
      <c r="D361" s="6">
        <v>-0.94</v>
      </c>
      <c r="E361" s="6">
        <v>-2.06</v>
      </c>
      <c r="F361" s="6">
        <v>11.04</v>
      </c>
      <c r="G361" s="6">
        <v>-0.09</v>
      </c>
      <c r="H361" s="6">
        <v>0.41</v>
      </c>
      <c r="I361" s="6">
        <v>4.08</v>
      </c>
      <c r="J361" s="6">
        <v>33.35</v>
      </c>
      <c r="K361" s="7">
        <f t="shared" ref="K361:P361" si="664">abs(D361-D360)/200</f>
        <v>0.0121</v>
      </c>
      <c r="L361" s="7">
        <f t="shared" si="664"/>
        <v>0.01275</v>
      </c>
      <c r="M361" s="7">
        <f t="shared" si="664"/>
        <v>0.0024</v>
      </c>
      <c r="N361" s="7">
        <f t="shared" si="664"/>
        <v>0.0004</v>
      </c>
      <c r="O361" s="7">
        <f t="shared" si="664"/>
        <v>0.0003</v>
      </c>
      <c r="P361" s="7">
        <f t="shared" si="664"/>
        <v>0.011</v>
      </c>
      <c r="Q361" s="7">
        <f t="shared" si="7"/>
        <v>2.181692554</v>
      </c>
      <c r="R361" s="7">
        <f t="shared" si="8"/>
        <v>0.1773296503</v>
      </c>
      <c r="S361" s="7">
        <f t="shared" si="2"/>
        <v>1.4698181</v>
      </c>
      <c r="T361" s="7">
        <f t="shared" si="3"/>
        <v>4.101536298</v>
      </c>
      <c r="U361" s="7">
        <f t="shared" si="4"/>
        <v>1</v>
      </c>
      <c r="V361" s="7">
        <f t="shared" si="5"/>
        <v>1</v>
      </c>
      <c r="W361" s="7">
        <f t="shared" ref="W361:X361" si="665">IF(AVERAGE(U301:U360) &gt; 0.25, 1, 0)</f>
        <v>1</v>
      </c>
      <c r="X361" s="7">
        <f t="shared" si="665"/>
        <v>1</v>
      </c>
      <c r="Y361" s="8">
        <v>1.0</v>
      </c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</row>
    <row r="362" ht="22.5" customHeight="1">
      <c r="B362" s="6">
        <v>361.0</v>
      </c>
      <c r="C362" s="6">
        <v>78371.0</v>
      </c>
      <c r="D362" s="6">
        <v>4.84</v>
      </c>
      <c r="E362" s="6">
        <v>-3.96</v>
      </c>
      <c r="F362" s="6">
        <v>10.65</v>
      </c>
      <c r="G362" s="6">
        <v>-0.05</v>
      </c>
      <c r="H362" s="6">
        <v>0.05</v>
      </c>
      <c r="I362" s="6">
        <v>3.91</v>
      </c>
      <c r="J362" s="6">
        <v>33.35</v>
      </c>
      <c r="K362" s="7">
        <f t="shared" ref="K362:P362" si="666">abs(D362-D361)/200</f>
        <v>0.0289</v>
      </c>
      <c r="L362" s="7">
        <f t="shared" si="666"/>
        <v>0.0095</v>
      </c>
      <c r="M362" s="7">
        <f t="shared" si="666"/>
        <v>0.00195</v>
      </c>
      <c r="N362" s="7">
        <f t="shared" si="666"/>
        <v>0.0002</v>
      </c>
      <c r="O362" s="7">
        <f t="shared" si="666"/>
        <v>0.0018</v>
      </c>
      <c r="P362" s="7">
        <f t="shared" si="666"/>
        <v>0.00085</v>
      </c>
      <c r="Q362" s="7">
        <f t="shared" si="7"/>
        <v>0.1908969636</v>
      </c>
      <c r="R362" s="7">
        <f t="shared" si="8"/>
        <v>1.080473395</v>
      </c>
      <c r="S362" s="7">
        <f t="shared" si="2"/>
        <v>2.550291495</v>
      </c>
      <c r="T362" s="7">
        <f t="shared" si="3"/>
        <v>3.910639334</v>
      </c>
      <c r="U362" s="7">
        <f t="shared" si="4"/>
        <v>1</v>
      </c>
      <c r="V362" s="7">
        <f t="shared" si="5"/>
        <v>1</v>
      </c>
      <c r="W362" s="7">
        <f t="shared" ref="W362:X362" si="667">IF(AVERAGE(U302:U361) &gt; 0.25, 1, 0)</f>
        <v>1</v>
      </c>
      <c r="X362" s="7">
        <f t="shared" si="667"/>
        <v>1</v>
      </c>
      <c r="Y362" s="8">
        <v>1.0</v>
      </c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</row>
    <row r="363" ht="22.5" customHeight="1">
      <c r="B363" s="6">
        <v>362.0</v>
      </c>
      <c r="C363" s="6">
        <v>78575.0</v>
      </c>
      <c r="D363" s="6">
        <v>4.61</v>
      </c>
      <c r="E363" s="6">
        <v>-3.06</v>
      </c>
      <c r="F363" s="6">
        <v>10.56</v>
      </c>
      <c r="G363" s="6">
        <v>-0.17</v>
      </c>
      <c r="H363" s="6">
        <v>-0.19</v>
      </c>
      <c r="I363" s="6">
        <v>-1.6</v>
      </c>
      <c r="J363" s="6">
        <v>33.35</v>
      </c>
      <c r="K363" s="7">
        <f t="shared" ref="K363:P363" si="668">abs(D363-D362)/200</f>
        <v>0.00115</v>
      </c>
      <c r="L363" s="7">
        <f t="shared" si="668"/>
        <v>0.0045</v>
      </c>
      <c r="M363" s="7">
        <f t="shared" si="668"/>
        <v>0.00045</v>
      </c>
      <c r="N363" s="7">
        <f t="shared" si="668"/>
        <v>0.0006</v>
      </c>
      <c r="O363" s="7">
        <f t="shared" si="668"/>
        <v>0.0012</v>
      </c>
      <c r="P363" s="7">
        <f t="shared" si="668"/>
        <v>0.02755</v>
      </c>
      <c r="Q363" s="7">
        <f t="shared" si="7"/>
        <v>2.290454159</v>
      </c>
      <c r="R363" s="7">
        <f t="shared" si="8"/>
        <v>0.4284921337</v>
      </c>
      <c r="S363" s="7">
        <f t="shared" si="2"/>
        <v>2.121799361</v>
      </c>
      <c r="T363" s="7">
        <f t="shared" si="3"/>
        <v>1.620185175</v>
      </c>
      <c r="U363" s="7">
        <f t="shared" si="4"/>
        <v>1</v>
      </c>
      <c r="V363" s="7">
        <f t="shared" si="5"/>
        <v>1</v>
      </c>
      <c r="W363" s="7">
        <f t="shared" ref="W363:X363" si="669">IF(AVERAGE(U303:U362) &gt; 0.25, 1, 0)</f>
        <v>1</v>
      </c>
      <c r="X363" s="7">
        <f t="shared" si="669"/>
        <v>1</v>
      </c>
      <c r="Y363" s="8">
        <v>1.0</v>
      </c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</row>
    <row r="364" ht="22.5" customHeight="1">
      <c r="B364" s="6">
        <v>363.0</v>
      </c>
      <c r="C364" s="6">
        <v>78779.0</v>
      </c>
      <c r="D364" s="6">
        <v>-1.24</v>
      </c>
      <c r="E364" s="6">
        <v>-3.74</v>
      </c>
      <c r="F364" s="6">
        <v>11.57</v>
      </c>
      <c r="G364" s="6">
        <v>-0.47</v>
      </c>
      <c r="H364" s="6">
        <v>-0.44</v>
      </c>
      <c r="I364" s="6">
        <v>-5.09</v>
      </c>
      <c r="J364" s="6">
        <v>33.35</v>
      </c>
      <c r="K364" s="7">
        <f t="shared" ref="K364:P364" si="670">abs(D364-D363)/200</f>
        <v>0.02925</v>
      </c>
      <c r="L364" s="7">
        <f t="shared" si="670"/>
        <v>0.0034</v>
      </c>
      <c r="M364" s="7">
        <f t="shared" si="670"/>
        <v>0.00505</v>
      </c>
      <c r="N364" s="7">
        <f t="shared" si="670"/>
        <v>0.0015</v>
      </c>
      <c r="O364" s="7">
        <f t="shared" si="670"/>
        <v>0.00125</v>
      </c>
      <c r="P364" s="7">
        <f t="shared" si="670"/>
        <v>0.01745</v>
      </c>
      <c r="Q364" s="7">
        <f t="shared" si="7"/>
        <v>3.510370351</v>
      </c>
      <c r="R364" s="7">
        <f t="shared" si="8"/>
        <v>0.3007249284</v>
      </c>
      <c r="S364" s="7">
        <f t="shared" si="2"/>
        <v>2.422524289</v>
      </c>
      <c r="T364" s="7">
        <f t="shared" si="3"/>
        <v>5.130555525</v>
      </c>
      <c r="U364" s="7">
        <f t="shared" si="4"/>
        <v>1</v>
      </c>
      <c r="V364" s="7">
        <f t="shared" si="5"/>
        <v>1</v>
      </c>
      <c r="W364" s="7">
        <f t="shared" ref="W364:X364" si="671">IF(AVERAGE(U304:U363) &gt; 0.25, 1, 0)</f>
        <v>1</v>
      </c>
      <c r="X364" s="7">
        <f t="shared" si="671"/>
        <v>1</v>
      </c>
      <c r="Y364" s="8">
        <v>1.0</v>
      </c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</row>
    <row r="365" ht="22.5" customHeight="1">
      <c r="B365" s="6">
        <v>364.0</v>
      </c>
      <c r="C365" s="6">
        <v>78983.0</v>
      </c>
      <c r="D365" s="6">
        <v>-5.14</v>
      </c>
      <c r="E365" s="6">
        <v>2.07</v>
      </c>
      <c r="F365" s="6">
        <v>11.1</v>
      </c>
      <c r="G365" s="6">
        <v>-0.29</v>
      </c>
      <c r="H365" s="6">
        <v>-0.13</v>
      </c>
      <c r="I365" s="6">
        <v>-2.74</v>
      </c>
      <c r="J365" s="6">
        <v>33.35</v>
      </c>
      <c r="K365" s="7">
        <f t="shared" ref="K365:P365" si="672">abs(D365-D364)/200</f>
        <v>0.0195</v>
      </c>
      <c r="L365" s="7">
        <f t="shared" si="672"/>
        <v>0.02905</v>
      </c>
      <c r="M365" s="7">
        <f t="shared" si="672"/>
        <v>0.00235</v>
      </c>
      <c r="N365" s="7">
        <f t="shared" si="672"/>
        <v>0.0009</v>
      </c>
      <c r="O365" s="7">
        <f t="shared" si="672"/>
        <v>0.00155</v>
      </c>
      <c r="P365" s="7">
        <f t="shared" si="672"/>
        <v>0.01175</v>
      </c>
      <c r="Q365" s="7">
        <f t="shared" si="7"/>
        <v>2.372186442</v>
      </c>
      <c r="R365" s="7">
        <f t="shared" si="8"/>
        <v>0.1837039853</v>
      </c>
      <c r="S365" s="7">
        <f t="shared" si="2"/>
        <v>2.606228275</v>
      </c>
      <c r="T365" s="7">
        <f t="shared" si="3"/>
        <v>2.758369083</v>
      </c>
      <c r="U365" s="7">
        <f t="shared" si="4"/>
        <v>1</v>
      </c>
      <c r="V365" s="7">
        <f t="shared" si="5"/>
        <v>1</v>
      </c>
      <c r="W365" s="7">
        <f t="shared" ref="W365:X365" si="673">IF(AVERAGE(U305:U364) &gt; 0.25, 1, 0)</f>
        <v>1</v>
      </c>
      <c r="X365" s="7">
        <f t="shared" si="673"/>
        <v>1</v>
      </c>
      <c r="Y365" s="8">
        <v>1.0</v>
      </c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</row>
    <row r="366" ht="22.5" customHeight="1">
      <c r="B366" s="6">
        <v>365.0</v>
      </c>
      <c r="C366" s="6">
        <v>79187.0</v>
      </c>
      <c r="D366" s="6">
        <v>-4.31</v>
      </c>
      <c r="E366" s="6">
        <v>1.62</v>
      </c>
      <c r="F366" s="6">
        <v>11.11</v>
      </c>
      <c r="G366" s="6">
        <v>-0.06</v>
      </c>
      <c r="H366" s="6">
        <v>0.19</v>
      </c>
      <c r="I366" s="6">
        <v>0.39</v>
      </c>
      <c r="J366" s="6">
        <v>33.35</v>
      </c>
      <c r="K366" s="7">
        <f t="shared" ref="K366:P366" si="674">abs(D366-D365)/200</f>
        <v>0.00415</v>
      </c>
      <c r="L366" s="7">
        <f t="shared" si="674"/>
        <v>0.00225</v>
      </c>
      <c r="M366" s="7">
        <f t="shared" si="674"/>
        <v>0.00005</v>
      </c>
      <c r="N366" s="7">
        <f t="shared" si="674"/>
        <v>0.00115</v>
      </c>
      <c r="O366" s="7">
        <f t="shared" si="674"/>
        <v>0.0016</v>
      </c>
      <c r="P366" s="7">
        <f t="shared" si="674"/>
        <v>0.01565</v>
      </c>
      <c r="Q366" s="7">
        <f t="shared" si="7"/>
        <v>2.320419315</v>
      </c>
      <c r="R366" s="7">
        <f t="shared" si="8"/>
        <v>0.3798988262</v>
      </c>
      <c r="S366" s="7">
        <f t="shared" si="2"/>
        <v>2.226329448</v>
      </c>
      <c r="T366" s="7">
        <f t="shared" si="3"/>
        <v>0.4379497688</v>
      </c>
      <c r="U366" s="7">
        <f t="shared" si="4"/>
        <v>1</v>
      </c>
      <c r="V366" s="7">
        <f t="shared" si="5"/>
        <v>1</v>
      </c>
      <c r="W366" s="7">
        <f t="shared" ref="W366:X366" si="675">IF(AVERAGE(U306:U365) &gt; 0.25, 1, 0)</f>
        <v>1</v>
      </c>
      <c r="X366" s="7">
        <f t="shared" si="675"/>
        <v>1</v>
      </c>
      <c r="Y366" s="8">
        <v>1.0</v>
      </c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</row>
    <row r="367" ht="22.5" customHeight="1">
      <c r="B367" s="6">
        <v>366.0</v>
      </c>
      <c r="C367" s="6">
        <v>79391.0</v>
      </c>
      <c r="D367" s="6">
        <v>-0.3</v>
      </c>
      <c r="E367" s="6">
        <v>-0.63</v>
      </c>
      <c r="F367" s="6">
        <v>11.11</v>
      </c>
      <c r="G367" s="6">
        <v>-0.15</v>
      </c>
      <c r="H367" s="6">
        <v>0.37</v>
      </c>
      <c r="I367" s="6">
        <v>2.96</v>
      </c>
      <c r="J367" s="6">
        <v>33.34</v>
      </c>
      <c r="K367" s="7">
        <f t="shared" ref="K367:P367" si="676">abs(D367-D366)/200</f>
        <v>0.02005</v>
      </c>
      <c r="L367" s="7">
        <f t="shared" si="676"/>
        <v>0.01125</v>
      </c>
      <c r="M367" s="7">
        <f t="shared" si="676"/>
        <v>0</v>
      </c>
      <c r="N367" s="7">
        <f t="shared" si="676"/>
        <v>0.00045</v>
      </c>
      <c r="O367" s="7">
        <f t="shared" si="676"/>
        <v>0.0009</v>
      </c>
      <c r="P367" s="7">
        <f t="shared" si="676"/>
        <v>0.01285</v>
      </c>
      <c r="Q367" s="7">
        <f t="shared" si="7"/>
        <v>2.548854543</v>
      </c>
      <c r="R367" s="7">
        <f t="shared" si="8"/>
        <v>0.8944383242</v>
      </c>
      <c r="S367" s="7">
        <f t="shared" si="2"/>
        <v>1.331891124</v>
      </c>
      <c r="T367" s="7">
        <f t="shared" si="3"/>
        <v>2.986804312</v>
      </c>
      <c r="U367" s="7">
        <f t="shared" si="4"/>
        <v>1</v>
      </c>
      <c r="V367" s="7">
        <f t="shared" si="5"/>
        <v>1</v>
      </c>
      <c r="W367" s="7">
        <f t="shared" ref="W367:X367" si="677">IF(AVERAGE(U307:U366) &gt; 0.25, 1, 0)</f>
        <v>1</v>
      </c>
      <c r="X367" s="7">
        <f t="shared" si="677"/>
        <v>1</v>
      </c>
      <c r="Y367" s="8">
        <v>1.0</v>
      </c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</row>
    <row r="368" ht="22.5" customHeight="1">
      <c r="B368" s="6">
        <v>367.0</v>
      </c>
      <c r="C368" s="6">
        <v>79595.0</v>
      </c>
      <c r="D368" s="6">
        <v>1.24</v>
      </c>
      <c r="E368" s="6">
        <v>-2.94</v>
      </c>
      <c r="F368" s="6">
        <v>10.94</v>
      </c>
      <c r="G368" s="6">
        <v>-0.06</v>
      </c>
      <c r="H368" s="6">
        <v>0.22</v>
      </c>
      <c r="I368" s="6">
        <v>4.36</v>
      </c>
      <c r="J368" s="6">
        <v>33.34</v>
      </c>
      <c r="K368" s="7">
        <f t="shared" ref="K368:P368" si="678">abs(D368-D367)/200</f>
        <v>0.0077</v>
      </c>
      <c r="L368" s="7">
        <f t="shared" si="678"/>
        <v>0.01155</v>
      </c>
      <c r="M368" s="7">
        <f t="shared" si="678"/>
        <v>0.00085</v>
      </c>
      <c r="N368" s="7">
        <f t="shared" si="678"/>
        <v>0.00045</v>
      </c>
      <c r="O368" s="7">
        <f t="shared" si="678"/>
        <v>0.00075</v>
      </c>
      <c r="P368" s="7">
        <f t="shared" si="678"/>
        <v>0.007</v>
      </c>
      <c r="Q368" s="7">
        <f t="shared" si="7"/>
        <v>1.379154918</v>
      </c>
      <c r="R368" s="7">
        <f t="shared" si="8"/>
        <v>0.2639326723</v>
      </c>
      <c r="S368" s="7">
        <f t="shared" si="2"/>
        <v>1.595823796</v>
      </c>
      <c r="T368" s="7">
        <f t="shared" si="3"/>
        <v>4.36595923</v>
      </c>
      <c r="U368" s="7">
        <f t="shared" si="4"/>
        <v>1</v>
      </c>
      <c r="V368" s="7">
        <f t="shared" si="5"/>
        <v>1</v>
      </c>
      <c r="W368" s="7">
        <f t="shared" ref="W368:X368" si="679">IF(AVERAGE(U308:U367) &gt; 0.25, 1, 0)</f>
        <v>1</v>
      </c>
      <c r="X368" s="7">
        <f t="shared" si="679"/>
        <v>1</v>
      </c>
      <c r="Y368" s="8">
        <v>1.0</v>
      </c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</row>
    <row r="369" ht="22.5" customHeight="1">
      <c r="B369" s="6">
        <v>368.0</v>
      </c>
      <c r="C369" s="6">
        <v>79799.0</v>
      </c>
      <c r="D369" s="6">
        <v>4.14</v>
      </c>
      <c r="E369" s="6">
        <v>-2.32</v>
      </c>
      <c r="F369" s="6">
        <v>10.66</v>
      </c>
      <c r="G369" s="6">
        <v>0.04</v>
      </c>
      <c r="H369" s="6">
        <v>-0.12</v>
      </c>
      <c r="I369" s="6">
        <v>0.88</v>
      </c>
      <c r="J369" s="6">
        <v>33.34</v>
      </c>
      <c r="K369" s="7">
        <f t="shared" ref="K369:P369" si="680">abs(D369-D368)/200</f>
        <v>0.0145</v>
      </c>
      <c r="L369" s="7">
        <f t="shared" si="680"/>
        <v>0.0031</v>
      </c>
      <c r="M369" s="7">
        <f t="shared" si="680"/>
        <v>0.0014</v>
      </c>
      <c r="N369" s="7">
        <f t="shared" si="680"/>
        <v>0.0005</v>
      </c>
      <c r="O369" s="7">
        <f t="shared" si="680"/>
        <v>0.0017</v>
      </c>
      <c r="P369" s="7">
        <f t="shared" si="680"/>
        <v>0.0174</v>
      </c>
      <c r="Q369" s="7">
        <f t="shared" si="7"/>
        <v>3.476914799</v>
      </c>
      <c r="R369" s="7">
        <f t="shared" si="8"/>
        <v>0.2728350811</v>
      </c>
      <c r="S369" s="7">
        <f t="shared" si="2"/>
        <v>1.868658878</v>
      </c>
      <c r="T369" s="7">
        <f t="shared" si="3"/>
        <v>0.8890444308</v>
      </c>
      <c r="U369" s="7">
        <f t="shared" si="4"/>
        <v>1</v>
      </c>
      <c r="V369" s="7">
        <f t="shared" si="5"/>
        <v>1</v>
      </c>
      <c r="W369" s="7">
        <f t="shared" ref="W369:X369" si="681">IF(AVERAGE(U309:U368) &gt; 0.25, 1, 0)</f>
        <v>1</v>
      </c>
      <c r="X369" s="7">
        <f t="shared" si="681"/>
        <v>1</v>
      </c>
      <c r="Y369" s="8">
        <v>1.0</v>
      </c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</row>
    <row r="370" ht="22.5" customHeight="1">
      <c r="B370" s="6">
        <v>369.0</v>
      </c>
      <c r="C370" s="6">
        <v>80003.0</v>
      </c>
      <c r="D370" s="6">
        <v>2.67</v>
      </c>
      <c r="E370" s="6">
        <v>-3.04</v>
      </c>
      <c r="F370" s="6">
        <v>11.08</v>
      </c>
      <c r="G370" s="6">
        <v>-0.35</v>
      </c>
      <c r="H370" s="6">
        <v>-0.39</v>
      </c>
      <c r="I370" s="6">
        <v>-3.5</v>
      </c>
      <c r="J370" s="6">
        <v>33.34</v>
      </c>
      <c r="K370" s="7">
        <f t="shared" ref="K370:P370" si="682">abs(D370-D369)/200</f>
        <v>0.00735</v>
      </c>
      <c r="L370" s="7">
        <f t="shared" si="682"/>
        <v>0.0036</v>
      </c>
      <c r="M370" s="7">
        <f t="shared" si="682"/>
        <v>0.0021</v>
      </c>
      <c r="N370" s="7">
        <f t="shared" si="682"/>
        <v>0.00195</v>
      </c>
      <c r="O370" s="7">
        <f t="shared" si="682"/>
        <v>0.00135</v>
      </c>
      <c r="P370" s="7">
        <f t="shared" si="682"/>
        <v>0.0219</v>
      </c>
      <c r="Q370" s="7">
        <f t="shared" si="7"/>
        <v>2.64996673</v>
      </c>
      <c r="R370" s="7">
        <f t="shared" si="8"/>
        <v>0.1269716694</v>
      </c>
      <c r="S370" s="7">
        <f t="shared" si="2"/>
        <v>1.995630547</v>
      </c>
      <c r="T370" s="7">
        <f t="shared" si="3"/>
        <v>3.539011161</v>
      </c>
      <c r="U370" s="7">
        <f t="shared" si="4"/>
        <v>1</v>
      </c>
      <c r="V370" s="7">
        <f t="shared" si="5"/>
        <v>1</v>
      </c>
      <c r="W370" s="7">
        <f t="shared" ref="W370:X370" si="683">IF(AVERAGE(U310:U369) &gt; 0.25, 1, 0)</f>
        <v>1</v>
      </c>
      <c r="X370" s="7">
        <f t="shared" si="683"/>
        <v>1</v>
      </c>
      <c r="Y370" s="8">
        <v>1.0</v>
      </c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</row>
    <row r="371" ht="22.5" customHeight="1">
      <c r="B371" s="6">
        <v>370.0</v>
      </c>
      <c r="C371" s="6">
        <v>80207.0</v>
      </c>
      <c r="D371" s="6">
        <v>-3.33</v>
      </c>
      <c r="E371" s="6">
        <v>-2.26</v>
      </c>
      <c r="F371" s="6">
        <v>11.76</v>
      </c>
      <c r="G371" s="6">
        <v>-0.46</v>
      </c>
      <c r="H371" s="6">
        <v>-0.61</v>
      </c>
      <c r="I371" s="6">
        <v>-4.47</v>
      </c>
      <c r="J371" s="6">
        <v>33.35</v>
      </c>
      <c r="K371" s="7">
        <f t="shared" ref="K371:P371" si="684">abs(D371-D370)/200</f>
        <v>0.03</v>
      </c>
      <c r="L371" s="7">
        <f t="shared" si="684"/>
        <v>0.0039</v>
      </c>
      <c r="M371" s="7">
        <f t="shared" si="684"/>
        <v>0.0034</v>
      </c>
      <c r="N371" s="7">
        <f t="shared" si="684"/>
        <v>0.00055</v>
      </c>
      <c r="O371" s="7">
        <f t="shared" si="684"/>
        <v>0.0011</v>
      </c>
      <c r="P371" s="7">
        <f t="shared" si="684"/>
        <v>0.00485</v>
      </c>
      <c r="Q371" s="7">
        <f t="shared" si="7"/>
        <v>0.9958096731</v>
      </c>
      <c r="R371" s="7">
        <f t="shared" si="8"/>
        <v>0.6339350126</v>
      </c>
      <c r="S371" s="7">
        <f t="shared" si="2"/>
        <v>2.62956556</v>
      </c>
      <c r="T371" s="7">
        <f t="shared" si="3"/>
        <v>4.534820834</v>
      </c>
      <c r="U371" s="7">
        <f t="shared" si="4"/>
        <v>1</v>
      </c>
      <c r="V371" s="7">
        <f t="shared" si="5"/>
        <v>1</v>
      </c>
      <c r="W371" s="7">
        <f t="shared" ref="W371:X371" si="685">IF(AVERAGE(U311:U370) &gt; 0.25, 1, 0)</f>
        <v>1</v>
      </c>
      <c r="X371" s="7">
        <f t="shared" si="685"/>
        <v>1</v>
      </c>
      <c r="Y371" s="8">
        <v>1.0</v>
      </c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</row>
    <row r="372" ht="22.5" customHeight="1">
      <c r="B372" s="6">
        <v>371.0</v>
      </c>
      <c r="C372" s="6">
        <v>80411.0</v>
      </c>
      <c r="D372" s="6">
        <v>-1.14</v>
      </c>
      <c r="E372" s="6">
        <v>0.93</v>
      </c>
      <c r="F372" s="6">
        <v>10.65</v>
      </c>
      <c r="G372" s="6">
        <v>-0.18</v>
      </c>
      <c r="H372" s="6">
        <v>-0.07</v>
      </c>
      <c r="I372" s="6">
        <v>-0.59</v>
      </c>
      <c r="J372" s="6">
        <v>33.34</v>
      </c>
      <c r="K372" s="7">
        <f t="shared" ref="K372:P372" si="686">abs(D372-D371)/200</f>
        <v>0.01095</v>
      </c>
      <c r="L372" s="7">
        <f t="shared" si="686"/>
        <v>0.01595</v>
      </c>
      <c r="M372" s="7">
        <f t="shared" si="686"/>
        <v>0.00555</v>
      </c>
      <c r="N372" s="7">
        <f t="shared" si="686"/>
        <v>0.0014</v>
      </c>
      <c r="O372" s="7">
        <f t="shared" si="686"/>
        <v>0.0027</v>
      </c>
      <c r="P372" s="7">
        <f t="shared" si="686"/>
        <v>0.0194</v>
      </c>
      <c r="Q372" s="7">
        <f t="shared" si="7"/>
        <v>3.914014907</v>
      </c>
      <c r="R372" s="7">
        <f t="shared" si="8"/>
        <v>1.678426085</v>
      </c>
      <c r="S372" s="7">
        <f t="shared" si="2"/>
        <v>0.9511394745</v>
      </c>
      <c r="T372" s="7">
        <f t="shared" si="3"/>
        <v>0.6208059278</v>
      </c>
      <c r="U372" s="7">
        <f t="shared" si="4"/>
        <v>1</v>
      </c>
      <c r="V372" s="7">
        <f t="shared" si="5"/>
        <v>1</v>
      </c>
      <c r="W372" s="7">
        <f t="shared" ref="W372:X372" si="687">IF(AVERAGE(U312:U371) &gt; 0.25, 1, 0)</f>
        <v>1</v>
      </c>
      <c r="X372" s="7">
        <f t="shared" si="687"/>
        <v>1</v>
      </c>
      <c r="Y372" s="8">
        <v>1.0</v>
      </c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</row>
    <row r="373" ht="22.5" customHeight="1">
      <c r="B373" s="6">
        <v>372.0</v>
      </c>
      <c r="C373" s="6">
        <v>80615.0</v>
      </c>
      <c r="D373" s="6">
        <v>0.58</v>
      </c>
      <c r="E373" s="6">
        <v>0.12</v>
      </c>
      <c r="F373" s="6">
        <v>10.66</v>
      </c>
      <c r="G373" s="6">
        <v>-0.03</v>
      </c>
      <c r="H373" s="6">
        <v>0.08</v>
      </c>
      <c r="I373" s="6">
        <v>1.79</v>
      </c>
      <c r="J373" s="6">
        <v>33.33</v>
      </c>
      <c r="K373" s="7">
        <f t="shared" ref="K373:P373" si="688">abs(D373-D372)/200</f>
        <v>0.0086</v>
      </c>
      <c r="L373" s="7">
        <f t="shared" si="688"/>
        <v>0.00405</v>
      </c>
      <c r="M373" s="7">
        <f t="shared" si="688"/>
        <v>0.00005</v>
      </c>
      <c r="N373" s="7">
        <f t="shared" si="688"/>
        <v>0.00075</v>
      </c>
      <c r="O373" s="7">
        <f t="shared" si="688"/>
        <v>0.00075</v>
      </c>
      <c r="P373" s="7">
        <f t="shared" si="688"/>
        <v>0.0119</v>
      </c>
      <c r="Q373" s="7">
        <f t="shared" si="7"/>
        <v>1.171232018</v>
      </c>
      <c r="R373" s="7">
        <f t="shared" si="8"/>
        <v>0.07469811981</v>
      </c>
      <c r="S373" s="7">
        <f t="shared" si="2"/>
        <v>0.8764413547</v>
      </c>
      <c r="T373" s="7">
        <f t="shared" si="3"/>
        <v>1.792037946</v>
      </c>
      <c r="U373" s="7">
        <f t="shared" si="4"/>
        <v>1</v>
      </c>
      <c r="V373" s="7">
        <f t="shared" si="5"/>
        <v>1</v>
      </c>
      <c r="W373" s="7">
        <f t="shared" ref="W373:X373" si="689">IF(AVERAGE(U313:U372) &gt; 0.25, 1, 0)</f>
        <v>1</v>
      </c>
      <c r="X373" s="7">
        <f t="shared" si="689"/>
        <v>1</v>
      </c>
      <c r="Y373" s="8">
        <v>1.0</v>
      </c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</row>
    <row r="374" ht="22.5" customHeight="1">
      <c r="B374" s="6">
        <v>373.0</v>
      </c>
      <c r="C374" s="6">
        <v>80819.0</v>
      </c>
      <c r="D374" s="6">
        <v>-0.12</v>
      </c>
      <c r="E374" s="6">
        <v>-0.05</v>
      </c>
      <c r="F374" s="6">
        <v>10.94</v>
      </c>
      <c r="G374" s="6">
        <v>-0.12</v>
      </c>
      <c r="H374" s="6">
        <v>0.4</v>
      </c>
      <c r="I374" s="6">
        <v>2.51</v>
      </c>
      <c r="J374" s="6">
        <v>33.34</v>
      </c>
      <c r="K374" s="7">
        <f t="shared" ref="K374:P374" si="690">abs(D374-D373)/200</f>
        <v>0.0035</v>
      </c>
      <c r="L374" s="7">
        <f t="shared" si="690"/>
        <v>0.00085</v>
      </c>
      <c r="M374" s="7">
        <f t="shared" si="690"/>
        <v>0.0014</v>
      </c>
      <c r="N374" s="7">
        <f t="shared" si="690"/>
        <v>0.00045</v>
      </c>
      <c r="O374" s="7">
        <f t="shared" si="690"/>
        <v>0.0016</v>
      </c>
      <c r="P374" s="7">
        <f t="shared" si="690"/>
        <v>0.0036</v>
      </c>
      <c r="Q374" s="7">
        <f t="shared" si="7"/>
        <v>0.7524659349</v>
      </c>
      <c r="R374" s="7">
        <f t="shared" si="8"/>
        <v>0.2643310129</v>
      </c>
      <c r="S374" s="7">
        <f t="shared" si="2"/>
        <v>1.140772368</v>
      </c>
      <c r="T374" s="7">
        <f t="shared" si="3"/>
        <v>2.544503881</v>
      </c>
      <c r="U374" s="7">
        <f t="shared" si="4"/>
        <v>1</v>
      </c>
      <c r="V374" s="7">
        <f t="shared" si="5"/>
        <v>1</v>
      </c>
      <c r="W374" s="7">
        <f t="shared" ref="W374:X374" si="691">IF(AVERAGE(U314:U373) &gt; 0.25, 1, 0)</f>
        <v>1</v>
      </c>
      <c r="X374" s="7">
        <f t="shared" si="691"/>
        <v>1</v>
      </c>
      <c r="Y374" s="8">
        <v>1.0</v>
      </c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</row>
    <row r="375" ht="22.5" customHeight="1">
      <c r="B375" s="6">
        <v>374.0</v>
      </c>
      <c r="C375" s="6">
        <v>81023.0</v>
      </c>
      <c r="D375" s="6">
        <v>1.74</v>
      </c>
      <c r="E375" s="6">
        <v>-2.27</v>
      </c>
      <c r="F375" s="6">
        <v>10.76</v>
      </c>
      <c r="G375" s="6">
        <v>-0.13</v>
      </c>
      <c r="H375" s="6">
        <v>0.03</v>
      </c>
      <c r="I375" s="6">
        <v>4.23</v>
      </c>
      <c r="J375" s="6">
        <v>33.34</v>
      </c>
      <c r="K375" s="7">
        <f t="shared" ref="K375:P375" si="692">abs(D375-D374)/200</f>
        <v>0.0093</v>
      </c>
      <c r="L375" s="7">
        <f t="shared" si="692"/>
        <v>0.0111</v>
      </c>
      <c r="M375" s="7">
        <f t="shared" si="692"/>
        <v>0.0009</v>
      </c>
      <c r="N375" s="7">
        <f t="shared" si="692"/>
        <v>0.00005</v>
      </c>
      <c r="O375" s="7">
        <f t="shared" si="692"/>
        <v>0.00185</v>
      </c>
      <c r="P375" s="7">
        <f t="shared" si="692"/>
        <v>0.0086</v>
      </c>
      <c r="Q375" s="7">
        <f t="shared" si="7"/>
        <v>1.687599615</v>
      </c>
      <c r="R375" s="7">
        <f t="shared" si="8"/>
        <v>0.1928748335</v>
      </c>
      <c r="S375" s="7">
        <f t="shared" si="2"/>
        <v>1.333647201</v>
      </c>
      <c r="T375" s="7">
        <f t="shared" si="3"/>
        <v>4.232103496</v>
      </c>
      <c r="U375" s="7">
        <f t="shared" si="4"/>
        <v>1</v>
      </c>
      <c r="V375" s="7">
        <f t="shared" si="5"/>
        <v>1</v>
      </c>
      <c r="W375" s="7">
        <f t="shared" ref="W375:X375" si="693">IF(AVERAGE(U315:U374) &gt; 0.25, 1, 0)</f>
        <v>1</v>
      </c>
      <c r="X375" s="7">
        <f t="shared" si="693"/>
        <v>1</v>
      </c>
      <c r="Y375" s="8">
        <v>1.0</v>
      </c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</row>
    <row r="376" ht="22.5" customHeight="1">
      <c r="B376" s="6">
        <v>375.0</v>
      </c>
      <c r="C376" s="6">
        <v>81227.0</v>
      </c>
      <c r="D376" s="6">
        <v>3.07</v>
      </c>
      <c r="E376" s="6">
        <v>-1.48</v>
      </c>
      <c r="F376" s="6">
        <v>10.63</v>
      </c>
      <c r="G376" s="6">
        <v>0.09</v>
      </c>
      <c r="H376" s="6">
        <v>-0.07</v>
      </c>
      <c r="I376" s="6">
        <v>1.75</v>
      </c>
      <c r="J376" s="6">
        <v>33.33</v>
      </c>
      <c r="K376" s="7">
        <f t="shared" ref="K376:P376" si="694">abs(D376-D375)/200</f>
        <v>0.00665</v>
      </c>
      <c r="L376" s="7">
        <f t="shared" si="694"/>
        <v>0.00395</v>
      </c>
      <c r="M376" s="7">
        <f t="shared" si="694"/>
        <v>0.00065</v>
      </c>
      <c r="N376" s="7">
        <f t="shared" si="694"/>
        <v>0.0011</v>
      </c>
      <c r="O376" s="7">
        <f t="shared" si="694"/>
        <v>0.0005</v>
      </c>
      <c r="P376" s="7">
        <f t="shared" si="694"/>
        <v>0.0124</v>
      </c>
      <c r="Q376" s="7">
        <f t="shared" si="7"/>
        <v>2.478393144</v>
      </c>
      <c r="R376" s="7">
        <f t="shared" si="8"/>
        <v>0.02933627101</v>
      </c>
      <c r="S376" s="7">
        <f t="shared" si="2"/>
        <v>1.362983472</v>
      </c>
      <c r="T376" s="7">
        <f t="shared" si="3"/>
        <v>1.753710352</v>
      </c>
      <c r="U376" s="7">
        <f t="shared" si="4"/>
        <v>1</v>
      </c>
      <c r="V376" s="7">
        <f t="shared" si="5"/>
        <v>1</v>
      </c>
      <c r="W376" s="7">
        <f t="shared" ref="W376:X376" si="695">IF(AVERAGE(U316:U375) &gt; 0.25, 1, 0)</f>
        <v>1</v>
      </c>
      <c r="X376" s="7">
        <f t="shared" si="695"/>
        <v>1</v>
      </c>
      <c r="Y376" s="8">
        <v>1.0</v>
      </c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</row>
    <row r="377" ht="22.5" customHeight="1">
      <c r="B377" s="6">
        <v>376.0</v>
      </c>
      <c r="C377" s="6">
        <v>81431.0</v>
      </c>
      <c r="D377" s="6">
        <v>3.2</v>
      </c>
      <c r="E377" s="6">
        <v>-3.03</v>
      </c>
      <c r="F377" s="6">
        <v>11.0</v>
      </c>
      <c r="G377" s="6">
        <v>-0.29</v>
      </c>
      <c r="H377" s="6">
        <v>-0.37</v>
      </c>
      <c r="I377" s="6">
        <v>-3.1</v>
      </c>
      <c r="J377" s="6">
        <v>33.34</v>
      </c>
      <c r="K377" s="7">
        <f t="shared" ref="K377:P377" si="696">abs(D377-D376)/200</f>
        <v>0.00065</v>
      </c>
      <c r="L377" s="7">
        <f t="shared" si="696"/>
        <v>0.00775</v>
      </c>
      <c r="M377" s="7">
        <f t="shared" si="696"/>
        <v>0.00185</v>
      </c>
      <c r="N377" s="7">
        <f t="shared" si="696"/>
        <v>0.0019</v>
      </c>
      <c r="O377" s="7">
        <f t="shared" si="696"/>
        <v>0.0015</v>
      </c>
      <c r="P377" s="7">
        <f t="shared" si="696"/>
        <v>0.02425</v>
      </c>
      <c r="Q377" s="7">
        <f t="shared" si="7"/>
        <v>1.3817322</v>
      </c>
      <c r="R377" s="7">
        <f t="shared" si="8"/>
        <v>0.6869490171</v>
      </c>
      <c r="S377" s="7">
        <f t="shared" si="2"/>
        <v>2.049932489</v>
      </c>
      <c r="T377" s="7">
        <f t="shared" si="3"/>
        <v>3.135442552</v>
      </c>
      <c r="U377" s="7">
        <f t="shared" si="4"/>
        <v>1</v>
      </c>
      <c r="V377" s="7">
        <f t="shared" si="5"/>
        <v>1</v>
      </c>
      <c r="W377" s="7">
        <f t="shared" ref="W377:X377" si="697">IF(AVERAGE(U317:U376) &gt; 0.25, 1, 0)</f>
        <v>1</v>
      </c>
      <c r="X377" s="7">
        <f t="shared" si="697"/>
        <v>1</v>
      </c>
      <c r="Y377" s="8">
        <v>1.0</v>
      </c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</row>
    <row r="378" ht="22.5" customHeight="1">
      <c r="B378" s="6">
        <v>377.0</v>
      </c>
      <c r="C378" s="6">
        <v>81635.0</v>
      </c>
      <c r="D378" s="6">
        <v>-3.83</v>
      </c>
      <c r="E378" s="6">
        <v>-0.33</v>
      </c>
      <c r="F378" s="6">
        <v>11.74</v>
      </c>
      <c r="G378" s="6">
        <v>-0.37</v>
      </c>
      <c r="H378" s="6">
        <v>-0.51</v>
      </c>
      <c r="I378" s="6">
        <v>-3.75</v>
      </c>
      <c r="J378" s="6">
        <v>33.35</v>
      </c>
      <c r="K378" s="7">
        <f t="shared" ref="K378:P378" si="698">abs(D378-D377)/200</f>
        <v>0.03515</v>
      </c>
      <c r="L378" s="7">
        <f t="shared" si="698"/>
        <v>0.0135</v>
      </c>
      <c r="M378" s="7">
        <f t="shared" si="698"/>
        <v>0.0037</v>
      </c>
      <c r="N378" s="7">
        <f t="shared" si="698"/>
        <v>0.0004</v>
      </c>
      <c r="O378" s="7">
        <f t="shared" si="698"/>
        <v>0.0007</v>
      </c>
      <c r="P378" s="7">
        <f t="shared" si="698"/>
        <v>0.00325</v>
      </c>
      <c r="Q378" s="7">
        <f t="shared" si="7"/>
        <v>0.6671223713</v>
      </c>
      <c r="R378" s="7">
        <f t="shared" si="8"/>
        <v>0.5034233301</v>
      </c>
      <c r="S378" s="7">
        <f t="shared" si="2"/>
        <v>2.553355819</v>
      </c>
      <c r="T378" s="7">
        <f t="shared" si="3"/>
        <v>3.802564924</v>
      </c>
      <c r="U378" s="7">
        <f t="shared" si="4"/>
        <v>1</v>
      </c>
      <c r="V378" s="7">
        <f t="shared" si="5"/>
        <v>1</v>
      </c>
      <c r="W378" s="7">
        <f t="shared" ref="W378:X378" si="699">IF(AVERAGE(U318:U377) &gt; 0.25, 1, 0)</f>
        <v>1</v>
      </c>
      <c r="X378" s="7">
        <f t="shared" si="699"/>
        <v>1</v>
      </c>
      <c r="Y378" s="8">
        <v>1.0</v>
      </c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</row>
    <row r="379" ht="22.5" customHeight="1">
      <c r="B379" s="6">
        <v>378.0</v>
      </c>
      <c r="C379" s="6">
        <v>81839.0</v>
      </c>
      <c r="D379" s="6">
        <v>-0.97</v>
      </c>
      <c r="E379" s="6">
        <v>0.63</v>
      </c>
      <c r="F379" s="6">
        <v>10.6</v>
      </c>
      <c r="G379" s="6">
        <v>-0.24</v>
      </c>
      <c r="H379" s="6">
        <v>-0.1</v>
      </c>
      <c r="I379" s="6">
        <v>-1.14</v>
      </c>
      <c r="J379" s="6">
        <v>33.34</v>
      </c>
      <c r="K379" s="7">
        <f t="shared" ref="K379:P379" si="700">abs(D379-D378)/200</f>
        <v>0.0143</v>
      </c>
      <c r="L379" s="7">
        <f t="shared" si="700"/>
        <v>0.0048</v>
      </c>
      <c r="M379" s="7">
        <f t="shared" si="700"/>
        <v>0.0057</v>
      </c>
      <c r="N379" s="7">
        <f t="shared" si="700"/>
        <v>0.00065</v>
      </c>
      <c r="O379" s="7">
        <f t="shared" si="700"/>
        <v>0.00205</v>
      </c>
      <c r="P379" s="7">
        <f t="shared" si="700"/>
        <v>0.01305</v>
      </c>
      <c r="Q379" s="7">
        <f t="shared" si="7"/>
        <v>2.633291645</v>
      </c>
      <c r="R379" s="7">
        <f t="shared" si="8"/>
        <v>1.69043877</v>
      </c>
      <c r="S379" s="7">
        <f t="shared" si="2"/>
        <v>0.8629170493</v>
      </c>
      <c r="T379" s="7">
        <f t="shared" si="3"/>
        <v>1.169273279</v>
      </c>
      <c r="U379" s="7">
        <f t="shared" si="4"/>
        <v>1</v>
      </c>
      <c r="V379" s="7">
        <f t="shared" si="5"/>
        <v>1</v>
      </c>
      <c r="W379" s="7">
        <f t="shared" ref="W379:X379" si="701">IF(AVERAGE(U319:U378) &gt; 0.25, 1, 0)</f>
        <v>1</v>
      </c>
      <c r="X379" s="7">
        <f t="shared" si="701"/>
        <v>1</v>
      </c>
      <c r="Y379" s="8">
        <v>1.0</v>
      </c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</row>
    <row r="380" ht="22.5" customHeight="1">
      <c r="B380" s="6">
        <v>379.0</v>
      </c>
      <c r="C380" s="6">
        <v>82043.0</v>
      </c>
      <c r="D380" s="6">
        <v>-0.51</v>
      </c>
      <c r="E380" s="6">
        <v>0.09</v>
      </c>
      <c r="F380" s="6">
        <v>10.92</v>
      </c>
      <c r="G380" s="6">
        <v>-0.02</v>
      </c>
      <c r="H380" s="6">
        <v>0.41</v>
      </c>
      <c r="I380" s="6">
        <v>1.87</v>
      </c>
      <c r="J380" s="6">
        <v>33.34</v>
      </c>
      <c r="K380" s="7">
        <f t="shared" ref="K380:P380" si="702">abs(D380-D379)/200</f>
        <v>0.0023</v>
      </c>
      <c r="L380" s="7">
        <f t="shared" si="702"/>
        <v>0.0027</v>
      </c>
      <c r="M380" s="7">
        <f t="shared" si="702"/>
        <v>0.0016</v>
      </c>
      <c r="N380" s="7">
        <f t="shared" si="702"/>
        <v>0.0011</v>
      </c>
      <c r="O380" s="7">
        <f t="shared" si="702"/>
        <v>0.00255</v>
      </c>
      <c r="P380" s="7">
        <f t="shared" si="702"/>
        <v>0.01505</v>
      </c>
      <c r="Q380" s="7">
        <f t="shared" si="7"/>
        <v>0.7452501608</v>
      </c>
      <c r="R380" s="7">
        <f t="shared" si="8"/>
        <v>0.2693562733</v>
      </c>
      <c r="S380" s="7">
        <f t="shared" si="2"/>
        <v>1.132273323</v>
      </c>
      <c r="T380" s="7">
        <f t="shared" si="3"/>
        <v>1.914523439</v>
      </c>
      <c r="U380" s="7">
        <f t="shared" si="4"/>
        <v>1</v>
      </c>
      <c r="V380" s="7">
        <f t="shared" si="5"/>
        <v>1</v>
      </c>
      <c r="W380" s="7">
        <f t="shared" ref="W380:X380" si="703">IF(AVERAGE(U320:U379) &gt; 0.25, 1, 0)</f>
        <v>1</v>
      </c>
      <c r="X380" s="7">
        <f t="shared" si="703"/>
        <v>1</v>
      </c>
      <c r="Y380" s="8">
        <v>1.0</v>
      </c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</row>
    <row r="381" ht="22.5" customHeight="1">
      <c r="B381" s="6">
        <v>380.0</v>
      </c>
      <c r="C381" s="6">
        <v>82247.0</v>
      </c>
      <c r="D381" s="6">
        <v>0.16</v>
      </c>
      <c r="E381" s="6">
        <v>-0.32</v>
      </c>
      <c r="F381" s="6">
        <v>10.95</v>
      </c>
      <c r="G381" s="6">
        <v>-0.12</v>
      </c>
      <c r="H381" s="6">
        <v>0.41</v>
      </c>
      <c r="I381" s="6">
        <v>2.72</v>
      </c>
      <c r="J381" s="6">
        <v>33.34</v>
      </c>
      <c r="K381" s="7">
        <f t="shared" ref="K381:P381" si="704">abs(D381-D380)/200</f>
        <v>0.00335</v>
      </c>
      <c r="L381" s="7">
        <f t="shared" si="704"/>
        <v>0.00205</v>
      </c>
      <c r="M381" s="7">
        <f t="shared" si="704"/>
        <v>0.00015</v>
      </c>
      <c r="N381" s="7">
        <f t="shared" si="704"/>
        <v>0.0005</v>
      </c>
      <c r="O381" s="7">
        <f t="shared" si="704"/>
        <v>0</v>
      </c>
      <c r="P381" s="7">
        <f t="shared" si="704"/>
        <v>0.00425</v>
      </c>
      <c r="Q381" s="7">
        <f t="shared" si="7"/>
        <v>0.8388199827</v>
      </c>
      <c r="R381" s="7">
        <f t="shared" si="8"/>
        <v>0.02356986722</v>
      </c>
      <c r="S381" s="7">
        <f t="shared" si="2"/>
        <v>1.15584319</v>
      </c>
      <c r="T381" s="7">
        <f t="shared" si="3"/>
        <v>2.753343422</v>
      </c>
      <c r="U381" s="7">
        <f t="shared" si="4"/>
        <v>1</v>
      </c>
      <c r="V381" s="7">
        <f t="shared" si="5"/>
        <v>1</v>
      </c>
      <c r="W381" s="7">
        <f t="shared" ref="W381:X381" si="705">IF(AVERAGE(U321:U380) &gt; 0.25, 1, 0)</f>
        <v>1</v>
      </c>
      <c r="X381" s="7">
        <f t="shared" si="705"/>
        <v>1</v>
      </c>
      <c r="Y381" s="8">
        <v>1.0</v>
      </c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</row>
    <row r="382" ht="22.5" customHeight="1">
      <c r="B382" s="6">
        <v>381.0</v>
      </c>
      <c r="C382" s="6">
        <v>82451.0</v>
      </c>
      <c r="D382" s="6">
        <v>5.7</v>
      </c>
      <c r="E382" s="6">
        <v>-1.46</v>
      </c>
      <c r="F382" s="6">
        <v>10.2</v>
      </c>
      <c r="G382" s="6">
        <v>0.04</v>
      </c>
      <c r="H382" s="6">
        <v>0.05</v>
      </c>
      <c r="I382" s="6">
        <v>2.55</v>
      </c>
      <c r="J382" s="6">
        <v>33.35</v>
      </c>
      <c r="K382" s="7">
        <f t="shared" ref="K382:P382" si="706">abs(D382-D381)/200</f>
        <v>0.0277</v>
      </c>
      <c r="L382" s="7">
        <f t="shared" si="706"/>
        <v>0.0057</v>
      </c>
      <c r="M382" s="7">
        <f t="shared" si="706"/>
        <v>0.00375</v>
      </c>
      <c r="N382" s="7">
        <f t="shared" si="706"/>
        <v>0.0008</v>
      </c>
      <c r="O382" s="7">
        <f t="shared" si="706"/>
        <v>0.0018</v>
      </c>
      <c r="P382" s="7">
        <f t="shared" si="706"/>
        <v>0.00085</v>
      </c>
      <c r="Q382" s="7">
        <f t="shared" si="7"/>
        <v>0.2025396272</v>
      </c>
      <c r="R382" s="7">
        <f t="shared" si="8"/>
        <v>0.8196228307</v>
      </c>
      <c r="S382" s="7">
        <f t="shared" si="2"/>
        <v>1.975466021</v>
      </c>
      <c r="T382" s="7">
        <f t="shared" si="3"/>
        <v>2.550803795</v>
      </c>
      <c r="U382" s="7">
        <f t="shared" si="4"/>
        <v>1</v>
      </c>
      <c r="V382" s="7">
        <f t="shared" si="5"/>
        <v>1</v>
      </c>
      <c r="W382" s="7">
        <f t="shared" ref="W382:X382" si="707">IF(AVERAGE(U322:U381) &gt; 0.25, 1, 0)</f>
        <v>1</v>
      </c>
      <c r="X382" s="7">
        <f t="shared" si="707"/>
        <v>1</v>
      </c>
      <c r="Y382" s="8">
        <v>1.0</v>
      </c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</row>
    <row r="383" ht="22.5" customHeight="1">
      <c r="B383" s="6">
        <v>382.0</v>
      </c>
      <c r="C383" s="6">
        <v>82655.0</v>
      </c>
      <c r="D383" s="6">
        <v>3.68</v>
      </c>
      <c r="E383" s="6">
        <v>-1.75</v>
      </c>
      <c r="F383" s="6">
        <v>10.86</v>
      </c>
      <c r="G383" s="6">
        <v>-0.19</v>
      </c>
      <c r="H383" s="6">
        <v>-0.16</v>
      </c>
      <c r="I383" s="6">
        <v>-2.21</v>
      </c>
      <c r="J383" s="6">
        <v>33.35</v>
      </c>
      <c r="K383" s="7">
        <f t="shared" ref="K383:P383" si="708">abs(D383-D382)/200</f>
        <v>0.0101</v>
      </c>
      <c r="L383" s="7">
        <f t="shared" si="708"/>
        <v>0.00145</v>
      </c>
      <c r="M383" s="7">
        <f t="shared" si="708"/>
        <v>0.0033</v>
      </c>
      <c r="N383" s="7">
        <f t="shared" si="708"/>
        <v>0.00115</v>
      </c>
      <c r="O383" s="7">
        <f t="shared" si="708"/>
        <v>0.00105</v>
      </c>
      <c r="P383" s="7">
        <f t="shared" si="708"/>
        <v>0.0238</v>
      </c>
      <c r="Q383" s="7">
        <f t="shared" si="7"/>
        <v>0.3268883289</v>
      </c>
      <c r="R383" s="7">
        <f t="shared" si="8"/>
        <v>0.1761341432</v>
      </c>
      <c r="S383" s="7">
        <f t="shared" si="2"/>
        <v>1.799331877</v>
      </c>
      <c r="T383" s="7">
        <f t="shared" si="3"/>
        <v>2.223915466</v>
      </c>
      <c r="U383" s="7">
        <f t="shared" si="4"/>
        <v>1</v>
      </c>
      <c r="V383" s="7">
        <f t="shared" si="5"/>
        <v>1</v>
      </c>
      <c r="W383" s="7">
        <f t="shared" ref="W383:X383" si="709">IF(AVERAGE(U323:U382) &gt; 0.25, 1, 0)</f>
        <v>1</v>
      </c>
      <c r="X383" s="7">
        <f t="shared" si="709"/>
        <v>1</v>
      </c>
      <c r="Y383" s="8">
        <v>1.0</v>
      </c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</row>
    <row r="384" ht="22.5" customHeight="1">
      <c r="B384" s="6">
        <v>383.0</v>
      </c>
      <c r="C384" s="6">
        <v>82859.0</v>
      </c>
      <c r="D384" s="6">
        <v>-1.95</v>
      </c>
      <c r="E384" s="6">
        <v>-1.16</v>
      </c>
      <c r="F384" s="6">
        <v>11.32</v>
      </c>
      <c r="G384" s="6">
        <v>-0.31</v>
      </c>
      <c r="H384" s="6">
        <v>-0.58</v>
      </c>
      <c r="I384" s="6">
        <v>-3.82</v>
      </c>
      <c r="J384" s="6">
        <v>33.35</v>
      </c>
      <c r="K384" s="7">
        <f t="shared" ref="K384:P384" si="710">abs(D384-D383)/200</f>
        <v>0.02815</v>
      </c>
      <c r="L384" s="7">
        <f t="shared" si="710"/>
        <v>0.00295</v>
      </c>
      <c r="M384" s="7">
        <f t="shared" si="710"/>
        <v>0.0023</v>
      </c>
      <c r="N384" s="7">
        <f t="shared" si="710"/>
        <v>0.0006</v>
      </c>
      <c r="O384" s="7">
        <f t="shared" si="710"/>
        <v>0.0021</v>
      </c>
      <c r="P384" s="7">
        <f t="shared" si="710"/>
        <v>0.00805</v>
      </c>
      <c r="Q384" s="7">
        <f t="shared" si="7"/>
        <v>1.652281123</v>
      </c>
      <c r="R384" s="7">
        <f t="shared" si="8"/>
        <v>0.05418138024</v>
      </c>
      <c r="S384" s="7">
        <f t="shared" si="2"/>
        <v>1.745150497</v>
      </c>
      <c r="T384" s="7">
        <f t="shared" si="3"/>
        <v>3.876196589</v>
      </c>
      <c r="U384" s="7">
        <f t="shared" si="4"/>
        <v>1</v>
      </c>
      <c r="V384" s="7">
        <f t="shared" si="5"/>
        <v>1</v>
      </c>
      <c r="W384" s="7">
        <f t="shared" ref="W384:X384" si="711">IF(AVERAGE(U324:U383) &gt; 0.25, 1, 0)</f>
        <v>1</v>
      </c>
      <c r="X384" s="7">
        <f t="shared" si="711"/>
        <v>1</v>
      </c>
      <c r="Y384" s="8">
        <v>1.0</v>
      </c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</row>
    <row r="385" ht="22.5" customHeight="1">
      <c r="B385" s="6">
        <v>384.0</v>
      </c>
      <c r="C385" s="6">
        <v>83063.0</v>
      </c>
      <c r="D385" s="6">
        <v>-0.15</v>
      </c>
      <c r="E385" s="6">
        <v>1.62</v>
      </c>
      <c r="F385" s="6">
        <v>10.62</v>
      </c>
      <c r="G385" s="6">
        <v>-0.23</v>
      </c>
      <c r="H385" s="6">
        <v>0.1</v>
      </c>
      <c r="I385" s="6">
        <v>-1.47</v>
      </c>
      <c r="J385" s="6">
        <v>33.35</v>
      </c>
      <c r="K385" s="7">
        <f t="shared" ref="K385:P385" si="712">abs(D385-D384)/200</f>
        <v>0.009</v>
      </c>
      <c r="L385" s="7">
        <f t="shared" si="712"/>
        <v>0.0139</v>
      </c>
      <c r="M385" s="7">
        <f t="shared" si="712"/>
        <v>0.0035</v>
      </c>
      <c r="N385" s="7">
        <f t="shared" si="712"/>
        <v>0.0004</v>
      </c>
      <c r="O385" s="7">
        <f t="shared" si="712"/>
        <v>0.0034</v>
      </c>
      <c r="P385" s="7">
        <f t="shared" si="712"/>
        <v>0.01175</v>
      </c>
      <c r="Q385" s="7">
        <f t="shared" si="7"/>
        <v>2.384955496</v>
      </c>
      <c r="R385" s="7">
        <f t="shared" si="8"/>
        <v>0.8012545557</v>
      </c>
      <c r="S385" s="7">
        <f t="shared" si="2"/>
        <v>0.9438959414</v>
      </c>
      <c r="T385" s="7">
        <f t="shared" si="3"/>
        <v>1.491241094</v>
      </c>
      <c r="U385" s="7">
        <f t="shared" si="4"/>
        <v>1</v>
      </c>
      <c r="V385" s="7">
        <f t="shared" si="5"/>
        <v>1</v>
      </c>
      <c r="W385" s="7">
        <f t="shared" ref="W385:X385" si="713">IF(AVERAGE(U325:U384) &gt; 0.25, 1, 0)</f>
        <v>1</v>
      </c>
      <c r="X385" s="7">
        <f t="shared" si="713"/>
        <v>1</v>
      </c>
      <c r="Y385" s="8">
        <v>1.0</v>
      </c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</row>
    <row r="386" ht="22.5" customHeight="1">
      <c r="B386" s="6">
        <v>385.0</v>
      </c>
      <c r="C386" s="6">
        <v>83267.0</v>
      </c>
      <c r="D386" s="6">
        <v>0.09</v>
      </c>
      <c r="E386" s="6">
        <v>0.98</v>
      </c>
      <c r="F386" s="6">
        <v>10.8</v>
      </c>
      <c r="G386" s="6">
        <v>-0.03</v>
      </c>
      <c r="H386" s="6">
        <v>0.13</v>
      </c>
      <c r="I386" s="6">
        <v>0.42</v>
      </c>
      <c r="J386" s="6">
        <v>33.35</v>
      </c>
      <c r="K386" s="7">
        <f t="shared" ref="K386:P386" si="714">abs(D386-D385)/200</f>
        <v>0.0012</v>
      </c>
      <c r="L386" s="7">
        <f t="shared" si="714"/>
        <v>0.0032</v>
      </c>
      <c r="M386" s="7">
        <f t="shared" si="714"/>
        <v>0.0009</v>
      </c>
      <c r="N386" s="7">
        <f t="shared" si="714"/>
        <v>0.001</v>
      </c>
      <c r="O386" s="7">
        <f t="shared" si="714"/>
        <v>0.00015</v>
      </c>
      <c r="P386" s="7">
        <f t="shared" si="714"/>
        <v>0.00945</v>
      </c>
      <c r="Q386" s="7">
        <f t="shared" si="7"/>
        <v>1.050559803</v>
      </c>
      <c r="R386" s="7">
        <f t="shared" si="8"/>
        <v>0.1008493299</v>
      </c>
      <c r="S386" s="7">
        <f t="shared" si="2"/>
        <v>1.044745271</v>
      </c>
      <c r="T386" s="7">
        <f t="shared" si="3"/>
        <v>0.4406812907</v>
      </c>
      <c r="U386" s="7">
        <f t="shared" si="4"/>
        <v>1</v>
      </c>
      <c r="V386" s="7">
        <f t="shared" si="5"/>
        <v>1</v>
      </c>
      <c r="W386" s="7">
        <f t="shared" ref="W386:X386" si="715">IF(AVERAGE(U326:U385) &gt; 0.25, 1, 0)</f>
        <v>1</v>
      </c>
      <c r="X386" s="7">
        <f t="shared" si="715"/>
        <v>1</v>
      </c>
      <c r="Y386" s="8">
        <v>1.0</v>
      </c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</row>
    <row r="387" ht="22.5" customHeight="1">
      <c r="B387" s="6">
        <v>386.0</v>
      </c>
      <c r="C387" s="6">
        <v>83471.0</v>
      </c>
      <c r="D387" s="6">
        <v>-2.14</v>
      </c>
      <c r="E387" s="6">
        <v>0.02</v>
      </c>
      <c r="F387" s="6">
        <v>10.55</v>
      </c>
      <c r="G387" s="6">
        <v>-0.2</v>
      </c>
      <c r="H387" s="6">
        <v>0.13</v>
      </c>
      <c r="I387" s="6">
        <v>1.78</v>
      </c>
      <c r="J387" s="6">
        <v>33.34</v>
      </c>
      <c r="K387" s="7">
        <f t="shared" ref="K387:P387" si="716">abs(D387-D386)/200</f>
        <v>0.01115</v>
      </c>
      <c r="L387" s="7">
        <f t="shared" si="716"/>
        <v>0.0048</v>
      </c>
      <c r="M387" s="7">
        <f t="shared" si="716"/>
        <v>0.00125</v>
      </c>
      <c r="N387" s="7">
        <f t="shared" si="716"/>
        <v>0.00085</v>
      </c>
      <c r="O387" s="7">
        <f t="shared" si="716"/>
        <v>0</v>
      </c>
      <c r="P387" s="7">
        <f t="shared" si="716"/>
        <v>0.0068</v>
      </c>
      <c r="Q387" s="7">
        <f t="shared" si="7"/>
        <v>1.355230734</v>
      </c>
      <c r="R387" s="7">
        <f t="shared" si="8"/>
        <v>0.07987183965</v>
      </c>
      <c r="S387" s="7">
        <f t="shared" si="2"/>
        <v>0.9648734317</v>
      </c>
      <c r="T387" s="7">
        <f t="shared" si="3"/>
        <v>1.795912025</v>
      </c>
      <c r="U387" s="7">
        <f t="shared" si="4"/>
        <v>1</v>
      </c>
      <c r="V387" s="7">
        <f t="shared" si="5"/>
        <v>1</v>
      </c>
      <c r="W387" s="7">
        <f t="shared" ref="W387:X387" si="717">IF(AVERAGE(U327:U386) &gt; 0.25, 1, 0)</f>
        <v>1</v>
      </c>
      <c r="X387" s="7">
        <f t="shared" si="717"/>
        <v>1</v>
      </c>
      <c r="Y387" s="8">
        <v>1.0</v>
      </c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</row>
    <row r="388" ht="22.5" customHeight="1">
      <c r="B388" s="6">
        <v>387.0</v>
      </c>
      <c r="C388" s="6">
        <v>83675.0</v>
      </c>
      <c r="D388" s="6">
        <v>3.3</v>
      </c>
      <c r="E388" s="6">
        <v>-3.72</v>
      </c>
      <c r="F388" s="6">
        <v>10.58</v>
      </c>
      <c r="G388" s="6">
        <v>-0.09</v>
      </c>
      <c r="H388" s="6">
        <v>0.09</v>
      </c>
      <c r="I388" s="6">
        <v>3.47</v>
      </c>
      <c r="J388" s="6">
        <v>33.35</v>
      </c>
      <c r="K388" s="7">
        <f t="shared" ref="K388:P388" si="718">abs(D388-D387)/200</f>
        <v>0.0272</v>
      </c>
      <c r="L388" s="7">
        <f t="shared" si="718"/>
        <v>0.0187</v>
      </c>
      <c r="M388" s="7">
        <f t="shared" si="718"/>
        <v>0.00015</v>
      </c>
      <c r="N388" s="7">
        <f t="shared" si="718"/>
        <v>0.00055</v>
      </c>
      <c r="O388" s="7">
        <f t="shared" si="718"/>
        <v>0.0002</v>
      </c>
      <c r="P388" s="7">
        <f t="shared" si="718"/>
        <v>0.00845</v>
      </c>
      <c r="Q388" s="7">
        <f t="shared" si="7"/>
        <v>1.676421485</v>
      </c>
      <c r="R388" s="7">
        <f t="shared" si="8"/>
        <v>0.9254986753</v>
      </c>
      <c r="S388" s="7">
        <f t="shared" si="2"/>
        <v>1.890372107</v>
      </c>
      <c r="T388" s="7">
        <f t="shared" si="3"/>
        <v>3.472333509</v>
      </c>
      <c r="U388" s="7">
        <f t="shared" si="4"/>
        <v>1</v>
      </c>
      <c r="V388" s="7">
        <f t="shared" si="5"/>
        <v>1</v>
      </c>
      <c r="W388" s="7">
        <f t="shared" ref="W388:X388" si="719">IF(AVERAGE(U328:U387) &gt; 0.25, 1, 0)</f>
        <v>1</v>
      </c>
      <c r="X388" s="7">
        <f t="shared" si="719"/>
        <v>1</v>
      </c>
      <c r="Y388" s="8">
        <v>1.0</v>
      </c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</row>
    <row r="389" ht="22.5" customHeight="1">
      <c r="B389" s="6">
        <v>388.0</v>
      </c>
      <c r="C389" s="6">
        <v>83879.0</v>
      </c>
      <c r="D389" s="6">
        <v>2.08</v>
      </c>
      <c r="E389" s="6">
        <v>-2.66</v>
      </c>
      <c r="F389" s="6">
        <v>10.74</v>
      </c>
      <c r="G389" s="6">
        <v>0.16</v>
      </c>
      <c r="H389" s="6">
        <v>-0.01</v>
      </c>
      <c r="I389" s="6">
        <v>2.07</v>
      </c>
      <c r="J389" s="6">
        <v>33.35</v>
      </c>
      <c r="K389" s="7">
        <f t="shared" ref="K389:P389" si="720">abs(D389-D388)/200</f>
        <v>0.0061</v>
      </c>
      <c r="L389" s="7">
        <f t="shared" si="720"/>
        <v>0.0053</v>
      </c>
      <c r="M389" s="7">
        <f t="shared" si="720"/>
        <v>0.0008</v>
      </c>
      <c r="N389" s="7">
        <f t="shared" si="720"/>
        <v>0.00125</v>
      </c>
      <c r="O389" s="7">
        <f t="shared" si="720"/>
        <v>0.0005</v>
      </c>
      <c r="P389" s="7">
        <f t="shared" si="720"/>
        <v>0.007</v>
      </c>
      <c r="Q389" s="7">
        <f t="shared" si="7"/>
        <v>1.39613506</v>
      </c>
      <c r="R389" s="7">
        <f t="shared" si="8"/>
        <v>0.4320596224</v>
      </c>
      <c r="S389" s="7">
        <f t="shared" si="2"/>
        <v>1.458312485</v>
      </c>
      <c r="T389" s="7">
        <f t="shared" si="3"/>
        <v>2.076198449</v>
      </c>
      <c r="U389" s="7">
        <f t="shared" si="4"/>
        <v>1</v>
      </c>
      <c r="V389" s="7">
        <f t="shared" si="5"/>
        <v>1</v>
      </c>
      <c r="W389" s="7">
        <f t="shared" ref="W389:X389" si="721">IF(AVERAGE(U329:U388) &gt; 0.25, 1, 0)</f>
        <v>1</v>
      </c>
      <c r="X389" s="7">
        <f t="shared" si="721"/>
        <v>1</v>
      </c>
      <c r="Y389" s="8">
        <v>1.0</v>
      </c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</row>
    <row r="390" ht="22.5" customHeight="1">
      <c r="B390" s="6">
        <v>389.0</v>
      </c>
      <c r="C390" s="6">
        <v>84083.0</v>
      </c>
      <c r="D390" s="6">
        <v>2.7</v>
      </c>
      <c r="E390" s="6">
        <v>-0.82</v>
      </c>
      <c r="F390" s="6">
        <v>10.65</v>
      </c>
      <c r="G390" s="6">
        <v>-0.18</v>
      </c>
      <c r="H390" s="6">
        <v>-0.09</v>
      </c>
      <c r="I390" s="6">
        <v>-2.14</v>
      </c>
      <c r="J390" s="6">
        <v>33.35</v>
      </c>
      <c r="K390" s="7">
        <f t="shared" ref="K390:P390" si="722">abs(D390-D389)/200</f>
        <v>0.0031</v>
      </c>
      <c r="L390" s="7">
        <f t="shared" si="722"/>
        <v>0.0092</v>
      </c>
      <c r="M390" s="7">
        <f t="shared" si="722"/>
        <v>0.00045</v>
      </c>
      <c r="N390" s="7">
        <f t="shared" si="722"/>
        <v>0.0017</v>
      </c>
      <c r="O390" s="7">
        <f t="shared" si="722"/>
        <v>0.0004</v>
      </c>
      <c r="P390" s="7">
        <f t="shared" si="722"/>
        <v>0.02105</v>
      </c>
      <c r="Q390" s="7">
        <f t="shared" si="7"/>
        <v>0.07324333891</v>
      </c>
      <c r="R390" s="7">
        <f t="shared" si="8"/>
        <v>0.2408309212</v>
      </c>
      <c r="S390" s="7">
        <f t="shared" si="2"/>
        <v>1.217481563</v>
      </c>
      <c r="T390" s="7">
        <f t="shared" si="3"/>
        <v>2.149441788</v>
      </c>
      <c r="U390" s="7">
        <f t="shared" si="4"/>
        <v>1</v>
      </c>
      <c r="V390" s="7">
        <f t="shared" si="5"/>
        <v>1</v>
      </c>
      <c r="W390" s="7">
        <f t="shared" ref="W390:X390" si="723">IF(AVERAGE(U330:U389) &gt; 0.25, 1, 0)</f>
        <v>1</v>
      </c>
      <c r="X390" s="7">
        <f t="shared" si="723"/>
        <v>1</v>
      </c>
      <c r="Y390" s="8">
        <v>1.0</v>
      </c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</row>
    <row r="391" ht="22.5" customHeight="1">
      <c r="B391" s="6">
        <v>390.0</v>
      </c>
      <c r="C391" s="6">
        <v>84287.0</v>
      </c>
      <c r="D391" s="6">
        <v>0.05</v>
      </c>
      <c r="E391" s="6">
        <v>0.2</v>
      </c>
      <c r="F391" s="6">
        <v>11.26</v>
      </c>
      <c r="G391" s="6">
        <v>-0.56</v>
      </c>
      <c r="H391" s="6">
        <v>-0.46</v>
      </c>
      <c r="I391" s="6">
        <v>-3.54</v>
      </c>
      <c r="J391" s="6">
        <v>33.35</v>
      </c>
      <c r="K391" s="7">
        <f t="shared" ref="K391:P391" si="724">abs(D391-D390)/200</f>
        <v>0.01325</v>
      </c>
      <c r="L391" s="7">
        <f t="shared" si="724"/>
        <v>0.0051</v>
      </c>
      <c r="M391" s="7">
        <f t="shared" si="724"/>
        <v>0.00305</v>
      </c>
      <c r="N391" s="7">
        <f t="shared" si="724"/>
        <v>0.0019</v>
      </c>
      <c r="O391" s="7">
        <f t="shared" si="724"/>
        <v>0.00185</v>
      </c>
      <c r="P391" s="7">
        <f t="shared" si="724"/>
        <v>0.007</v>
      </c>
      <c r="Q391" s="7">
        <f t="shared" si="7"/>
        <v>1.463977645</v>
      </c>
      <c r="R391" s="7">
        <f t="shared" si="8"/>
        <v>0.2444054898</v>
      </c>
      <c r="S391" s="7">
        <f t="shared" si="2"/>
        <v>1.461887053</v>
      </c>
      <c r="T391" s="7">
        <f t="shared" si="3"/>
        <v>3.613419433</v>
      </c>
      <c r="U391" s="7">
        <f t="shared" si="4"/>
        <v>1</v>
      </c>
      <c r="V391" s="7">
        <f t="shared" si="5"/>
        <v>1</v>
      </c>
      <c r="W391" s="7">
        <f t="shared" ref="W391:X391" si="725">IF(AVERAGE(U331:U390) &gt; 0.25, 1, 0)</f>
        <v>1</v>
      </c>
      <c r="X391" s="7">
        <f t="shared" si="725"/>
        <v>1</v>
      </c>
      <c r="Y391" s="8">
        <v>1.0</v>
      </c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</row>
    <row r="392" ht="22.5" customHeight="1">
      <c r="B392" s="6">
        <v>391.0</v>
      </c>
      <c r="C392" s="6">
        <v>84491.0</v>
      </c>
      <c r="D392" s="6">
        <v>-2.24</v>
      </c>
      <c r="E392" s="6">
        <v>0.04</v>
      </c>
      <c r="F392" s="6">
        <v>10.12</v>
      </c>
      <c r="G392" s="6">
        <v>-0.29</v>
      </c>
      <c r="H392" s="6">
        <v>0.12</v>
      </c>
      <c r="I392" s="6">
        <v>-1.81</v>
      </c>
      <c r="J392" s="6">
        <v>33.36</v>
      </c>
      <c r="K392" s="7">
        <f t="shared" ref="K392:P392" si="726">abs(D392-D391)/200</f>
        <v>0.01145</v>
      </c>
      <c r="L392" s="7">
        <f t="shared" si="726"/>
        <v>0.0008</v>
      </c>
      <c r="M392" s="7">
        <f t="shared" si="726"/>
        <v>0.0057</v>
      </c>
      <c r="N392" s="7">
        <f t="shared" si="726"/>
        <v>0.00135</v>
      </c>
      <c r="O392" s="7">
        <f t="shared" si="726"/>
        <v>0.0029</v>
      </c>
      <c r="P392" s="7">
        <f t="shared" si="726"/>
        <v>0.00865</v>
      </c>
      <c r="Q392" s="7">
        <f t="shared" si="7"/>
        <v>1.776410996</v>
      </c>
      <c r="R392" s="7">
        <f t="shared" si="8"/>
        <v>0.8968689635</v>
      </c>
      <c r="S392" s="7">
        <f t="shared" si="2"/>
        <v>0.5650180897</v>
      </c>
      <c r="T392" s="7">
        <f t="shared" si="3"/>
        <v>1.837008438</v>
      </c>
      <c r="U392" s="7">
        <f t="shared" si="4"/>
        <v>1</v>
      </c>
      <c r="V392" s="7">
        <f t="shared" si="5"/>
        <v>1</v>
      </c>
      <c r="W392" s="7">
        <f t="shared" ref="W392:X392" si="727">IF(AVERAGE(U332:U391) &gt; 0.25, 1, 0)</f>
        <v>1</v>
      </c>
      <c r="X392" s="7">
        <f t="shared" si="727"/>
        <v>1</v>
      </c>
      <c r="Y392" s="8">
        <v>1.0</v>
      </c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</row>
    <row r="393" ht="22.5" customHeight="1">
      <c r="B393" s="6">
        <v>392.0</v>
      </c>
      <c r="C393" s="6">
        <v>84695.0</v>
      </c>
      <c r="D393" s="6">
        <v>-0.33</v>
      </c>
      <c r="E393" s="6">
        <v>0.33</v>
      </c>
      <c r="F393" s="6">
        <v>11.24</v>
      </c>
      <c r="G393" s="6">
        <v>-0.02</v>
      </c>
      <c r="H393" s="6">
        <v>0.56</v>
      </c>
      <c r="I393" s="6">
        <v>2.12</v>
      </c>
      <c r="J393" s="6">
        <v>33.35</v>
      </c>
      <c r="K393" s="7">
        <f t="shared" ref="K393:P393" si="728">abs(D393-D392)/200</f>
        <v>0.00955</v>
      </c>
      <c r="L393" s="7">
        <f t="shared" si="728"/>
        <v>0.00145</v>
      </c>
      <c r="M393" s="7">
        <f t="shared" si="728"/>
        <v>0.0056</v>
      </c>
      <c r="N393" s="7">
        <f t="shared" si="728"/>
        <v>0.00135</v>
      </c>
      <c r="O393" s="7">
        <f t="shared" si="728"/>
        <v>0.0022</v>
      </c>
      <c r="P393" s="7">
        <f t="shared" si="728"/>
        <v>0.01965</v>
      </c>
      <c r="Q393" s="7">
        <f t="shared" si="7"/>
        <v>0.3557979834</v>
      </c>
      <c r="R393" s="7">
        <f t="shared" si="8"/>
        <v>0.8846663503</v>
      </c>
      <c r="S393" s="7">
        <f t="shared" si="2"/>
        <v>1.44968444</v>
      </c>
      <c r="T393" s="7">
        <f t="shared" si="3"/>
        <v>2.192806421</v>
      </c>
      <c r="U393" s="7">
        <f t="shared" si="4"/>
        <v>1</v>
      </c>
      <c r="V393" s="7">
        <f t="shared" si="5"/>
        <v>1</v>
      </c>
      <c r="W393" s="7">
        <f t="shared" ref="W393:X393" si="729">IF(AVERAGE(U333:U392) &gt; 0.25, 1, 0)</f>
        <v>1</v>
      </c>
      <c r="X393" s="7">
        <f t="shared" si="729"/>
        <v>1</v>
      </c>
      <c r="Y393" s="8">
        <v>1.0</v>
      </c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</row>
    <row r="394" ht="22.5" customHeight="1">
      <c r="B394" s="6">
        <v>393.0</v>
      </c>
      <c r="C394" s="6">
        <v>84899.0</v>
      </c>
      <c r="D394" s="6">
        <v>0.61</v>
      </c>
      <c r="E394" s="6">
        <v>-0.5</v>
      </c>
      <c r="F394" s="6">
        <v>10.72</v>
      </c>
      <c r="G394" s="6">
        <v>-0.04</v>
      </c>
      <c r="H394" s="6">
        <v>0.19</v>
      </c>
      <c r="I394" s="6">
        <v>2.92</v>
      </c>
      <c r="J394" s="6">
        <v>33.35</v>
      </c>
      <c r="K394" s="7">
        <f t="shared" ref="K394:P394" si="730">abs(D394-D393)/200</f>
        <v>0.0047</v>
      </c>
      <c r="L394" s="7">
        <f t="shared" si="730"/>
        <v>0.00415</v>
      </c>
      <c r="M394" s="7">
        <f t="shared" si="730"/>
        <v>0.0026</v>
      </c>
      <c r="N394" s="7">
        <f t="shared" si="730"/>
        <v>0.0001</v>
      </c>
      <c r="O394" s="7">
        <f t="shared" si="730"/>
        <v>0.00185</v>
      </c>
      <c r="P394" s="7">
        <f t="shared" si="730"/>
        <v>0.004</v>
      </c>
      <c r="Q394" s="7">
        <f t="shared" si="7"/>
        <v>0.7336419384</v>
      </c>
      <c r="R394" s="7">
        <f t="shared" si="8"/>
        <v>0.5007077445</v>
      </c>
      <c r="S394" s="7">
        <f t="shared" si="2"/>
        <v>0.9489766955</v>
      </c>
      <c r="T394" s="7">
        <f t="shared" si="3"/>
        <v>2.926448359</v>
      </c>
      <c r="U394" s="7">
        <f t="shared" si="4"/>
        <v>1</v>
      </c>
      <c r="V394" s="7">
        <f t="shared" si="5"/>
        <v>1</v>
      </c>
      <c r="W394" s="7">
        <f t="shared" ref="W394:X394" si="731">IF(AVERAGE(U334:U393) &gt; 0.25, 1, 0)</f>
        <v>1</v>
      </c>
      <c r="X394" s="7">
        <f t="shared" si="731"/>
        <v>1</v>
      </c>
      <c r="Y394" s="8">
        <v>1.0</v>
      </c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</row>
    <row r="395" ht="22.5" customHeight="1">
      <c r="B395" s="6">
        <v>394.0</v>
      </c>
      <c r="C395" s="6">
        <v>85103.0</v>
      </c>
      <c r="D395" s="6">
        <v>0.58</v>
      </c>
      <c r="E395" s="6">
        <v>-1.13</v>
      </c>
      <c r="F395" s="6">
        <v>10.72</v>
      </c>
      <c r="G395" s="6">
        <v>-0.14</v>
      </c>
      <c r="H395" s="6">
        <v>-0.05</v>
      </c>
      <c r="I395" s="6">
        <v>3.12</v>
      </c>
      <c r="J395" s="6">
        <v>33.36</v>
      </c>
      <c r="K395" s="7">
        <f t="shared" ref="K395:P395" si="732">abs(D395-D394)/200</f>
        <v>0.00015</v>
      </c>
      <c r="L395" s="7">
        <f t="shared" si="732"/>
        <v>0.00315</v>
      </c>
      <c r="M395" s="7">
        <f t="shared" si="732"/>
        <v>0</v>
      </c>
      <c r="N395" s="7">
        <f t="shared" si="732"/>
        <v>0.0005</v>
      </c>
      <c r="O395" s="7">
        <f t="shared" si="732"/>
        <v>0.0012</v>
      </c>
      <c r="P395" s="7">
        <f t="shared" si="732"/>
        <v>0.001</v>
      </c>
      <c r="Q395" s="7">
        <f t="shared" si="7"/>
        <v>0.1970912994</v>
      </c>
      <c r="R395" s="7">
        <f t="shared" si="8"/>
        <v>0.04600825124</v>
      </c>
      <c r="S395" s="7">
        <f t="shared" si="2"/>
        <v>0.9949849467</v>
      </c>
      <c r="T395" s="7">
        <f t="shared" si="3"/>
        <v>3.123539659</v>
      </c>
      <c r="U395" s="7">
        <f t="shared" si="4"/>
        <v>1</v>
      </c>
      <c r="V395" s="7">
        <f t="shared" si="5"/>
        <v>1</v>
      </c>
      <c r="W395" s="7">
        <f t="shared" ref="W395:X395" si="733">IF(AVERAGE(U335:U394) &gt; 0.25, 1, 0)</f>
        <v>1</v>
      </c>
      <c r="X395" s="7">
        <f t="shared" si="733"/>
        <v>1</v>
      </c>
      <c r="Y395" s="8">
        <v>1.0</v>
      </c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</row>
    <row r="396" ht="22.5" customHeight="1">
      <c r="B396" s="6">
        <v>395.0</v>
      </c>
      <c r="C396" s="6">
        <v>85307.0</v>
      </c>
      <c r="D396" s="6">
        <v>3.22</v>
      </c>
      <c r="E396" s="6">
        <v>-1.97</v>
      </c>
      <c r="F396" s="6">
        <v>10.54</v>
      </c>
      <c r="G396" s="6">
        <v>-0.05</v>
      </c>
      <c r="H396" s="6">
        <v>0.17</v>
      </c>
      <c r="I396" s="6">
        <v>0.85</v>
      </c>
      <c r="J396" s="6">
        <v>33.36</v>
      </c>
      <c r="K396" s="7">
        <f t="shared" ref="K396:P396" si="734">abs(D396-D395)/200</f>
        <v>0.0132</v>
      </c>
      <c r="L396" s="7">
        <f t="shared" si="734"/>
        <v>0.0042</v>
      </c>
      <c r="M396" s="7">
        <f t="shared" si="734"/>
        <v>0.0009</v>
      </c>
      <c r="N396" s="7">
        <f t="shared" si="734"/>
        <v>0.00045</v>
      </c>
      <c r="O396" s="7">
        <f t="shared" si="734"/>
        <v>0.0011</v>
      </c>
      <c r="P396" s="7">
        <f t="shared" si="734"/>
        <v>0.01135</v>
      </c>
      <c r="Q396" s="7">
        <f t="shared" si="7"/>
        <v>2.255265509</v>
      </c>
      <c r="R396" s="7">
        <f t="shared" si="8"/>
        <v>0.400590072</v>
      </c>
      <c r="S396" s="7">
        <f t="shared" si="2"/>
        <v>1.395575019</v>
      </c>
      <c r="T396" s="7">
        <f t="shared" si="3"/>
        <v>0.8682741503</v>
      </c>
      <c r="U396" s="7">
        <f t="shared" si="4"/>
        <v>1</v>
      </c>
      <c r="V396" s="7">
        <f t="shared" si="5"/>
        <v>1</v>
      </c>
      <c r="W396" s="7">
        <f t="shared" ref="W396:X396" si="735">IF(AVERAGE(U336:U395) &gt; 0.25, 1, 0)</f>
        <v>1</v>
      </c>
      <c r="X396" s="7">
        <f t="shared" si="735"/>
        <v>1</v>
      </c>
      <c r="Y396" s="8">
        <v>1.0</v>
      </c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</row>
    <row r="397" ht="22.5" customHeight="1">
      <c r="B397" s="6">
        <v>396.0</v>
      </c>
      <c r="C397" s="6">
        <v>85511.0</v>
      </c>
      <c r="D397" s="6">
        <v>2.21</v>
      </c>
      <c r="E397" s="6">
        <v>-1.62</v>
      </c>
      <c r="F397" s="6">
        <v>11.09</v>
      </c>
      <c r="G397" s="6">
        <v>-0.08</v>
      </c>
      <c r="H397" s="6">
        <v>-0.01</v>
      </c>
      <c r="I397" s="6">
        <v>-2.07</v>
      </c>
      <c r="J397" s="6">
        <v>33.36</v>
      </c>
      <c r="K397" s="7">
        <f t="shared" ref="K397:P397" si="736">abs(D397-D396)/200</f>
        <v>0.00505</v>
      </c>
      <c r="L397" s="7">
        <f t="shared" si="736"/>
        <v>0.00175</v>
      </c>
      <c r="M397" s="7">
        <f t="shared" si="736"/>
        <v>0.00275</v>
      </c>
      <c r="N397" s="7">
        <f t="shared" si="736"/>
        <v>0.00015</v>
      </c>
      <c r="O397" s="7">
        <f t="shared" si="736"/>
        <v>0.0009</v>
      </c>
      <c r="P397" s="7">
        <f t="shared" si="736"/>
        <v>0.0146</v>
      </c>
      <c r="Q397" s="7">
        <f t="shared" si="7"/>
        <v>1.203295303</v>
      </c>
      <c r="R397" s="7">
        <f t="shared" si="8"/>
        <v>0.2279358251</v>
      </c>
      <c r="S397" s="7">
        <f t="shared" si="2"/>
        <v>1.623510844</v>
      </c>
      <c r="T397" s="7">
        <f t="shared" si="3"/>
        <v>2.071569453</v>
      </c>
      <c r="U397" s="7">
        <f t="shared" si="4"/>
        <v>1</v>
      </c>
      <c r="V397" s="7">
        <f t="shared" si="5"/>
        <v>1</v>
      </c>
      <c r="W397" s="7">
        <f t="shared" ref="W397:X397" si="737">IF(AVERAGE(U337:U396) &gt; 0.25, 1, 0)</f>
        <v>1</v>
      </c>
      <c r="X397" s="7">
        <f t="shared" si="737"/>
        <v>1</v>
      </c>
      <c r="Y397" s="8">
        <v>1.0</v>
      </c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</row>
    <row r="398" ht="22.5" customHeight="1">
      <c r="B398" s="6">
        <v>397.0</v>
      </c>
      <c r="C398" s="6">
        <v>85715.0</v>
      </c>
      <c r="D398" s="6">
        <v>-1.27</v>
      </c>
      <c r="E398" s="6">
        <v>-0.13</v>
      </c>
      <c r="F398" s="6">
        <v>11.12</v>
      </c>
      <c r="G398" s="6">
        <v>-0.29</v>
      </c>
      <c r="H398" s="6">
        <v>-0.47</v>
      </c>
      <c r="I398" s="6">
        <v>-3.17</v>
      </c>
      <c r="J398" s="6">
        <v>33.34</v>
      </c>
      <c r="K398" s="7">
        <f t="shared" ref="K398:P398" si="738">abs(D398-D397)/200</f>
        <v>0.0174</v>
      </c>
      <c r="L398" s="7">
        <f t="shared" si="738"/>
        <v>0.00745</v>
      </c>
      <c r="M398" s="7">
        <f t="shared" si="738"/>
        <v>0.00015</v>
      </c>
      <c r="N398" s="7">
        <f t="shared" si="738"/>
        <v>0.00105</v>
      </c>
      <c r="O398" s="7">
        <f t="shared" si="738"/>
        <v>0.0023</v>
      </c>
      <c r="P398" s="7">
        <f t="shared" si="738"/>
        <v>0.0055</v>
      </c>
      <c r="Q398" s="7">
        <f t="shared" si="7"/>
        <v>1.146178206</v>
      </c>
      <c r="R398" s="7">
        <f t="shared" si="8"/>
        <v>0.230468362</v>
      </c>
      <c r="S398" s="7">
        <f t="shared" si="2"/>
        <v>1.393042482</v>
      </c>
      <c r="T398" s="7">
        <f t="shared" si="3"/>
        <v>3.217747659</v>
      </c>
      <c r="U398" s="7">
        <f t="shared" si="4"/>
        <v>1</v>
      </c>
      <c r="V398" s="7">
        <f t="shared" si="5"/>
        <v>1</v>
      </c>
      <c r="W398" s="7">
        <f t="shared" ref="W398:X398" si="739">IF(AVERAGE(U338:U397) &gt; 0.25, 1, 0)</f>
        <v>1</v>
      </c>
      <c r="X398" s="7">
        <f t="shared" si="739"/>
        <v>1</v>
      </c>
      <c r="Y398" s="8">
        <v>1.0</v>
      </c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</row>
    <row r="399" ht="22.5" customHeight="1">
      <c r="B399" s="6">
        <v>398.0</v>
      </c>
      <c r="C399" s="6">
        <v>85919.0</v>
      </c>
      <c r="D399" s="6">
        <v>-1.44</v>
      </c>
      <c r="E399" s="6">
        <v>1.98</v>
      </c>
      <c r="F399" s="6">
        <v>10.7</v>
      </c>
      <c r="G399" s="6">
        <v>-0.15</v>
      </c>
      <c r="H399" s="6">
        <v>-0.17</v>
      </c>
      <c r="I399" s="6">
        <v>-0.72</v>
      </c>
      <c r="J399" s="6">
        <v>33.34</v>
      </c>
      <c r="K399" s="7">
        <f t="shared" ref="K399:P399" si="740">abs(D399-D398)/200</f>
        <v>0.00085</v>
      </c>
      <c r="L399" s="7">
        <f t="shared" si="740"/>
        <v>0.01055</v>
      </c>
      <c r="M399" s="7">
        <f t="shared" si="740"/>
        <v>0.0021</v>
      </c>
      <c r="N399" s="7">
        <f t="shared" si="740"/>
        <v>0.0007</v>
      </c>
      <c r="O399" s="7">
        <f t="shared" si="740"/>
        <v>0.0015</v>
      </c>
      <c r="P399" s="7">
        <f t="shared" si="740"/>
        <v>0.01225</v>
      </c>
      <c r="Q399" s="7">
        <f t="shared" si="7"/>
        <v>2.462896681</v>
      </c>
      <c r="R399" s="7">
        <f t="shared" si="8"/>
        <v>0.216522086</v>
      </c>
      <c r="S399" s="7">
        <f t="shared" si="2"/>
        <v>1.176520396</v>
      </c>
      <c r="T399" s="7">
        <f t="shared" si="3"/>
        <v>0.7548509787</v>
      </c>
      <c r="U399" s="7">
        <f t="shared" si="4"/>
        <v>1</v>
      </c>
      <c r="V399" s="7">
        <f t="shared" si="5"/>
        <v>1</v>
      </c>
      <c r="W399" s="7">
        <f t="shared" ref="W399:X399" si="741">IF(AVERAGE(U339:U398) &gt; 0.25, 1, 0)</f>
        <v>1</v>
      </c>
      <c r="X399" s="7">
        <f t="shared" si="741"/>
        <v>1</v>
      </c>
      <c r="Y399" s="8">
        <v>1.0</v>
      </c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</row>
    <row r="400" ht="22.5" customHeight="1">
      <c r="B400" s="6">
        <v>399.0</v>
      </c>
      <c r="C400" s="6">
        <v>86123.0</v>
      </c>
      <c r="D400" s="6">
        <v>-0.41</v>
      </c>
      <c r="E400" s="6">
        <v>1.4</v>
      </c>
      <c r="F400" s="6">
        <v>10.79</v>
      </c>
      <c r="G400" s="6">
        <v>-0.07</v>
      </c>
      <c r="H400" s="6">
        <v>0.27</v>
      </c>
      <c r="I400" s="6">
        <v>-0.95</v>
      </c>
      <c r="J400" s="6">
        <v>33.36</v>
      </c>
      <c r="K400" s="7">
        <f t="shared" ref="K400:P400" si="742">abs(D400-D399)/200</f>
        <v>0.00515</v>
      </c>
      <c r="L400" s="7">
        <f t="shared" si="742"/>
        <v>0.0029</v>
      </c>
      <c r="M400" s="7">
        <f t="shared" si="742"/>
        <v>0.00045</v>
      </c>
      <c r="N400" s="7">
        <f t="shared" si="742"/>
        <v>0.0004</v>
      </c>
      <c r="O400" s="7">
        <f t="shared" si="742"/>
        <v>0.0022</v>
      </c>
      <c r="P400" s="7">
        <f t="shared" si="742"/>
        <v>0.00115</v>
      </c>
      <c r="Q400" s="7">
        <f t="shared" si="7"/>
        <v>0.2352500263</v>
      </c>
      <c r="R400" s="7">
        <f t="shared" si="8"/>
        <v>0.08835250586</v>
      </c>
      <c r="S400" s="7">
        <f t="shared" si="2"/>
        <v>1.08816789</v>
      </c>
      <c r="T400" s="7">
        <f t="shared" si="3"/>
        <v>0.9901010049</v>
      </c>
      <c r="U400" s="7">
        <f t="shared" si="4"/>
        <v>1</v>
      </c>
      <c r="V400" s="7">
        <f t="shared" si="5"/>
        <v>1</v>
      </c>
      <c r="W400" s="7">
        <f t="shared" ref="W400:X400" si="743">IF(AVERAGE(U340:U399) &gt; 0.25, 1, 0)</f>
        <v>1</v>
      </c>
      <c r="X400" s="7">
        <f t="shared" si="743"/>
        <v>1</v>
      </c>
      <c r="Y400" s="8">
        <v>1.0</v>
      </c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</row>
    <row r="401" ht="22.5" customHeight="1">
      <c r="B401" s="6">
        <v>400.0</v>
      </c>
      <c r="C401" s="6">
        <v>86327.0</v>
      </c>
      <c r="D401" s="6">
        <v>-0.26</v>
      </c>
      <c r="E401" s="6">
        <v>0.83</v>
      </c>
      <c r="F401" s="6">
        <v>10.75</v>
      </c>
      <c r="G401" s="6">
        <v>-0.08</v>
      </c>
      <c r="H401" s="6">
        <v>0.2</v>
      </c>
      <c r="I401" s="6">
        <v>1.21</v>
      </c>
      <c r="J401" s="6">
        <v>33.35</v>
      </c>
      <c r="K401" s="7">
        <f t="shared" ref="K401:P401" si="744">abs(D401-D400)/200</f>
        <v>0.00075</v>
      </c>
      <c r="L401" s="7">
        <f t="shared" si="744"/>
        <v>0.00285</v>
      </c>
      <c r="M401" s="7">
        <f t="shared" si="744"/>
        <v>0.0002</v>
      </c>
      <c r="N401" s="7">
        <f t="shared" si="744"/>
        <v>0.00005</v>
      </c>
      <c r="O401" s="7">
        <f t="shared" si="744"/>
        <v>0.00035</v>
      </c>
      <c r="P401" s="7">
        <f t="shared" si="744"/>
        <v>0.0108</v>
      </c>
      <c r="Q401" s="7">
        <f t="shared" si="7"/>
        <v>0.2389229981</v>
      </c>
      <c r="R401" s="7">
        <f t="shared" si="8"/>
        <v>0.1030392398</v>
      </c>
      <c r="S401" s="7">
        <f t="shared" si="2"/>
        <v>0.9851286501</v>
      </c>
      <c r="T401" s="7">
        <f t="shared" si="3"/>
        <v>1.229024003</v>
      </c>
      <c r="U401" s="7">
        <f t="shared" si="4"/>
        <v>1</v>
      </c>
      <c r="V401" s="7">
        <f t="shared" si="5"/>
        <v>1</v>
      </c>
      <c r="W401" s="7">
        <f t="shared" ref="W401:X401" si="745">IF(AVERAGE(U341:U400) &gt; 0.25, 1, 0)</f>
        <v>1</v>
      </c>
      <c r="X401" s="7">
        <f t="shared" si="745"/>
        <v>1</v>
      </c>
      <c r="Y401" s="8">
        <v>1.0</v>
      </c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</row>
    <row r="402" ht="22.5" customHeight="1">
      <c r="B402" s="6">
        <v>401.0</v>
      </c>
      <c r="C402" s="6">
        <v>86531.0</v>
      </c>
      <c r="D402" s="6">
        <v>-2.44</v>
      </c>
      <c r="E402" s="6">
        <v>-0.43</v>
      </c>
      <c r="F402" s="6">
        <v>10.8</v>
      </c>
      <c r="G402" s="6">
        <v>-0.28</v>
      </c>
      <c r="H402" s="6">
        <v>0.15</v>
      </c>
      <c r="I402" s="6">
        <v>2.55</v>
      </c>
      <c r="J402" s="6">
        <v>33.35</v>
      </c>
      <c r="K402" s="7">
        <f t="shared" ref="K402:P402" si="746">abs(D402-D401)/200</f>
        <v>0.0109</v>
      </c>
      <c r="L402" s="7">
        <f t="shared" si="746"/>
        <v>0.0063</v>
      </c>
      <c r="M402" s="7">
        <f t="shared" si="746"/>
        <v>0.00025</v>
      </c>
      <c r="N402" s="7">
        <f t="shared" si="746"/>
        <v>0.001</v>
      </c>
      <c r="O402" s="7">
        <f t="shared" si="746"/>
        <v>0.00025</v>
      </c>
      <c r="P402" s="7">
        <f t="shared" si="746"/>
        <v>0.0067</v>
      </c>
      <c r="Q402" s="7">
        <f t="shared" si="7"/>
        <v>1.340684152</v>
      </c>
      <c r="R402" s="7">
        <f t="shared" si="8"/>
        <v>0.2954173653</v>
      </c>
      <c r="S402" s="7">
        <f t="shared" si="2"/>
        <v>1.280546015</v>
      </c>
      <c r="T402" s="7">
        <f t="shared" si="3"/>
        <v>2.569708155</v>
      </c>
      <c r="U402" s="7">
        <f t="shared" si="4"/>
        <v>1</v>
      </c>
      <c r="V402" s="7">
        <f t="shared" si="5"/>
        <v>1</v>
      </c>
      <c r="W402" s="7">
        <f t="shared" ref="W402:X402" si="747">IF(AVERAGE(U342:U401) &gt; 0.25, 1, 0)</f>
        <v>1</v>
      </c>
      <c r="X402" s="7">
        <f t="shared" si="747"/>
        <v>1</v>
      </c>
      <c r="Y402" s="8">
        <v>1.0</v>
      </c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</row>
    <row r="403" ht="22.5" customHeight="1">
      <c r="B403" s="6">
        <v>402.0</v>
      </c>
      <c r="C403" s="6">
        <v>86735.0</v>
      </c>
      <c r="D403" s="6">
        <v>6.96</v>
      </c>
      <c r="E403" s="6">
        <v>-5.57</v>
      </c>
      <c r="F403" s="6">
        <v>9.97</v>
      </c>
      <c r="G403" s="6">
        <v>0.14</v>
      </c>
      <c r="H403" s="6">
        <v>-0.04</v>
      </c>
      <c r="I403" s="6">
        <v>3.06</v>
      </c>
      <c r="J403" s="6">
        <v>33.34</v>
      </c>
      <c r="K403" s="7">
        <f t="shared" ref="K403:P403" si="748">abs(D403-D402)/200</f>
        <v>0.047</v>
      </c>
      <c r="L403" s="7">
        <f t="shared" si="748"/>
        <v>0.0257</v>
      </c>
      <c r="M403" s="7">
        <f t="shared" si="748"/>
        <v>0.00415</v>
      </c>
      <c r="N403" s="7">
        <f t="shared" si="748"/>
        <v>0.0021</v>
      </c>
      <c r="O403" s="7">
        <f t="shared" si="748"/>
        <v>0.00095</v>
      </c>
      <c r="P403" s="7">
        <f t="shared" si="748"/>
        <v>0.00255</v>
      </c>
      <c r="Q403" s="7">
        <f t="shared" si="7"/>
        <v>0.4937539391</v>
      </c>
      <c r="R403" s="7">
        <f t="shared" si="8"/>
        <v>2.293585732</v>
      </c>
      <c r="S403" s="7">
        <f t="shared" si="2"/>
        <v>3.574131748</v>
      </c>
      <c r="T403" s="7">
        <f t="shared" si="3"/>
        <v>3.063462094</v>
      </c>
      <c r="U403" s="7">
        <f t="shared" si="4"/>
        <v>1</v>
      </c>
      <c r="V403" s="7">
        <f t="shared" si="5"/>
        <v>1</v>
      </c>
      <c r="W403" s="7">
        <f t="shared" ref="W403:X403" si="749">IF(AVERAGE(U343:U402) &gt; 0.25, 1, 0)</f>
        <v>1</v>
      </c>
      <c r="X403" s="7">
        <f t="shared" si="749"/>
        <v>1</v>
      </c>
      <c r="Y403" s="8">
        <v>1.0</v>
      </c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</row>
    <row r="404" ht="22.5" customHeight="1">
      <c r="B404" s="6">
        <v>403.0</v>
      </c>
      <c r="C404" s="6">
        <v>86939.0</v>
      </c>
      <c r="D404" s="6">
        <v>5.6</v>
      </c>
      <c r="E404" s="6">
        <v>-4.28</v>
      </c>
      <c r="F404" s="6">
        <v>10.09</v>
      </c>
      <c r="G404" s="6">
        <v>-0.3</v>
      </c>
      <c r="H404" s="6">
        <v>-0.07</v>
      </c>
      <c r="I404" s="6">
        <v>-1.39</v>
      </c>
      <c r="J404" s="6">
        <v>33.34</v>
      </c>
      <c r="K404" s="7">
        <f t="shared" ref="K404:P404" si="750">abs(D404-D403)/200</f>
        <v>0.0068</v>
      </c>
      <c r="L404" s="7">
        <f t="shared" si="750"/>
        <v>0.00645</v>
      </c>
      <c r="M404" s="7">
        <f t="shared" si="750"/>
        <v>0.0006</v>
      </c>
      <c r="N404" s="7">
        <f t="shared" si="750"/>
        <v>0.0022</v>
      </c>
      <c r="O404" s="7">
        <f t="shared" si="750"/>
        <v>0.00015</v>
      </c>
      <c r="P404" s="7">
        <f t="shared" si="750"/>
        <v>0.02225</v>
      </c>
      <c r="Q404" s="7">
        <f t="shared" si="7"/>
        <v>1.639734592</v>
      </c>
      <c r="R404" s="7">
        <f t="shared" si="8"/>
        <v>1.066146535</v>
      </c>
      <c r="S404" s="7">
        <f t="shared" si="2"/>
        <v>2.507985213</v>
      </c>
      <c r="T404" s="7">
        <f t="shared" si="3"/>
        <v>1.423727502</v>
      </c>
      <c r="U404" s="7">
        <f t="shared" si="4"/>
        <v>1</v>
      </c>
      <c r="V404" s="7">
        <f t="shared" si="5"/>
        <v>1</v>
      </c>
      <c r="W404" s="7">
        <f t="shared" ref="W404:X404" si="751">IF(AVERAGE(U344:U403) &gt; 0.25, 1, 0)</f>
        <v>1</v>
      </c>
      <c r="X404" s="7">
        <f t="shared" si="751"/>
        <v>1</v>
      </c>
      <c r="Y404" s="8">
        <v>1.0</v>
      </c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</row>
    <row r="405" ht="22.5" customHeight="1">
      <c r="B405" s="6">
        <v>404.0</v>
      </c>
      <c r="C405" s="6">
        <v>87143.0</v>
      </c>
      <c r="D405" s="6">
        <v>-0.59</v>
      </c>
      <c r="E405" s="6">
        <v>-3.61</v>
      </c>
      <c r="F405" s="6">
        <v>10.67</v>
      </c>
      <c r="G405" s="6">
        <v>-0.03</v>
      </c>
      <c r="H405" s="6">
        <v>-0.21</v>
      </c>
      <c r="I405" s="6">
        <v>-3.43</v>
      </c>
      <c r="J405" s="6">
        <v>33.35</v>
      </c>
      <c r="K405" s="7">
        <f t="shared" ref="K405:P405" si="752">abs(D405-D404)/200</f>
        <v>0.03095</v>
      </c>
      <c r="L405" s="7">
        <f t="shared" si="752"/>
        <v>0.00335</v>
      </c>
      <c r="M405" s="7">
        <f t="shared" si="752"/>
        <v>0.0029</v>
      </c>
      <c r="N405" s="7">
        <f t="shared" si="752"/>
        <v>0.00135</v>
      </c>
      <c r="O405" s="7">
        <f t="shared" si="752"/>
        <v>0.0007</v>
      </c>
      <c r="P405" s="7">
        <f t="shared" si="752"/>
        <v>0.0102</v>
      </c>
      <c r="Q405" s="7">
        <f t="shared" si="7"/>
        <v>2.012826004</v>
      </c>
      <c r="R405" s="7">
        <f t="shared" si="8"/>
        <v>1.028397454</v>
      </c>
      <c r="S405" s="7">
        <f t="shared" si="2"/>
        <v>1.479587758</v>
      </c>
      <c r="T405" s="7">
        <f t="shared" si="3"/>
        <v>3.436553506</v>
      </c>
      <c r="U405" s="7">
        <f t="shared" si="4"/>
        <v>1</v>
      </c>
      <c r="V405" s="7">
        <f t="shared" si="5"/>
        <v>1</v>
      </c>
      <c r="W405" s="7">
        <f t="shared" ref="W405:X405" si="753">IF(AVERAGE(U345:U404) &gt; 0.25, 1, 0)</f>
        <v>1</v>
      </c>
      <c r="X405" s="7">
        <f t="shared" si="753"/>
        <v>1</v>
      </c>
      <c r="Y405" s="8">
        <v>1.0</v>
      </c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</row>
    <row r="406" ht="22.5" customHeight="1">
      <c r="B406" s="6">
        <v>405.0</v>
      </c>
      <c r="C406" s="6">
        <v>87347.0</v>
      </c>
      <c r="D406" s="6">
        <v>-2.83</v>
      </c>
      <c r="E406" s="6">
        <v>0.96</v>
      </c>
      <c r="F406" s="6">
        <v>10.95</v>
      </c>
      <c r="G406" s="6">
        <v>-0.08</v>
      </c>
      <c r="H406" s="6">
        <v>-0.13</v>
      </c>
      <c r="I406" s="6">
        <v>-1.75</v>
      </c>
      <c r="J406" s="6">
        <v>33.34</v>
      </c>
      <c r="K406" s="7">
        <f t="shared" ref="K406:P406" si="754">abs(D406-D405)/200</f>
        <v>0.0112</v>
      </c>
      <c r="L406" s="7">
        <f t="shared" si="754"/>
        <v>0.02285</v>
      </c>
      <c r="M406" s="7">
        <f t="shared" si="754"/>
        <v>0.0014</v>
      </c>
      <c r="N406" s="7">
        <f t="shared" si="754"/>
        <v>0.00025</v>
      </c>
      <c r="O406" s="7">
        <f t="shared" si="754"/>
        <v>0.0004</v>
      </c>
      <c r="P406" s="7">
        <f t="shared" si="754"/>
        <v>0.0084</v>
      </c>
      <c r="Q406" s="7">
        <f t="shared" si="7"/>
        <v>1.679908977</v>
      </c>
      <c r="R406" s="7">
        <f t="shared" si="8"/>
        <v>0.07087478722</v>
      </c>
      <c r="S406" s="7">
        <f t="shared" si="2"/>
        <v>1.550462546</v>
      </c>
      <c r="T406" s="7">
        <f t="shared" si="3"/>
        <v>1.756644529</v>
      </c>
      <c r="U406" s="7">
        <f t="shared" si="4"/>
        <v>1</v>
      </c>
      <c r="V406" s="7">
        <f t="shared" si="5"/>
        <v>1</v>
      </c>
      <c r="W406" s="7">
        <f t="shared" ref="W406:X406" si="755">IF(AVERAGE(U346:U405) &gt; 0.25, 1, 0)</f>
        <v>1</v>
      </c>
      <c r="X406" s="7">
        <f t="shared" si="755"/>
        <v>1</v>
      </c>
      <c r="Y406" s="8">
        <v>1.0</v>
      </c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</row>
    <row r="407" ht="22.5" customHeight="1">
      <c r="B407" s="6">
        <v>406.0</v>
      </c>
      <c r="C407" s="6">
        <v>87551.0</v>
      </c>
      <c r="D407" s="6">
        <v>0.18</v>
      </c>
      <c r="E407" s="6">
        <v>2.24</v>
      </c>
      <c r="F407" s="6">
        <v>10.77</v>
      </c>
      <c r="G407" s="6">
        <v>-0.12</v>
      </c>
      <c r="H407" s="6">
        <v>0.06</v>
      </c>
      <c r="I407" s="6">
        <v>-0.36</v>
      </c>
      <c r="J407" s="6">
        <v>33.36</v>
      </c>
      <c r="K407" s="7">
        <f t="shared" ref="K407:P407" si="756">abs(D407-D406)/200</f>
        <v>0.01505</v>
      </c>
      <c r="L407" s="7">
        <f t="shared" si="756"/>
        <v>0.0064</v>
      </c>
      <c r="M407" s="7">
        <f t="shared" si="756"/>
        <v>0.0009</v>
      </c>
      <c r="N407" s="7">
        <f t="shared" si="756"/>
        <v>0.0002</v>
      </c>
      <c r="O407" s="7">
        <f t="shared" si="756"/>
        <v>0.00095</v>
      </c>
      <c r="P407" s="7">
        <f t="shared" si="756"/>
        <v>0.00695</v>
      </c>
      <c r="Q407" s="7">
        <f t="shared" si="7"/>
        <v>1.372457074</v>
      </c>
      <c r="R407" s="7">
        <f t="shared" si="8"/>
        <v>0.3485127185</v>
      </c>
      <c r="S407" s="7">
        <f t="shared" si="2"/>
        <v>1.201949827</v>
      </c>
      <c r="T407" s="7">
        <f t="shared" si="3"/>
        <v>0.3841874542</v>
      </c>
      <c r="U407" s="7">
        <f t="shared" si="4"/>
        <v>1</v>
      </c>
      <c r="V407" s="7">
        <f t="shared" si="5"/>
        <v>1</v>
      </c>
      <c r="W407" s="7">
        <f t="shared" ref="W407:X407" si="757">IF(AVERAGE(U347:U406) &gt; 0.25, 1, 0)</f>
        <v>1</v>
      </c>
      <c r="X407" s="7">
        <f t="shared" si="757"/>
        <v>1</v>
      </c>
      <c r="Y407" s="8">
        <v>1.0</v>
      </c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</row>
    <row r="408" ht="22.5" customHeight="1">
      <c r="B408" s="6">
        <v>407.0</v>
      </c>
      <c r="C408" s="6">
        <v>87755.0</v>
      </c>
      <c r="D408" s="6">
        <v>-0.18</v>
      </c>
      <c r="E408" s="6">
        <v>0.52</v>
      </c>
      <c r="F408" s="6">
        <v>10.79</v>
      </c>
      <c r="G408" s="6">
        <v>-0.13</v>
      </c>
      <c r="H408" s="6">
        <v>0.17</v>
      </c>
      <c r="I408" s="6">
        <v>-0.65</v>
      </c>
      <c r="J408" s="6">
        <v>33.35</v>
      </c>
      <c r="K408" s="7">
        <f t="shared" ref="K408:P408" si="758">abs(D408-D407)/200</f>
        <v>0.0018</v>
      </c>
      <c r="L408" s="7">
        <f t="shared" si="758"/>
        <v>0.0086</v>
      </c>
      <c r="M408" s="7">
        <f t="shared" si="758"/>
        <v>0.0001</v>
      </c>
      <c r="N408" s="7">
        <f t="shared" si="758"/>
        <v>0.00005</v>
      </c>
      <c r="O408" s="7">
        <f t="shared" si="758"/>
        <v>0.00055</v>
      </c>
      <c r="P408" s="7">
        <f t="shared" si="758"/>
        <v>0.00145</v>
      </c>
      <c r="Q408" s="7">
        <f t="shared" si="7"/>
        <v>0.3001370302</v>
      </c>
      <c r="R408" s="7">
        <f t="shared" si="8"/>
        <v>0.1979274281</v>
      </c>
      <c r="S408" s="7">
        <f t="shared" si="2"/>
        <v>1.004022399</v>
      </c>
      <c r="T408" s="7">
        <f t="shared" si="3"/>
        <v>0.6843244844</v>
      </c>
      <c r="U408" s="7">
        <f t="shared" si="4"/>
        <v>1</v>
      </c>
      <c r="V408" s="7">
        <f t="shared" si="5"/>
        <v>1</v>
      </c>
      <c r="W408" s="7">
        <f t="shared" ref="W408:X408" si="759">IF(AVERAGE(U348:U407) &gt; 0.25, 1, 0)</f>
        <v>1</v>
      </c>
      <c r="X408" s="7">
        <f t="shared" si="759"/>
        <v>1</v>
      </c>
      <c r="Y408" s="8">
        <v>1.0</v>
      </c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</row>
    <row r="409" ht="22.5" customHeight="1">
      <c r="B409" s="6">
        <v>408.0</v>
      </c>
      <c r="C409" s="6">
        <v>87959.0</v>
      </c>
      <c r="D409" s="6">
        <v>0.32</v>
      </c>
      <c r="E409" s="6">
        <v>1.12</v>
      </c>
      <c r="F409" s="6">
        <v>10.74</v>
      </c>
      <c r="G409" s="6">
        <v>-0.11</v>
      </c>
      <c r="H409" s="6">
        <v>0.14</v>
      </c>
      <c r="I409" s="6">
        <v>0.76</v>
      </c>
      <c r="J409" s="6">
        <v>33.37</v>
      </c>
      <c r="K409" s="7">
        <f t="shared" ref="K409:P409" si="760">abs(D409-D408)/200</f>
        <v>0.0025</v>
      </c>
      <c r="L409" s="7">
        <f t="shared" si="760"/>
        <v>0.003</v>
      </c>
      <c r="M409" s="7">
        <f t="shared" si="760"/>
        <v>0.00025</v>
      </c>
      <c r="N409" s="7">
        <f t="shared" si="760"/>
        <v>0.0001</v>
      </c>
      <c r="O409" s="7">
        <f t="shared" si="760"/>
        <v>0.00015</v>
      </c>
      <c r="P409" s="7">
        <f t="shared" si="760"/>
        <v>0.00705</v>
      </c>
      <c r="Q409" s="7">
        <f t="shared" si="7"/>
        <v>0.09625222544</v>
      </c>
      <c r="R409" s="7">
        <f t="shared" si="8"/>
        <v>0.001041329032</v>
      </c>
      <c r="S409" s="7">
        <f t="shared" si="2"/>
        <v>1.00298107</v>
      </c>
      <c r="T409" s="7">
        <f t="shared" si="3"/>
        <v>0.7805767099</v>
      </c>
      <c r="U409" s="7">
        <f t="shared" si="4"/>
        <v>1</v>
      </c>
      <c r="V409" s="7">
        <f t="shared" si="5"/>
        <v>1</v>
      </c>
      <c r="W409" s="7">
        <f t="shared" ref="W409:X409" si="761">IF(AVERAGE(U349:U408) &gt; 0.25, 1, 0)</f>
        <v>1</v>
      </c>
      <c r="X409" s="7">
        <f t="shared" si="761"/>
        <v>1</v>
      </c>
      <c r="Y409" s="8">
        <v>1.0</v>
      </c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</row>
    <row r="410" ht="22.5" customHeight="1">
      <c r="B410" s="6">
        <v>409.0</v>
      </c>
      <c r="C410" s="6">
        <v>88163.0</v>
      </c>
      <c r="D410" s="6">
        <v>0.63</v>
      </c>
      <c r="E410" s="6">
        <v>0.39</v>
      </c>
      <c r="F410" s="6">
        <v>10.66</v>
      </c>
      <c r="G410" s="6">
        <v>-0.08</v>
      </c>
      <c r="H410" s="6">
        <v>0.06</v>
      </c>
      <c r="I410" s="6">
        <v>1.88</v>
      </c>
      <c r="J410" s="6">
        <v>33.35</v>
      </c>
      <c r="K410" s="7">
        <f t="shared" ref="K410:P410" si="762">abs(D410-D409)/200</f>
        <v>0.00155</v>
      </c>
      <c r="L410" s="7">
        <f t="shared" si="762"/>
        <v>0.00365</v>
      </c>
      <c r="M410" s="7">
        <f t="shared" si="762"/>
        <v>0.0004</v>
      </c>
      <c r="N410" s="7">
        <f t="shared" si="762"/>
        <v>0.00015</v>
      </c>
      <c r="O410" s="7">
        <f t="shared" si="762"/>
        <v>0.0004</v>
      </c>
      <c r="P410" s="7">
        <f t="shared" si="762"/>
        <v>0.0056</v>
      </c>
      <c r="Q410" s="7">
        <f t="shared" si="7"/>
        <v>1.102080986</v>
      </c>
      <c r="R410" s="7">
        <f t="shared" si="8"/>
        <v>0.1172616277</v>
      </c>
      <c r="S410" s="7">
        <f t="shared" si="2"/>
        <v>0.8857194423</v>
      </c>
      <c r="T410" s="7">
        <f t="shared" si="3"/>
        <v>1.882657696</v>
      </c>
      <c r="U410" s="7">
        <f t="shared" si="4"/>
        <v>1</v>
      </c>
      <c r="V410" s="7">
        <f t="shared" si="5"/>
        <v>1</v>
      </c>
      <c r="W410" s="7">
        <f t="shared" ref="W410:X410" si="763">IF(AVERAGE(U350:U409) &gt; 0.25, 1, 0)</f>
        <v>1</v>
      </c>
      <c r="X410" s="7">
        <f t="shared" si="763"/>
        <v>1</v>
      </c>
      <c r="Y410" s="8">
        <v>1.0</v>
      </c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</row>
    <row r="411" ht="22.5" customHeight="1">
      <c r="B411" s="6">
        <v>410.0</v>
      </c>
      <c r="C411" s="6">
        <v>88367.0</v>
      </c>
      <c r="D411" s="6">
        <v>0.48</v>
      </c>
      <c r="E411" s="6">
        <v>-0.46</v>
      </c>
      <c r="F411" s="6">
        <v>10.8</v>
      </c>
      <c r="G411" s="6">
        <v>-0.1</v>
      </c>
      <c r="H411" s="6">
        <v>0.01</v>
      </c>
      <c r="I411" s="6">
        <v>2.45</v>
      </c>
      <c r="J411" s="6">
        <v>33.35</v>
      </c>
      <c r="K411" s="7">
        <f t="shared" ref="K411:P411" si="764">abs(D411-D410)/200</f>
        <v>0.00075</v>
      </c>
      <c r="L411" s="7">
        <f t="shared" si="764"/>
        <v>0.00425</v>
      </c>
      <c r="M411" s="7">
        <f t="shared" si="764"/>
        <v>0.0007</v>
      </c>
      <c r="N411" s="7">
        <f t="shared" si="764"/>
        <v>0.0001</v>
      </c>
      <c r="O411" s="7">
        <f t="shared" si="764"/>
        <v>0.00025</v>
      </c>
      <c r="P411" s="7">
        <f t="shared" si="764"/>
        <v>0.00285</v>
      </c>
      <c r="Q411" s="7">
        <f t="shared" si="7"/>
        <v>0.5694026622</v>
      </c>
      <c r="R411" s="7">
        <f t="shared" si="8"/>
        <v>0.1347241715</v>
      </c>
      <c r="S411" s="7">
        <f t="shared" si="2"/>
        <v>1.020443614</v>
      </c>
      <c r="T411" s="7">
        <f t="shared" si="3"/>
        <v>2.452060358</v>
      </c>
      <c r="U411" s="7">
        <f t="shared" si="4"/>
        <v>1</v>
      </c>
      <c r="V411" s="7">
        <f t="shared" si="5"/>
        <v>1</v>
      </c>
      <c r="W411" s="7">
        <f t="shared" ref="W411:X411" si="765">IF(AVERAGE(U351:U410) &gt; 0.25, 1, 0)</f>
        <v>1</v>
      </c>
      <c r="X411" s="7">
        <f t="shared" si="765"/>
        <v>1</v>
      </c>
      <c r="Y411" s="8">
        <v>1.0</v>
      </c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</row>
    <row r="412" ht="22.5" customHeight="1">
      <c r="B412" s="6">
        <v>411.0</v>
      </c>
      <c r="C412" s="6">
        <v>88571.0</v>
      </c>
      <c r="D412" s="6">
        <v>1.31</v>
      </c>
      <c r="E412" s="6">
        <v>-0.03</v>
      </c>
      <c r="F412" s="6">
        <v>10.68</v>
      </c>
      <c r="G412" s="6">
        <v>-0.1</v>
      </c>
      <c r="H412" s="6">
        <v>0.07</v>
      </c>
      <c r="I412" s="6">
        <v>0.26</v>
      </c>
      <c r="J412" s="6">
        <v>33.36</v>
      </c>
      <c r="K412" s="7">
        <f t="shared" ref="K412:P412" si="766">abs(D412-D411)/200</f>
        <v>0.00415</v>
      </c>
      <c r="L412" s="7">
        <f t="shared" si="766"/>
        <v>0.00215</v>
      </c>
      <c r="M412" s="7">
        <f t="shared" si="766"/>
        <v>0.0006</v>
      </c>
      <c r="N412" s="7">
        <f t="shared" si="766"/>
        <v>0</v>
      </c>
      <c r="O412" s="7">
        <f t="shared" si="766"/>
        <v>0.0003</v>
      </c>
      <c r="P412" s="7">
        <f t="shared" si="766"/>
        <v>0.01095</v>
      </c>
      <c r="Q412" s="7">
        <f t="shared" si="7"/>
        <v>2.164832226</v>
      </c>
      <c r="R412" s="7">
        <f t="shared" si="8"/>
        <v>0.06035997103</v>
      </c>
      <c r="S412" s="7">
        <f t="shared" si="2"/>
        <v>0.9600836428</v>
      </c>
      <c r="T412" s="7">
        <f t="shared" si="3"/>
        <v>0.2872281323</v>
      </c>
      <c r="U412" s="7">
        <f t="shared" si="4"/>
        <v>1</v>
      </c>
      <c r="V412" s="7">
        <f t="shared" si="5"/>
        <v>1</v>
      </c>
      <c r="W412" s="7">
        <f t="shared" ref="W412:X412" si="767">IF(AVERAGE(U352:U411) &gt; 0.25, 1, 0)</f>
        <v>1</v>
      </c>
      <c r="X412" s="7">
        <f t="shared" si="767"/>
        <v>1</v>
      </c>
      <c r="Y412" s="8">
        <v>1.0</v>
      </c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</row>
    <row r="413" ht="22.5" customHeight="1">
      <c r="B413" s="6">
        <v>412.0</v>
      </c>
      <c r="C413" s="6">
        <v>88775.0</v>
      </c>
      <c r="D413" s="6">
        <v>3.4</v>
      </c>
      <c r="E413" s="6">
        <v>-2.03</v>
      </c>
      <c r="F413" s="6">
        <v>10.48</v>
      </c>
      <c r="G413" s="6">
        <v>0.01</v>
      </c>
      <c r="H413" s="6">
        <v>-0.08</v>
      </c>
      <c r="I413" s="6">
        <v>-0.6</v>
      </c>
      <c r="J413" s="6">
        <v>33.37</v>
      </c>
      <c r="K413" s="7">
        <f t="shared" ref="K413:P413" si="768">abs(D413-D412)/200</f>
        <v>0.01045</v>
      </c>
      <c r="L413" s="7">
        <f t="shared" si="768"/>
        <v>0.01</v>
      </c>
      <c r="M413" s="7">
        <f t="shared" si="768"/>
        <v>0.001</v>
      </c>
      <c r="N413" s="7">
        <f t="shared" si="768"/>
        <v>0.00055</v>
      </c>
      <c r="O413" s="7">
        <f t="shared" si="768"/>
        <v>0.00075</v>
      </c>
      <c r="P413" s="7">
        <f t="shared" si="768"/>
        <v>0.0043</v>
      </c>
      <c r="Q413" s="7">
        <f t="shared" si="7"/>
        <v>0.3181643024</v>
      </c>
      <c r="R413" s="7">
        <f t="shared" si="8"/>
        <v>0.4430989407</v>
      </c>
      <c r="S413" s="7">
        <f t="shared" si="2"/>
        <v>1.403182584</v>
      </c>
      <c r="T413" s="7">
        <f t="shared" si="3"/>
        <v>0.6053924347</v>
      </c>
      <c r="U413" s="7">
        <f t="shared" si="4"/>
        <v>1</v>
      </c>
      <c r="V413" s="7">
        <f t="shared" si="5"/>
        <v>1</v>
      </c>
      <c r="W413" s="7">
        <f t="shared" ref="W413:X413" si="769">IF(AVERAGE(U353:U412) &gt; 0.25, 1, 0)</f>
        <v>1</v>
      </c>
      <c r="X413" s="7">
        <f t="shared" si="769"/>
        <v>1</v>
      </c>
      <c r="Y413" s="8">
        <v>1.0</v>
      </c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</row>
    <row r="414" ht="22.5" customHeight="1">
      <c r="B414" s="6">
        <v>413.0</v>
      </c>
      <c r="C414" s="6">
        <v>88979.0</v>
      </c>
      <c r="D414" s="6">
        <v>0.77</v>
      </c>
      <c r="E414" s="6">
        <v>-0.36</v>
      </c>
      <c r="F414" s="6">
        <v>10.82</v>
      </c>
      <c r="G414" s="6">
        <v>-0.24</v>
      </c>
      <c r="H414" s="6">
        <v>-0.26</v>
      </c>
      <c r="I414" s="6">
        <v>-2.25</v>
      </c>
      <c r="J414" s="6">
        <v>33.37</v>
      </c>
      <c r="K414" s="7">
        <f t="shared" ref="K414:P414" si="770">abs(D414-D413)/200</f>
        <v>0.01315</v>
      </c>
      <c r="L414" s="7">
        <f t="shared" si="770"/>
        <v>0.00835</v>
      </c>
      <c r="M414" s="7">
        <f t="shared" si="770"/>
        <v>0.0017</v>
      </c>
      <c r="N414" s="7">
        <f t="shared" si="770"/>
        <v>0.00125</v>
      </c>
      <c r="O414" s="7">
        <f t="shared" si="770"/>
        <v>0.0009</v>
      </c>
      <c r="P414" s="7">
        <f t="shared" si="770"/>
        <v>0.00825</v>
      </c>
      <c r="Q414" s="7">
        <f t="shared" si="7"/>
        <v>1.672259865</v>
      </c>
      <c r="R414" s="7">
        <f t="shared" si="8"/>
        <v>0.3498466908</v>
      </c>
      <c r="S414" s="7">
        <f t="shared" si="2"/>
        <v>1.053335893</v>
      </c>
      <c r="T414" s="7">
        <f t="shared" si="3"/>
        <v>2.2776523</v>
      </c>
      <c r="U414" s="7">
        <f t="shared" si="4"/>
        <v>1</v>
      </c>
      <c r="V414" s="7">
        <f t="shared" si="5"/>
        <v>1</v>
      </c>
      <c r="W414" s="7">
        <f t="shared" ref="W414:X414" si="771">IF(AVERAGE(U354:U413) &gt; 0.25, 1, 0)</f>
        <v>1</v>
      </c>
      <c r="X414" s="7">
        <f t="shared" si="771"/>
        <v>1</v>
      </c>
      <c r="Y414" s="8">
        <v>1.0</v>
      </c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</row>
    <row r="415" ht="22.5" customHeight="1">
      <c r="B415" s="6">
        <v>414.0</v>
      </c>
      <c r="C415" s="6">
        <v>89183.0</v>
      </c>
      <c r="D415" s="6">
        <v>-2.24</v>
      </c>
      <c r="E415" s="6">
        <v>2.73</v>
      </c>
      <c r="F415" s="6">
        <v>11.14</v>
      </c>
      <c r="G415" s="6">
        <v>-0.15</v>
      </c>
      <c r="H415" s="6">
        <v>-0.14</v>
      </c>
      <c r="I415" s="6">
        <v>-0.73</v>
      </c>
      <c r="J415" s="6">
        <v>33.35</v>
      </c>
      <c r="K415" s="7">
        <f t="shared" ref="K415:P415" si="772">abs(D415-D414)/200</f>
        <v>0.01505</v>
      </c>
      <c r="L415" s="7">
        <f t="shared" si="772"/>
        <v>0.01545</v>
      </c>
      <c r="M415" s="7">
        <f t="shared" si="772"/>
        <v>0.0016</v>
      </c>
      <c r="N415" s="7">
        <f t="shared" si="772"/>
        <v>0.00045</v>
      </c>
      <c r="O415" s="7">
        <f t="shared" si="772"/>
        <v>0.0006</v>
      </c>
      <c r="P415" s="7">
        <f t="shared" si="772"/>
        <v>0.0076</v>
      </c>
      <c r="Q415" s="7">
        <f t="shared" si="7"/>
        <v>1.519364756</v>
      </c>
      <c r="R415" s="7">
        <f t="shared" si="8"/>
        <v>0.8329851708</v>
      </c>
      <c r="S415" s="7">
        <f t="shared" si="2"/>
        <v>1.886321064</v>
      </c>
      <c r="T415" s="7">
        <f t="shared" si="3"/>
        <v>0.7582875444</v>
      </c>
      <c r="U415" s="7">
        <f t="shared" si="4"/>
        <v>1</v>
      </c>
      <c r="V415" s="7">
        <f t="shared" si="5"/>
        <v>1</v>
      </c>
      <c r="W415" s="7">
        <f t="shared" ref="W415:X415" si="773">IF(AVERAGE(U355:U414) &gt; 0.25, 1, 0)</f>
        <v>1</v>
      </c>
      <c r="X415" s="7">
        <f t="shared" si="773"/>
        <v>1</v>
      </c>
      <c r="Y415" s="8">
        <v>1.0</v>
      </c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</row>
    <row r="416" ht="22.5" customHeight="1">
      <c r="B416" s="6">
        <v>415.0</v>
      </c>
      <c r="C416" s="6">
        <v>89387.0</v>
      </c>
      <c r="D416" s="6">
        <v>0.1</v>
      </c>
      <c r="E416" s="6">
        <v>1.56</v>
      </c>
      <c r="F416" s="6">
        <v>10.79</v>
      </c>
      <c r="G416" s="6">
        <v>-0.16</v>
      </c>
      <c r="H416" s="6">
        <v>0.13</v>
      </c>
      <c r="I416" s="6">
        <v>-0.62</v>
      </c>
      <c r="J416" s="6">
        <v>33.35</v>
      </c>
      <c r="K416" s="7">
        <f t="shared" ref="K416:P416" si="774">abs(D416-D415)/200</f>
        <v>0.0117</v>
      </c>
      <c r="L416" s="7">
        <f t="shared" si="774"/>
        <v>0.00585</v>
      </c>
      <c r="M416" s="7">
        <f t="shared" si="774"/>
        <v>0.00175</v>
      </c>
      <c r="N416" s="7">
        <f t="shared" si="774"/>
        <v>0.00005</v>
      </c>
      <c r="O416" s="7">
        <f t="shared" si="774"/>
        <v>0.00135</v>
      </c>
      <c r="P416" s="7">
        <f t="shared" si="774"/>
        <v>0.00055</v>
      </c>
      <c r="Q416" s="7">
        <f t="shared" si="7"/>
        <v>0.1049116954</v>
      </c>
      <c r="R416" s="7">
        <f t="shared" si="8"/>
        <v>0.7836745958</v>
      </c>
      <c r="S416" s="7">
        <f t="shared" si="2"/>
        <v>1.102646468</v>
      </c>
      <c r="T416" s="7">
        <f t="shared" si="3"/>
        <v>0.653375849</v>
      </c>
      <c r="U416" s="7">
        <f t="shared" si="4"/>
        <v>1</v>
      </c>
      <c r="V416" s="7">
        <f t="shared" si="5"/>
        <v>1</v>
      </c>
      <c r="W416" s="7">
        <f t="shared" ref="W416:X416" si="775">IF(AVERAGE(U356:U415) &gt; 0.25, 1, 0)</f>
        <v>1</v>
      </c>
      <c r="X416" s="7">
        <f t="shared" si="775"/>
        <v>1</v>
      </c>
      <c r="Y416" s="8">
        <v>1.0</v>
      </c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</row>
    <row r="417" ht="22.5" customHeight="1">
      <c r="B417" s="6">
        <v>416.0</v>
      </c>
      <c r="C417" s="6">
        <v>89591.0</v>
      </c>
      <c r="D417" s="6">
        <v>-0.6</v>
      </c>
      <c r="E417" s="6">
        <v>0.41</v>
      </c>
      <c r="F417" s="6">
        <v>10.76</v>
      </c>
      <c r="G417" s="6">
        <v>-0.07</v>
      </c>
      <c r="H417" s="6">
        <v>0.15</v>
      </c>
      <c r="I417" s="6">
        <v>1.33</v>
      </c>
      <c r="J417" s="6">
        <v>33.36</v>
      </c>
      <c r="K417" s="7">
        <f t="shared" ref="K417:P417" si="776">abs(D417-D416)/200</f>
        <v>0.0035</v>
      </c>
      <c r="L417" s="7">
        <f t="shared" si="776"/>
        <v>0.00575</v>
      </c>
      <c r="M417" s="7">
        <f t="shared" si="776"/>
        <v>0.00015</v>
      </c>
      <c r="N417" s="7">
        <f t="shared" si="776"/>
        <v>0.00045</v>
      </c>
      <c r="O417" s="7">
        <f t="shared" si="776"/>
        <v>0.0001</v>
      </c>
      <c r="P417" s="7">
        <f t="shared" si="776"/>
        <v>0.00975</v>
      </c>
      <c r="Q417" s="7">
        <f t="shared" si="7"/>
        <v>0.6868853196</v>
      </c>
      <c r="R417" s="7">
        <f t="shared" si="8"/>
        <v>0.118134425</v>
      </c>
      <c r="S417" s="7">
        <f t="shared" si="2"/>
        <v>0.9845120427</v>
      </c>
      <c r="T417" s="7">
        <f t="shared" si="3"/>
        <v>1.340261169</v>
      </c>
      <c r="U417" s="7">
        <f t="shared" si="4"/>
        <v>1</v>
      </c>
      <c r="V417" s="7">
        <f t="shared" si="5"/>
        <v>1</v>
      </c>
      <c r="W417" s="7">
        <f t="shared" ref="W417:X417" si="777">IF(AVERAGE(U357:U416) &gt; 0.25, 1, 0)</f>
        <v>1</v>
      </c>
      <c r="X417" s="7">
        <f t="shared" si="777"/>
        <v>1</v>
      </c>
      <c r="Y417" s="8">
        <v>1.0</v>
      </c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</row>
    <row r="418" ht="22.5" customHeight="1">
      <c r="B418" s="6">
        <v>417.0</v>
      </c>
      <c r="C418" s="6">
        <v>89795.0</v>
      </c>
      <c r="D418" s="6">
        <v>0.83</v>
      </c>
      <c r="E418" s="6">
        <v>-1.12</v>
      </c>
      <c r="F418" s="6">
        <v>10.84</v>
      </c>
      <c r="G418" s="6">
        <v>-0.03</v>
      </c>
      <c r="H418" s="6">
        <v>0.08</v>
      </c>
      <c r="I418" s="6">
        <v>2.94</v>
      </c>
      <c r="J418" s="6">
        <v>33.36</v>
      </c>
      <c r="K418" s="7">
        <f t="shared" ref="K418:P418" si="778">abs(D418-D417)/200</f>
        <v>0.00715</v>
      </c>
      <c r="L418" s="7">
        <f t="shared" si="778"/>
        <v>0.00765</v>
      </c>
      <c r="M418" s="7">
        <f t="shared" si="778"/>
        <v>0.0004</v>
      </c>
      <c r="N418" s="7">
        <f t="shared" si="778"/>
        <v>0.0002</v>
      </c>
      <c r="O418" s="7">
        <f t="shared" si="778"/>
        <v>0.00035</v>
      </c>
      <c r="P418" s="7">
        <f t="shared" si="778"/>
        <v>0.00805</v>
      </c>
      <c r="Q418" s="7">
        <f t="shared" si="7"/>
        <v>1.600980066</v>
      </c>
      <c r="R418" s="7">
        <f t="shared" si="8"/>
        <v>0.1447560023</v>
      </c>
      <c r="S418" s="7">
        <f t="shared" si="2"/>
        <v>1.129268045</v>
      </c>
      <c r="T418" s="7">
        <f t="shared" si="3"/>
        <v>2.941241235</v>
      </c>
      <c r="U418" s="7">
        <f t="shared" si="4"/>
        <v>1</v>
      </c>
      <c r="V418" s="7">
        <f t="shared" si="5"/>
        <v>1</v>
      </c>
      <c r="W418" s="7">
        <f t="shared" ref="W418:X418" si="779">IF(AVERAGE(U358:U417) &gt; 0.25, 1, 0)</f>
        <v>1</v>
      </c>
      <c r="X418" s="7">
        <f t="shared" si="779"/>
        <v>1</v>
      </c>
      <c r="Y418" s="8">
        <v>1.0</v>
      </c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</row>
    <row r="419" ht="22.5" customHeight="1">
      <c r="B419" s="6">
        <v>418.0</v>
      </c>
      <c r="C419" s="6">
        <v>89999.0</v>
      </c>
      <c r="D419" s="6">
        <v>1.65</v>
      </c>
      <c r="E419" s="6">
        <v>0.09</v>
      </c>
      <c r="F419" s="6">
        <v>10.84</v>
      </c>
      <c r="G419" s="6">
        <v>-0.04</v>
      </c>
      <c r="H419" s="6">
        <v>0.04</v>
      </c>
      <c r="I419" s="6">
        <v>0.42</v>
      </c>
      <c r="J419" s="6">
        <v>33.36</v>
      </c>
      <c r="K419" s="7">
        <f t="shared" ref="K419:P419" si="780">abs(D419-D418)/200</f>
        <v>0.0041</v>
      </c>
      <c r="L419" s="7">
        <f t="shared" si="780"/>
        <v>0.00605</v>
      </c>
      <c r="M419" s="7">
        <f t="shared" si="780"/>
        <v>0</v>
      </c>
      <c r="N419" s="7">
        <f t="shared" si="780"/>
        <v>0.00005</v>
      </c>
      <c r="O419" s="7">
        <f t="shared" si="780"/>
        <v>0.0002</v>
      </c>
      <c r="P419" s="7">
        <f t="shared" si="780"/>
        <v>0.0126</v>
      </c>
      <c r="Q419" s="7">
        <f t="shared" si="7"/>
        <v>2.517448833</v>
      </c>
      <c r="R419" s="7">
        <f t="shared" si="8"/>
        <v>0.03595881081</v>
      </c>
      <c r="S419" s="7">
        <f t="shared" si="2"/>
        <v>1.165226856</v>
      </c>
      <c r="T419" s="7">
        <f t="shared" si="3"/>
        <v>0.423792402</v>
      </c>
      <c r="U419" s="7">
        <f t="shared" si="4"/>
        <v>1</v>
      </c>
      <c r="V419" s="7">
        <f t="shared" si="5"/>
        <v>1</v>
      </c>
      <c r="W419" s="7">
        <f t="shared" ref="W419:X419" si="781">IF(AVERAGE(U359:U418) &gt; 0.25, 1, 0)</f>
        <v>1</v>
      </c>
      <c r="X419" s="7">
        <f t="shared" si="781"/>
        <v>1</v>
      </c>
      <c r="Y419" s="8">
        <v>1.0</v>
      </c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</row>
    <row r="420" ht="22.5" customHeight="1">
      <c r="B420" s="6">
        <v>419.0</v>
      </c>
      <c r="C420" s="6">
        <v>90203.0</v>
      </c>
      <c r="D420" s="6">
        <v>3.12</v>
      </c>
      <c r="E420" s="6">
        <v>-1.77</v>
      </c>
      <c r="F420" s="6">
        <v>10.47</v>
      </c>
      <c r="G420" s="6">
        <v>-0.04</v>
      </c>
      <c r="H420" s="6">
        <v>-0.11</v>
      </c>
      <c r="I420" s="6">
        <v>-1.18</v>
      </c>
      <c r="J420" s="6">
        <v>33.36</v>
      </c>
      <c r="K420" s="7">
        <f t="shared" ref="K420:P420" si="782">abs(D420-D419)/200</f>
        <v>0.00735</v>
      </c>
      <c r="L420" s="7">
        <f t="shared" si="782"/>
        <v>0.0093</v>
      </c>
      <c r="M420" s="7">
        <f t="shared" si="782"/>
        <v>0.00185</v>
      </c>
      <c r="N420" s="7">
        <f t="shared" si="782"/>
        <v>0</v>
      </c>
      <c r="O420" s="7">
        <f t="shared" si="782"/>
        <v>0.00075</v>
      </c>
      <c r="P420" s="7">
        <f t="shared" si="782"/>
        <v>0.008</v>
      </c>
      <c r="Q420" s="7">
        <f t="shared" si="7"/>
        <v>0.7619984733</v>
      </c>
      <c r="R420" s="7">
        <f t="shared" si="8"/>
        <v>0.1022118723</v>
      </c>
      <c r="S420" s="7">
        <f t="shared" si="2"/>
        <v>1.267438728</v>
      </c>
      <c r="T420" s="7">
        <f t="shared" si="3"/>
        <v>1.185790875</v>
      </c>
      <c r="U420" s="7">
        <f t="shared" si="4"/>
        <v>1</v>
      </c>
      <c r="V420" s="7">
        <f t="shared" si="5"/>
        <v>1</v>
      </c>
      <c r="W420" s="7">
        <f t="shared" ref="W420:X420" si="783">IF(AVERAGE(U360:U419) &gt; 0.25, 1, 0)</f>
        <v>1</v>
      </c>
      <c r="X420" s="7">
        <f t="shared" si="783"/>
        <v>1</v>
      </c>
      <c r="Y420" s="8">
        <v>1.0</v>
      </c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</row>
    <row r="421" ht="22.5" customHeight="1">
      <c r="B421" s="6">
        <v>420.0</v>
      </c>
      <c r="C421" s="6">
        <v>90407.0</v>
      </c>
      <c r="D421" s="6">
        <v>0.57</v>
      </c>
      <c r="E421" s="6">
        <v>-0.57</v>
      </c>
      <c r="F421" s="6">
        <v>11.17</v>
      </c>
      <c r="G421" s="6">
        <v>-0.22</v>
      </c>
      <c r="H421" s="6">
        <v>-0.29</v>
      </c>
      <c r="I421" s="6">
        <v>-2.63</v>
      </c>
      <c r="J421" s="6">
        <v>33.36</v>
      </c>
      <c r="K421" s="7">
        <f t="shared" ref="K421:P421" si="784">abs(D421-D420)/200</f>
        <v>0.01275</v>
      </c>
      <c r="L421" s="7">
        <f t="shared" si="784"/>
        <v>0.006</v>
      </c>
      <c r="M421" s="7">
        <f t="shared" si="784"/>
        <v>0.0035</v>
      </c>
      <c r="N421" s="7">
        <f t="shared" si="784"/>
        <v>0.0009</v>
      </c>
      <c r="O421" s="7">
        <f t="shared" si="784"/>
        <v>0.0009</v>
      </c>
      <c r="P421" s="7">
        <f t="shared" si="784"/>
        <v>0.00725</v>
      </c>
      <c r="Q421" s="7">
        <f t="shared" si="7"/>
        <v>1.469279745</v>
      </c>
      <c r="R421" s="7">
        <f t="shared" si="8"/>
        <v>0.1316103387</v>
      </c>
      <c r="S421" s="7">
        <f t="shared" si="2"/>
        <v>1.399049067</v>
      </c>
      <c r="T421" s="7">
        <f t="shared" si="3"/>
        <v>2.655070621</v>
      </c>
      <c r="U421" s="7">
        <f t="shared" si="4"/>
        <v>1</v>
      </c>
      <c r="V421" s="7">
        <f t="shared" si="5"/>
        <v>1</v>
      </c>
      <c r="W421" s="7">
        <f t="shared" ref="W421:X421" si="785">IF(AVERAGE(U361:U420) &gt; 0.25, 1, 0)</f>
        <v>1</v>
      </c>
      <c r="X421" s="7">
        <f t="shared" si="785"/>
        <v>1</v>
      </c>
      <c r="Y421" s="8">
        <v>1.0</v>
      </c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</row>
    <row r="422" ht="22.5" customHeight="1">
      <c r="B422" s="6">
        <v>421.0</v>
      </c>
      <c r="C422" s="6">
        <v>90611.0</v>
      </c>
      <c r="D422" s="6">
        <v>-3.21</v>
      </c>
      <c r="E422" s="6">
        <v>1.77</v>
      </c>
      <c r="F422" s="6">
        <v>11.04</v>
      </c>
      <c r="G422" s="6">
        <v>-0.25</v>
      </c>
      <c r="H422" s="6">
        <v>-0.2</v>
      </c>
      <c r="I422" s="6">
        <v>-2.65</v>
      </c>
      <c r="J422" s="6">
        <v>33.36</v>
      </c>
      <c r="K422" s="7">
        <f t="shared" ref="K422:P422" si="786">abs(D422-D421)/200</f>
        <v>0.0189</v>
      </c>
      <c r="L422" s="7">
        <f t="shared" si="786"/>
        <v>0.0117</v>
      </c>
      <c r="M422" s="7">
        <f t="shared" si="786"/>
        <v>0.00065</v>
      </c>
      <c r="N422" s="7">
        <f t="shared" si="786"/>
        <v>0.00015</v>
      </c>
      <c r="O422" s="7">
        <f t="shared" si="786"/>
        <v>0.00045</v>
      </c>
      <c r="P422" s="7">
        <f t="shared" si="786"/>
        <v>0.0001</v>
      </c>
      <c r="Q422" s="7">
        <f t="shared" si="7"/>
        <v>0.01419894248</v>
      </c>
      <c r="R422" s="7">
        <f t="shared" si="8"/>
        <v>0.4336032533</v>
      </c>
      <c r="S422" s="7">
        <f t="shared" si="2"/>
        <v>1.83265232</v>
      </c>
      <c r="T422" s="7">
        <f t="shared" si="3"/>
        <v>2.669269563</v>
      </c>
      <c r="U422" s="7">
        <f t="shared" si="4"/>
        <v>1</v>
      </c>
      <c r="V422" s="7">
        <f t="shared" si="5"/>
        <v>1</v>
      </c>
      <c r="W422" s="7">
        <f t="shared" ref="W422:X422" si="787">IF(AVERAGE(U362:U421) &gt; 0.25, 1, 0)</f>
        <v>1</v>
      </c>
      <c r="X422" s="7">
        <f t="shared" si="787"/>
        <v>1</v>
      </c>
      <c r="Y422" s="8">
        <v>1.0</v>
      </c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</row>
    <row r="423" ht="22.5" customHeight="1">
      <c r="B423" s="6">
        <v>422.0</v>
      </c>
      <c r="C423" s="6">
        <v>90815.0</v>
      </c>
      <c r="D423" s="6">
        <v>0.59</v>
      </c>
      <c r="E423" s="6">
        <v>0.83</v>
      </c>
      <c r="F423" s="6">
        <v>10.62</v>
      </c>
      <c r="G423" s="6">
        <v>-0.16</v>
      </c>
      <c r="H423" s="6">
        <v>0.08</v>
      </c>
      <c r="I423" s="6">
        <v>-0.83</v>
      </c>
      <c r="J423" s="6">
        <v>33.36</v>
      </c>
      <c r="K423" s="7">
        <f t="shared" ref="K423:P423" si="788">abs(D423-D422)/200</f>
        <v>0.019</v>
      </c>
      <c r="L423" s="7">
        <f t="shared" si="788"/>
        <v>0.0047</v>
      </c>
      <c r="M423" s="7">
        <f t="shared" si="788"/>
        <v>0.0021</v>
      </c>
      <c r="N423" s="7">
        <f t="shared" si="788"/>
        <v>0.00045</v>
      </c>
      <c r="O423" s="7">
        <f t="shared" si="788"/>
        <v>0.0014</v>
      </c>
      <c r="P423" s="7">
        <f t="shared" si="788"/>
        <v>0.0091</v>
      </c>
      <c r="Q423" s="7">
        <f t="shared" si="7"/>
        <v>1.820211261</v>
      </c>
      <c r="R423" s="7">
        <f t="shared" si="8"/>
        <v>0.9639410577</v>
      </c>
      <c r="S423" s="7">
        <f t="shared" si="2"/>
        <v>0.8687112624</v>
      </c>
      <c r="T423" s="7">
        <f t="shared" si="3"/>
        <v>0.8490583019</v>
      </c>
      <c r="U423" s="7">
        <f t="shared" si="4"/>
        <v>1</v>
      </c>
      <c r="V423" s="7">
        <f t="shared" si="5"/>
        <v>1</v>
      </c>
      <c r="W423" s="7">
        <f t="shared" ref="W423:X423" si="789">IF(AVERAGE(U363:U422) &gt; 0.25, 1, 0)</f>
        <v>1</v>
      </c>
      <c r="X423" s="7">
        <f t="shared" si="789"/>
        <v>1</v>
      </c>
      <c r="Y423" s="8">
        <v>1.0</v>
      </c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</row>
    <row r="424" ht="22.5" customHeight="1">
      <c r="B424" s="6">
        <v>423.0</v>
      </c>
      <c r="C424" s="6">
        <v>91019.0</v>
      </c>
      <c r="D424" s="6">
        <v>-0.11</v>
      </c>
      <c r="E424" s="6">
        <v>1.62</v>
      </c>
      <c r="F424" s="6">
        <v>10.75</v>
      </c>
      <c r="G424" s="6">
        <v>-0.12</v>
      </c>
      <c r="H424" s="6">
        <v>-0.01</v>
      </c>
      <c r="I424" s="6">
        <v>0.01</v>
      </c>
      <c r="J424" s="6">
        <v>33.35</v>
      </c>
      <c r="K424" s="7">
        <f t="shared" ref="K424:P424" si="790">abs(D424-D423)/200</f>
        <v>0.0035</v>
      </c>
      <c r="L424" s="7">
        <f t="shared" si="790"/>
        <v>0.00395</v>
      </c>
      <c r="M424" s="7">
        <f t="shared" si="790"/>
        <v>0.00065</v>
      </c>
      <c r="N424" s="7">
        <f t="shared" si="790"/>
        <v>0.0002</v>
      </c>
      <c r="O424" s="7">
        <f t="shared" si="790"/>
        <v>0.00045</v>
      </c>
      <c r="P424" s="7">
        <f t="shared" si="790"/>
        <v>0.0042</v>
      </c>
      <c r="Q424" s="7">
        <f t="shared" si="7"/>
        <v>0.7282278421</v>
      </c>
      <c r="R424" s="7">
        <f t="shared" si="8"/>
        <v>0.2032250877</v>
      </c>
      <c r="S424" s="7">
        <f t="shared" si="2"/>
        <v>1.07193635</v>
      </c>
      <c r="T424" s="7">
        <f t="shared" si="3"/>
        <v>0.1208304597</v>
      </c>
      <c r="U424" s="7">
        <f t="shared" si="4"/>
        <v>1</v>
      </c>
      <c r="V424" s="7">
        <f t="shared" si="5"/>
        <v>1</v>
      </c>
      <c r="W424" s="7">
        <f t="shared" ref="W424:X424" si="791">IF(AVERAGE(U364:U423) &gt; 0.25, 1, 0)</f>
        <v>1</v>
      </c>
      <c r="X424" s="7">
        <f t="shared" si="791"/>
        <v>1</v>
      </c>
      <c r="Y424" s="8">
        <v>1.0</v>
      </c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</row>
    <row r="425" ht="22.5" customHeight="1">
      <c r="B425" s="6">
        <v>424.0</v>
      </c>
      <c r="C425" s="6">
        <v>91223.0</v>
      </c>
      <c r="D425" s="6">
        <v>0.11</v>
      </c>
      <c r="E425" s="6">
        <v>0.23</v>
      </c>
      <c r="F425" s="6">
        <v>10.94</v>
      </c>
      <c r="G425" s="6">
        <v>-0.05</v>
      </c>
      <c r="H425" s="6">
        <v>0.08</v>
      </c>
      <c r="I425" s="6">
        <v>1.97</v>
      </c>
      <c r="J425" s="6">
        <v>33.35</v>
      </c>
      <c r="K425" s="7">
        <f t="shared" ref="K425:P425" si="792">abs(D425-D424)/200</f>
        <v>0.0011</v>
      </c>
      <c r="L425" s="7">
        <f t="shared" si="792"/>
        <v>0.00695</v>
      </c>
      <c r="M425" s="7">
        <f t="shared" si="792"/>
        <v>0.00095</v>
      </c>
      <c r="N425" s="7">
        <f t="shared" si="792"/>
        <v>0.00035</v>
      </c>
      <c r="O425" s="7">
        <f t="shared" si="792"/>
        <v>0.00045</v>
      </c>
      <c r="P425" s="7">
        <f t="shared" si="792"/>
        <v>0.0098</v>
      </c>
      <c r="Q425" s="7">
        <f t="shared" si="7"/>
        <v>1.85142713</v>
      </c>
      <c r="R425" s="7">
        <f t="shared" si="8"/>
        <v>0.07103399623</v>
      </c>
      <c r="S425" s="7">
        <f t="shared" si="2"/>
        <v>1.142970346</v>
      </c>
      <c r="T425" s="7">
        <f t="shared" si="3"/>
        <v>1.97225759</v>
      </c>
      <c r="U425" s="7">
        <f t="shared" si="4"/>
        <v>1</v>
      </c>
      <c r="V425" s="7">
        <f t="shared" si="5"/>
        <v>1</v>
      </c>
      <c r="W425" s="7">
        <f t="shared" ref="W425:X425" si="793">IF(AVERAGE(U365:U424) &gt; 0.25, 1, 0)</f>
        <v>1</v>
      </c>
      <c r="X425" s="7">
        <f t="shared" si="793"/>
        <v>1</v>
      </c>
      <c r="Y425" s="8">
        <v>1.0</v>
      </c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</row>
    <row r="426" ht="22.5" customHeight="1">
      <c r="B426" s="6">
        <v>425.0</v>
      </c>
      <c r="C426" s="6">
        <v>91427.0</v>
      </c>
      <c r="D426" s="6">
        <v>0.28</v>
      </c>
      <c r="E426" s="6">
        <v>-0.67</v>
      </c>
      <c r="F426" s="6">
        <v>10.85</v>
      </c>
      <c r="G426" s="6">
        <v>-0.05</v>
      </c>
      <c r="H426" s="6">
        <v>0.15</v>
      </c>
      <c r="I426" s="6">
        <v>2.75</v>
      </c>
      <c r="J426" s="6">
        <v>33.35</v>
      </c>
      <c r="K426" s="7">
        <f t="shared" ref="K426:P426" si="794">abs(D426-D425)/200</f>
        <v>0.00085</v>
      </c>
      <c r="L426" s="7">
        <f t="shared" si="794"/>
        <v>0.0045</v>
      </c>
      <c r="M426" s="7">
        <f t="shared" si="794"/>
        <v>0.00045</v>
      </c>
      <c r="N426" s="7">
        <f t="shared" si="794"/>
        <v>0</v>
      </c>
      <c r="O426" s="7">
        <f t="shared" si="794"/>
        <v>0.00035</v>
      </c>
      <c r="P426" s="7">
        <f t="shared" si="794"/>
        <v>0.0039</v>
      </c>
      <c r="Q426" s="7">
        <f t="shared" si="7"/>
        <v>0.7822841145</v>
      </c>
      <c r="R426" s="7">
        <f t="shared" si="8"/>
        <v>0.06869795685</v>
      </c>
      <c r="S426" s="7">
        <f t="shared" si="2"/>
        <v>1.074272389</v>
      </c>
      <c r="T426" s="7">
        <f t="shared" si="3"/>
        <v>2.754541704</v>
      </c>
      <c r="U426" s="7">
        <f t="shared" si="4"/>
        <v>1</v>
      </c>
      <c r="V426" s="7">
        <f t="shared" si="5"/>
        <v>1</v>
      </c>
      <c r="W426" s="7">
        <f t="shared" ref="W426:X426" si="795">IF(AVERAGE(U366:U425) &gt; 0.25, 1, 0)</f>
        <v>1</v>
      </c>
      <c r="X426" s="7">
        <f t="shared" si="795"/>
        <v>1</v>
      </c>
      <c r="Y426" s="8">
        <v>1.0</v>
      </c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</row>
    <row r="427" ht="22.5" customHeight="1">
      <c r="B427" s="6">
        <v>426.0</v>
      </c>
      <c r="C427" s="6">
        <v>91631.0</v>
      </c>
      <c r="D427" s="6">
        <v>3.23</v>
      </c>
      <c r="E427" s="6">
        <v>-1.72</v>
      </c>
      <c r="F427" s="6">
        <v>10.6</v>
      </c>
      <c r="G427" s="6">
        <v>-0.02</v>
      </c>
      <c r="H427" s="6">
        <v>0.07</v>
      </c>
      <c r="I427" s="6">
        <v>2.63</v>
      </c>
      <c r="J427" s="6">
        <v>33.35</v>
      </c>
      <c r="K427" s="7">
        <f t="shared" ref="K427:P427" si="796">abs(D427-D426)/200</f>
        <v>0.01475</v>
      </c>
      <c r="L427" s="7">
        <f t="shared" si="796"/>
        <v>0.00525</v>
      </c>
      <c r="M427" s="7">
        <f t="shared" si="796"/>
        <v>0.00125</v>
      </c>
      <c r="N427" s="7">
        <f t="shared" si="796"/>
        <v>0.00015</v>
      </c>
      <c r="O427" s="7">
        <f t="shared" si="796"/>
        <v>0.0004</v>
      </c>
      <c r="P427" s="7">
        <f t="shared" si="796"/>
        <v>0.0006</v>
      </c>
      <c r="Q427" s="7">
        <f t="shared" si="7"/>
        <v>0.1235342925</v>
      </c>
      <c r="R427" s="7">
        <f t="shared" si="8"/>
        <v>0.3396163205</v>
      </c>
      <c r="S427" s="7">
        <f t="shared" si="2"/>
        <v>1.41388871</v>
      </c>
      <c r="T427" s="7">
        <f t="shared" si="3"/>
        <v>2.631007412</v>
      </c>
      <c r="U427" s="7">
        <f t="shared" si="4"/>
        <v>1</v>
      </c>
      <c r="V427" s="7">
        <f t="shared" si="5"/>
        <v>1</v>
      </c>
      <c r="W427" s="7">
        <f t="shared" ref="W427:X427" si="797">IF(AVERAGE(U367:U426) &gt; 0.25, 1, 0)</f>
        <v>1</v>
      </c>
      <c r="X427" s="7">
        <f t="shared" si="797"/>
        <v>1</v>
      </c>
      <c r="Y427" s="8">
        <v>1.0</v>
      </c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</row>
    <row r="428" ht="22.5" customHeight="1">
      <c r="B428" s="6">
        <v>427.0</v>
      </c>
      <c r="C428" s="6">
        <v>91835.0</v>
      </c>
      <c r="D428" s="6">
        <v>3.06</v>
      </c>
      <c r="E428" s="6">
        <v>-1.6</v>
      </c>
      <c r="F428" s="6">
        <v>10.6</v>
      </c>
      <c r="G428" s="6">
        <v>0.0</v>
      </c>
      <c r="H428" s="6">
        <v>-0.07</v>
      </c>
      <c r="I428" s="6">
        <v>0.47</v>
      </c>
      <c r="J428" s="6">
        <v>33.35</v>
      </c>
      <c r="K428" s="7">
        <f t="shared" ref="K428:P428" si="798">abs(D428-D427)/200</f>
        <v>0.00085</v>
      </c>
      <c r="L428" s="7">
        <f t="shared" si="798"/>
        <v>0.0006</v>
      </c>
      <c r="M428" s="7">
        <f t="shared" si="798"/>
        <v>0</v>
      </c>
      <c r="N428" s="7">
        <f t="shared" si="798"/>
        <v>0.0001</v>
      </c>
      <c r="O428" s="7">
        <f t="shared" si="798"/>
        <v>0.0007</v>
      </c>
      <c r="P428" s="7">
        <f t="shared" si="798"/>
        <v>0.0108</v>
      </c>
      <c r="Q428" s="7">
        <f t="shared" si="7"/>
        <v>2.155823237</v>
      </c>
      <c r="R428" s="7">
        <f t="shared" si="8"/>
        <v>0.06563324108</v>
      </c>
      <c r="S428" s="7">
        <f t="shared" si="2"/>
        <v>1.348255469</v>
      </c>
      <c r="T428" s="7">
        <f t="shared" si="3"/>
        <v>0.4751841748</v>
      </c>
      <c r="U428" s="7">
        <f t="shared" si="4"/>
        <v>1</v>
      </c>
      <c r="V428" s="7">
        <f t="shared" si="5"/>
        <v>1</v>
      </c>
      <c r="W428" s="7">
        <f t="shared" ref="W428:X428" si="799">IF(AVERAGE(U368:U427) &gt; 0.25, 1, 0)</f>
        <v>1</v>
      </c>
      <c r="X428" s="7">
        <f t="shared" si="799"/>
        <v>1</v>
      </c>
      <c r="Y428" s="8">
        <v>1.0</v>
      </c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</row>
    <row r="429" ht="22.5" customHeight="1">
      <c r="B429" s="6">
        <v>428.0</v>
      </c>
      <c r="C429" s="6">
        <v>92039.0</v>
      </c>
      <c r="D429" s="6">
        <v>-0.03</v>
      </c>
      <c r="E429" s="6">
        <v>2.06</v>
      </c>
      <c r="F429" s="6">
        <v>10.88</v>
      </c>
      <c r="G429" s="6">
        <v>-0.33</v>
      </c>
      <c r="H429" s="6">
        <v>-0.14</v>
      </c>
      <c r="I429" s="6">
        <v>-2.32</v>
      </c>
      <c r="J429" s="6">
        <v>33.36</v>
      </c>
      <c r="K429" s="7">
        <f t="shared" ref="K429:P429" si="800">abs(D429-D428)/200</f>
        <v>0.01545</v>
      </c>
      <c r="L429" s="7">
        <f t="shared" si="800"/>
        <v>0.0183</v>
      </c>
      <c r="M429" s="7">
        <f t="shared" si="800"/>
        <v>0.0014</v>
      </c>
      <c r="N429" s="7">
        <f t="shared" si="800"/>
        <v>0.00165</v>
      </c>
      <c r="O429" s="7">
        <f t="shared" si="800"/>
        <v>0.00035</v>
      </c>
      <c r="P429" s="7">
        <f t="shared" si="800"/>
        <v>0.01395</v>
      </c>
      <c r="Q429" s="7">
        <f t="shared" si="7"/>
        <v>1.872346443</v>
      </c>
      <c r="R429" s="7">
        <f t="shared" si="8"/>
        <v>0.07491360658</v>
      </c>
      <c r="S429" s="7">
        <f t="shared" si="2"/>
        <v>1.273341862</v>
      </c>
      <c r="T429" s="7">
        <f t="shared" si="3"/>
        <v>2.347530617</v>
      </c>
      <c r="U429" s="7">
        <f t="shared" si="4"/>
        <v>1</v>
      </c>
      <c r="V429" s="7">
        <f t="shared" si="5"/>
        <v>1</v>
      </c>
      <c r="W429" s="7">
        <f t="shared" ref="W429:X429" si="801">IF(AVERAGE(U369:U428) &gt; 0.25, 1, 0)</f>
        <v>1</v>
      </c>
      <c r="X429" s="7">
        <f t="shared" si="801"/>
        <v>1</v>
      </c>
      <c r="Y429" s="8">
        <v>1.0</v>
      </c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</row>
    <row r="430" ht="22.5" customHeight="1">
      <c r="B430" s="6">
        <v>429.0</v>
      </c>
      <c r="C430" s="6">
        <v>92243.0</v>
      </c>
      <c r="D430" s="6">
        <v>-0.04</v>
      </c>
      <c r="E430" s="6">
        <v>1.31</v>
      </c>
      <c r="F430" s="6">
        <v>10.69</v>
      </c>
      <c r="G430" s="6">
        <v>-0.24</v>
      </c>
      <c r="H430" s="6">
        <v>0.36</v>
      </c>
      <c r="I430" s="6">
        <v>-1.69</v>
      </c>
      <c r="J430" s="6">
        <v>33.36</v>
      </c>
      <c r="K430" s="7">
        <f t="shared" ref="K430:P430" si="802">abs(D430-D429)/200</f>
        <v>0.00005</v>
      </c>
      <c r="L430" s="7">
        <f t="shared" si="802"/>
        <v>0.00375</v>
      </c>
      <c r="M430" s="7">
        <f t="shared" si="802"/>
        <v>0.00095</v>
      </c>
      <c r="N430" s="7">
        <f t="shared" si="802"/>
        <v>0.00045</v>
      </c>
      <c r="O430" s="7">
        <f t="shared" si="802"/>
        <v>0.0025</v>
      </c>
      <c r="P430" s="7">
        <f t="shared" si="802"/>
        <v>0.00315</v>
      </c>
      <c r="Q430" s="7">
        <f t="shared" si="7"/>
        <v>0.6030249568</v>
      </c>
      <c r="R430" s="7">
        <f t="shared" si="8"/>
        <v>0.3033000797</v>
      </c>
      <c r="S430" s="7">
        <f t="shared" si="2"/>
        <v>0.9700417826</v>
      </c>
      <c r="T430" s="7">
        <f t="shared" si="3"/>
        <v>1.744505661</v>
      </c>
      <c r="U430" s="7">
        <f t="shared" si="4"/>
        <v>1</v>
      </c>
      <c r="V430" s="7">
        <f t="shared" si="5"/>
        <v>1</v>
      </c>
      <c r="W430" s="7">
        <f t="shared" ref="W430:X430" si="803">IF(AVERAGE(U370:U429) &gt; 0.25, 1, 0)</f>
        <v>1</v>
      </c>
      <c r="X430" s="7">
        <f t="shared" si="803"/>
        <v>1</v>
      </c>
      <c r="Y430" s="8">
        <v>1.0</v>
      </c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</row>
    <row r="431" ht="22.5" customHeight="1">
      <c r="B431" s="6">
        <v>430.0</v>
      </c>
      <c r="C431" s="6">
        <v>92447.0</v>
      </c>
      <c r="D431" s="6">
        <v>-1.49</v>
      </c>
      <c r="E431" s="6">
        <v>0.6</v>
      </c>
      <c r="F431" s="6">
        <v>11.0</v>
      </c>
      <c r="G431" s="6">
        <v>-0.13</v>
      </c>
      <c r="H431" s="6">
        <v>-0.24</v>
      </c>
      <c r="I431" s="6">
        <v>2.24</v>
      </c>
      <c r="J431" s="6">
        <v>33.35</v>
      </c>
      <c r="K431" s="7">
        <f t="shared" ref="K431:P431" si="804">abs(D431-D430)/200</f>
        <v>0.00725</v>
      </c>
      <c r="L431" s="7">
        <f t="shared" si="804"/>
        <v>0.00355</v>
      </c>
      <c r="M431" s="7">
        <f t="shared" si="804"/>
        <v>0.00155</v>
      </c>
      <c r="N431" s="7">
        <f t="shared" si="804"/>
        <v>0.00055</v>
      </c>
      <c r="O431" s="7">
        <f t="shared" si="804"/>
        <v>0.003</v>
      </c>
      <c r="P431" s="7">
        <f t="shared" si="804"/>
        <v>0.01965</v>
      </c>
      <c r="Q431" s="7">
        <f t="shared" si="7"/>
        <v>0.5120625302</v>
      </c>
      <c r="R431" s="7">
        <f t="shared" si="8"/>
        <v>0.346616888</v>
      </c>
      <c r="S431" s="7">
        <f t="shared" si="2"/>
        <v>1.316658671</v>
      </c>
      <c r="T431" s="7">
        <f t="shared" si="3"/>
        <v>2.256568191</v>
      </c>
      <c r="U431" s="7">
        <f t="shared" si="4"/>
        <v>1</v>
      </c>
      <c r="V431" s="7">
        <f t="shared" si="5"/>
        <v>1</v>
      </c>
      <c r="W431" s="7">
        <f t="shared" ref="W431:X431" si="805">IF(AVERAGE(U371:U430) &gt; 0.25, 1, 0)</f>
        <v>1</v>
      </c>
      <c r="X431" s="7">
        <f t="shared" si="805"/>
        <v>1</v>
      </c>
      <c r="Y431" s="8">
        <v>1.0</v>
      </c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</row>
    <row r="432" ht="22.5" customHeight="1">
      <c r="B432" s="6">
        <v>431.0</v>
      </c>
      <c r="C432" s="6">
        <v>92651.0</v>
      </c>
      <c r="D432" s="6">
        <v>3.84</v>
      </c>
      <c r="E432" s="6">
        <v>-1.07</v>
      </c>
      <c r="F432" s="6">
        <v>10.75</v>
      </c>
      <c r="G432" s="6">
        <v>0.0</v>
      </c>
      <c r="H432" s="6">
        <v>0.26</v>
      </c>
      <c r="I432" s="6">
        <v>1.2</v>
      </c>
      <c r="J432" s="6">
        <v>33.35</v>
      </c>
      <c r="K432" s="7">
        <f t="shared" ref="K432:P432" si="806">abs(D432-D431)/200</f>
        <v>0.02665</v>
      </c>
      <c r="L432" s="7">
        <f t="shared" si="806"/>
        <v>0.00835</v>
      </c>
      <c r="M432" s="7">
        <f t="shared" si="806"/>
        <v>0.00125</v>
      </c>
      <c r="N432" s="7">
        <f t="shared" si="806"/>
        <v>0.00065</v>
      </c>
      <c r="O432" s="7">
        <f t="shared" si="806"/>
        <v>0.0025</v>
      </c>
      <c r="P432" s="7">
        <f t="shared" si="806"/>
        <v>0.0052</v>
      </c>
      <c r="Q432" s="7">
        <f t="shared" si="7"/>
        <v>1.028724553</v>
      </c>
      <c r="R432" s="7">
        <f t="shared" si="8"/>
        <v>0.34863679</v>
      </c>
      <c r="S432" s="7">
        <f t="shared" si="2"/>
        <v>1.665295461</v>
      </c>
      <c r="T432" s="7">
        <f t="shared" si="3"/>
        <v>1.227843638</v>
      </c>
      <c r="U432" s="7">
        <f t="shared" si="4"/>
        <v>1</v>
      </c>
      <c r="V432" s="7">
        <f t="shared" si="5"/>
        <v>1</v>
      </c>
      <c r="W432" s="7">
        <f t="shared" ref="W432:X432" si="807">IF(AVERAGE(U372:U431) &gt; 0.25, 1, 0)</f>
        <v>1</v>
      </c>
      <c r="X432" s="7">
        <f t="shared" si="807"/>
        <v>1</v>
      </c>
      <c r="Y432" s="8">
        <v>1.0</v>
      </c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</row>
    <row r="433" ht="22.5" customHeight="1">
      <c r="B433" s="6">
        <v>432.0</v>
      </c>
      <c r="C433" s="6">
        <v>92855.0</v>
      </c>
      <c r="D433" s="6">
        <v>3.97</v>
      </c>
      <c r="E433" s="6">
        <v>-0.35</v>
      </c>
      <c r="F433" s="6">
        <v>10.54</v>
      </c>
      <c r="G433" s="6">
        <v>-0.27</v>
      </c>
      <c r="H433" s="6">
        <v>-0.31</v>
      </c>
      <c r="I433" s="6">
        <v>-1.75</v>
      </c>
      <c r="J433" s="6">
        <v>33.36</v>
      </c>
      <c r="K433" s="7">
        <f t="shared" ref="K433:P433" si="808">abs(D433-D432)/200</f>
        <v>0.00065</v>
      </c>
      <c r="L433" s="7">
        <f t="shared" si="808"/>
        <v>0.0036</v>
      </c>
      <c r="M433" s="7">
        <f t="shared" si="808"/>
        <v>0.00105</v>
      </c>
      <c r="N433" s="7">
        <f t="shared" si="808"/>
        <v>0.00135</v>
      </c>
      <c r="O433" s="7">
        <f t="shared" si="808"/>
        <v>0.00285</v>
      </c>
      <c r="P433" s="7">
        <f t="shared" si="808"/>
        <v>0.01475</v>
      </c>
      <c r="Q433" s="7">
        <f t="shared" si="7"/>
        <v>0.5697937</v>
      </c>
      <c r="R433" s="7">
        <f t="shared" si="8"/>
        <v>0.1969770413</v>
      </c>
      <c r="S433" s="7">
        <f t="shared" si="2"/>
        <v>1.468318419</v>
      </c>
      <c r="T433" s="7">
        <f t="shared" si="3"/>
        <v>1.797637338</v>
      </c>
      <c r="U433" s="7">
        <f t="shared" si="4"/>
        <v>1</v>
      </c>
      <c r="V433" s="7">
        <f t="shared" si="5"/>
        <v>1</v>
      </c>
      <c r="W433" s="7">
        <f t="shared" ref="W433:X433" si="809">IF(AVERAGE(U373:U432) &gt; 0.25, 1, 0)</f>
        <v>1</v>
      </c>
      <c r="X433" s="7">
        <f t="shared" si="809"/>
        <v>1</v>
      </c>
      <c r="Y433" s="8">
        <v>1.0</v>
      </c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</row>
    <row r="434" ht="22.5" customHeight="1">
      <c r="B434" s="6">
        <v>433.0</v>
      </c>
      <c r="C434" s="6">
        <v>93059.0</v>
      </c>
      <c r="D434" s="6">
        <v>-1.64</v>
      </c>
      <c r="E434" s="6">
        <v>-2.4</v>
      </c>
      <c r="F434" s="6">
        <v>10.95</v>
      </c>
      <c r="G434" s="6">
        <v>-0.67</v>
      </c>
      <c r="H434" s="6">
        <v>-0.01</v>
      </c>
      <c r="I434" s="6">
        <v>-4.64</v>
      </c>
      <c r="J434" s="6">
        <v>33.36</v>
      </c>
      <c r="K434" s="7">
        <f t="shared" ref="K434:P434" si="810">abs(D434-D433)/200</f>
        <v>0.02805</v>
      </c>
      <c r="L434" s="7">
        <f t="shared" si="810"/>
        <v>0.01025</v>
      </c>
      <c r="M434" s="7">
        <f t="shared" si="810"/>
        <v>0.00205</v>
      </c>
      <c r="N434" s="7">
        <f t="shared" si="810"/>
        <v>0.002</v>
      </c>
      <c r="O434" s="7">
        <f t="shared" si="810"/>
        <v>0.0015</v>
      </c>
      <c r="P434" s="7">
        <f t="shared" si="810"/>
        <v>0.01445</v>
      </c>
      <c r="Q434" s="7">
        <f t="shared" si="7"/>
        <v>2.890496619</v>
      </c>
      <c r="R434" s="7">
        <f t="shared" si="8"/>
        <v>0.06094016186</v>
      </c>
      <c r="S434" s="7">
        <f t="shared" si="2"/>
        <v>1.529258581</v>
      </c>
      <c r="T434" s="7">
        <f t="shared" si="3"/>
        <v>4.688133957</v>
      </c>
      <c r="U434" s="7">
        <f t="shared" si="4"/>
        <v>1</v>
      </c>
      <c r="V434" s="7">
        <f t="shared" si="5"/>
        <v>1</v>
      </c>
      <c r="W434" s="7">
        <f t="shared" ref="W434:X434" si="811">IF(AVERAGE(U374:U433) &gt; 0.25, 1, 0)</f>
        <v>1</v>
      </c>
      <c r="X434" s="7">
        <f t="shared" si="811"/>
        <v>1</v>
      </c>
      <c r="Y434" s="8">
        <v>1.0</v>
      </c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</row>
    <row r="435" ht="22.5" customHeight="1">
      <c r="B435" s="6">
        <v>434.0</v>
      </c>
      <c r="C435" s="6">
        <v>93263.0</v>
      </c>
      <c r="D435" s="6">
        <v>-1.66</v>
      </c>
      <c r="E435" s="6">
        <v>-1.78</v>
      </c>
      <c r="F435" s="6">
        <v>10.65</v>
      </c>
      <c r="G435" s="6">
        <v>-0.05</v>
      </c>
      <c r="H435" s="6">
        <v>-0.07</v>
      </c>
      <c r="I435" s="6">
        <v>1.37</v>
      </c>
      <c r="J435" s="6">
        <v>33.35</v>
      </c>
      <c r="K435" s="7">
        <f t="shared" ref="K435:P435" si="812">abs(D435-D434)/200</f>
        <v>0.0001</v>
      </c>
      <c r="L435" s="7">
        <f t="shared" si="812"/>
        <v>0.0031</v>
      </c>
      <c r="M435" s="7">
        <f t="shared" si="812"/>
        <v>0.0015</v>
      </c>
      <c r="N435" s="7">
        <f t="shared" si="812"/>
        <v>0.0031</v>
      </c>
      <c r="O435" s="7">
        <f t="shared" si="812"/>
        <v>0.0003</v>
      </c>
      <c r="P435" s="7">
        <f t="shared" si="812"/>
        <v>0.03005</v>
      </c>
      <c r="Q435" s="7">
        <f t="shared" si="7"/>
        <v>3.315435884</v>
      </c>
      <c r="R435" s="7">
        <f t="shared" si="8"/>
        <v>0.4046762093</v>
      </c>
      <c r="S435" s="7">
        <f t="shared" si="2"/>
        <v>1.124582372</v>
      </c>
      <c r="T435" s="7">
        <f t="shared" si="3"/>
        <v>1.372698073</v>
      </c>
      <c r="U435" s="7">
        <f t="shared" si="4"/>
        <v>1</v>
      </c>
      <c r="V435" s="7">
        <f t="shared" si="5"/>
        <v>1</v>
      </c>
      <c r="W435" s="7">
        <f t="shared" ref="W435:X435" si="813">IF(AVERAGE(U375:U434) &gt; 0.25, 1, 0)</f>
        <v>1</v>
      </c>
      <c r="X435" s="7">
        <f t="shared" si="813"/>
        <v>1</v>
      </c>
      <c r="Y435" s="8">
        <v>1.0</v>
      </c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</row>
    <row r="436" ht="22.5" customHeight="1">
      <c r="B436" s="6">
        <v>435.0</v>
      </c>
      <c r="C436" s="6">
        <v>93467.0</v>
      </c>
      <c r="D436" s="6">
        <v>3.07</v>
      </c>
      <c r="E436" s="6">
        <v>0.03</v>
      </c>
      <c r="F436" s="6">
        <v>10.69</v>
      </c>
      <c r="G436" s="6">
        <v>0.0</v>
      </c>
      <c r="H436" s="6">
        <v>0.07</v>
      </c>
      <c r="I436" s="6">
        <v>0.1</v>
      </c>
      <c r="J436" s="6">
        <v>33.36</v>
      </c>
      <c r="K436" s="7">
        <f t="shared" ref="K436:P436" si="814">abs(D436-D435)/200</f>
        <v>0.02365</v>
      </c>
      <c r="L436" s="7">
        <f t="shared" si="814"/>
        <v>0.00905</v>
      </c>
      <c r="M436" s="7">
        <f t="shared" si="814"/>
        <v>0.0002</v>
      </c>
      <c r="N436" s="7">
        <f t="shared" si="814"/>
        <v>0.00025</v>
      </c>
      <c r="O436" s="7">
        <f t="shared" si="814"/>
        <v>0.0007</v>
      </c>
      <c r="P436" s="7">
        <f t="shared" si="814"/>
        <v>0.00635</v>
      </c>
      <c r="Q436" s="7">
        <f t="shared" si="7"/>
        <v>1.250632517</v>
      </c>
      <c r="R436" s="7">
        <f t="shared" si="8"/>
        <v>0.1975532144</v>
      </c>
      <c r="S436" s="7">
        <f t="shared" si="2"/>
        <v>1.322135586</v>
      </c>
      <c r="T436" s="7">
        <f t="shared" si="3"/>
        <v>0.1220655562</v>
      </c>
      <c r="U436" s="7">
        <f t="shared" si="4"/>
        <v>1</v>
      </c>
      <c r="V436" s="7">
        <f t="shared" si="5"/>
        <v>1</v>
      </c>
      <c r="W436" s="7">
        <f t="shared" ref="W436:X436" si="815">IF(AVERAGE(U376:U435) &gt; 0.25, 1, 0)</f>
        <v>1</v>
      </c>
      <c r="X436" s="7">
        <f t="shared" si="815"/>
        <v>1</v>
      </c>
      <c r="Y436" s="8">
        <v>1.0</v>
      </c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</row>
    <row r="437" ht="22.5" customHeight="1">
      <c r="B437" s="6">
        <v>436.0</v>
      </c>
      <c r="C437" s="6">
        <v>93671.0</v>
      </c>
      <c r="D437" s="6">
        <v>1.39</v>
      </c>
      <c r="E437" s="6">
        <v>-0.31</v>
      </c>
      <c r="F437" s="6">
        <v>10.68</v>
      </c>
      <c r="G437" s="6">
        <v>-0.09</v>
      </c>
      <c r="H437" s="6">
        <v>0.0</v>
      </c>
      <c r="I437" s="6">
        <v>-0.01</v>
      </c>
      <c r="J437" s="6">
        <v>33.35</v>
      </c>
      <c r="K437" s="7">
        <f t="shared" ref="K437:P437" si="816">abs(D437-D436)/200</f>
        <v>0.0084</v>
      </c>
      <c r="L437" s="7">
        <f t="shared" si="816"/>
        <v>0.0017</v>
      </c>
      <c r="M437" s="7">
        <f t="shared" si="816"/>
        <v>0.00005</v>
      </c>
      <c r="N437" s="7">
        <f t="shared" si="816"/>
        <v>0.00045</v>
      </c>
      <c r="O437" s="7">
        <f t="shared" si="816"/>
        <v>0.00035</v>
      </c>
      <c r="P437" s="7">
        <f t="shared" si="816"/>
        <v>0.00055</v>
      </c>
      <c r="Q437" s="7">
        <f t="shared" si="7"/>
        <v>0.03151170478</v>
      </c>
      <c r="R437" s="7">
        <f t="shared" si="8"/>
        <v>0.3476007936</v>
      </c>
      <c r="S437" s="7">
        <f t="shared" si="2"/>
        <v>0.9745347927</v>
      </c>
      <c r="T437" s="7">
        <f t="shared" si="3"/>
        <v>0.09055385138</v>
      </c>
      <c r="U437" s="7">
        <f t="shared" si="4"/>
        <v>1</v>
      </c>
      <c r="V437" s="7">
        <f t="shared" si="5"/>
        <v>1</v>
      </c>
      <c r="W437" s="7">
        <f t="shared" ref="W437:X437" si="817">IF(AVERAGE(U377:U436) &gt; 0.25, 1, 0)</f>
        <v>1</v>
      </c>
      <c r="X437" s="7">
        <f t="shared" si="817"/>
        <v>1</v>
      </c>
      <c r="Y437" s="8">
        <v>1.0</v>
      </c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</row>
    <row r="438" ht="22.5" customHeight="1">
      <c r="B438" s="6">
        <v>437.0</v>
      </c>
      <c r="C438" s="6">
        <v>93875.0</v>
      </c>
      <c r="D438" s="6">
        <v>1.38</v>
      </c>
      <c r="E438" s="6">
        <v>-0.31</v>
      </c>
      <c r="F438" s="6">
        <v>10.65</v>
      </c>
      <c r="G438" s="6">
        <v>-0.1</v>
      </c>
      <c r="H438" s="6">
        <v>0.0</v>
      </c>
      <c r="I438" s="6">
        <v>-0.01</v>
      </c>
      <c r="J438" s="6">
        <v>33.37</v>
      </c>
      <c r="K438" s="7">
        <f t="shared" ref="K438:P438" si="818">abs(D438-D437)/200</f>
        <v>0.00005</v>
      </c>
      <c r="L438" s="7">
        <f t="shared" si="818"/>
        <v>0</v>
      </c>
      <c r="M438" s="7">
        <f t="shared" si="818"/>
        <v>0.00015</v>
      </c>
      <c r="N438" s="7">
        <f t="shared" si="818"/>
        <v>0.00005</v>
      </c>
      <c r="O438" s="7">
        <f t="shared" si="818"/>
        <v>0</v>
      </c>
      <c r="P438" s="7">
        <f t="shared" si="818"/>
        <v>0</v>
      </c>
      <c r="Q438" s="7">
        <f t="shared" si="7"/>
        <v>0.00994490483</v>
      </c>
      <c r="R438" s="7">
        <f t="shared" si="8"/>
        <v>0.03102512411</v>
      </c>
      <c r="S438" s="7">
        <f t="shared" si="2"/>
        <v>0.9435096686</v>
      </c>
      <c r="T438" s="7">
        <f t="shared" si="3"/>
        <v>0.1004987562</v>
      </c>
      <c r="U438" s="7">
        <f t="shared" si="4"/>
        <v>0</v>
      </c>
      <c r="V438" s="7">
        <f t="shared" si="5"/>
        <v>0</v>
      </c>
      <c r="W438" s="7">
        <f t="shared" ref="W438:X438" si="819">IF(AVERAGE(U378:U437) &gt; 0.25, 1, 0)</f>
        <v>1</v>
      </c>
      <c r="X438" s="7">
        <f t="shared" si="819"/>
        <v>1</v>
      </c>
      <c r="Y438" s="8">
        <v>1.0</v>
      </c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</row>
    <row r="439" ht="22.5" customHeight="1">
      <c r="B439" s="6">
        <v>438.0</v>
      </c>
      <c r="C439" s="6">
        <v>94079.0</v>
      </c>
      <c r="D439" s="6">
        <v>1.41</v>
      </c>
      <c r="E439" s="6">
        <v>-0.3</v>
      </c>
      <c r="F439" s="6">
        <v>10.56</v>
      </c>
      <c r="G439" s="6">
        <v>-0.1</v>
      </c>
      <c r="H439" s="6">
        <v>-0.03</v>
      </c>
      <c r="I439" s="6">
        <v>-0.01</v>
      </c>
      <c r="J439" s="6">
        <v>33.36</v>
      </c>
      <c r="K439" s="7">
        <f t="shared" ref="K439:P439" si="820">abs(D439-D438)/200</f>
        <v>0.00015</v>
      </c>
      <c r="L439" s="7">
        <f t="shared" si="820"/>
        <v>0.00005</v>
      </c>
      <c r="M439" s="7">
        <f t="shared" si="820"/>
        <v>0.00045</v>
      </c>
      <c r="N439" s="7">
        <f t="shared" si="820"/>
        <v>0</v>
      </c>
      <c r="O439" s="7">
        <f t="shared" si="820"/>
        <v>0.00015</v>
      </c>
      <c r="P439" s="7">
        <f t="shared" si="820"/>
        <v>0</v>
      </c>
      <c r="Q439" s="7">
        <f t="shared" si="7"/>
        <v>0.004382128606</v>
      </c>
      <c r="R439" s="7">
        <f t="shared" si="8"/>
        <v>0.08556896698</v>
      </c>
      <c r="S439" s="7">
        <f t="shared" si="2"/>
        <v>0.8579407017</v>
      </c>
      <c r="T439" s="7">
        <f t="shared" si="3"/>
        <v>0.1048808848</v>
      </c>
      <c r="U439" s="7">
        <f t="shared" si="4"/>
        <v>1</v>
      </c>
      <c r="V439" s="7">
        <f t="shared" si="5"/>
        <v>0</v>
      </c>
      <c r="W439" s="7">
        <f t="shared" ref="W439:X439" si="821">IF(AVERAGE(U379:U438) &gt; 0.25, 1, 0)</f>
        <v>1</v>
      </c>
      <c r="X439" s="7">
        <f t="shared" si="821"/>
        <v>1</v>
      </c>
      <c r="Y439" s="8">
        <v>1.0</v>
      </c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</row>
    <row r="440" ht="22.5" customHeight="1">
      <c r="B440" s="6">
        <v>439.0</v>
      </c>
      <c r="C440" s="6">
        <v>94283.0</v>
      </c>
      <c r="D440" s="6">
        <v>3.75</v>
      </c>
      <c r="E440" s="6">
        <v>-0.14</v>
      </c>
      <c r="F440" s="6">
        <v>10.45</v>
      </c>
      <c r="G440" s="6">
        <v>-0.25</v>
      </c>
      <c r="H440" s="6">
        <v>-0.16</v>
      </c>
      <c r="I440" s="6">
        <v>-1.24</v>
      </c>
      <c r="J440" s="6">
        <v>33.37</v>
      </c>
      <c r="K440" s="7">
        <f t="shared" ref="K440:P440" si="822">abs(D440-D439)/200</f>
        <v>0.0117</v>
      </c>
      <c r="L440" s="7">
        <f t="shared" si="822"/>
        <v>0.0008</v>
      </c>
      <c r="M440" s="7">
        <f t="shared" si="822"/>
        <v>0.00055</v>
      </c>
      <c r="N440" s="7">
        <f t="shared" si="822"/>
        <v>0.00075</v>
      </c>
      <c r="O440" s="7">
        <f t="shared" si="822"/>
        <v>0.00065</v>
      </c>
      <c r="P440" s="7">
        <f t="shared" si="822"/>
        <v>0.00615</v>
      </c>
      <c r="Q440" s="7">
        <f t="shared" si="7"/>
        <v>1.170148527</v>
      </c>
      <c r="R440" s="7">
        <f t="shared" si="8"/>
        <v>0.4454191502</v>
      </c>
      <c r="S440" s="7">
        <f t="shared" si="2"/>
        <v>1.303359852</v>
      </c>
      <c r="T440" s="7">
        <f t="shared" si="3"/>
        <v>1.275029411</v>
      </c>
      <c r="U440" s="7">
        <f t="shared" si="4"/>
        <v>1</v>
      </c>
      <c r="V440" s="7">
        <f t="shared" si="5"/>
        <v>1</v>
      </c>
      <c r="W440" s="7">
        <f t="shared" ref="W440:X440" si="823">IF(AVERAGE(U380:U439) &gt; 0.25, 1, 0)</f>
        <v>1</v>
      </c>
      <c r="X440" s="7">
        <f t="shared" si="823"/>
        <v>1</v>
      </c>
      <c r="Y440" s="8">
        <v>1.0</v>
      </c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</row>
    <row r="441" ht="22.5" customHeight="1">
      <c r="B441" s="6">
        <v>440.0</v>
      </c>
      <c r="C441" s="6">
        <v>94487.0</v>
      </c>
      <c r="D441" s="6">
        <v>1.03</v>
      </c>
      <c r="E441" s="6">
        <v>-1.09</v>
      </c>
      <c r="F441" s="6">
        <v>11.1</v>
      </c>
      <c r="G441" s="6">
        <v>-0.12</v>
      </c>
      <c r="H441" s="6">
        <v>0.07</v>
      </c>
      <c r="I441" s="6">
        <v>-0.97</v>
      </c>
      <c r="J441" s="6">
        <v>33.36</v>
      </c>
      <c r="K441" s="7">
        <f t="shared" ref="K441:P441" si="824">abs(D441-D440)/200</f>
        <v>0.0136</v>
      </c>
      <c r="L441" s="7">
        <f t="shared" si="824"/>
        <v>0.00475</v>
      </c>
      <c r="M441" s="7">
        <f t="shared" si="824"/>
        <v>0.00325</v>
      </c>
      <c r="N441" s="7">
        <f t="shared" si="824"/>
        <v>0.00065</v>
      </c>
      <c r="O441" s="7">
        <f t="shared" si="824"/>
        <v>0.00115</v>
      </c>
      <c r="P441" s="7">
        <f t="shared" si="824"/>
        <v>0.00135</v>
      </c>
      <c r="Q441" s="7">
        <f t="shared" si="7"/>
        <v>0.2951314576</v>
      </c>
      <c r="R441" s="7">
        <f t="shared" si="8"/>
        <v>0.0974883303</v>
      </c>
      <c r="S441" s="7">
        <f t="shared" si="2"/>
        <v>1.400848182</v>
      </c>
      <c r="T441" s="7">
        <f t="shared" si="3"/>
        <v>0.9798979539</v>
      </c>
      <c r="U441" s="7">
        <f t="shared" si="4"/>
        <v>1</v>
      </c>
      <c r="V441" s="7">
        <f t="shared" si="5"/>
        <v>1</v>
      </c>
      <c r="W441" s="7">
        <f t="shared" ref="W441:X441" si="825">IF(AVERAGE(U381:U440) &gt; 0.25, 1, 0)</f>
        <v>1</v>
      </c>
      <c r="X441" s="7">
        <f t="shared" si="825"/>
        <v>1</v>
      </c>
      <c r="Y441" s="8">
        <v>1.0</v>
      </c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</row>
    <row r="442" ht="22.5" customHeight="1">
      <c r="B442" s="6">
        <v>441.0</v>
      </c>
      <c r="C442" s="6">
        <v>94691.0</v>
      </c>
      <c r="D442" s="6">
        <v>0.99</v>
      </c>
      <c r="E442" s="6">
        <v>-4.51</v>
      </c>
      <c r="F442" s="6">
        <v>10.4</v>
      </c>
      <c r="G442" s="6">
        <v>-0.49</v>
      </c>
      <c r="H442" s="6">
        <v>-0.2</v>
      </c>
      <c r="I442" s="6">
        <v>-3.66</v>
      </c>
      <c r="J442" s="6">
        <v>33.36</v>
      </c>
      <c r="K442" s="7">
        <f t="shared" ref="K442:P442" si="826">abs(D442-D441)/200</f>
        <v>0.0002</v>
      </c>
      <c r="L442" s="7">
        <f t="shared" si="826"/>
        <v>0.0171</v>
      </c>
      <c r="M442" s="7">
        <f t="shared" si="826"/>
        <v>0.0035</v>
      </c>
      <c r="N442" s="7">
        <f t="shared" si="826"/>
        <v>0.00185</v>
      </c>
      <c r="O442" s="7">
        <f t="shared" si="826"/>
        <v>0.00135</v>
      </c>
      <c r="P442" s="7">
        <f t="shared" si="826"/>
        <v>0.01345</v>
      </c>
      <c r="Q442" s="7">
        <f t="shared" si="7"/>
        <v>2.718169109</v>
      </c>
      <c r="R442" s="7">
        <f t="shared" si="8"/>
        <v>0.1780884993</v>
      </c>
      <c r="S442" s="7">
        <f t="shared" si="2"/>
        <v>1.578936681</v>
      </c>
      <c r="T442" s="7">
        <f t="shared" si="3"/>
        <v>3.698067063</v>
      </c>
      <c r="U442" s="7">
        <f t="shared" si="4"/>
        <v>1</v>
      </c>
      <c r="V442" s="7">
        <f t="shared" si="5"/>
        <v>1</v>
      </c>
      <c r="W442" s="7">
        <f t="shared" ref="W442:X442" si="827">IF(AVERAGE(U382:U441) &gt; 0.25, 1, 0)</f>
        <v>1</v>
      </c>
      <c r="X442" s="7">
        <f t="shared" si="827"/>
        <v>1</v>
      </c>
      <c r="Y442" s="8">
        <v>1.0</v>
      </c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</row>
    <row r="443" ht="22.5" customHeight="1">
      <c r="B443" s="6">
        <v>442.0</v>
      </c>
      <c r="C443" s="6">
        <v>94895.0</v>
      </c>
      <c r="D443" s="6">
        <v>-2.5</v>
      </c>
      <c r="E443" s="6">
        <v>1.31</v>
      </c>
      <c r="F443" s="6">
        <v>9.71</v>
      </c>
      <c r="G443" s="6">
        <v>-0.4</v>
      </c>
      <c r="H443" s="6">
        <v>-0.01</v>
      </c>
      <c r="I443" s="6">
        <v>-1.38</v>
      </c>
      <c r="J443" s="6">
        <v>33.35</v>
      </c>
      <c r="K443" s="7">
        <f t="shared" ref="K443:P443" si="828">abs(D443-D442)/200</f>
        <v>0.01745</v>
      </c>
      <c r="L443" s="7">
        <f t="shared" si="828"/>
        <v>0.0291</v>
      </c>
      <c r="M443" s="7">
        <f t="shared" si="828"/>
        <v>0.00345</v>
      </c>
      <c r="N443" s="7">
        <f t="shared" si="828"/>
        <v>0.00045</v>
      </c>
      <c r="O443" s="7">
        <f t="shared" si="828"/>
        <v>0.00095</v>
      </c>
      <c r="P443" s="7">
        <f t="shared" si="828"/>
        <v>0.0114</v>
      </c>
      <c r="Q443" s="7">
        <f t="shared" si="7"/>
        <v>2.261230259</v>
      </c>
      <c r="R443" s="7">
        <f t="shared" si="8"/>
        <v>1.267052584</v>
      </c>
      <c r="S443" s="7">
        <f t="shared" si="2"/>
        <v>0.3118840974</v>
      </c>
      <c r="T443" s="7">
        <f t="shared" si="3"/>
        <v>1.436836804</v>
      </c>
      <c r="U443" s="7">
        <f t="shared" si="4"/>
        <v>1</v>
      </c>
      <c r="V443" s="7">
        <f t="shared" si="5"/>
        <v>1</v>
      </c>
      <c r="W443" s="7">
        <f t="shared" ref="W443:X443" si="829">IF(AVERAGE(U383:U442) &gt; 0.25, 1, 0)</f>
        <v>1</v>
      </c>
      <c r="X443" s="7">
        <f t="shared" si="829"/>
        <v>1</v>
      </c>
      <c r="Y443" s="8">
        <v>1.0</v>
      </c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</row>
    <row r="444" ht="22.5" customHeight="1">
      <c r="B444" s="6">
        <v>443.0</v>
      </c>
      <c r="C444" s="6">
        <v>95099.0</v>
      </c>
      <c r="D444" s="6">
        <v>3.89</v>
      </c>
      <c r="E444" s="6">
        <v>4.32</v>
      </c>
      <c r="F444" s="6">
        <v>10.54</v>
      </c>
      <c r="G444" s="6">
        <v>-0.11</v>
      </c>
      <c r="H444" s="6">
        <v>0.06</v>
      </c>
      <c r="I444" s="6">
        <v>0.02</v>
      </c>
      <c r="J444" s="6">
        <v>33.36</v>
      </c>
      <c r="K444" s="7">
        <f t="shared" ref="K444:P444" si="830">abs(D444-D443)/200</f>
        <v>0.03195</v>
      </c>
      <c r="L444" s="7">
        <f t="shared" si="830"/>
        <v>0.01505</v>
      </c>
      <c r="M444" s="7">
        <f t="shared" si="830"/>
        <v>0.00415</v>
      </c>
      <c r="N444" s="7">
        <f t="shared" si="830"/>
        <v>0.00145</v>
      </c>
      <c r="O444" s="7">
        <f t="shared" si="830"/>
        <v>0.00035</v>
      </c>
      <c r="P444" s="7">
        <f t="shared" si="830"/>
        <v>0.007</v>
      </c>
      <c r="Q444" s="7">
        <f t="shared" si="7"/>
        <v>1.309951028</v>
      </c>
      <c r="R444" s="7">
        <f t="shared" si="8"/>
        <v>1.924980112</v>
      </c>
      <c r="S444" s="7">
        <f t="shared" si="2"/>
        <v>2.23686421</v>
      </c>
      <c r="T444" s="7">
        <f t="shared" si="3"/>
        <v>0.1268857754</v>
      </c>
      <c r="U444" s="7">
        <f t="shared" si="4"/>
        <v>1</v>
      </c>
      <c r="V444" s="7">
        <f t="shared" si="5"/>
        <v>1</v>
      </c>
      <c r="W444" s="7">
        <f t="shared" ref="W444:X444" si="831">IF(AVERAGE(U384:U443) &gt; 0.25, 1, 0)</f>
        <v>1</v>
      </c>
      <c r="X444" s="7">
        <f t="shared" si="831"/>
        <v>1</v>
      </c>
      <c r="Y444" s="8">
        <v>1.0</v>
      </c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</row>
    <row r="445" ht="22.5" customHeight="1">
      <c r="B445" s="6">
        <v>444.0</v>
      </c>
      <c r="C445" s="6">
        <v>303.0</v>
      </c>
      <c r="D445" s="6">
        <v>2.69</v>
      </c>
      <c r="E445" s="6">
        <v>1.45</v>
      </c>
      <c r="F445" s="6">
        <v>10.77</v>
      </c>
      <c r="G445" s="6">
        <v>0.24</v>
      </c>
      <c r="H445" s="6">
        <v>0.08</v>
      </c>
      <c r="I445" s="6">
        <v>0.88</v>
      </c>
      <c r="J445" s="6">
        <v>33.36</v>
      </c>
      <c r="K445" s="7">
        <f t="shared" ref="K445:P445" si="832">abs(D445-D444)/200</f>
        <v>0.006</v>
      </c>
      <c r="L445" s="7">
        <f t="shared" si="832"/>
        <v>0.01435</v>
      </c>
      <c r="M445" s="7">
        <f t="shared" si="832"/>
        <v>0.00115</v>
      </c>
      <c r="N445" s="7">
        <f t="shared" si="832"/>
        <v>0.00175</v>
      </c>
      <c r="O445" s="7">
        <f t="shared" si="832"/>
        <v>0.0001</v>
      </c>
      <c r="P445" s="7">
        <f t="shared" si="832"/>
        <v>0.0043</v>
      </c>
      <c r="Q445" s="7">
        <f t="shared" si="7"/>
        <v>0.788756076</v>
      </c>
      <c r="R445" s="7">
        <f t="shared" si="8"/>
        <v>0.8417090074</v>
      </c>
      <c r="S445" s="7">
        <f t="shared" si="2"/>
        <v>1.395155202</v>
      </c>
      <c r="T445" s="7">
        <f t="shared" si="3"/>
        <v>0.9156418514</v>
      </c>
      <c r="U445" s="7">
        <f t="shared" si="4"/>
        <v>1</v>
      </c>
      <c r="V445" s="7">
        <f t="shared" si="5"/>
        <v>1</v>
      </c>
      <c r="W445" s="7">
        <f t="shared" ref="W445:X445" si="833">IF(AVERAGE(U385:U444) &gt; 0.25, 1, 0)</f>
        <v>1</v>
      </c>
      <c r="X445" s="7">
        <f t="shared" si="833"/>
        <v>1</v>
      </c>
      <c r="Y445" s="8">
        <v>1.0</v>
      </c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</row>
    <row r="446" ht="22.5" customHeight="1">
      <c r="B446" s="6">
        <v>445.0</v>
      </c>
      <c r="C446" s="6">
        <v>95507.0</v>
      </c>
      <c r="D446" s="6">
        <v>1.92</v>
      </c>
      <c r="E446" s="6">
        <v>-3.76</v>
      </c>
      <c r="F446" s="6">
        <v>10.79</v>
      </c>
      <c r="G446" s="6">
        <v>0.01</v>
      </c>
      <c r="H446" s="6">
        <v>0.07</v>
      </c>
      <c r="I446" s="6">
        <v>0.25</v>
      </c>
      <c r="J446" s="6">
        <v>33.36</v>
      </c>
      <c r="K446" s="7">
        <f t="shared" ref="K446:P446" si="834">abs(D446-D445)/200</f>
        <v>0.00385</v>
      </c>
      <c r="L446" s="7">
        <f t="shared" si="834"/>
        <v>0.02605</v>
      </c>
      <c r="M446" s="7">
        <f t="shared" si="834"/>
        <v>0.0001</v>
      </c>
      <c r="N446" s="7">
        <f t="shared" si="834"/>
        <v>0.00115</v>
      </c>
      <c r="O446" s="7">
        <f t="shared" si="834"/>
        <v>0.00005</v>
      </c>
      <c r="P446" s="7">
        <f t="shared" si="834"/>
        <v>0.00315</v>
      </c>
      <c r="Q446" s="7">
        <f t="shared" si="7"/>
        <v>0.6558342302</v>
      </c>
      <c r="R446" s="7">
        <f t="shared" si="8"/>
        <v>0.3913930328</v>
      </c>
      <c r="S446" s="7">
        <f t="shared" si="2"/>
        <v>1.786548235</v>
      </c>
      <c r="T446" s="7">
        <f t="shared" si="3"/>
        <v>0.2598076211</v>
      </c>
      <c r="U446" s="7">
        <f t="shared" si="4"/>
        <v>1</v>
      </c>
      <c r="V446" s="7">
        <f t="shared" si="5"/>
        <v>1</v>
      </c>
      <c r="W446" s="7">
        <f t="shared" ref="W446:X446" si="835">IF(AVERAGE(U386:U445) &gt; 0.25, 1, 0)</f>
        <v>1</v>
      </c>
      <c r="X446" s="7">
        <f t="shared" si="835"/>
        <v>1</v>
      </c>
      <c r="Y446" s="8">
        <v>1.0</v>
      </c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</row>
    <row r="447" ht="22.5" customHeight="1">
      <c r="B447" s="6">
        <v>446.0</v>
      </c>
      <c r="C447" s="6">
        <v>95711.0</v>
      </c>
      <c r="D447" s="6">
        <v>1.41</v>
      </c>
      <c r="E447" s="6">
        <v>-3.02</v>
      </c>
      <c r="F447" s="6">
        <v>10.49</v>
      </c>
      <c r="G447" s="6">
        <v>-0.42</v>
      </c>
      <c r="H447" s="6">
        <v>0.32</v>
      </c>
      <c r="I447" s="6">
        <v>-1.77</v>
      </c>
      <c r="J447" s="6">
        <v>33.36</v>
      </c>
      <c r="K447" s="7">
        <f t="shared" ref="K447:P447" si="836">abs(D447-D446)/200</f>
        <v>0.00255</v>
      </c>
      <c r="L447" s="7">
        <f t="shared" si="836"/>
        <v>0.0037</v>
      </c>
      <c r="M447" s="7">
        <f t="shared" si="836"/>
        <v>0.0015</v>
      </c>
      <c r="N447" s="7">
        <f t="shared" si="836"/>
        <v>0.00215</v>
      </c>
      <c r="O447" s="7">
        <f t="shared" si="836"/>
        <v>0.00125</v>
      </c>
      <c r="P447" s="7">
        <f t="shared" si="836"/>
        <v>0.0101</v>
      </c>
      <c r="Q447" s="7">
        <f t="shared" si="7"/>
        <v>1.587271154</v>
      </c>
      <c r="R447" s="7">
        <f t="shared" si="8"/>
        <v>0.579795762</v>
      </c>
      <c r="S447" s="7">
        <f t="shared" si="2"/>
        <v>1.206752473</v>
      </c>
      <c r="T447" s="7">
        <f t="shared" si="3"/>
        <v>1.847078775</v>
      </c>
      <c r="U447" s="7">
        <f t="shared" si="4"/>
        <v>1</v>
      </c>
      <c r="V447" s="7">
        <f t="shared" si="5"/>
        <v>1</v>
      </c>
      <c r="W447" s="7">
        <f t="shared" ref="W447:X447" si="837">IF(AVERAGE(U387:U446) &gt; 0.25, 1, 0)</f>
        <v>1</v>
      </c>
      <c r="X447" s="7">
        <f t="shared" si="837"/>
        <v>1</v>
      </c>
      <c r="Y447" s="8">
        <v>1.0</v>
      </c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</row>
    <row r="448" ht="22.5" customHeight="1">
      <c r="B448" s="6">
        <v>447.0</v>
      </c>
      <c r="C448" s="6">
        <v>95915.0</v>
      </c>
      <c r="D448" s="6">
        <v>-0.96</v>
      </c>
      <c r="E448" s="6">
        <v>-0.17</v>
      </c>
      <c r="F448" s="6">
        <v>11.57</v>
      </c>
      <c r="G448" s="6">
        <v>-0.37</v>
      </c>
      <c r="H448" s="6">
        <v>-0.06</v>
      </c>
      <c r="I448" s="6">
        <v>-1.11</v>
      </c>
      <c r="J448" s="6">
        <v>33.37</v>
      </c>
      <c r="K448" s="7">
        <f t="shared" ref="K448:P448" si="838">abs(D448-D447)/200</f>
        <v>0.01185</v>
      </c>
      <c r="L448" s="7">
        <f t="shared" si="838"/>
        <v>0.01425</v>
      </c>
      <c r="M448" s="7">
        <f t="shared" si="838"/>
        <v>0.0054</v>
      </c>
      <c r="N448" s="7">
        <f t="shared" si="838"/>
        <v>0.00025</v>
      </c>
      <c r="O448" s="7">
        <f t="shared" si="838"/>
        <v>0.0019</v>
      </c>
      <c r="P448" s="7">
        <f t="shared" si="838"/>
        <v>0.0033</v>
      </c>
      <c r="Q448" s="7">
        <f t="shared" si="7"/>
        <v>0.6754986451</v>
      </c>
      <c r="R448" s="7">
        <f t="shared" si="8"/>
        <v>0.604250929</v>
      </c>
      <c r="S448" s="7">
        <f t="shared" si="2"/>
        <v>1.811003402</v>
      </c>
      <c r="T448" s="7">
        <f t="shared" si="3"/>
        <v>1.17158013</v>
      </c>
      <c r="U448" s="7">
        <f t="shared" si="4"/>
        <v>1</v>
      </c>
      <c r="V448" s="7">
        <f t="shared" si="5"/>
        <v>1</v>
      </c>
      <c r="W448" s="7">
        <f t="shared" ref="W448:X448" si="839">IF(AVERAGE(U388:U447) &gt; 0.25, 1, 0)</f>
        <v>1</v>
      </c>
      <c r="X448" s="7">
        <f t="shared" si="839"/>
        <v>1</v>
      </c>
      <c r="Y448" s="8">
        <v>1.0</v>
      </c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</row>
    <row r="449" ht="22.5" customHeight="1">
      <c r="B449" s="6">
        <v>448.0</v>
      </c>
      <c r="C449" s="6">
        <v>96119.0</v>
      </c>
      <c r="D449" s="6">
        <v>-0.57</v>
      </c>
      <c r="E449" s="6">
        <v>2.43</v>
      </c>
      <c r="F449" s="6">
        <v>10.8</v>
      </c>
      <c r="G449" s="6">
        <v>0.08</v>
      </c>
      <c r="H449" s="6">
        <v>-0.14</v>
      </c>
      <c r="I449" s="6">
        <v>0.65</v>
      </c>
      <c r="J449" s="6">
        <v>33.37</v>
      </c>
      <c r="K449" s="7">
        <f t="shared" ref="K449:P449" si="840">abs(D449-D448)/200</f>
        <v>0.00195</v>
      </c>
      <c r="L449" s="7">
        <f t="shared" si="840"/>
        <v>0.013</v>
      </c>
      <c r="M449" s="7">
        <f t="shared" si="840"/>
        <v>0.00385</v>
      </c>
      <c r="N449" s="7">
        <f t="shared" si="840"/>
        <v>0.00225</v>
      </c>
      <c r="O449" s="7">
        <f t="shared" si="840"/>
        <v>0.0004</v>
      </c>
      <c r="P449" s="7">
        <f t="shared" si="840"/>
        <v>0.0088</v>
      </c>
      <c r="Q449" s="7">
        <f t="shared" si="7"/>
        <v>0.5018787036</v>
      </c>
      <c r="R449" s="7">
        <f t="shared" si="8"/>
        <v>0.526338319</v>
      </c>
      <c r="S449" s="7">
        <f t="shared" si="2"/>
        <v>1.284665083</v>
      </c>
      <c r="T449" s="7">
        <f t="shared" si="3"/>
        <v>0.669701426</v>
      </c>
      <c r="U449" s="7">
        <f t="shared" si="4"/>
        <v>1</v>
      </c>
      <c r="V449" s="7">
        <f t="shared" si="5"/>
        <v>1</v>
      </c>
      <c r="W449" s="7">
        <f t="shared" ref="W449:X449" si="841">IF(AVERAGE(U389:U448) &gt; 0.25, 1, 0)</f>
        <v>1</v>
      </c>
      <c r="X449" s="7">
        <f t="shared" si="841"/>
        <v>1</v>
      </c>
      <c r="Y449" s="8">
        <v>1.0</v>
      </c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</row>
    <row r="450" ht="22.5" customHeight="1">
      <c r="B450" s="6">
        <v>449.0</v>
      </c>
      <c r="C450" s="6">
        <v>96323.0</v>
      </c>
      <c r="D450" s="6">
        <v>0.48</v>
      </c>
      <c r="E450" s="6">
        <v>3.15</v>
      </c>
      <c r="F450" s="6">
        <v>10.57</v>
      </c>
      <c r="G450" s="6">
        <v>0.0</v>
      </c>
      <c r="H450" s="6">
        <v>0.07</v>
      </c>
      <c r="I450" s="6">
        <v>-0.21</v>
      </c>
      <c r="J450" s="6">
        <v>33.37</v>
      </c>
      <c r="K450" s="7">
        <f t="shared" ref="K450:P450" si="842">abs(D450-D449)/200</f>
        <v>0.00525</v>
      </c>
      <c r="L450" s="7">
        <f t="shared" si="842"/>
        <v>0.0036</v>
      </c>
      <c r="M450" s="7">
        <f t="shared" si="842"/>
        <v>0.00115</v>
      </c>
      <c r="N450" s="7">
        <f t="shared" si="842"/>
        <v>0.0004</v>
      </c>
      <c r="O450" s="7">
        <f t="shared" si="842"/>
        <v>0.00105</v>
      </c>
      <c r="P450" s="7">
        <f t="shared" si="842"/>
        <v>0.0043</v>
      </c>
      <c r="Q450" s="7">
        <f t="shared" si="7"/>
        <v>0.4483419898</v>
      </c>
      <c r="R450" s="7">
        <f t="shared" si="8"/>
        <v>0.04483718569</v>
      </c>
      <c r="S450" s="7">
        <f t="shared" si="2"/>
        <v>1.239827897</v>
      </c>
      <c r="T450" s="7">
        <f t="shared" si="3"/>
        <v>0.2213594362</v>
      </c>
      <c r="U450" s="7">
        <f t="shared" si="4"/>
        <v>1</v>
      </c>
      <c r="V450" s="7">
        <f t="shared" si="5"/>
        <v>1</v>
      </c>
      <c r="W450" s="7">
        <f t="shared" ref="W450:X450" si="843">IF(AVERAGE(U390:U449) &gt; 0.25, 1, 0)</f>
        <v>1</v>
      </c>
      <c r="X450" s="7">
        <f t="shared" si="843"/>
        <v>1</v>
      </c>
      <c r="Y450" s="8">
        <v>1.0</v>
      </c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</row>
    <row r="451" ht="22.5" customHeight="1">
      <c r="B451" s="6">
        <v>450.0</v>
      </c>
      <c r="C451" s="6">
        <v>96527.0</v>
      </c>
      <c r="D451" s="6">
        <v>4.81</v>
      </c>
      <c r="E451" s="6">
        <v>-0.52</v>
      </c>
      <c r="F451" s="6">
        <v>10.5</v>
      </c>
      <c r="G451" s="6">
        <v>-0.03</v>
      </c>
      <c r="H451" s="6">
        <v>0.0</v>
      </c>
      <c r="I451" s="6">
        <v>-0.2</v>
      </c>
      <c r="J451" s="6">
        <v>33.37</v>
      </c>
      <c r="K451" s="7">
        <f t="shared" ref="K451:P451" si="844">abs(D451-D450)/200</f>
        <v>0.02165</v>
      </c>
      <c r="L451" s="7">
        <f t="shared" si="844"/>
        <v>0.01835</v>
      </c>
      <c r="M451" s="7">
        <f t="shared" si="844"/>
        <v>0.00035</v>
      </c>
      <c r="N451" s="7">
        <f t="shared" si="844"/>
        <v>0.00015</v>
      </c>
      <c r="O451" s="7">
        <f t="shared" si="844"/>
        <v>0.00035</v>
      </c>
      <c r="P451" s="7">
        <f t="shared" si="844"/>
        <v>0.00005</v>
      </c>
      <c r="Q451" s="7">
        <f t="shared" si="7"/>
        <v>0.01912195205</v>
      </c>
      <c r="R451" s="7">
        <f t="shared" si="8"/>
        <v>0.5211625448</v>
      </c>
      <c r="S451" s="7">
        <f t="shared" si="2"/>
        <v>1.760990442</v>
      </c>
      <c r="T451" s="7">
        <f t="shared" si="3"/>
        <v>0.2022374842</v>
      </c>
      <c r="U451" s="7">
        <f t="shared" si="4"/>
        <v>1</v>
      </c>
      <c r="V451" s="7">
        <f t="shared" si="5"/>
        <v>1</v>
      </c>
      <c r="W451" s="7">
        <f t="shared" ref="W451:X451" si="845">IF(AVERAGE(U391:U450) &gt; 0.25, 1, 0)</f>
        <v>1</v>
      </c>
      <c r="X451" s="7">
        <f t="shared" si="845"/>
        <v>1</v>
      </c>
      <c r="Y451" s="8">
        <v>1.0</v>
      </c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</row>
    <row r="452" ht="22.5" customHeight="1">
      <c r="B452" s="6">
        <v>451.0</v>
      </c>
      <c r="C452" s="6">
        <v>96731.0</v>
      </c>
      <c r="D452" s="6">
        <v>3.69</v>
      </c>
      <c r="E452" s="6">
        <v>-2.16</v>
      </c>
      <c r="F452" s="6">
        <v>10.36</v>
      </c>
      <c r="G452" s="6">
        <v>-0.19</v>
      </c>
      <c r="H452" s="6">
        <v>-0.06</v>
      </c>
      <c r="I452" s="6">
        <v>-0.58</v>
      </c>
      <c r="J452" s="6">
        <v>33.37</v>
      </c>
      <c r="K452" s="7">
        <f t="shared" ref="K452:P452" si="846">abs(D452-D451)/200</f>
        <v>0.0056</v>
      </c>
      <c r="L452" s="7">
        <f t="shared" si="846"/>
        <v>0.0082</v>
      </c>
      <c r="M452" s="7">
        <f t="shared" si="846"/>
        <v>0.0007</v>
      </c>
      <c r="N452" s="7">
        <f t="shared" si="846"/>
        <v>0.0008</v>
      </c>
      <c r="O452" s="7">
        <f t="shared" si="846"/>
        <v>0.0003</v>
      </c>
      <c r="P452" s="7">
        <f t="shared" si="846"/>
        <v>0.0019</v>
      </c>
      <c r="Q452" s="7">
        <f t="shared" si="7"/>
        <v>0.4110324401</v>
      </c>
      <c r="R452" s="7">
        <f t="shared" si="8"/>
        <v>0.3533457296</v>
      </c>
      <c r="S452" s="7">
        <f t="shared" si="2"/>
        <v>1.407644712</v>
      </c>
      <c r="T452" s="7">
        <f t="shared" si="3"/>
        <v>0.6132699243</v>
      </c>
      <c r="U452" s="7">
        <f t="shared" si="4"/>
        <v>1</v>
      </c>
      <c r="V452" s="7">
        <f t="shared" si="5"/>
        <v>1</v>
      </c>
      <c r="W452" s="7">
        <f t="shared" ref="W452:X452" si="847">IF(AVERAGE(U392:U451) &gt; 0.25, 1, 0)</f>
        <v>1</v>
      </c>
      <c r="X452" s="7">
        <f t="shared" si="847"/>
        <v>1</v>
      </c>
      <c r="Y452" s="8">
        <v>1.0</v>
      </c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</row>
    <row r="453" ht="22.5" customHeight="1">
      <c r="B453" s="6">
        <v>452.0</v>
      </c>
      <c r="C453" s="6">
        <v>96935.0</v>
      </c>
      <c r="D453" s="6">
        <v>0.25</v>
      </c>
      <c r="E453" s="6">
        <v>-3.25</v>
      </c>
      <c r="F453" s="6">
        <v>11.1</v>
      </c>
      <c r="G453" s="6">
        <v>-0.33</v>
      </c>
      <c r="H453" s="6">
        <v>-0.01</v>
      </c>
      <c r="I453" s="6">
        <v>-0.83</v>
      </c>
      <c r="J453" s="6">
        <v>33.37</v>
      </c>
      <c r="K453" s="7">
        <f t="shared" ref="K453:P453" si="848">abs(D453-D452)/200</f>
        <v>0.0172</v>
      </c>
      <c r="L453" s="7">
        <f t="shared" si="848"/>
        <v>0.00545</v>
      </c>
      <c r="M453" s="7">
        <f t="shared" si="848"/>
        <v>0.0037</v>
      </c>
      <c r="N453" s="7">
        <f t="shared" si="848"/>
        <v>0.0007</v>
      </c>
      <c r="O453" s="7">
        <f t="shared" si="848"/>
        <v>0.00025</v>
      </c>
      <c r="P453" s="7">
        <f t="shared" si="848"/>
        <v>0.00125</v>
      </c>
      <c r="Q453" s="7">
        <f t="shared" si="7"/>
        <v>0.2799825596</v>
      </c>
      <c r="R453" s="7">
        <f t="shared" si="8"/>
        <v>0.3610630806</v>
      </c>
      <c r="S453" s="7">
        <f t="shared" si="2"/>
        <v>1.768707793</v>
      </c>
      <c r="T453" s="7">
        <f t="shared" si="3"/>
        <v>0.8932524839</v>
      </c>
      <c r="U453" s="7">
        <f t="shared" si="4"/>
        <v>1</v>
      </c>
      <c r="V453" s="7">
        <f t="shared" si="5"/>
        <v>1</v>
      </c>
      <c r="W453" s="7">
        <f t="shared" ref="W453:X453" si="849">IF(AVERAGE(U393:U452) &gt; 0.25, 1, 0)</f>
        <v>1</v>
      </c>
      <c r="X453" s="7">
        <f t="shared" si="849"/>
        <v>1</v>
      </c>
      <c r="Y453" s="8">
        <v>1.0</v>
      </c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</row>
    <row r="454" ht="22.5" customHeight="1">
      <c r="B454" s="6">
        <v>453.0</v>
      </c>
      <c r="C454" s="6">
        <v>97139.0</v>
      </c>
      <c r="D454" s="6">
        <v>-1.41</v>
      </c>
      <c r="E454" s="6">
        <v>2.83</v>
      </c>
      <c r="F454" s="6">
        <v>10.69</v>
      </c>
      <c r="G454" s="6">
        <v>0.02</v>
      </c>
      <c r="H454" s="6">
        <v>-0.01</v>
      </c>
      <c r="I454" s="6">
        <v>1.23</v>
      </c>
      <c r="J454" s="6">
        <v>33.37</v>
      </c>
      <c r="K454" s="7">
        <f t="shared" ref="K454:P454" si="850">abs(D454-D453)/200</f>
        <v>0.0083</v>
      </c>
      <c r="L454" s="7">
        <f t="shared" si="850"/>
        <v>0.0304</v>
      </c>
      <c r="M454" s="7">
        <f t="shared" si="850"/>
        <v>0.00205</v>
      </c>
      <c r="N454" s="7">
        <f t="shared" si="850"/>
        <v>0.00175</v>
      </c>
      <c r="O454" s="7">
        <f t="shared" si="850"/>
        <v>0</v>
      </c>
      <c r="P454" s="7">
        <f t="shared" si="850"/>
        <v>0.0103</v>
      </c>
      <c r="Q454" s="7">
        <f t="shared" si="7"/>
        <v>0.3369507513</v>
      </c>
      <c r="R454" s="7">
        <f t="shared" si="8"/>
        <v>0.4209232597</v>
      </c>
      <c r="S454" s="7">
        <f t="shared" si="2"/>
        <v>1.347784533</v>
      </c>
      <c r="T454" s="7">
        <f t="shared" si="3"/>
        <v>1.230203235</v>
      </c>
      <c r="U454" s="7">
        <f t="shared" si="4"/>
        <v>1</v>
      </c>
      <c r="V454" s="7">
        <f t="shared" si="5"/>
        <v>1</v>
      </c>
      <c r="W454" s="7">
        <f t="shared" ref="W454:X454" si="851">IF(AVERAGE(U394:U453) &gt; 0.25, 1, 0)</f>
        <v>1</v>
      </c>
      <c r="X454" s="7">
        <f t="shared" si="851"/>
        <v>1</v>
      </c>
      <c r="Y454" s="8">
        <v>1.0</v>
      </c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</row>
    <row r="455" ht="22.5" customHeight="1">
      <c r="B455" s="6">
        <v>454.0</v>
      </c>
      <c r="C455" s="6">
        <v>97343.0</v>
      </c>
      <c r="D455" s="6">
        <v>1.25</v>
      </c>
      <c r="E455" s="6">
        <v>1.73</v>
      </c>
      <c r="F455" s="6">
        <v>10.8</v>
      </c>
      <c r="G455" s="6">
        <v>-0.12</v>
      </c>
      <c r="H455" s="6">
        <v>0.16</v>
      </c>
      <c r="I455" s="6">
        <v>-0.46</v>
      </c>
      <c r="J455" s="6">
        <v>33.36</v>
      </c>
      <c r="K455" s="7">
        <f t="shared" ref="K455:P455" si="852">abs(D455-D454)/200</f>
        <v>0.0133</v>
      </c>
      <c r="L455" s="7">
        <f t="shared" si="852"/>
        <v>0.0055</v>
      </c>
      <c r="M455" s="7">
        <f t="shared" si="852"/>
        <v>0.00055</v>
      </c>
      <c r="N455" s="7">
        <f t="shared" si="852"/>
        <v>0.0007</v>
      </c>
      <c r="O455" s="7">
        <f t="shared" si="852"/>
        <v>0.00085</v>
      </c>
      <c r="P455" s="7">
        <f t="shared" si="852"/>
        <v>0.00845</v>
      </c>
      <c r="Q455" s="7">
        <f t="shared" si="7"/>
        <v>0.7286057871</v>
      </c>
      <c r="R455" s="7">
        <f t="shared" si="8"/>
        <v>0.1389062979</v>
      </c>
      <c r="S455" s="7">
        <f t="shared" si="2"/>
        <v>1.208878235</v>
      </c>
      <c r="T455" s="7">
        <f t="shared" si="3"/>
        <v>0.5015974482</v>
      </c>
      <c r="U455" s="7">
        <f t="shared" si="4"/>
        <v>1</v>
      </c>
      <c r="V455" s="7">
        <f t="shared" si="5"/>
        <v>1</v>
      </c>
      <c r="W455" s="7">
        <f t="shared" ref="W455:X455" si="853">IF(AVERAGE(U395:U454) &gt; 0.25, 1, 0)</f>
        <v>1</v>
      </c>
      <c r="X455" s="7">
        <f t="shared" si="853"/>
        <v>1</v>
      </c>
      <c r="Y455" s="8">
        <v>1.0</v>
      </c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</row>
    <row r="456" ht="22.5" customHeight="1">
      <c r="B456" s="6">
        <v>455.0</v>
      </c>
      <c r="C456" s="6">
        <v>97547.0</v>
      </c>
      <c r="D456" s="6">
        <v>4.29</v>
      </c>
      <c r="E456" s="6">
        <v>1.64</v>
      </c>
      <c r="F456" s="6">
        <v>10.45</v>
      </c>
      <c r="G456" s="6">
        <v>0.06</v>
      </c>
      <c r="H456" s="6">
        <v>0.0</v>
      </c>
      <c r="I456" s="6">
        <v>0.77</v>
      </c>
      <c r="J456" s="6">
        <v>33.36</v>
      </c>
      <c r="K456" s="7">
        <f t="shared" ref="K456:P456" si="854">abs(D456-D455)/200</f>
        <v>0.0152</v>
      </c>
      <c r="L456" s="7">
        <f t="shared" si="854"/>
        <v>0.00045</v>
      </c>
      <c r="M456" s="7">
        <f t="shared" si="854"/>
        <v>0.00175</v>
      </c>
      <c r="N456" s="7">
        <f t="shared" si="854"/>
        <v>0.0009</v>
      </c>
      <c r="O456" s="7">
        <f t="shared" si="854"/>
        <v>0.0008</v>
      </c>
      <c r="P456" s="7">
        <f t="shared" si="854"/>
        <v>0.00615</v>
      </c>
      <c r="Q456" s="7">
        <f t="shared" si="7"/>
        <v>0.2707366764</v>
      </c>
      <c r="R456" s="7">
        <f t="shared" si="8"/>
        <v>0.4058578545</v>
      </c>
      <c r="S456" s="7">
        <f t="shared" si="2"/>
        <v>1.61473609</v>
      </c>
      <c r="T456" s="7">
        <f t="shared" si="3"/>
        <v>0.7723341246</v>
      </c>
      <c r="U456" s="7">
        <f t="shared" si="4"/>
        <v>1</v>
      </c>
      <c r="V456" s="7">
        <f t="shared" si="5"/>
        <v>1</v>
      </c>
      <c r="W456" s="7">
        <f t="shared" ref="W456:X456" si="855">IF(AVERAGE(U396:U455) &gt; 0.25, 1, 0)</f>
        <v>1</v>
      </c>
      <c r="X456" s="7">
        <f t="shared" si="855"/>
        <v>1</v>
      </c>
      <c r="Y456" s="8">
        <v>1.0</v>
      </c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</row>
    <row r="457" ht="22.5" customHeight="1">
      <c r="B457" s="6">
        <v>456.0</v>
      </c>
      <c r="C457" s="6">
        <v>97751.0</v>
      </c>
      <c r="D457" s="6">
        <v>4.24</v>
      </c>
      <c r="E457" s="6">
        <v>-0.65</v>
      </c>
      <c r="F457" s="6">
        <v>10.56</v>
      </c>
      <c r="G457" s="6">
        <v>-0.07</v>
      </c>
      <c r="H457" s="6">
        <v>-0.13</v>
      </c>
      <c r="I457" s="6">
        <v>-0.35</v>
      </c>
      <c r="J457" s="6">
        <v>33.37</v>
      </c>
      <c r="K457" s="7">
        <f t="shared" ref="K457:P457" si="856">abs(D457-D456)/200</f>
        <v>0.00025</v>
      </c>
      <c r="L457" s="7">
        <f t="shared" si="856"/>
        <v>0.01145</v>
      </c>
      <c r="M457" s="7">
        <f t="shared" si="856"/>
        <v>0.00055</v>
      </c>
      <c r="N457" s="7">
        <f t="shared" si="856"/>
        <v>0.00065</v>
      </c>
      <c r="O457" s="7">
        <f t="shared" si="856"/>
        <v>0.00065</v>
      </c>
      <c r="P457" s="7">
        <f t="shared" si="856"/>
        <v>0.0056</v>
      </c>
      <c r="Q457" s="7">
        <f t="shared" si="7"/>
        <v>0.3924657263</v>
      </c>
      <c r="R457" s="7">
        <f t="shared" si="8"/>
        <v>0.01676697246</v>
      </c>
      <c r="S457" s="7">
        <f t="shared" si="2"/>
        <v>1.597969117</v>
      </c>
      <c r="T457" s="7">
        <f t="shared" si="3"/>
        <v>0.3798683983</v>
      </c>
      <c r="U457" s="7">
        <f t="shared" si="4"/>
        <v>1</v>
      </c>
      <c r="V457" s="7">
        <f t="shared" si="5"/>
        <v>1</v>
      </c>
      <c r="W457" s="7">
        <f t="shared" ref="W457:X457" si="857">IF(AVERAGE(U397:U456) &gt; 0.25, 1, 0)</f>
        <v>1</v>
      </c>
      <c r="X457" s="7">
        <f t="shared" si="857"/>
        <v>1</v>
      </c>
      <c r="Y457" s="8">
        <v>1.0</v>
      </c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</row>
    <row r="458" ht="22.5" customHeight="1">
      <c r="B458" s="6">
        <v>457.0</v>
      </c>
      <c r="C458" s="6">
        <v>97955.0</v>
      </c>
      <c r="D458" s="6">
        <v>3.39</v>
      </c>
      <c r="E458" s="6">
        <v>-2.77</v>
      </c>
      <c r="F458" s="6">
        <v>9.84</v>
      </c>
      <c r="G458" s="6">
        <v>-0.56</v>
      </c>
      <c r="H458" s="6">
        <v>0.24</v>
      </c>
      <c r="I458" s="6">
        <v>-1.32</v>
      </c>
      <c r="J458" s="6">
        <v>33.35</v>
      </c>
      <c r="K458" s="7">
        <f t="shared" ref="K458:P458" si="858">abs(D458-D457)/200</f>
        <v>0.00425</v>
      </c>
      <c r="L458" s="7">
        <f t="shared" si="858"/>
        <v>0.0106</v>
      </c>
      <c r="M458" s="7">
        <f t="shared" si="858"/>
        <v>0.0036</v>
      </c>
      <c r="N458" s="7">
        <f t="shared" si="858"/>
        <v>0.00245</v>
      </c>
      <c r="O458" s="7">
        <f t="shared" si="858"/>
        <v>0.00185</v>
      </c>
      <c r="P458" s="7">
        <f t="shared" si="858"/>
        <v>0.00485</v>
      </c>
      <c r="Q458" s="7">
        <f t="shared" si="7"/>
        <v>1.073954149</v>
      </c>
      <c r="R458" s="7">
        <f t="shared" si="8"/>
        <v>0.628075896</v>
      </c>
      <c r="S458" s="7">
        <f t="shared" si="2"/>
        <v>0.9698932214</v>
      </c>
      <c r="T458" s="7">
        <f t="shared" si="3"/>
        <v>1.453822548</v>
      </c>
      <c r="U458" s="7">
        <f t="shared" si="4"/>
        <v>1</v>
      </c>
      <c r="V458" s="7">
        <f t="shared" si="5"/>
        <v>1</v>
      </c>
      <c r="W458" s="7">
        <f t="shared" ref="W458:X458" si="859">IF(AVERAGE(U398:U457) &gt; 0.25, 1, 0)</f>
        <v>1</v>
      </c>
      <c r="X458" s="7">
        <f t="shared" si="859"/>
        <v>1</v>
      </c>
      <c r="Y458" s="8">
        <v>1.0</v>
      </c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</row>
    <row r="459" ht="22.5" customHeight="1">
      <c r="B459" s="6">
        <v>458.0</v>
      </c>
      <c r="C459" s="6">
        <v>98159.0</v>
      </c>
      <c r="D459" s="6">
        <v>-2.18</v>
      </c>
      <c r="E459" s="6">
        <v>-2.17</v>
      </c>
      <c r="F459" s="6">
        <v>11.26</v>
      </c>
      <c r="G459" s="6">
        <v>-0.3</v>
      </c>
      <c r="H459" s="6">
        <v>-0.2</v>
      </c>
      <c r="I459" s="6">
        <v>-0.59</v>
      </c>
      <c r="J459" s="6">
        <v>33.37</v>
      </c>
      <c r="K459" s="7">
        <f t="shared" ref="K459:P459" si="860">abs(D459-D458)/200</f>
        <v>0.02785</v>
      </c>
      <c r="L459" s="7">
        <f t="shared" si="860"/>
        <v>0.003</v>
      </c>
      <c r="M459" s="7">
        <f t="shared" si="860"/>
        <v>0.0071</v>
      </c>
      <c r="N459" s="7">
        <f t="shared" si="860"/>
        <v>0.0013</v>
      </c>
      <c r="O459" s="7">
        <f t="shared" si="860"/>
        <v>0.0022</v>
      </c>
      <c r="P459" s="7">
        <f t="shared" si="860"/>
        <v>0.00365</v>
      </c>
      <c r="Q459" s="7">
        <f t="shared" si="7"/>
        <v>0.7623747911</v>
      </c>
      <c r="R459" s="7">
        <f t="shared" si="8"/>
        <v>0.9026771896</v>
      </c>
      <c r="S459" s="7">
        <f t="shared" si="2"/>
        <v>1.872570411</v>
      </c>
      <c r="T459" s="7">
        <f t="shared" si="3"/>
        <v>0.6914477565</v>
      </c>
      <c r="U459" s="7">
        <f t="shared" si="4"/>
        <v>1</v>
      </c>
      <c r="V459" s="7">
        <f t="shared" si="5"/>
        <v>1</v>
      </c>
      <c r="W459" s="7">
        <f t="shared" ref="W459:X459" si="861">IF(AVERAGE(U399:U458) &gt; 0.25, 1, 0)</f>
        <v>1</v>
      </c>
      <c r="X459" s="7">
        <f t="shared" si="861"/>
        <v>1</v>
      </c>
      <c r="Y459" s="8">
        <v>1.0</v>
      </c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</row>
    <row r="460" ht="22.5" customHeight="1">
      <c r="B460" s="6">
        <v>459.0</v>
      </c>
      <c r="C460" s="6">
        <v>98363.0</v>
      </c>
      <c r="D460" s="6">
        <v>-2.05</v>
      </c>
      <c r="E460" s="6">
        <v>0.0</v>
      </c>
      <c r="F460" s="6">
        <v>11.1</v>
      </c>
      <c r="G460" s="6">
        <v>0.42</v>
      </c>
      <c r="H460" s="6">
        <v>-0.15</v>
      </c>
      <c r="I460" s="6">
        <v>1.72</v>
      </c>
      <c r="J460" s="6">
        <v>33.35</v>
      </c>
      <c r="K460" s="7">
        <f t="shared" ref="K460:P460" si="862">abs(D460-D459)/200</f>
        <v>0.00065</v>
      </c>
      <c r="L460" s="7">
        <f t="shared" si="862"/>
        <v>0.01085</v>
      </c>
      <c r="M460" s="7">
        <f t="shared" si="862"/>
        <v>0.0008</v>
      </c>
      <c r="N460" s="7">
        <f t="shared" si="862"/>
        <v>0.0036</v>
      </c>
      <c r="O460" s="7">
        <f t="shared" si="862"/>
        <v>0.00025</v>
      </c>
      <c r="P460" s="7">
        <f t="shared" si="862"/>
        <v>0.01155</v>
      </c>
      <c r="Q460" s="7">
        <f t="shared" si="7"/>
        <v>1.08543153</v>
      </c>
      <c r="R460" s="7">
        <f t="shared" si="8"/>
        <v>0.3848558505</v>
      </c>
      <c r="S460" s="7">
        <f t="shared" si="2"/>
        <v>1.487714561</v>
      </c>
      <c r="T460" s="7">
        <f t="shared" si="3"/>
        <v>1.776879287</v>
      </c>
      <c r="U460" s="7">
        <f t="shared" si="4"/>
        <v>1</v>
      </c>
      <c r="V460" s="7">
        <f t="shared" si="5"/>
        <v>1</v>
      </c>
      <c r="W460" s="7">
        <f t="shared" ref="W460:X460" si="863">IF(AVERAGE(U400:U459) &gt; 0.25, 1, 0)</f>
        <v>1</v>
      </c>
      <c r="X460" s="7">
        <f t="shared" si="863"/>
        <v>1</v>
      </c>
      <c r="Y460" s="8">
        <v>1.0</v>
      </c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</row>
    <row r="461" ht="22.5" customHeight="1">
      <c r="B461" s="6">
        <v>460.0</v>
      </c>
      <c r="C461" s="6">
        <v>98567.0</v>
      </c>
      <c r="D461" s="6">
        <v>3.16</v>
      </c>
      <c r="E461" s="6">
        <v>3.45</v>
      </c>
      <c r="F461" s="6">
        <v>10.43</v>
      </c>
      <c r="G461" s="6">
        <v>0.03</v>
      </c>
      <c r="H461" s="6">
        <v>0.08</v>
      </c>
      <c r="I461" s="6">
        <v>1.87</v>
      </c>
      <c r="J461" s="6">
        <v>33.36</v>
      </c>
      <c r="K461" s="7">
        <f t="shared" ref="K461:P461" si="864">abs(D461-D460)/200</f>
        <v>0.02605</v>
      </c>
      <c r="L461" s="7">
        <f t="shared" si="864"/>
        <v>0.01725</v>
      </c>
      <c r="M461" s="7">
        <f t="shared" si="864"/>
        <v>0.00335</v>
      </c>
      <c r="N461" s="7">
        <f t="shared" si="864"/>
        <v>0.00195</v>
      </c>
      <c r="O461" s="7">
        <f t="shared" si="864"/>
        <v>0.00115</v>
      </c>
      <c r="P461" s="7">
        <f t="shared" si="864"/>
        <v>0.00075</v>
      </c>
      <c r="Q461" s="7">
        <f t="shared" si="7"/>
        <v>0.09507156722</v>
      </c>
      <c r="R461" s="7">
        <f t="shared" si="8"/>
        <v>0.1435145947</v>
      </c>
      <c r="S461" s="7">
        <f t="shared" si="2"/>
        <v>1.631229155</v>
      </c>
      <c r="T461" s="7">
        <f t="shared" si="3"/>
        <v>1.871950854</v>
      </c>
      <c r="U461" s="7">
        <f t="shared" si="4"/>
        <v>1</v>
      </c>
      <c r="V461" s="7">
        <f t="shared" si="5"/>
        <v>1</v>
      </c>
      <c r="W461" s="7">
        <f t="shared" ref="W461:X461" si="865">IF(AVERAGE(U401:U460) &gt; 0.25, 1, 0)</f>
        <v>1</v>
      </c>
      <c r="X461" s="7">
        <f t="shared" si="865"/>
        <v>1</v>
      </c>
      <c r="Y461" s="8">
        <v>1.0</v>
      </c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</row>
    <row r="462" ht="22.5" customHeight="1">
      <c r="B462" s="6">
        <v>461.0</v>
      </c>
      <c r="C462" s="6">
        <v>98771.0</v>
      </c>
      <c r="D462" s="6">
        <v>4.54</v>
      </c>
      <c r="E462" s="6">
        <v>2.02</v>
      </c>
      <c r="F462" s="6">
        <v>10.76</v>
      </c>
      <c r="G462" s="6">
        <v>0.11</v>
      </c>
      <c r="H462" s="6">
        <v>-0.03</v>
      </c>
      <c r="I462" s="6">
        <v>0.02</v>
      </c>
      <c r="J462" s="6">
        <v>33.37</v>
      </c>
      <c r="K462" s="7">
        <f t="shared" ref="K462:P462" si="866">abs(D462-D461)/200</f>
        <v>0.0069</v>
      </c>
      <c r="L462" s="7">
        <f t="shared" si="866"/>
        <v>0.00715</v>
      </c>
      <c r="M462" s="7">
        <f t="shared" si="866"/>
        <v>0.00165</v>
      </c>
      <c r="N462" s="7">
        <f t="shared" si="866"/>
        <v>0.0004</v>
      </c>
      <c r="O462" s="7">
        <f t="shared" si="866"/>
        <v>0.00055</v>
      </c>
      <c r="P462" s="7">
        <f t="shared" si="866"/>
        <v>0.00925</v>
      </c>
      <c r="Q462" s="7">
        <f t="shared" si="7"/>
        <v>1.756192485</v>
      </c>
      <c r="R462" s="7">
        <f t="shared" si="8"/>
        <v>0.4207580199</v>
      </c>
      <c r="S462" s="7">
        <f t="shared" si="2"/>
        <v>2.051987175</v>
      </c>
      <c r="T462" s="7">
        <f t="shared" si="3"/>
        <v>0.115758369</v>
      </c>
      <c r="U462" s="7">
        <f t="shared" si="4"/>
        <v>1</v>
      </c>
      <c r="V462" s="7">
        <f t="shared" si="5"/>
        <v>1</v>
      </c>
      <c r="W462" s="7">
        <f t="shared" ref="W462:X462" si="867">IF(AVERAGE(U402:U461) &gt; 0.25, 1, 0)</f>
        <v>1</v>
      </c>
      <c r="X462" s="7">
        <f t="shared" si="867"/>
        <v>1</v>
      </c>
      <c r="Y462" s="8">
        <v>1.0</v>
      </c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</row>
    <row r="463" ht="22.5" customHeight="1">
      <c r="B463" s="6">
        <v>462.0</v>
      </c>
      <c r="C463" s="6">
        <v>98975.0</v>
      </c>
      <c r="D463" s="6">
        <v>3.32</v>
      </c>
      <c r="E463" s="6">
        <v>-2.01</v>
      </c>
      <c r="F463" s="6">
        <v>10.37</v>
      </c>
      <c r="G463" s="6">
        <v>-0.29</v>
      </c>
      <c r="H463" s="6">
        <v>-0.11</v>
      </c>
      <c r="I463" s="6">
        <v>-1.6</v>
      </c>
      <c r="J463" s="6">
        <v>33.36</v>
      </c>
      <c r="K463" s="7">
        <f t="shared" ref="K463:P463" si="868">abs(D463-D462)/200</f>
        <v>0.0061</v>
      </c>
      <c r="L463" s="7">
        <f t="shared" si="868"/>
        <v>0.02015</v>
      </c>
      <c r="M463" s="7">
        <f t="shared" si="868"/>
        <v>0.00195</v>
      </c>
      <c r="N463" s="7">
        <f t="shared" si="868"/>
        <v>0.002</v>
      </c>
      <c r="O463" s="7">
        <f t="shared" si="868"/>
        <v>0.0004</v>
      </c>
      <c r="P463" s="7">
        <f t="shared" si="868"/>
        <v>0.0081</v>
      </c>
      <c r="Q463" s="7">
        <f t="shared" si="7"/>
        <v>1.514026893</v>
      </c>
      <c r="R463" s="7">
        <f t="shared" si="8"/>
        <v>0.7795258408</v>
      </c>
      <c r="S463" s="7">
        <f t="shared" si="2"/>
        <v>1.272461334</v>
      </c>
      <c r="T463" s="7">
        <f t="shared" si="3"/>
        <v>1.629785262</v>
      </c>
      <c r="U463" s="7">
        <f t="shared" si="4"/>
        <v>1</v>
      </c>
      <c r="V463" s="7">
        <f t="shared" si="5"/>
        <v>1</v>
      </c>
      <c r="W463" s="7">
        <f t="shared" ref="W463:X463" si="869">IF(AVERAGE(U403:U462) &gt; 0.25, 1, 0)</f>
        <v>1</v>
      </c>
      <c r="X463" s="7">
        <f t="shared" si="869"/>
        <v>1</v>
      </c>
      <c r="Y463" s="8">
        <v>1.0</v>
      </c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</row>
    <row r="464" ht="22.5" customHeight="1">
      <c r="B464" s="6">
        <v>463.0</v>
      </c>
      <c r="C464" s="6">
        <v>99179.0</v>
      </c>
      <c r="D464" s="6">
        <v>1.03</v>
      </c>
      <c r="E464" s="6">
        <v>-3.64</v>
      </c>
      <c r="F464" s="6">
        <v>10.75</v>
      </c>
      <c r="G464" s="6">
        <v>-0.4</v>
      </c>
      <c r="H464" s="6">
        <v>0.17</v>
      </c>
      <c r="I464" s="6">
        <v>-1.32</v>
      </c>
      <c r="J464" s="6">
        <v>33.37</v>
      </c>
      <c r="K464" s="7">
        <f t="shared" ref="K464:P464" si="870">abs(D464-D463)/200</f>
        <v>0.01145</v>
      </c>
      <c r="L464" s="7">
        <f t="shared" si="870"/>
        <v>0.00815</v>
      </c>
      <c r="M464" s="7">
        <f t="shared" si="870"/>
        <v>0.0019</v>
      </c>
      <c r="N464" s="7">
        <f t="shared" si="870"/>
        <v>0.00055</v>
      </c>
      <c r="O464" s="7">
        <f t="shared" si="870"/>
        <v>0.0014</v>
      </c>
      <c r="P464" s="7">
        <f t="shared" si="870"/>
        <v>0.0014</v>
      </c>
      <c r="Q464" s="7">
        <f t="shared" si="7"/>
        <v>0.2400730615</v>
      </c>
      <c r="R464" s="7">
        <f t="shared" si="8"/>
        <v>0.3237222374</v>
      </c>
      <c r="S464" s="7">
        <f t="shared" si="2"/>
        <v>1.596183572</v>
      </c>
      <c r="T464" s="7">
        <f t="shared" si="3"/>
        <v>1.3897122</v>
      </c>
      <c r="U464" s="7">
        <f t="shared" si="4"/>
        <v>1</v>
      </c>
      <c r="V464" s="7">
        <f t="shared" si="5"/>
        <v>1</v>
      </c>
      <c r="W464" s="7">
        <f t="shared" ref="W464:X464" si="871">IF(AVERAGE(U404:U463) &gt; 0.25, 1, 0)</f>
        <v>1</v>
      </c>
      <c r="X464" s="7">
        <f t="shared" si="871"/>
        <v>1</v>
      </c>
      <c r="Y464" s="8">
        <v>1.0</v>
      </c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</row>
    <row r="465" ht="22.5" customHeight="1">
      <c r="B465" s="6">
        <v>464.0</v>
      </c>
      <c r="C465" s="6">
        <v>99383.0</v>
      </c>
      <c r="D465" s="6">
        <v>-1.52</v>
      </c>
      <c r="E465" s="6">
        <v>-1.13</v>
      </c>
      <c r="F465" s="6">
        <v>11.07</v>
      </c>
      <c r="G465" s="6">
        <v>-0.19</v>
      </c>
      <c r="H465" s="6">
        <v>-0.22</v>
      </c>
      <c r="I465" s="6">
        <v>0.24</v>
      </c>
      <c r="J465" s="6">
        <v>33.37</v>
      </c>
      <c r="K465" s="7">
        <f t="shared" ref="K465:P465" si="872">abs(D465-D464)/200</f>
        <v>0.01275</v>
      </c>
      <c r="L465" s="7">
        <f t="shared" si="872"/>
        <v>0.01255</v>
      </c>
      <c r="M465" s="7">
        <f t="shared" si="872"/>
        <v>0.0016</v>
      </c>
      <c r="N465" s="7">
        <f t="shared" si="872"/>
        <v>0.00105</v>
      </c>
      <c r="O465" s="7">
        <f t="shared" si="872"/>
        <v>0.00195</v>
      </c>
      <c r="P465" s="7">
        <f t="shared" si="872"/>
        <v>0.0078</v>
      </c>
      <c r="Q465" s="7">
        <f t="shared" si="7"/>
        <v>1.012750664</v>
      </c>
      <c r="R465" s="7">
        <f t="shared" si="8"/>
        <v>0.1653242991</v>
      </c>
      <c r="S465" s="7">
        <f t="shared" si="2"/>
        <v>1.430859273</v>
      </c>
      <c r="T465" s="7">
        <f t="shared" si="3"/>
        <v>0.3769615365</v>
      </c>
      <c r="U465" s="7">
        <f t="shared" si="4"/>
        <v>1</v>
      </c>
      <c r="V465" s="7">
        <f t="shared" si="5"/>
        <v>1</v>
      </c>
      <c r="W465" s="7">
        <f t="shared" ref="W465:X465" si="873">IF(AVERAGE(U405:U464) &gt; 0.25, 1, 0)</f>
        <v>1</v>
      </c>
      <c r="X465" s="7">
        <f t="shared" si="873"/>
        <v>1</v>
      </c>
      <c r="Y465" s="8">
        <v>1.0</v>
      </c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</row>
    <row r="466" ht="22.5" customHeight="1">
      <c r="B466" s="6">
        <v>465.0</v>
      </c>
      <c r="C466" s="6">
        <v>99587.0</v>
      </c>
      <c r="D466" s="6">
        <v>-1.04</v>
      </c>
      <c r="E466" s="6">
        <v>1.11</v>
      </c>
      <c r="F466" s="6">
        <v>10.71</v>
      </c>
      <c r="G466" s="6">
        <v>0.27</v>
      </c>
      <c r="H466" s="6">
        <v>-0.22</v>
      </c>
      <c r="I466" s="6">
        <v>1.16</v>
      </c>
      <c r="J466" s="6">
        <v>33.37</v>
      </c>
      <c r="K466" s="7">
        <f t="shared" ref="K466:P466" si="874">abs(D466-D465)/200</f>
        <v>0.0024</v>
      </c>
      <c r="L466" s="7">
        <f t="shared" si="874"/>
        <v>0.0112</v>
      </c>
      <c r="M466" s="7">
        <f t="shared" si="874"/>
        <v>0.0018</v>
      </c>
      <c r="N466" s="7">
        <f t="shared" si="874"/>
        <v>0.0023</v>
      </c>
      <c r="O466" s="7">
        <f t="shared" si="874"/>
        <v>0</v>
      </c>
      <c r="P466" s="7">
        <f t="shared" si="874"/>
        <v>0.0046</v>
      </c>
      <c r="Q466" s="7">
        <f t="shared" si="7"/>
        <v>0.8341949356</v>
      </c>
      <c r="R466" s="7">
        <f t="shared" si="8"/>
        <v>0.4133826722</v>
      </c>
      <c r="S466" s="7">
        <f t="shared" si="2"/>
        <v>1.0174766</v>
      </c>
      <c r="T466" s="7">
        <f t="shared" si="3"/>
        <v>1.211156472</v>
      </c>
      <c r="U466" s="7">
        <f t="shared" si="4"/>
        <v>1</v>
      </c>
      <c r="V466" s="7">
        <f t="shared" si="5"/>
        <v>1</v>
      </c>
      <c r="W466" s="7">
        <f t="shared" ref="W466:X466" si="875">IF(AVERAGE(U406:U465) &gt; 0.25, 1, 0)</f>
        <v>1</v>
      </c>
      <c r="X466" s="7">
        <f t="shared" si="875"/>
        <v>1</v>
      </c>
      <c r="Y466" s="8">
        <v>1.0</v>
      </c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</row>
    <row r="467" ht="22.5" customHeight="1">
      <c r="B467" s="6">
        <v>466.0</v>
      </c>
      <c r="C467" s="6">
        <v>99791.0</v>
      </c>
      <c r="D467" s="6">
        <v>1.04</v>
      </c>
      <c r="E467" s="6">
        <v>3.76</v>
      </c>
      <c r="F467" s="6">
        <v>10.67</v>
      </c>
      <c r="G467" s="6">
        <v>0.19</v>
      </c>
      <c r="H467" s="6">
        <v>-0.1</v>
      </c>
      <c r="I467" s="6">
        <v>0.99</v>
      </c>
      <c r="J467" s="6">
        <v>33.38</v>
      </c>
      <c r="K467" s="7">
        <f t="shared" ref="K467:P467" si="876">abs(D467-D466)/200</f>
        <v>0.0104</v>
      </c>
      <c r="L467" s="7">
        <f t="shared" si="876"/>
        <v>0.01325</v>
      </c>
      <c r="M467" s="7">
        <f t="shared" si="876"/>
        <v>0.0002</v>
      </c>
      <c r="N467" s="7">
        <f t="shared" si="876"/>
        <v>0.0004</v>
      </c>
      <c r="O467" s="7">
        <f t="shared" si="876"/>
        <v>0.0006</v>
      </c>
      <c r="P467" s="7">
        <f t="shared" si="876"/>
        <v>0.00085</v>
      </c>
      <c r="Q467" s="7">
        <f t="shared" si="7"/>
        <v>0.1981411712</v>
      </c>
      <c r="R467" s="7">
        <f t="shared" si="8"/>
        <v>0.543337631</v>
      </c>
      <c r="S467" s="7">
        <f t="shared" si="2"/>
        <v>1.560814231</v>
      </c>
      <c r="T467" s="7">
        <f t="shared" si="3"/>
        <v>1.013015301</v>
      </c>
      <c r="U467" s="7">
        <f t="shared" si="4"/>
        <v>1</v>
      </c>
      <c r="V467" s="7">
        <f t="shared" si="5"/>
        <v>1</v>
      </c>
      <c r="W467" s="7">
        <f t="shared" ref="W467:X467" si="877">IF(AVERAGE(U407:U466) &gt; 0.25, 1, 0)</f>
        <v>1</v>
      </c>
      <c r="X467" s="7">
        <f t="shared" si="877"/>
        <v>1</v>
      </c>
      <c r="Y467" s="8">
        <v>1.0</v>
      </c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</row>
    <row r="468" ht="22.5" customHeight="1">
      <c r="B468" s="6">
        <v>467.0</v>
      </c>
      <c r="C468" s="6">
        <v>99995.0</v>
      </c>
      <c r="D468" s="6">
        <v>4.66</v>
      </c>
      <c r="E468" s="6">
        <v>0.13</v>
      </c>
      <c r="F468" s="6">
        <v>10.5</v>
      </c>
      <c r="G468" s="6">
        <v>-0.01</v>
      </c>
      <c r="H468" s="6">
        <v>0.08</v>
      </c>
      <c r="I468" s="6">
        <v>0.09</v>
      </c>
      <c r="J468" s="6">
        <v>33.39</v>
      </c>
      <c r="K468" s="7">
        <f t="shared" ref="K468:P468" si="878">abs(D468-D467)/200</f>
        <v>0.0181</v>
      </c>
      <c r="L468" s="7">
        <f t="shared" si="878"/>
        <v>0.01815</v>
      </c>
      <c r="M468" s="7">
        <f t="shared" si="878"/>
        <v>0.00085</v>
      </c>
      <c r="N468" s="7">
        <f t="shared" si="878"/>
        <v>0.001</v>
      </c>
      <c r="O468" s="7">
        <f t="shared" si="878"/>
        <v>0.0009</v>
      </c>
      <c r="P468" s="7">
        <f t="shared" si="878"/>
        <v>0.0045</v>
      </c>
      <c r="Q468" s="7">
        <f t="shared" si="7"/>
        <v>0.8921848412</v>
      </c>
      <c r="R468" s="7">
        <f t="shared" si="8"/>
        <v>0.1275494467</v>
      </c>
      <c r="S468" s="7">
        <f t="shared" si="2"/>
        <v>1.688363678</v>
      </c>
      <c r="T468" s="7">
        <f t="shared" si="3"/>
        <v>0.1208304597</v>
      </c>
      <c r="U468" s="7">
        <f t="shared" si="4"/>
        <v>1</v>
      </c>
      <c r="V468" s="7">
        <f t="shared" si="5"/>
        <v>1</v>
      </c>
      <c r="W468" s="7">
        <f t="shared" ref="W468:X468" si="879">IF(AVERAGE(U408:U467) &gt; 0.25, 1, 0)</f>
        <v>1</v>
      </c>
      <c r="X468" s="7">
        <f t="shared" si="879"/>
        <v>1</v>
      </c>
      <c r="Y468" s="8">
        <v>1.0</v>
      </c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</row>
    <row r="469" ht="22.5" customHeight="1">
      <c r="B469" s="6">
        <v>468.0</v>
      </c>
      <c r="C469" s="6">
        <v>100199.0</v>
      </c>
      <c r="D469" s="6">
        <v>3.44</v>
      </c>
      <c r="E469" s="6">
        <v>-2.61</v>
      </c>
      <c r="F469" s="6">
        <v>10.52</v>
      </c>
      <c r="G469" s="6">
        <v>-0.4</v>
      </c>
      <c r="H469" s="6">
        <v>0.29</v>
      </c>
      <c r="I469" s="6">
        <v>-1.13</v>
      </c>
      <c r="J469" s="6">
        <v>33.37</v>
      </c>
      <c r="K469" s="7">
        <f t="shared" ref="K469:P469" si="880">abs(D469-D468)/200</f>
        <v>0.0061</v>
      </c>
      <c r="L469" s="7">
        <f t="shared" si="880"/>
        <v>0.0137</v>
      </c>
      <c r="M469" s="7">
        <f t="shared" si="880"/>
        <v>0.0001</v>
      </c>
      <c r="N469" s="7">
        <f t="shared" si="880"/>
        <v>0.00195</v>
      </c>
      <c r="O469" s="7">
        <f t="shared" si="880"/>
        <v>0.00105</v>
      </c>
      <c r="P469" s="7">
        <f t="shared" si="880"/>
        <v>0.0061</v>
      </c>
      <c r="Q469" s="7">
        <f t="shared" si="7"/>
        <v>1.112457828</v>
      </c>
      <c r="R469" s="7">
        <f t="shared" si="8"/>
        <v>0.1166399741</v>
      </c>
      <c r="S469" s="7">
        <f t="shared" si="2"/>
        <v>1.571723704</v>
      </c>
      <c r="T469" s="7">
        <f t="shared" si="3"/>
        <v>1.233288287</v>
      </c>
      <c r="U469" s="7">
        <f t="shared" si="4"/>
        <v>1</v>
      </c>
      <c r="V469" s="7">
        <f t="shared" si="5"/>
        <v>1</v>
      </c>
      <c r="W469" s="7">
        <f t="shared" ref="W469:X469" si="881">IF(AVERAGE(U409:U468) &gt; 0.25, 1, 0)</f>
        <v>1</v>
      </c>
      <c r="X469" s="7">
        <f t="shared" si="881"/>
        <v>1</v>
      </c>
      <c r="Y469" s="8">
        <v>1.0</v>
      </c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</row>
    <row r="470" ht="22.5" customHeight="1">
      <c r="B470" s="6">
        <v>469.0</v>
      </c>
      <c r="C470" s="6">
        <v>100403.0</v>
      </c>
      <c r="D470" s="6">
        <v>-0.68</v>
      </c>
      <c r="E470" s="6">
        <v>-2.83</v>
      </c>
      <c r="F470" s="6">
        <v>11.4</v>
      </c>
      <c r="G470" s="6">
        <v>-0.41</v>
      </c>
      <c r="H470" s="6">
        <v>-0.04</v>
      </c>
      <c r="I470" s="6">
        <v>-1.05</v>
      </c>
      <c r="J470" s="6">
        <v>33.37</v>
      </c>
      <c r="K470" s="7">
        <f t="shared" ref="K470:P470" si="882">abs(D470-D469)/200</f>
        <v>0.0206</v>
      </c>
      <c r="L470" s="7">
        <f t="shared" si="882"/>
        <v>0.0011</v>
      </c>
      <c r="M470" s="7">
        <f t="shared" si="882"/>
        <v>0.0044</v>
      </c>
      <c r="N470" s="7">
        <f t="shared" si="882"/>
        <v>0.00005</v>
      </c>
      <c r="O470" s="7">
        <f t="shared" si="882"/>
        <v>0.00165</v>
      </c>
      <c r="P470" s="7">
        <f t="shared" si="882"/>
        <v>0.0004</v>
      </c>
      <c r="Q470" s="7">
        <f t="shared" si="7"/>
        <v>0.1053698507</v>
      </c>
      <c r="R470" s="7">
        <f t="shared" si="8"/>
        <v>0.3939594466</v>
      </c>
      <c r="S470" s="7">
        <f t="shared" si="2"/>
        <v>1.965683151</v>
      </c>
      <c r="T470" s="7">
        <f t="shared" si="3"/>
        <v>1.127918437</v>
      </c>
      <c r="U470" s="7">
        <f t="shared" si="4"/>
        <v>1</v>
      </c>
      <c r="V470" s="7">
        <f t="shared" si="5"/>
        <v>1</v>
      </c>
      <c r="W470" s="7">
        <f t="shared" ref="W470:X470" si="883">IF(AVERAGE(U410:U469) &gt; 0.25, 1, 0)</f>
        <v>1</v>
      </c>
      <c r="X470" s="7">
        <f t="shared" si="883"/>
        <v>1</v>
      </c>
      <c r="Y470" s="8">
        <v>1.0</v>
      </c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</row>
    <row r="471" ht="22.5" customHeight="1">
      <c r="B471" s="6">
        <v>470.0</v>
      </c>
      <c r="C471" s="6">
        <v>100607.0</v>
      </c>
      <c r="D471" s="6">
        <v>-2.5</v>
      </c>
      <c r="E471" s="6">
        <v>-0.88</v>
      </c>
      <c r="F471" s="6">
        <v>11.08</v>
      </c>
      <c r="G471" s="6">
        <v>0.01</v>
      </c>
      <c r="H471" s="6">
        <v>-0.2</v>
      </c>
      <c r="I471" s="6">
        <v>0.63</v>
      </c>
      <c r="J471" s="6">
        <v>33.37</v>
      </c>
      <c r="K471" s="7">
        <f t="shared" ref="K471:P471" si="884">abs(D471-D470)/200</f>
        <v>0.0091</v>
      </c>
      <c r="L471" s="7">
        <f t="shared" si="884"/>
        <v>0.00975</v>
      </c>
      <c r="M471" s="7">
        <f t="shared" si="884"/>
        <v>0.0016</v>
      </c>
      <c r="N471" s="7">
        <f t="shared" si="884"/>
        <v>0.0021</v>
      </c>
      <c r="O471" s="7">
        <f t="shared" si="884"/>
        <v>0.0008</v>
      </c>
      <c r="P471" s="7">
        <f t="shared" si="884"/>
        <v>0.0084</v>
      </c>
      <c r="Q471" s="7">
        <f t="shared" si="7"/>
        <v>0.4668586815</v>
      </c>
      <c r="R471" s="7">
        <f t="shared" si="8"/>
        <v>0.3731066202</v>
      </c>
      <c r="S471" s="7">
        <f t="shared" si="2"/>
        <v>1.59257653</v>
      </c>
      <c r="T471" s="7">
        <f t="shared" si="3"/>
        <v>0.6610597552</v>
      </c>
      <c r="U471" s="7">
        <f t="shared" si="4"/>
        <v>1</v>
      </c>
      <c r="V471" s="7">
        <f t="shared" si="5"/>
        <v>1</v>
      </c>
      <c r="W471" s="7">
        <f t="shared" ref="W471:X471" si="885">IF(AVERAGE(U411:U470) &gt; 0.25, 1, 0)</f>
        <v>1</v>
      </c>
      <c r="X471" s="7">
        <f t="shared" si="885"/>
        <v>1</v>
      </c>
      <c r="Y471" s="8">
        <v>1.0</v>
      </c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</row>
    <row r="472" ht="22.5" customHeight="1">
      <c r="B472" s="6">
        <v>471.0</v>
      </c>
      <c r="C472" s="6">
        <v>100811.0</v>
      </c>
      <c r="D472" s="6">
        <v>1.04</v>
      </c>
      <c r="E472" s="6">
        <v>2.87</v>
      </c>
      <c r="F472" s="6">
        <v>10.27</v>
      </c>
      <c r="G472" s="6">
        <v>0.19</v>
      </c>
      <c r="H472" s="6">
        <v>-0.08</v>
      </c>
      <c r="I472" s="6">
        <v>1.18</v>
      </c>
      <c r="J472" s="6">
        <v>33.38</v>
      </c>
      <c r="K472" s="7">
        <f t="shared" ref="K472:P472" si="886">abs(D472-D471)/200</f>
        <v>0.0177</v>
      </c>
      <c r="L472" s="7">
        <f t="shared" si="886"/>
        <v>0.01875</v>
      </c>
      <c r="M472" s="7">
        <f t="shared" si="886"/>
        <v>0.00405</v>
      </c>
      <c r="N472" s="7">
        <f t="shared" si="886"/>
        <v>0.0009</v>
      </c>
      <c r="O472" s="7">
        <f t="shared" si="886"/>
        <v>0.0006</v>
      </c>
      <c r="P472" s="7">
        <f t="shared" si="886"/>
        <v>0.00275</v>
      </c>
      <c r="Q472" s="7">
        <f t="shared" si="7"/>
        <v>0.5368133599</v>
      </c>
      <c r="R472" s="7">
        <f t="shared" si="8"/>
        <v>0.6785016753</v>
      </c>
      <c r="S472" s="7">
        <f t="shared" si="2"/>
        <v>0.9140748551</v>
      </c>
      <c r="T472" s="7">
        <f t="shared" si="3"/>
        <v>1.197873115</v>
      </c>
      <c r="U472" s="7">
        <f t="shared" si="4"/>
        <v>1</v>
      </c>
      <c r="V472" s="7">
        <f t="shared" si="5"/>
        <v>1</v>
      </c>
      <c r="W472" s="7">
        <f t="shared" ref="W472:X472" si="887">IF(AVERAGE(U412:U471) &gt; 0.25, 1, 0)</f>
        <v>1</v>
      </c>
      <c r="X472" s="7">
        <f t="shared" si="887"/>
        <v>1</v>
      </c>
      <c r="Y472" s="8">
        <v>1.0</v>
      </c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</row>
    <row r="473" ht="22.5" customHeight="1">
      <c r="B473" s="6">
        <v>472.0</v>
      </c>
      <c r="C473" s="6">
        <v>101015.0</v>
      </c>
      <c r="D473" s="6">
        <v>2.88</v>
      </c>
      <c r="E473" s="6">
        <v>0.28</v>
      </c>
      <c r="F473" s="6">
        <v>10.37</v>
      </c>
      <c r="G473" s="6">
        <v>0.01</v>
      </c>
      <c r="H473" s="6">
        <v>0.01</v>
      </c>
      <c r="I473" s="6">
        <v>-0.1</v>
      </c>
      <c r="J473" s="6">
        <v>33.37</v>
      </c>
      <c r="K473" s="7">
        <f t="shared" ref="K473:P473" si="888">abs(D473-D472)/200</f>
        <v>0.0092</v>
      </c>
      <c r="L473" s="7">
        <f t="shared" si="888"/>
        <v>0.01295</v>
      </c>
      <c r="M473" s="7">
        <f t="shared" si="888"/>
        <v>0.0005</v>
      </c>
      <c r="N473" s="7">
        <f t="shared" si="888"/>
        <v>0.0009</v>
      </c>
      <c r="O473" s="7">
        <f t="shared" si="888"/>
        <v>0.00045</v>
      </c>
      <c r="P473" s="7">
        <f t="shared" si="888"/>
        <v>0.0064</v>
      </c>
      <c r="Q473" s="7">
        <f t="shared" si="7"/>
        <v>1.096878066</v>
      </c>
      <c r="R473" s="7">
        <f t="shared" si="8"/>
        <v>0.0520618708</v>
      </c>
      <c r="S473" s="7">
        <f t="shared" si="2"/>
        <v>0.9661367259</v>
      </c>
      <c r="T473" s="7">
        <f t="shared" si="3"/>
        <v>0.1009950494</v>
      </c>
      <c r="U473" s="7">
        <f t="shared" si="4"/>
        <v>1</v>
      </c>
      <c r="V473" s="7">
        <f t="shared" si="5"/>
        <v>1</v>
      </c>
      <c r="W473" s="7">
        <f t="shared" ref="W473:X473" si="889">IF(AVERAGE(U413:U472) &gt; 0.25, 1, 0)</f>
        <v>1</v>
      </c>
      <c r="X473" s="7">
        <f t="shared" si="889"/>
        <v>1</v>
      </c>
      <c r="Y473" s="8">
        <v>1.0</v>
      </c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</row>
    <row r="474" ht="22.5" customHeight="1">
      <c r="B474" s="6">
        <v>473.0</v>
      </c>
      <c r="C474" s="6">
        <v>101219.0</v>
      </c>
      <c r="D474" s="6">
        <v>3.18</v>
      </c>
      <c r="E474" s="6">
        <v>-0.52</v>
      </c>
      <c r="F474" s="6">
        <v>10.67</v>
      </c>
      <c r="G474" s="6">
        <v>-0.03</v>
      </c>
      <c r="H474" s="6">
        <v>0.03</v>
      </c>
      <c r="I474" s="6">
        <v>0.24</v>
      </c>
      <c r="J474" s="6">
        <v>33.39</v>
      </c>
      <c r="K474" s="7">
        <f t="shared" ref="K474:P474" si="890">abs(D474-D473)/200</f>
        <v>0.0015</v>
      </c>
      <c r="L474" s="7">
        <f t="shared" si="890"/>
        <v>0.004</v>
      </c>
      <c r="M474" s="7">
        <f t="shared" si="890"/>
        <v>0.0015</v>
      </c>
      <c r="N474" s="7">
        <f t="shared" si="890"/>
        <v>0.0002</v>
      </c>
      <c r="O474" s="7">
        <f t="shared" si="890"/>
        <v>0.0001</v>
      </c>
      <c r="P474" s="7">
        <f t="shared" si="890"/>
        <v>0.0017</v>
      </c>
      <c r="Q474" s="7">
        <f t="shared" si="7"/>
        <v>0.1427261028</v>
      </c>
      <c r="R474" s="7">
        <f t="shared" si="8"/>
        <v>0.3797907815</v>
      </c>
      <c r="S474" s="7">
        <f t="shared" si="2"/>
        <v>1.345927507</v>
      </c>
      <c r="T474" s="7">
        <f t="shared" si="3"/>
        <v>0.2437211521</v>
      </c>
      <c r="U474" s="7">
        <f t="shared" si="4"/>
        <v>1</v>
      </c>
      <c r="V474" s="7">
        <f t="shared" si="5"/>
        <v>1</v>
      </c>
      <c r="W474" s="7">
        <f t="shared" ref="W474:X474" si="891">IF(AVERAGE(U414:U473) &gt; 0.25, 1, 0)</f>
        <v>1</v>
      </c>
      <c r="X474" s="7">
        <f t="shared" si="891"/>
        <v>1</v>
      </c>
      <c r="Y474" s="8">
        <v>1.0</v>
      </c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</row>
    <row r="475" ht="22.5" customHeight="1">
      <c r="B475" s="6">
        <v>474.0</v>
      </c>
      <c r="C475" s="6">
        <v>101423.0</v>
      </c>
      <c r="D475" s="6">
        <v>3.57</v>
      </c>
      <c r="E475" s="6">
        <v>-2.22</v>
      </c>
      <c r="F475" s="6">
        <v>10.09</v>
      </c>
      <c r="G475" s="6">
        <v>-0.28</v>
      </c>
      <c r="H475" s="6">
        <v>0.1</v>
      </c>
      <c r="I475" s="6">
        <v>-0.81</v>
      </c>
      <c r="J475" s="6">
        <v>33.38</v>
      </c>
      <c r="K475" s="7">
        <f t="shared" ref="K475:P475" si="892">abs(D475-D474)/200</f>
        <v>0.00195</v>
      </c>
      <c r="L475" s="7">
        <f t="shared" si="892"/>
        <v>0.0085</v>
      </c>
      <c r="M475" s="7">
        <f t="shared" si="892"/>
        <v>0.0029</v>
      </c>
      <c r="N475" s="7">
        <f t="shared" si="892"/>
        <v>0.00125</v>
      </c>
      <c r="O475" s="7">
        <f t="shared" si="892"/>
        <v>0.00035</v>
      </c>
      <c r="P475" s="7">
        <f t="shared" si="892"/>
        <v>0.00525</v>
      </c>
      <c r="Q475" s="7">
        <f t="shared" si="7"/>
        <v>0.6191229821</v>
      </c>
      <c r="R475" s="7">
        <f t="shared" si="8"/>
        <v>0.2151727302</v>
      </c>
      <c r="S475" s="7">
        <f t="shared" si="2"/>
        <v>1.130754777</v>
      </c>
      <c r="T475" s="7">
        <f t="shared" si="3"/>
        <v>0.8628441342</v>
      </c>
      <c r="U475" s="7">
        <f t="shared" si="4"/>
        <v>1</v>
      </c>
      <c r="V475" s="7">
        <f t="shared" si="5"/>
        <v>1</v>
      </c>
      <c r="W475" s="7">
        <f t="shared" ref="W475:X475" si="893">IF(AVERAGE(U415:U474) &gt; 0.25, 1, 0)</f>
        <v>1</v>
      </c>
      <c r="X475" s="7">
        <f t="shared" si="893"/>
        <v>1</v>
      </c>
      <c r="Y475" s="8">
        <v>1.0</v>
      </c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</row>
    <row r="476" ht="22.5" customHeight="1">
      <c r="B476" s="6">
        <v>475.0</v>
      </c>
      <c r="C476" s="6">
        <v>105911.0</v>
      </c>
      <c r="D476" s="6">
        <v>1.42</v>
      </c>
      <c r="E476" s="6">
        <v>-1.13</v>
      </c>
      <c r="F476" s="6">
        <v>10.86</v>
      </c>
      <c r="G476" s="6">
        <v>0.01</v>
      </c>
      <c r="H476" s="6">
        <v>0.13</v>
      </c>
      <c r="I476" s="6">
        <v>-0.34</v>
      </c>
      <c r="J476" s="6">
        <v>33.39</v>
      </c>
      <c r="K476" s="7">
        <f t="shared" ref="K476:P476" si="894">abs(D476-D475)/200</f>
        <v>0.01075</v>
      </c>
      <c r="L476" s="7">
        <f t="shared" si="894"/>
        <v>0.00545</v>
      </c>
      <c r="M476" s="7">
        <f t="shared" si="894"/>
        <v>0.00385</v>
      </c>
      <c r="N476" s="7">
        <f t="shared" si="894"/>
        <v>0.00145</v>
      </c>
      <c r="O476" s="7">
        <f t="shared" si="894"/>
        <v>0.00015</v>
      </c>
      <c r="P476" s="7">
        <f t="shared" si="894"/>
        <v>0.00235</v>
      </c>
      <c r="Q476" s="7">
        <f t="shared" si="7"/>
        <v>0.4987013051</v>
      </c>
      <c r="R476" s="7">
        <f t="shared" si="8"/>
        <v>0.07982649716</v>
      </c>
      <c r="S476" s="7">
        <f t="shared" si="2"/>
        <v>1.210581274</v>
      </c>
      <c r="T476" s="7">
        <f t="shared" si="3"/>
        <v>0.3641428291</v>
      </c>
      <c r="U476" s="7">
        <f t="shared" si="4"/>
        <v>1</v>
      </c>
      <c r="V476" s="7">
        <f t="shared" si="5"/>
        <v>1</v>
      </c>
      <c r="W476" s="7">
        <f t="shared" ref="W476:X476" si="895">IF(AVERAGE(U416:U475) &gt; 0.25, 1, 0)</f>
        <v>1</v>
      </c>
      <c r="X476" s="7">
        <f t="shared" si="895"/>
        <v>1</v>
      </c>
      <c r="Y476" s="8">
        <v>1.0</v>
      </c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</row>
    <row r="477" ht="22.5" customHeight="1">
      <c r="B477" s="6">
        <v>476.0</v>
      </c>
      <c r="C477" s="6">
        <v>106115.0</v>
      </c>
      <c r="D477" s="6">
        <v>2.04</v>
      </c>
      <c r="E477" s="6">
        <v>-2.39</v>
      </c>
      <c r="F477" s="6">
        <v>10.51</v>
      </c>
      <c r="G477" s="6">
        <v>-0.1</v>
      </c>
      <c r="H477" s="6">
        <v>-0.08</v>
      </c>
      <c r="I477" s="6">
        <v>-0.38</v>
      </c>
      <c r="J477" s="6">
        <v>33.39</v>
      </c>
      <c r="K477" s="7">
        <f t="shared" ref="K477:P477" si="896">abs(D477-D476)/200</f>
        <v>0.0031</v>
      </c>
      <c r="L477" s="7">
        <f t="shared" si="896"/>
        <v>0.0063</v>
      </c>
      <c r="M477" s="7">
        <f t="shared" si="896"/>
        <v>0.00175</v>
      </c>
      <c r="N477" s="7">
        <f t="shared" si="896"/>
        <v>0.00055</v>
      </c>
      <c r="O477" s="7">
        <f t="shared" si="896"/>
        <v>0.00105</v>
      </c>
      <c r="P477" s="7">
        <f t="shared" si="896"/>
        <v>0.0002</v>
      </c>
      <c r="Q477" s="7">
        <f t="shared" si="7"/>
        <v>0.03685592399</v>
      </c>
      <c r="R477" s="7">
        <f t="shared" si="8"/>
        <v>0.04090488901</v>
      </c>
      <c r="S477" s="7">
        <f t="shared" si="2"/>
        <v>1.169676385</v>
      </c>
      <c r="T477" s="7">
        <f t="shared" si="3"/>
        <v>0.4009987531</v>
      </c>
      <c r="U477" s="7">
        <f t="shared" si="4"/>
        <v>1</v>
      </c>
      <c r="V477" s="7">
        <f t="shared" si="5"/>
        <v>1</v>
      </c>
      <c r="W477" s="7">
        <f t="shared" ref="W477:X477" si="897">IF(AVERAGE(U417:U476) &gt; 0.25, 1, 0)</f>
        <v>1</v>
      </c>
      <c r="X477" s="7">
        <f t="shared" si="897"/>
        <v>1</v>
      </c>
      <c r="Y477" s="8">
        <v>1.0</v>
      </c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</row>
    <row r="478" ht="22.5" customHeight="1">
      <c r="B478" s="6">
        <v>477.0</v>
      </c>
      <c r="C478" s="6">
        <v>106319.0</v>
      </c>
      <c r="D478" s="6">
        <v>0.97</v>
      </c>
      <c r="E478" s="6">
        <v>-2.0</v>
      </c>
      <c r="F478" s="6">
        <v>10.9</v>
      </c>
      <c r="G478" s="6">
        <v>-0.34</v>
      </c>
      <c r="H478" s="6">
        <v>-0.14</v>
      </c>
      <c r="I478" s="6">
        <v>-0.64</v>
      </c>
      <c r="J478" s="6">
        <v>33.38</v>
      </c>
      <c r="K478" s="7">
        <f t="shared" ref="K478:P478" si="898">abs(D478-D477)/200</f>
        <v>0.00535</v>
      </c>
      <c r="L478" s="7">
        <f t="shared" si="898"/>
        <v>0.00195</v>
      </c>
      <c r="M478" s="7">
        <f t="shared" si="898"/>
        <v>0.00195</v>
      </c>
      <c r="N478" s="7">
        <f t="shared" si="898"/>
        <v>0.0012</v>
      </c>
      <c r="O478" s="7">
        <f t="shared" si="898"/>
        <v>0.0003</v>
      </c>
      <c r="P478" s="7">
        <f t="shared" si="898"/>
        <v>0.0013</v>
      </c>
      <c r="Q478" s="7">
        <f t="shared" si="7"/>
        <v>0.3371069304</v>
      </c>
      <c r="R478" s="7">
        <f t="shared" si="8"/>
        <v>0.1546617972</v>
      </c>
      <c r="S478" s="7">
        <f t="shared" si="2"/>
        <v>1.324338183</v>
      </c>
      <c r="T478" s="7">
        <f t="shared" si="3"/>
        <v>0.7381056835</v>
      </c>
      <c r="U478" s="7">
        <f t="shared" si="4"/>
        <v>1</v>
      </c>
      <c r="V478" s="7">
        <f t="shared" si="5"/>
        <v>1</v>
      </c>
      <c r="W478" s="7">
        <f t="shared" ref="W478:X478" si="899">IF(AVERAGE(U418:U477) &gt; 0.25, 1, 0)</f>
        <v>1</v>
      </c>
      <c r="X478" s="7">
        <f t="shared" si="899"/>
        <v>1</v>
      </c>
      <c r="Y478" s="8">
        <v>1.0</v>
      </c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</row>
    <row r="479" ht="22.5" customHeight="1">
      <c r="B479" s="6">
        <v>478.0</v>
      </c>
      <c r="C479" s="6">
        <v>106523.0</v>
      </c>
      <c r="D479" s="6">
        <v>-0.91</v>
      </c>
      <c r="E479" s="6">
        <v>-0.08</v>
      </c>
      <c r="F479" s="6">
        <v>10.79</v>
      </c>
      <c r="G479" s="6">
        <v>-0.14</v>
      </c>
      <c r="H479" s="6">
        <v>-0.18</v>
      </c>
      <c r="I479" s="6">
        <v>0.11</v>
      </c>
      <c r="J479" s="6">
        <v>33.4</v>
      </c>
      <c r="K479" s="7">
        <f t="shared" ref="K479:P479" si="900">abs(D479-D478)/200</f>
        <v>0.0094</v>
      </c>
      <c r="L479" s="7">
        <f t="shared" si="900"/>
        <v>0.0096</v>
      </c>
      <c r="M479" s="7">
        <f t="shared" si="900"/>
        <v>0.00055</v>
      </c>
      <c r="N479" s="7">
        <f t="shared" si="900"/>
        <v>0.001</v>
      </c>
      <c r="O479" s="7">
        <f t="shared" si="900"/>
        <v>0.0002</v>
      </c>
      <c r="P479" s="7">
        <f t="shared" si="900"/>
        <v>0.00375</v>
      </c>
      <c r="Q479" s="7">
        <f t="shared" si="7"/>
        <v>0.4849259055</v>
      </c>
      <c r="R479" s="7">
        <f t="shared" si="8"/>
        <v>0.2957371649</v>
      </c>
      <c r="S479" s="7">
        <f t="shared" si="2"/>
        <v>1.028601018</v>
      </c>
      <c r="T479" s="7">
        <f t="shared" si="3"/>
        <v>0.253179778</v>
      </c>
      <c r="U479" s="7">
        <f t="shared" si="4"/>
        <v>1</v>
      </c>
      <c r="V479" s="7">
        <f t="shared" si="5"/>
        <v>1</v>
      </c>
      <c r="W479" s="7">
        <f t="shared" ref="W479:X479" si="901">IF(AVERAGE(U419:U478) &gt; 0.25, 1, 0)</f>
        <v>1</v>
      </c>
      <c r="X479" s="7">
        <f t="shared" si="901"/>
        <v>1</v>
      </c>
      <c r="Y479" s="8">
        <v>1.0</v>
      </c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</row>
    <row r="480" ht="22.5" customHeight="1">
      <c r="B480" s="6">
        <v>479.0</v>
      </c>
      <c r="C480" s="6">
        <v>106727.0</v>
      </c>
      <c r="D480" s="6">
        <v>0.68</v>
      </c>
      <c r="E480" s="6">
        <v>1.68</v>
      </c>
      <c r="F480" s="6">
        <v>10.65</v>
      </c>
      <c r="G480" s="6">
        <v>0.01</v>
      </c>
      <c r="H480" s="6">
        <v>0.0</v>
      </c>
      <c r="I480" s="6">
        <v>0.52</v>
      </c>
      <c r="J480" s="6">
        <v>33.39</v>
      </c>
      <c r="K480" s="7">
        <f t="shared" ref="K480:P480" si="902">abs(D480-D479)/200</f>
        <v>0.00795</v>
      </c>
      <c r="L480" s="7">
        <f t="shared" si="902"/>
        <v>0.0088</v>
      </c>
      <c r="M480" s="7">
        <f t="shared" si="902"/>
        <v>0.0007</v>
      </c>
      <c r="N480" s="7">
        <f t="shared" si="902"/>
        <v>0.00075</v>
      </c>
      <c r="O480" s="7">
        <f t="shared" si="902"/>
        <v>0.0009</v>
      </c>
      <c r="P480" s="7">
        <f t="shared" si="902"/>
        <v>0.00205</v>
      </c>
      <c r="Q480" s="7">
        <f t="shared" si="7"/>
        <v>0.2669163669</v>
      </c>
      <c r="R480" s="7">
        <f t="shared" si="8"/>
        <v>0.02548572624</v>
      </c>
      <c r="S480" s="7">
        <f t="shared" si="2"/>
        <v>1.003115291</v>
      </c>
      <c r="T480" s="7">
        <f t="shared" si="3"/>
        <v>0.520096145</v>
      </c>
      <c r="U480" s="7">
        <f t="shared" si="4"/>
        <v>1</v>
      </c>
      <c r="V480" s="7">
        <f t="shared" si="5"/>
        <v>1</v>
      </c>
      <c r="W480" s="7">
        <f t="shared" ref="W480:X480" si="903">IF(AVERAGE(U420:U479) &gt; 0.25, 1, 0)</f>
        <v>1</v>
      </c>
      <c r="X480" s="7">
        <f t="shared" si="903"/>
        <v>1</v>
      </c>
      <c r="Y480" s="8">
        <v>1.0</v>
      </c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</row>
    <row r="481" ht="22.5" customHeight="1">
      <c r="B481" s="6">
        <v>480.0</v>
      </c>
      <c r="C481" s="6">
        <v>106931.0</v>
      </c>
      <c r="D481" s="6">
        <v>1.42</v>
      </c>
      <c r="E481" s="6">
        <v>2.23</v>
      </c>
      <c r="F481" s="6">
        <v>10.47</v>
      </c>
      <c r="G481" s="6">
        <v>0.06</v>
      </c>
      <c r="H481" s="6">
        <v>0.08</v>
      </c>
      <c r="I481" s="6">
        <v>0.55</v>
      </c>
      <c r="J481" s="6">
        <v>33.39</v>
      </c>
      <c r="K481" s="7">
        <f t="shared" ref="K481:P481" si="904">abs(D481-D480)/200</f>
        <v>0.0037</v>
      </c>
      <c r="L481" s="7">
        <f t="shared" si="904"/>
        <v>0.00275</v>
      </c>
      <c r="M481" s="7">
        <f t="shared" si="904"/>
        <v>0.0009</v>
      </c>
      <c r="N481" s="7">
        <f t="shared" si="904"/>
        <v>0.00025</v>
      </c>
      <c r="O481" s="7">
        <f t="shared" si="904"/>
        <v>0.0004</v>
      </c>
      <c r="P481" s="7">
        <f t="shared" si="904"/>
        <v>0.00015</v>
      </c>
      <c r="Q481" s="7">
        <f t="shared" si="7"/>
        <v>0.03892084942</v>
      </c>
      <c r="R481" s="7">
        <f t="shared" si="8"/>
        <v>0.004495009194</v>
      </c>
      <c r="S481" s="7">
        <f t="shared" si="2"/>
        <v>0.9986202822</v>
      </c>
      <c r="T481" s="7">
        <f t="shared" si="3"/>
        <v>0.5590169944</v>
      </c>
      <c r="U481" s="7">
        <f t="shared" si="4"/>
        <v>1</v>
      </c>
      <c r="V481" s="7">
        <f t="shared" si="5"/>
        <v>1</v>
      </c>
      <c r="W481" s="7">
        <f t="shared" ref="W481:X481" si="905">IF(AVERAGE(U421:U480) &gt; 0.25, 1, 0)</f>
        <v>1</v>
      </c>
      <c r="X481" s="7">
        <f t="shared" si="905"/>
        <v>1</v>
      </c>
      <c r="Y481" s="8">
        <v>1.0</v>
      </c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</row>
    <row r="482" ht="22.5" customHeight="1">
      <c r="B482" s="6">
        <v>481.0</v>
      </c>
      <c r="C482" s="6">
        <v>107135.0</v>
      </c>
      <c r="D482" s="6">
        <v>2.12</v>
      </c>
      <c r="E482" s="6">
        <v>-0.36</v>
      </c>
      <c r="F482" s="6">
        <v>10.53</v>
      </c>
      <c r="G482" s="6">
        <v>0.02</v>
      </c>
      <c r="H482" s="6">
        <v>0.18</v>
      </c>
      <c r="I482" s="6">
        <v>0.25</v>
      </c>
      <c r="J482" s="6">
        <v>33.39</v>
      </c>
      <c r="K482" s="7">
        <f t="shared" ref="K482:P482" si="906">abs(D482-D481)/200</f>
        <v>0.0035</v>
      </c>
      <c r="L482" s="7">
        <f t="shared" si="906"/>
        <v>0.01295</v>
      </c>
      <c r="M482" s="7">
        <f t="shared" si="906"/>
        <v>0.0003</v>
      </c>
      <c r="N482" s="7">
        <f t="shared" si="906"/>
        <v>0.0002</v>
      </c>
      <c r="O482" s="7">
        <f t="shared" si="906"/>
        <v>0.0005</v>
      </c>
      <c r="P482" s="7">
        <f t="shared" si="906"/>
        <v>0.0015</v>
      </c>
      <c r="Q482" s="7">
        <f t="shared" si="7"/>
        <v>0.2503100136</v>
      </c>
      <c r="R482" s="7">
        <f t="shared" si="8"/>
        <v>0.05129968592</v>
      </c>
      <c r="S482" s="7">
        <f t="shared" si="2"/>
        <v>0.9473205963</v>
      </c>
      <c r="T482" s="7">
        <f t="shared" si="3"/>
        <v>0.3087069808</v>
      </c>
      <c r="U482" s="7">
        <f t="shared" si="4"/>
        <v>1</v>
      </c>
      <c r="V482" s="7">
        <f t="shared" si="5"/>
        <v>1</v>
      </c>
      <c r="W482" s="7">
        <f t="shared" ref="W482:X482" si="907">IF(AVERAGE(U422:U481) &gt; 0.25, 1, 0)</f>
        <v>1</v>
      </c>
      <c r="X482" s="7">
        <f t="shared" si="907"/>
        <v>1</v>
      </c>
      <c r="Y482" s="8">
        <v>1.0</v>
      </c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</row>
    <row r="483" ht="22.5" customHeight="1">
      <c r="B483" s="6">
        <v>482.0</v>
      </c>
      <c r="C483" s="6">
        <v>107339.0</v>
      </c>
      <c r="D483" s="6">
        <v>2.94</v>
      </c>
      <c r="E483" s="6">
        <v>-3.51</v>
      </c>
      <c r="F483" s="6">
        <v>10.49</v>
      </c>
      <c r="G483" s="6">
        <v>-0.15</v>
      </c>
      <c r="H483" s="6">
        <v>0.0</v>
      </c>
      <c r="I483" s="6">
        <v>-0.85</v>
      </c>
      <c r="J483" s="6">
        <v>33.39</v>
      </c>
      <c r="K483" s="7">
        <f t="shared" ref="K483:P483" si="908">abs(D483-D482)/200</f>
        <v>0.0041</v>
      </c>
      <c r="L483" s="7">
        <f t="shared" si="908"/>
        <v>0.01575</v>
      </c>
      <c r="M483" s="7">
        <f t="shared" si="908"/>
        <v>0.0002</v>
      </c>
      <c r="N483" s="7">
        <f t="shared" si="908"/>
        <v>0.00085</v>
      </c>
      <c r="O483" s="7">
        <f t="shared" si="908"/>
        <v>0.0009</v>
      </c>
      <c r="P483" s="7">
        <f t="shared" si="908"/>
        <v>0.0055</v>
      </c>
      <c r="Q483" s="7">
        <f t="shared" si="7"/>
        <v>0.5544268443</v>
      </c>
      <c r="R483" s="7">
        <f t="shared" si="8"/>
        <v>0.6983685485</v>
      </c>
      <c r="S483" s="7">
        <f t="shared" si="2"/>
        <v>1.645689145</v>
      </c>
      <c r="T483" s="7">
        <f t="shared" si="3"/>
        <v>0.8631338251</v>
      </c>
      <c r="U483" s="7">
        <f t="shared" si="4"/>
        <v>1</v>
      </c>
      <c r="V483" s="7">
        <f t="shared" si="5"/>
        <v>1</v>
      </c>
      <c r="W483" s="7">
        <f t="shared" ref="W483:X483" si="909">IF(AVERAGE(U423:U482) &gt; 0.25, 1, 0)</f>
        <v>1</v>
      </c>
      <c r="X483" s="7">
        <f t="shared" si="909"/>
        <v>1</v>
      </c>
      <c r="Y483" s="8">
        <v>1.0</v>
      </c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</row>
    <row r="484" ht="22.5" customHeight="1">
      <c r="B484" s="6">
        <v>483.0</v>
      </c>
      <c r="C484" s="6">
        <v>107543.0</v>
      </c>
      <c r="D484" s="6">
        <v>-0.08</v>
      </c>
      <c r="E484" s="6">
        <v>-1.63</v>
      </c>
      <c r="F484" s="6">
        <v>10.91</v>
      </c>
      <c r="G484" s="6">
        <v>-0.37</v>
      </c>
      <c r="H484" s="6">
        <v>-0.22</v>
      </c>
      <c r="I484" s="6">
        <v>-1.05</v>
      </c>
      <c r="J484" s="6">
        <v>33.41</v>
      </c>
      <c r="K484" s="7">
        <f t="shared" ref="K484:P484" si="910">abs(D484-D483)/200</f>
        <v>0.0151</v>
      </c>
      <c r="L484" s="7">
        <f t="shared" si="910"/>
        <v>0.0094</v>
      </c>
      <c r="M484" s="7">
        <f t="shared" si="910"/>
        <v>0.0021</v>
      </c>
      <c r="N484" s="7">
        <f t="shared" si="910"/>
        <v>0.0011</v>
      </c>
      <c r="O484" s="7">
        <f t="shared" si="910"/>
        <v>0.0011</v>
      </c>
      <c r="P484" s="7">
        <f t="shared" si="910"/>
        <v>0.001</v>
      </c>
      <c r="Q484" s="7">
        <f t="shared" si="7"/>
        <v>0.2716789348</v>
      </c>
      <c r="R484" s="7">
        <f t="shared" si="8"/>
        <v>0.4143066385</v>
      </c>
      <c r="S484" s="7">
        <f t="shared" si="2"/>
        <v>1.231382506</v>
      </c>
      <c r="T484" s="7">
        <f t="shared" si="3"/>
        <v>1.13481276</v>
      </c>
      <c r="U484" s="7">
        <f t="shared" si="4"/>
        <v>1</v>
      </c>
      <c r="V484" s="7">
        <f t="shared" si="5"/>
        <v>1</v>
      </c>
      <c r="W484" s="7">
        <f t="shared" ref="W484:X484" si="911">IF(AVERAGE(U424:U483) &gt; 0.25, 1, 0)</f>
        <v>1</v>
      </c>
      <c r="X484" s="7">
        <f t="shared" si="911"/>
        <v>1</v>
      </c>
      <c r="Y484" s="8">
        <v>1.0</v>
      </c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</row>
    <row r="485" ht="22.5" customHeight="1">
      <c r="B485" s="6">
        <v>484.0</v>
      </c>
      <c r="C485" s="6">
        <v>107747.0</v>
      </c>
      <c r="D485" s="6">
        <v>0.07</v>
      </c>
      <c r="E485" s="6">
        <v>-0.66</v>
      </c>
      <c r="F485" s="6">
        <v>10.76</v>
      </c>
      <c r="G485" s="6">
        <v>-0.14</v>
      </c>
      <c r="H485" s="6">
        <v>-0.1</v>
      </c>
      <c r="I485" s="6">
        <v>-0.04</v>
      </c>
      <c r="J485" s="6">
        <v>33.4</v>
      </c>
      <c r="K485" s="7">
        <f t="shared" ref="K485:P485" si="912">abs(D485-D484)/200</f>
        <v>0.00075</v>
      </c>
      <c r="L485" s="7">
        <f t="shared" si="912"/>
        <v>0.00485</v>
      </c>
      <c r="M485" s="7">
        <f t="shared" si="912"/>
        <v>0.00075</v>
      </c>
      <c r="N485" s="7">
        <f t="shared" si="912"/>
        <v>0.00115</v>
      </c>
      <c r="O485" s="7">
        <f t="shared" si="912"/>
        <v>0.0006</v>
      </c>
      <c r="P485" s="7">
        <f t="shared" si="912"/>
        <v>0.00505</v>
      </c>
      <c r="Q485" s="7">
        <f t="shared" si="7"/>
        <v>0.9581775426</v>
      </c>
      <c r="R485" s="7">
        <f t="shared" si="8"/>
        <v>0.2509326084</v>
      </c>
      <c r="S485" s="7">
        <f t="shared" si="2"/>
        <v>0.9804498978</v>
      </c>
      <c r="T485" s="7">
        <f t="shared" si="3"/>
        <v>0.1766352173</v>
      </c>
      <c r="U485" s="7">
        <f t="shared" si="4"/>
        <v>1</v>
      </c>
      <c r="V485" s="7">
        <f t="shared" si="5"/>
        <v>1</v>
      </c>
      <c r="W485" s="7">
        <f t="shared" ref="W485:X485" si="913">IF(AVERAGE(U425:U484) &gt; 0.25, 1, 0)</f>
        <v>1</v>
      </c>
      <c r="X485" s="7">
        <f t="shared" si="913"/>
        <v>1</v>
      </c>
      <c r="Y485" s="8">
        <v>1.0</v>
      </c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</row>
    <row r="486" ht="22.5" customHeight="1">
      <c r="B486" s="6">
        <v>485.0</v>
      </c>
      <c r="C486" s="6">
        <v>107951.0</v>
      </c>
      <c r="D486" s="6">
        <v>0.53</v>
      </c>
      <c r="E486" s="6">
        <v>2.07</v>
      </c>
      <c r="F486" s="6">
        <v>10.64</v>
      </c>
      <c r="G486" s="6">
        <v>0.02</v>
      </c>
      <c r="H486" s="6">
        <v>0.03</v>
      </c>
      <c r="I486" s="6">
        <v>0.48</v>
      </c>
      <c r="J486" s="6">
        <v>33.4</v>
      </c>
      <c r="K486" s="7">
        <f t="shared" ref="K486:P486" si="914">abs(D486-D485)/200</f>
        <v>0.0023</v>
      </c>
      <c r="L486" s="7">
        <f t="shared" si="914"/>
        <v>0.01365</v>
      </c>
      <c r="M486" s="7">
        <f t="shared" si="914"/>
        <v>0.0006</v>
      </c>
      <c r="N486" s="7">
        <f t="shared" si="914"/>
        <v>0.0008</v>
      </c>
      <c r="O486" s="7">
        <f t="shared" si="914"/>
        <v>0.00065</v>
      </c>
      <c r="P486" s="7">
        <f t="shared" si="914"/>
        <v>0.0026</v>
      </c>
      <c r="Q486" s="7">
        <f t="shared" si="7"/>
        <v>0.3047170445</v>
      </c>
      <c r="R486" s="7">
        <f t="shared" si="8"/>
        <v>0.07198761637</v>
      </c>
      <c r="S486" s="7">
        <f t="shared" si="2"/>
        <v>1.052437514</v>
      </c>
      <c r="T486" s="7">
        <f t="shared" si="3"/>
        <v>0.4813522619</v>
      </c>
      <c r="U486" s="7">
        <f t="shared" si="4"/>
        <v>1</v>
      </c>
      <c r="V486" s="7">
        <f t="shared" si="5"/>
        <v>1</v>
      </c>
      <c r="W486" s="7">
        <f t="shared" ref="W486:X486" si="915">IF(AVERAGE(U426:U485) &gt; 0.25, 1, 0)</f>
        <v>1</v>
      </c>
      <c r="X486" s="7">
        <f t="shared" si="915"/>
        <v>1</v>
      </c>
      <c r="Y486" s="8">
        <v>1.0</v>
      </c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</row>
    <row r="487" ht="22.5" customHeight="1">
      <c r="B487" s="6">
        <v>486.0</v>
      </c>
      <c r="C487" s="6">
        <v>108155.0</v>
      </c>
      <c r="D487" s="6">
        <v>0.22</v>
      </c>
      <c r="E487" s="6">
        <v>2.94</v>
      </c>
      <c r="F487" s="6">
        <v>10.76</v>
      </c>
      <c r="G487" s="6">
        <v>-0.05</v>
      </c>
      <c r="H487" s="6">
        <v>0.2</v>
      </c>
      <c r="I487" s="6">
        <v>-0.33</v>
      </c>
      <c r="J487" s="6">
        <v>33.4</v>
      </c>
      <c r="K487" s="7">
        <f t="shared" ref="K487:P487" si="916">abs(D487-D486)/200</f>
        <v>0.00155</v>
      </c>
      <c r="L487" s="7">
        <f t="shared" si="916"/>
        <v>0.00435</v>
      </c>
      <c r="M487" s="7">
        <f t="shared" si="916"/>
        <v>0.0006</v>
      </c>
      <c r="N487" s="7">
        <f t="shared" si="916"/>
        <v>0.00035</v>
      </c>
      <c r="O487" s="7">
        <f t="shared" si="916"/>
        <v>0.00085</v>
      </c>
      <c r="P487" s="7">
        <f t="shared" si="916"/>
        <v>0.00405</v>
      </c>
      <c r="Q487" s="7">
        <f t="shared" si="7"/>
        <v>0.0922507327</v>
      </c>
      <c r="R487" s="7">
        <f t="shared" si="8"/>
        <v>0.3041569483</v>
      </c>
      <c r="S487" s="7">
        <f t="shared" si="2"/>
        <v>1.356594462</v>
      </c>
      <c r="T487" s="7">
        <f t="shared" si="3"/>
        <v>0.3891015292</v>
      </c>
      <c r="U487" s="7">
        <f t="shared" si="4"/>
        <v>1</v>
      </c>
      <c r="V487" s="7">
        <f t="shared" si="5"/>
        <v>1</v>
      </c>
      <c r="W487" s="7">
        <f t="shared" ref="W487:X487" si="917">IF(AVERAGE(U427:U486) &gt; 0.25, 1, 0)</f>
        <v>1</v>
      </c>
      <c r="X487" s="7">
        <f t="shared" si="917"/>
        <v>1</v>
      </c>
      <c r="Y487" s="8">
        <v>1.0</v>
      </c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</row>
    <row r="488" ht="22.5" customHeight="1">
      <c r="B488" s="6">
        <v>487.0</v>
      </c>
      <c r="C488" s="6">
        <v>108359.0</v>
      </c>
      <c r="D488" s="6">
        <v>2.85</v>
      </c>
      <c r="E488" s="6">
        <v>-4.09</v>
      </c>
      <c r="F488" s="6">
        <v>11.0</v>
      </c>
      <c r="G488" s="6">
        <v>0.16</v>
      </c>
      <c r="H488" s="6">
        <v>0.1</v>
      </c>
      <c r="I488" s="6">
        <v>0.04</v>
      </c>
      <c r="J488" s="6">
        <v>33.39</v>
      </c>
      <c r="K488" s="7">
        <f t="shared" ref="K488:P488" si="918">abs(D488-D487)/200</f>
        <v>0.01315</v>
      </c>
      <c r="L488" s="7">
        <f t="shared" si="918"/>
        <v>0.03515</v>
      </c>
      <c r="M488" s="7">
        <f t="shared" si="918"/>
        <v>0.0012</v>
      </c>
      <c r="N488" s="7">
        <f t="shared" si="918"/>
        <v>0.00105</v>
      </c>
      <c r="O488" s="7">
        <f t="shared" si="918"/>
        <v>0.0005</v>
      </c>
      <c r="P488" s="7">
        <f t="shared" si="918"/>
        <v>0.00185</v>
      </c>
      <c r="Q488" s="7">
        <f t="shared" si="7"/>
        <v>0.1962285139</v>
      </c>
      <c r="R488" s="7">
        <f t="shared" si="8"/>
        <v>0.9202677128</v>
      </c>
      <c r="S488" s="7">
        <f t="shared" si="2"/>
        <v>2.276862175</v>
      </c>
      <c r="T488" s="7">
        <f t="shared" si="3"/>
        <v>0.1928730152</v>
      </c>
      <c r="U488" s="7">
        <f t="shared" si="4"/>
        <v>1</v>
      </c>
      <c r="V488" s="7">
        <f t="shared" si="5"/>
        <v>1</v>
      </c>
      <c r="W488" s="7">
        <f t="shared" ref="W488:X488" si="919">IF(AVERAGE(U428:U487) &gt; 0.25, 1, 0)</f>
        <v>1</v>
      </c>
      <c r="X488" s="7">
        <f t="shared" si="919"/>
        <v>1</v>
      </c>
      <c r="Y488" s="8">
        <v>1.0</v>
      </c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</row>
    <row r="489" ht="22.5" customHeight="1">
      <c r="B489" s="6">
        <v>488.0</v>
      </c>
      <c r="C489" s="6">
        <v>108563.0</v>
      </c>
      <c r="D489" s="6">
        <v>2.28</v>
      </c>
      <c r="E489" s="6">
        <v>-2.34</v>
      </c>
      <c r="F489" s="6">
        <v>10.65</v>
      </c>
      <c r="G489" s="6">
        <v>-0.3</v>
      </c>
      <c r="H489" s="6">
        <v>-0.15</v>
      </c>
      <c r="I489" s="6">
        <v>-0.7</v>
      </c>
      <c r="J489" s="6">
        <v>33.39</v>
      </c>
      <c r="K489" s="7">
        <f t="shared" ref="K489:P489" si="920">abs(D489-D488)/200</f>
        <v>0.00285</v>
      </c>
      <c r="L489" s="7">
        <f t="shared" si="920"/>
        <v>0.00875</v>
      </c>
      <c r="M489" s="7">
        <f t="shared" si="920"/>
        <v>0.00175</v>
      </c>
      <c r="N489" s="7">
        <f t="shared" si="920"/>
        <v>0.0023</v>
      </c>
      <c r="O489" s="7">
        <f t="shared" si="920"/>
        <v>0.00125</v>
      </c>
      <c r="P489" s="7">
        <f t="shared" si="920"/>
        <v>0.0037</v>
      </c>
      <c r="Q489" s="7">
        <f t="shared" si="7"/>
        <v>0.5833357196</v>
      </c>
      <c r="R489" s="7">
        <f t="shared" si="8"/>
        <v>0.9370013144</v>
      </c>
      <c r="S489" s="7">
        <f t="shared" si="2"/>
        <v>1.339860861</v>
      </c>
      <c r="T489" s="7">
        <f t="shared" si="3"/>
        <v>0.7762087348</v>
      </c>
      <c r="U489" s="7">
        <f t="shared" si="4"/>
        <v>1</v>
      </c>
      <c r="V489" s="7">
        <f t="shared" si="5"/>
        <v>1</v>
      </c>
      <c r="W489" s="7">
        <f t="shared" ref="W489:X489" si="921">IF(AVERAGE(U429:U488) &gt; 0.25, 1, 0)</f>
        <v>1</v>
      </c>
      <c r="X489" s="7">
        <f t="shared" si="921"/>
        <v>1</v>
      </c>
      <c r="Y489" s="8">
        <v>1.0</v>
      </c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</row>
    <row r="490" ht="22.5" customHeight="1">
      <c r="B490" s="6">
        <v>489.0</v>
      </c>
      <c r="C490" s="6">
        <v>108767.0</v>
      </c>
      <c r="D490" s="6">
        <v>0.01</v>
      </c>
      <c r="E490" s="6">
        <v>-1.2</v>
      </c>
      <c r="F490" s="6">
        <v>10.84</v>
      </c>
      <c r="G490" s="6">
        <v>-0.29</v>
      </c>
      <c r="H490" s="6">
        <v>-0.27</v>
      </c>
      <c r="I490" s="6">
        <v>-0.19</v>
      </c>
      <c r="J490" s="6">
        <v>33.39</v>
      </c>
      <c r="K490" s="7">
        <f t="shared" ref="K490:P490" si="922">abs(D490-D489)/200</f>
        <v>0.01135</v>
      </c>
      <c r="L490" s="7">
        <f t="shared" si="922"/>
        <v>0.0057</v>
      </c>
      <c r="M490" s="7">
        <f t="shared" si="922"/>
        <v>0.00095</v>
      </c>
      <c r="N490" s="7">
        <f t="shared" si="922"/>
        <v>0.00005</v>
      </c>
      <c r="O490" s="7">
        <f t="shared" si="922"/>
        <v>0.0006</v>
      </c>
      <c r="P490" s="7">
        <f t="shared" si="922"/>
        <v>0.00255</v>
      </c>
      <c r="Q490" s="7">
        <f t="shared" si="7"/>
        <v>0.336777284</v>
      </c>
      <c r="R490" s="7">
        <f t="shared" si="8"/>
        <v>0.2336378667</v>
      </c>
      <c r="S490" s="7">
        <f t="shared" si="2"/>
        <v>1.106222994</v>
      </c>
      <c r="T490" s="7">
        <f t="shared" si="3"/>
        <v>0.4394314509</v>
      </c>
      <c r="U490" s="7">
        <f t="shared" si="4"/>
        <v>1</v>
      </c>
      <c r="V490" s="7">
        <f t="shared" si="5"/>
        <v>1</v>
      </c>
      <c r="W490" s="7">
        <f t="shared" ref="W490:X490" si="923">IF(AVERAGE(U430:U489) &gt; 0.25, 1, 0)</f>
        <v>1</v>
      </c>
      <c r="X490" s="7">
        <f t="shared" si="923"/>
        <v>1</v>
      </c>
      <c r="Y490" s="8">
        <v>1.0</v>
      </c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</row>
    <row r="491" ht="22.5" customHeight="1">
      <c r="B491" s="6">
        <v>490.0</v>
      </c>
      <c r="C491" s="6">
        <v>108971.0</v>
      </c>
      <c r="D491" s="6">
        <v>0.71</v>
      </c>
      <c r="E491" s="6">
        <v>4.36</v>
      </c>
      <c r="F491" s="6">
        <v>10.54</v>
      </c>
      <c r="G491" s="6">
        <v>-0.01</v>
      </c>
      <c r="H491" s="6">
        <v>0.0</v>
      </c>
      <c r="I491" s="6">
        <v>0.38</v>
      </c>
      <c r="J491" s="6">
        <v>33.4</v>
      </c>
      <c r="K491" s="7">
        <f t="shared" ref="K491:P491" si="924">abs(D491-D490)/200</f>
        <v>0.0035</v>
      </c>
      <c r="L491" s="7">
        <f t="shared" si="924"/>
        <v>0.0278</v>
      </c>
      <c r="M491" s="7">
        <f t="shared" si="924"/>
        <v>0.0015</v>
      </c>
      <c r="N491" s="7">
        <f t="shared" si="924"/>
        <v>0.0014</v>
      </c>
      <c r="O491" s="7">
        <f t="shared" si="924"/>
        <v>0.00135</v>
      </c>
      <c r="P491" s="7">
        <f t="shared" si="924"/>
        <v>0.00285</v>
      </c>
      <c r="Q491" s="7">
        <f t="shared" si="7"/>
        <v>0.05929989468</v>
      </c>
      <c r="R491" s="7">
        <f t="shared" si="8"/>
        <v>0.522044591</v>
      </c>
      <c r="S491" s="7">
        <f t="shared" si="2"/>
        <v>1.628267585</v>
      </c>
      <c r="T491" s="7">
        <f t="shared" si="3"/>
        <v>0.3801315562</v>
      </c>
      <c r="U491" s="7">
        <f t="shared" si="4"/>
        <v>1</v>
      </c>
      <c r="V491" s="7">
        <f t="shared" si="5"/>
        <v>1</v>
      </c>
      <c r="W491" s="7">
        <f t="shared" ref="W491:X491" si="925">IF(AVERAGE(U431:U490) &gt; 0.25, 1, 0)</f>
        <v>1</v>
      </c>
      <c r="X491" s="7">
        <f t="shared" si="925"/>
        <v>1</v>
      </c>
      <c r="Y491" s="8">
        <v>1.0</v>
      </c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</row>
    <row r="492" ht="22.5" customHeight="1">
      <c r="B492" s="6">
        <v>491.0</v>
      </c>
      <c r="C492" s="6">
        <v>109175.0</v>
      </c>
      <c r="D492" s="6">
        <v>-0.23</v>
      </c>
      <c r="E492" s="6">
        <v>2.32</v>
      </c>
      <c r="F492" s="6">
        <v>10.7</v>
      </c>
      <c r="G492" s="6">
        <v>-0.12</v>
      </c>
      <c r="H492" s="6">
        <v>0.15</v>
      </c>
      <c r="I492" s="6">
        <v>-0.43</v>
      </c>
      <c r="J492" s="6">
        <v>33.39</v>
      </c>
      <c r="K492" s="7">
        <f t="shared" ref="K492:P492" si="926">abs(D492-D491)/200</f>
        <v>0.0047</v>
      </c>
      <c r="L492" s="7">
        <f t="shared" si="926"/>
        <v>0.0102</v>
      </c>
      <c r="M492" s="7">
        <f t="shared" si="926"/>
        <v>0.0008</v>
      </c>
      <c r="N492" s="7">
        <f t="shared" si="926"/>
        <v>0.00055</v>
      </c>
      <c r="O492" s="7">
        <f t="shared" si="926"/>
        <v>0.00075</v>
      </c>
      <c r="P492" s="7">
        <f t="shared" si="926"/>
        <v>0.00405</v>
      </c>
      <c r="Q492" s="7">
        <f t="shared" si="7"/>
        <v>0.0908249174</v>
      </c>
      <c r="R492" s="7">
        <f t="shared" si="8"/>
        <v>0.4772265388</v>
      </c>
      <c r="S492" s="7">
        <f t="shared" si="2"/>
        <v>1.151041046</v>
      </c>
      <c r="T492" s="7">
        <f t="shared" si="3"/>
        <v>0.4709564736</v>
      </c>
      <c r="U492" s="7">
        <f t="shared" si="4"/>
        <v>1</v>
      </c>
      <c r="V492" s="7">
        <f t="shared" si="5"/>
        <v>1</v>
      </c>
      <c r="W492" s="7">
        <f t="shared" ref="W492:X492" si="927">IF(AVERAGE(U432:U491) &gt; 0.25, 1, 0)</f>
        <v>1</v>
      </c>
      <c r="X492" s="7">
        <f t="shared" si="927"/>
        <v>1</v>
      </c>
      <c r="Y492" s="8">
        <v>1.0</v>
      </c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</row>
    <row r="493" ht="22.5" customHeight="1">
      <c r="B493" s="6">
        <v>492.0</v>
      </c>
      <c r="C493" s="6">
        <v>109379.0</v>
      </c>
      <c r="D493" s="6">
        <v>1.13</v>
      </c>
      <c r="E493" s="6">
        <v>-2.11</v>
      </c>
      <c r="F493" s="6">
        <v>11.03</v>
      </c>
      <c r="G493" s="6">
        <v>0.17</v>
      </c>
      <c r="H493" s="6">
        <v>0.41</v>
      </c>
      <c r="I493" s="6">
        <v>-0.86</v>
      </c>
      <c r="J493" s="6">
        <v>33.4</v>
      </c>
      <c r="K493" s="7">
        <f t="shared" ref="K493:P493" si="928">abs(D493-D492)/200</f>
        <v>0.0068</v>
      </c>
      <c r="L493" s="7">
        <f t="shared" si="928"/>
        <v>0.02215</v>
      </c>
      <c r="M493" s="7">
        <f t="shared" si="928"/>
        <v>0.00165</v>
      </c>
      <c r="N493" s="7">
        <f t="shared" si="928"/>
        <v>0.00145</v>
      </c>
      <c r="O493" s="7">
        <f t="shared" si="928"/>
        <v>0.0013</v>
      </c>
      <c r="P493" s="7">
        <f t="shared" si="928"/>
        <v>0.00215</v>
      </c>
      <c r="Q493" s="7">
        <f t="shared" si="7"/>
        <v>0.4968244934</v>
      </c>
      <c r="R493" s="7">
        <f t="shared" si="8"/>
        <v>0.3356723813</v>
      </c>
      <c r="S493" s="7">
        <f t="shared" si="2"/>
        <v>1.486713428</v>
      </c>
      <c r="T493" s="7">
        <f t="shared" si="3"/>
        <v>0.967780967</v>
      </c>
      <c r="U493" s="7">
        <f t="shared" si="4"/>
        <v>1</v>
      </c>
      <c r="V493" s="7">
        <f t="shared" si="5"/>
        <v>1</v>
      </c>
      <c r="W493" s="7">
        <f t="shared" ref="W493:X493" si="929">IF(AVERAGE(U433:U492) &gt; 0.25, 1, 0)</f>
        <v>1</v>
      </c>
      <c r="X493" s="7">
        <f t="shared" si="929"/>
        <v>1</v>
      </c>
      <c r="Y493" s="8">
        <v>1.0</v>
      </c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</row>
    <row r="494" ht="22.5" customHeight="1">
      <c r="B494" s="6">
        <v>493.0</v>
      </c>
      <c r="C494" s="6">
        <v>109583.0</v>
      </c>
      <c r="D494" s="6">
        <v>-0.97</v>
      </c>
      <c r="E494" s="6">
        <v>-2.94</v>
      </c>
      <c r="F494" s="6">
        <v>10.82</v>
      </c>
      <c r="G494" s="6">
        <v>0.03</v>
      </c>
      <c r="H494" s="6">
        <v>0.06</v>
      </c>
      <c r="I494" s="6">
        <v>1.28</v>
      </c>
      <c r="J494" s="6">
        <v>33.4</v>
      </c>
      <c r="K494" s="7">
        <f t="shared" ref="K494:P494" si="930">abs(D494-D493)/200</f>
        <v>0.0105</v>
      </c>
      <c r="L494" s="7">
        <f t="shared" si="930"/>
        <v>0.00415</v>
      </c>
      <c r="M494" s="7">
        <f t="shared" si="930"/>
        <v>0.00105</v>
      </c>
      <c r="N494" s="7">
        <f t="shared" si="930"/>
        <v>0.0007</v>
      </c>
      <c r="O494" s="7">
        <f t="shared" si="930"/>
        <v>0.00175</v>
      </c>
      <c r="P494" s="7">
        <f t="shared" si="930"/>
        <v>0.0107</v>
      </c>
      <c r="Q494" s="7">
        <f t="shared" si="7"/>
        <v>0.3139756402</v>
      </c>
      <c r="R494" s="7">
        <f t="shared" si="8"/>
        <v>0.03251865424</v>
      </c>
      <c r="S494" s="7">
        <f t="shared" si="2"/>
        <v>1.454194774</v>
      </c>
      <c r="T494" s="7">
        <f t="shared" si="3"/>
        <v>1.281756607</v>
      </c>
      <c r="U494" s="7">
        <f t="shared" si="4"/>
        <v>1</v>
      </c>
      <c r="V494" s="7">
        <f t="shared" si="5"/>
        <v>1</v>
      </c>
      <c r="W494" s="7">
        <f t="shared" ref="W494:X494" si="931">IF(AVERAGE(U434:U493) &gt; 0.25, 1, 0)</f>
        <v>1</v>
      </c>
      <c r="X494" s="7">
        <f t="shared" si="931"/>
        <v>1</v>
      </c>
      <c r="Y494" s="8">
        <v>1.0</v>
      </c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</row>
    <row r="495" ht="22.5" customHeight="1">
      <c r="B495" s="6">
        <v>494.0</v>
      </c>
      <c r="C495" s="6">
        <v>109787.0</v>
      </c>
      <c r="D495" s="6">
        <v>1.04</v>
      </c>
      <c r="E495" s="6">
        <v>-2.18</v>
      </c>
      <c r="F495" s="6">
        <v>10.66</v>
      </c>
      <c r="G495" s="6">
        <v>-0.2</v>
      </c>
      <c r="H495" s="6">
        <v>-0.15</v>
      </c>
      <c r="I495" s="6">
        <v>1.27</v>
      </c>
      <c r="J495" s="6">
        <v>33.39</v>
      </c>
      <c r="K495" s="7">
        <f t="shared" ref="K495:P495" si="932">abs(D495-D494)/200</f>
        <v>0.01005</v>
      </c>
      <c r="L495" s="7">
        <f t="shared" si="932"/>
        <v>0.0038</v>
      </c>
      <c r="M495" s="7">
        <f t="shared" si="932"/>
        <v>0.0008</v>
      </c>
      <c r="N495" s="7">
        <f t="shared" si="932"/>
        <v>0.00115</v>
      </c>
      <c r="O495" s="7">
        <f t="shared" si="932"/>
        <v>0.00105</v>
      </c>
      <c r="P495" s="7">
        <f t="shared" si="932"/>
        <v>0.00005</v>
      </c>
      <c r="Q495" s="7">
        <f t="shared" si="7"/>
        <v>0.01261582765</v>
      </c>
      <c r="R495" s="7">
        <f t="shared" si="8"/>
        <v>0.323979771</v>
      </c>
      <c r="S495" s="7">
        <f t="shared" si="2"/>
        <v>1.130215002</v>
      </c>
      <c r="T495" s="7">
        <f t="shared" si="3"/>
        <v>1.294372435</v>
      </c>
      <c r="U495" s="7">
        <f t="shared" si="4"/>
        <v>1</v>
      </c>
      <c r="V495" s="7">
        <f t="shared" si="5"/>
        <v>1</v>
      </c>
      <c r="W495" s="7">
        <f t="shared" ref="W495:X495" si="933">IF(AVERAGE(U435:U494) &gt; 0.25, 1, 0)</f>
        <v>1</v>
      </c>
      <c r="X495" s="7">
        <f t="shared" si="933"/>
        <v>1</v>
      </c>
      <c r="Y495" s="8">
        <v>1.0</v>
      </c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</row>
    <row r="496" ht="22.5" customHeight="1">
      <c r="B496" s="6">
        <v>495.0</v>
      </c>
      <c r="C496" s="6">
        <v>109991.0</v>
      </c>
      <c r="D496" s="6">
        <v>1.07</v>
      </c>
      <c r="E496" s="6">
        <v>-1.6</v>
      </c>
      <c r="F496" s="6">
        <v>9.46</v>
      </c>
      <c r="G496" s="6">
        <v>0.29</v>
      </c>
      <c r="H496" s="6">
        <v>-0.52</v>
      </c>
      <c r="I496" s="6">
        <v>2.23</v>
      </c>
      <c r="J496" s="6">
        <v>33.41</v>
      </c>
      <c r="K496" s="7">
        <f t="shared" ref="K496:P496" si="934">abs(D496-D495)/200</f>
        <v>0.00015</v>
      </c>
      <c r="L496" s="7">
        <f t="shared" si="934"/>
        <v>0.0029</v>
      </c>
      <c r="M496" s="7">
        <f t="shared" si="934"/>
        <v>0.006</v>
      </c>
      <c r="N496" s="7">
        <f t="shared" si="934"/>
        <v>0.00245</v>
      </c>
      <c r="O496" s="7">
        <f t="shared" si="934"/>
        <v>0.00185</v>
      </c>
      <c r="P496" s="7">
        <f t="shared" si="934"/>
        <v>0.0048</v>
      </c>
      <c r="Q496" s="7">
        <f t="shared" si="7"/>
        <v>1.01374368</v>
      </c>
      <c r="R496" s="7">
        <f t="shared" si="8"/>
        <v>1.276381567</v>
      </c>
      <c r="S496" s="7">
        <f t="shared" si="2"/>
        <v>-0.1461665645</v>
      </c>
      <c r="T496" s="7">
        <f t="shared" si="3"/>
        <v>2.308116115</v>
      </c>
      <c r="U496" s="7">
        <f t="shared" si="4"/>
        <v>1</v>
      </c>
      <c r="V496" s="7">
        <f t="shared" si="5"/>
        <v>1</v>
      </c>
      <c r="W496" s="7">
        <f t="shared" ref="W496:X496" si="935">IF(AVERAGE(U436:U495) &gt; 0.25, 1, 0)</f>
        <v>1</v>
      </c>
      <c r="X496" s="7">
        <f t="shared" si="935"/>
        <v>1</v>
      </c>
      <c r="Y496" s="8">
        <v>1.0</v>
      </c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</row>
    <row r="497" ht="22.5" customHeight="1">
      <c r="B497" s="6">
        <v>496.0</v>
      </c>
      <c r="C497" s="6">
        <v>110195.0</v>
      </c>
      <c r="D497" s="6">
        <v>4.47</v>
      </c>
      <c r="E497" s="6">
        <v>3.55</v>
      </c>
      <c r="F497" s="6">
        <v>10.28</v>
      </c>
      <c r="G497" s="6">
        <v>-0.23</v>
      </c>
      <c r="H497" s="6">
        <v>0.05</v>
      </c>
      <c r="I497" s="6">
        <v>-0.11</v>
      </c>
      <c r="J497" s="6">
        <v>33.4</v>
      </c>
      <c r="K497" s="7">
        <f t="shared" ref="K497:P497" si="936">abs(D497-D496)/200</f>
        <v>0.017</v>
      </c>
      <c r="L497" s="7">
        <f t="shared" si="936"/>
        <v>0.02575</v>
      </c>
      <c r="M497" s="7">
        <f t="shared" si="936"/>
        <v>0.0041</v>
      </c>
      <c r="N497" s="7">
        <f t="shared" si="936"/>
        <v>0.0026</v>
      </c>
      <c r="O497" s="7">
        <f t="shared" si="936"/>
        <v>0.00285</v>
      </c>
      <c r="P497" s="7">
        <f t="shared" si="936"/>
        <v>0.0117</v>
      </c>
      <c r="Q497" s="7">
        <f t="shared" si="7"/>
        <v>2.048308494</v>
      </c>
      <c r="R497" s="7">
        <f t="shared" si="8"/>
        <v>2.104644357</v>
      </c>
      <c r="S497" s="7">
        <f t="shared" si="2"/>
        <v>1.958477793</v>
      </c>
      <c r="T497" s="7">
        <f t="shared" si="3"/>
        <v>0.2598076211</v>
      </c>
      <c r="U497" s="7">
        <f t="shared" si="4"/>
        <v>1</v>
      </c>
      <c r="V497" s="7">
        <f t="shared" si="5"/>
        <v>1</v>
      </c>
      <c r="W497" s="7">
        <f t="shared" ref="W497:X497" si="937">IF(AVERAGE(U437:U496) &gt; 0.25, 1, 0)</f>
        <v>1</v>
      </c>
      <c r="X497" s="7">
        <f t="shared" si="937"/>
        <v>1</v>
      </c>
      <c r="Y497" s="8">
        <v>1.0</v>
      </c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</row>
    <row r="498" ht="22.5" customHeight="1">
      <c r="B498" s="6">
        <v>497.0</v>
      </c>
      <c r="C498" s="6">
        <v>110399.0</v>
      </c>
      <c r="D498" s="6">
        <v>0.55</v>
      </c>
      <c r="E498" s="6">
        <v>2.12</v>
      </c>
      <c r="F498" s="6">
        <v>10.98</v>
      </c>
      <c r="G498" s="6">
        <v>0.01</v>
      </c>
      <c r="H498" s="6">
        <v>0.04</v>
      </c>
      <c r="I498" s="6">
        <v>-0.2</v>
      </c>
      <c r="J498" s="6">
        <v>33.4</v>
      </c>
      <c r="K498" s="7">
        <f t="shared" ref="K498:P498" si="938">abs(D498-D497)/200</f>
        <v>0.0196</v>
      </c>
      <c r="L498" s="7">
        <f t="shared" si="938"/>
        <v>0.00715</v>
      </c>
      <c r="M498" s="7">
        <f t="shared" si="938"/>
        <v>0.0035</v>
      </c>
      <c r="N498" s="7">
        <f t="shared" si="938"/>
        <v>0.0012</v>
      </c>
      <c r="O498" s="7">
        <f t="shared" si="938"/>
        <v>0.00005</v>
      </c>
      <c r="P498" s="7">
        <f t="shared" si="938"/>
        <v>0.00045</v>
      </c>
      <c r="Q498" s="7">
        <f t="shared" si="7"/>
        <v>0.05560184257</v>
      </c>
      <c r="R498" s="7">
        <f t="shared" si="8"/>
        <v>0.5621703656</v>
      </c>
      <c r="S498" s="7">
        <f t="shared" si="2"/>
        <v>1.396307427</v>
      </c>
      <c r="T498" s="7">
        <f t="shared" si="3"/>
        <v>0.2042057786</v>
      </c>
      <c r="U498" s="7">
        <f t="shared" si="4"/>
        <v>1</v>
      </c>
      <c r="V498" s="7">
        <f t="shared" si="5"/>
        <v>1</v>
      </c>
      <c r="W498" s="7">
        <f t="shared" ref="W498:X498" si="939">IF(AVERAGE(U438:U497) &gt; 0.25, 1, 0)</f>
        <v>1</v>
      </c>
      <c r="X498" s="7">
        <f t="shared" si="939"/>
        <v>1</v>
      </c>
      <c r="Y498" s="8">
        <v>1.0</v>
      </c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</row>
    <row r="499" ht="22.5" customHeight="1">
      <c r="B499" s="6">
        <v>498.0</v>
      </c>
      <c r="C499" s="6">
        <v>110603.0</v>
      </c>
      <c r="D499" s="6">
        <v>3.87</v>
      </c>
      <c r="E499" s="6">
        <v>0.6</v>
      </c>
      <c r="F499" s="6">
        <v>10.51</v>
      </c>
      <c r="G499" s="6">
        <v>0.05</v>
      </c>
      <c r="H499" s="6">
        <v>-0.07</v>
      </c>
      <c r="I499" s="6">
        <v>0.24</v>
      </c>
      <c r="J499" s="6">
        <v>33.4</v>
      </c>
      <c r="K499" s="7">
        <f t="shared" ref="K499:P499" si="940">abs(D499-D498)/200</f>
        <v>0.0166</v>
      </c>
      <c r="L499" s="7">
        <f t="shared" si="940"/>
        <v>0.0076</v>
      </c>
      <c r="M499" s="7">
        <f t="shared" si="940"/>
        <v>0.00235</v>
      </c>
      <c r="N499" s="7">
        <f t="shared" si="940"/>
        <v>0.0002</v>
      </c>
      <c r="O499" s="7">
        <f t="shared" si="940"/>
        <v>0.00055</v>
      </c>
      <c r="P499" s="7">
        <f t="shared" si="940"/>
        <v>0.0022</v>
      </c>
      <c r="Q499" s="7">
        <f t="shared" si="7"/>
        <v>0.05074519711</v>
      </c>
      <c r="R499" s="7">
        <f t="shared" si="8"/>
        <v>0.01961874964</v>
      </c>
      <c r="S499" s="7">
        <f t="shared" si="2"/>
        <v>1.415926177</v>
      </c>
      <c r="T499" s="7">
        <f t="shared" si="3"/>
        <v>0.2549509757</v>
      </c>
      <c r="U499" s="7">
        <f t="shared" si="4"/>
        <v>1</v>
      </c>
      <c r="V499" s="7">
        <f t="shared" si="5"/>
        <v>1</v>
      </c>
      <c r="W499" s="7">
        <f t="shared" ref="W499:X499" si="941">IF(AVERAGE(U439:U498) &gt; 0.25, 1, 0)</f>
        <v>1</v>
      </c>
      <c r="X499" s="7">
        <f t="shared" si="941"/>
        <v>1</v>
      </c>
      <c r="Y499" s="8">
        <v>1.0</v>
      </c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</row>
    <row r="500" ht="22.5" customHeight="1">
      <c r="B500" s="6">
        <v>499.0</v>
      </c>
      <c r="C500" s="6">
        <v>110807.0</v>
      </c>
      <c r="D500" s="6">
        <v>4.63</v>
      </c>
      <c r="E500" s="6">
        <v>-1.12</v>
      </c>
      <c r="F500" s="6">
        <v>10.67</v>
      </c>
      <c r="G500" s="6">
        <v>-0.26</v>
      </c>
      <c r="H500" s="6">
        <v>-0.19</v>
      </c>
      <c r="I500" s="6">
        <v>-1.41</v>
      </c>
      <c r="J500" s="6">
        <v>33.4</v>
      </c>
      <c r="K500" s="7">
        <f t="shared" ref="K500:P500" si="942">abs(D500-D499)/200</f>
        <v>0.0038</v>
      </c>
      <c r="L500" s="7">
        <f t="shared" si="942"/>
        <v>0.0086</v>
      </c>
      <c r="M500" s="7">
        <f t="shared" si="942"/>
        <v>0.0008</v>
      </c>
      <c r="N500" s="7">
        <f t="shared" si="942"/>
        <v>0.00155</v>
      </c>
      <c r="O500" s="7">
        <f t="shared" si="942"/>
        <v>0.0006</v>
      </c>
      <c r="P500" s="7">
        <f t="shared" si="942"/>
        <v>0.00825</v>
      </c>
      <c r="Q500" s="7">
        <f t="shared" si="7"/>
        <v>1.191354663</v>
      </c>
      <c r="R500" s="7">
        <f t="shared" si="8"/>
        <v>0.4691155434</v>
      </c>
      <c r="S500" s="7">
        <f t="shared" si="2"/>
        <v>1.88504172</v>
      </c>
      <c r="T500" s="7">
        <f t="shared" si="3"/>
        <v>1.446305639</v>
      </c>
      <c r="U500" s="7">
        <f t="shared" si="4"/>
        <v>1</v>
      </c>
      <c r="V500" s="7">
        <f t="shared" si="5"/>
        <v>1</v>
      </c>
      <c r="W500" s="7">
        <f t="shared" ref="W500:X500" si="943">IF(AVERAGE(U440:U499) &gt; 0.25, 1, 0)</f>
        <v>1</v>
      </c>
      <c r="X500" s="7">
        <f t="shared" si="943"/>
        <v>1</v>
      </c>
      <c r="Y500" s="8">
        <v>1.0</v>
      </c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</row>
    <row r="501" ht="22.5" customHeight="1">
      <c r="B501" s="6">
        <v>500.0</v>
      </c>
      <c r="C501" s="6">
        <v>111011.0</v>
      </c>
      <c r="D501" s="6">
        <v>2.17</v>
      </c>
      <c r="E501" s="6">
        <v>-2.36</v>
      </c>
      <c r="F501" s="6">
        <v>11.07</v>
      </c>
      <c r="G501" s="6">
        <v>-0.66</v>
      </c>
      <c r="H501" s="6">
        <v>0.37</v>
      </c>
      <c r="I501" s="6">
        <v>-1.55</v>
      </c>
      <c r="J501" s="6">
        <v>33.4</v>
      </c>
      <c r="K501" s="7">
        <f t="shared" ref="K501:P501" si="944">abs(D501-D500)/200</f>
        <v>0.0123</v>
      </c>
      <c r="L501" s="7">
        <f t="shared" si="944"/>
        <v>0.0062</v>
      </c>
      <c r="M501" s="7">
        <f t="shared" si="944"/>
        <v>0.002</v>
      </c>
      <c r="N501" s="7">
        <f t="shared" si="944"/>
        <v>0.002</v>
      </c>
      <c r="O501" s="7">
        <f t="shared" si="944"/>
        <v>0.0028</v>
      </c>
      <c r="P501" s="7">
        <f t="shared" si="944"/>
        <v>0.0007</v>
      </c>
      <c r="Q501" s="7">
        <f t="shared" si="7"/>
        <v>0.2785131926</v>
      </c>
      <c r="R501" s="7">
        <f t="shared" si="8"/>
        <v>0.1601382498</v>
      </c>
      <c r="S501" s="7">
        <f t="shared" si="2"/>
        <v>1.72490347</v>
      </c>
      <c r="T501" s="7">
        <f t="shared" si="3"/>
        <v>1.724818831</v>
      </c>
      <c r="U501" s="7">
        <f t="shared" si="4"/>
        <v>1</v>
      </c>
      <c r="V501" s="7">
        <f t="shared" si="5"/>
        <v>1</v>
      </c>
      <c r="W501" s="7">
        <f t="shared" ref="W501:X501" si="945">IF(AVERAGE(U441:U500) &gt; 0.25, 1, 0)</f>
        <v>1</v>
      </c>
      <c r="X501" s="7">
        <f t="shared" si="945"/>
        <v>1</v>
      </c>
      <c r="Y501" s="8">
        <v>1.0</v>
      </c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</row>
    <row r="502" ht="22.5" customHeight="1">
      <c r="B502" s="6">
        <v>501.0</v>
      </c>
      <c r="C502" s="6">
        <v>111215.0</v>
      </c>
      <c r="D502" s="6">
        <v>-1.95</v>
      </c>
      <c r="E502" s="6">
        <v>-0.96</v>
      </c>
      <c r="F502" s="6">
        <v>11.44</v>
      </c>
      <c r="G502" s="6">
        <v>-0.36</v>
      </c>
      <c r="H502" s="6">
        <v>-0.32</v>
      </c>
      <c r="I502" s="6">
        <v>-1.07</v>
      </c>
      <c r="J502" s="6">
        <v>33.39</v>
      </c>
      <c r="K502" s="7">
        <f t="shared" ref="K502:P502" si="946">abs(D502-D501)/200</f>
        <v>0.0206</v>
      </c>
      <c r="L502" s="7">
        <f t="shared" si="946"/>
        <v>0.007</v>
      </c>
      <c r="M502" s="7">
        <f t="shared" si="946"/>
        <v>0.00185</v>
      </c>
      <c r="N502" s="7">
        <f t="shared" si="946"/>
        <v>0.0015</v>
      </c>
      <c r="O502" s="7">
        <f t="shared" si="946"/>
        <v>0.00345</v>
      </c>
      <c r="P502" s="7">
        <f t="shared" si="946"/>
        <v>0.0024</v>
      </c>
      <c r="Q502" s="7">
        <f t="shared" si="7"/>
        <v>0.5514050081</v>
      </c>
      <c r="R502" s="7">
        <f t="shared" si="8"/>
        <v>0.1197390747</v>
      </c>
      <c r="S502" s="7">
        <f t="shared" si="2"/>
        <v>1.844642545</v>
      </c>
      <c r="T502" s="7">
        <f t="shared" si="3"/>
        <v>1.173413823</v>
      </c>
      <c r="U502" s="7">
        <f t="shared" si="4"/>
        <v>1</v>
      </c>
      <c r="V502" s="7">
        <f t="shared" si="5"/>
        <v>1</v>
      </c>
      <c r="W502" s="7">
        <f t="shared" ref="W502:X502" si="947">IF(AVERAGE(U442:U501) &gt; 0.25, 1, 0)</f>
        <v>1</v>
      </c>
      <c r="X502" s="7">
        <f t="shared" si="947"/>
        <v>1</v>
      </c>
      <c r="Y502" s="8">
        <v>1.0</v>
      </c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</row>
    <row r="503" ht="22.5" customHeight="1">
      <c r="B503" s="6">
        <v>502.0</v>
      </c>
      <c r="C503" s="6">
        <v>111419.0</v>
      </c>
      <c r="D503" s="6">
        <v>-0.7</v>
      </c>
      <c r="E503" s="6">
        <v>1.67</v>
      </c>
      <c r="F503" s="6">
        <v>10.6</v>
      </c>
      <c r="G503" s="6">
        <v>-0.08</v>
      </c>
      <c r="H503" s="6">
        <v>0.01</v>
      </c>
      <c r="I503" s="6">
        <v>0.23</v>
      </c>
      <c r="J503" s="6">
        <v>33.4</v>
      </c>
      <c r="K503" s="7">
        <f t="shared" ref="K503:P503" si="948">abs(D503-D502)/200</f>
        <v>0.00625</v>
      </c>
      <c r="L503" s="7">
        <f t="shared" si="948"/>
        <v>0.01315</v>
      </c>
      <c r="M503" s="7">
        <f t="shared" si="948"/>
        <v>0.0042</v>
      </c>
      <c r="N503" s="7">
        <f t="shared" si="948"/>
        <v>0.0014</v>
      </c>
      <c r="O503" s="7">
        <f t="shared" si="948"/>
        <v>0.00165</v>
      </c>
      <c r="P503" s="7">
        <f t="shared" si="948"/>
        <v>0.0065</v>
      </c>
      <c r="Q503" s="7">
        <f t="shared" si="7"/>
        <v>0.9296926709</v>
      </c>
      <c r="R503" s="7">
        <f t="shared" si="8"/>
        <v>0.8910896437</v>
      </c>
      <c r="S503" s="7">
        <f t="shared" si="2"/>
        <v>0.9535529013</v>
      </c>
      <c r="T503" s="7">
        <f t="shared" si="3"/>
        <v>0.2437211521</v>
      </c>
      <c r="U503" s="7">
        <f t="shared" si="4"/>
        <v>1</v>
      </c>
      <c r="V503" s="7">
        <f t="shared" si="5"/>
        <v>1</v>
      </c>
      <c r="W503" s="7">
        <f t="shared" ref="W503:X503" si="949">IF(AVERAGE(U443:U502) &gt; 0.25, 1, 0)</f>
        <v>1</v>
      </c>
      <c r="X503" s="7">
        <f t="shared" si="949"/>
        <v>1</v>
      </c>
      <c r="Y503" s="8">
        <v>1.0</v>
      </c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</row>
    <row r="504" ht="22.5" customHeight="1">
      <c r="B504" s="6">
        <v>503.0</v>
      </c>
      <c r="C504" s="6">
        <v>111623.0</v>
      </c>
      <c r="D504" s="6">
        <v>0.64</v>
      </c>
      <c r="E504" s="6">
        <v>-0.38</v>
      </c>
      <c r="F504" s="6">
        <v>11.13</v>
      </c>
      <c r="G504" s="6">
        <v>0.13</v>
      </c>
      <c r="H504" s="6">
        <v>0.35</v>
      </c>
      <c r="I504" s="6">
        <v>-0.15</v>
      </c>
      <c r="J504" s="6">
        <v>33.41</v>
      </c>
      <c r="K504" s="7">
        <f t="shared" ref="K504:P504" si="950">abs(D504-D503)/200</f>
        <v>0.0067</v>
      </c>
      <c r="L504" s="7">
        <f t="shared" si="950"/>
        <v>0.01025</v>
      </c>
      <c r="M504" s="7">
        <f t="shared" si="950"/>
        <v>0.00265</v>
      </c>
      <c r="N504" s="7">
        <f t="shared" si="950"/>
        <v>0.00105</v>
      </c>
      <c r="O504" s="7">
        <f t="shared" si="950"/>
        <v>0.0017</v>
      </c>
      <c r="P504" s="7">
        <f t="shared" si="950"/>
        <v>0.0019</v>
      </c>
      <c r="Q504" s="7">
        <f t="shared" si="7"/>
        <v>0.1586468386</v>
      </c>
      <c r="R504" s="7">
        <f t="shared" si="8"/>
        <v>0.4013070262</v>
      </c>
      <c r="S504" s="7">
        <f t="shared" si="2"/>
        <v>1.354859927</v>
      </c>
      <c r="T504" s="7">
        <f t="shared" si="3"/>
        <v>0.4023679908</v>
      </c>
      <c r="U504" s="7">
        <f t="shared" si="4"/>
        <v>1</v>
      </c>
      <c r="V504" s="7">
        <f t="shared" si="5"/>
        <v>1</v>
      </c>
      <c r="W504" s="7">
        <f t="shared" ref="W504:X504" si="951">IF(AVERAGE(U444:U503) &gt; 0.25, 1, 0)</f>
        <v>1</v>
      </c>
      <c r="X504" s="7">
        <f t="shared" si="951"/>
        <v>1</v>
      </c>
      <c r="Y504" s="8">
        <v>1.0</v>
      </c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</row>
    <row r="505" ht="22.5" customHeight="1">
      <c r="B505" s="6">
        <v>504.0</v>
      </c>
      <c r="C505" s="6">
        <v>111827.0</v>
      </c>
      <c r="D505" s="6">
        <v>0.43</v>
      </c>
      <c r="E505" s="6">
        <v>-2.27</v>
      </c>
      <c r="F505" s="6">
        <v>10.89</v>
      </c>
      <c r="G505" s="6">
        <v>0.07</v>
      </c>
      <c r="H505" s="6">
        <v>0.22</v>
      </c>
      <c r="I505" s="6">
        <v>0.64</v>
      </c>
      <c r="J505" s="6">
        <v>33.39</v>
      </c>
      <c r="K505" s="7">
        <f t="shared" ref="K505:P505" si="952">abs(D505-D504)/200</f>
        <v>0.00105</v>
      </c>
      <c r="L505" s="7">
        <f t="shared" si="952"/>
        <v>0.00945</v>
      </c>
      <c r="M505" s="7">
        <f t="shared" si="952"/>
        <v>0.0012</v>
      </c>
      <c r="N505" s="7">
        <f t="shared" si="952"/>
        <v>0.0003</v>
      </c>
      <c r="O505" s="7">
        <f t="shared" si="952"/>
        <v>0.00065</v>
      </c>
      <c r="P505" s="7">
        <f t="shared" si="952"/>
        <v>0.00395</v>
      </c>
      <c r="Q505" s="7">
        <f t="shared" si="7"/>
        <v>0.277999557</v>
      </c>
      <c r="R505" s="7">
        <f t="shared" si="8"/>
        <v>0.02247922964</v>
      </c>
      <c r="S505" s="7">
        <f t="shared" si="2"/>
        <v>1.332380698</v>
      </c>
      <c r="T505" s="7">
        <f t="shared" si="3"/>
        <v>0.6803675477</v>
      </c>
      <c r="U505" s="7">
        <f t="shared" si="4"/>
        <v>1</v>
      </c>
      <c r="V505" s="7">
        <f t="shared" si="5"/>
        <v>1</v>
      </c>
      <c r="W505" s="7">
        <f t="shared" ref="W505:X505" si="953">IF(AVERAGE(U445:U504) &gt; 0.25, 1, 0)</f>
        <v>1</v>
      </c>
      <c r="X505" s="7">
        <f t="shared" si="953"/>
        <v>1</v>
      </c>
      <c r="Y505" s="8">
        <v>1.0</v>
      </c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</row>
    <row r="506" ht="22.5" customHeight="1">
      <c r="B506" s="6">
        <v>505.0</v>
      </c>
      <c r="C506" s="6">
        <v>112031.0</v>
      </c>
      <c r="D506" s="6">
        <v>1.85</v>
      </c>
      <c r="E506" s="6">
        <v>-2.1</v>
      </c>
      <c r="F506" s="6">
        <v>10.61</v>
      </c>
      <c r="G506" s="6">
        <v>-0.07</v>
      </c>
      <c r="H506" s="6">
        <v>-0.13</v>
      </c>
      <c r="I506" s="6">
        <v>1.34</v>
      </c>
      <c r="J506" s="6">
        <v>33.41</v>
      </c>
      <c r="K506" s="7">
        <f t="shared" ref="K506:P506" si="954">abs(D506-D505)/200</f>
        <v>0.0071</v>
      </c>
      <c r="L506" s="7">
        <f t="shared" si="954"/>
        <v>0.00085</v>
      </c>
      <c r="M506" s="7">
        <f t="shared" si="954"/>
        <v>0.0014</v>
      </c>
      <c r="N506" s="7">
        <f t="shared" si="954"/>
        <v>0.0007</v>
      </c>
      <c r="O506" s="7">
        <f t="shared" si="954"/>
        <v>0.00175</v>
      </c>
      <c r="P506" s="7">
        <f t="shared" si="954"/>
        <v>0.0035</v>
      </c>
      <c r="Q506" s="7">
        <f t="shared" si="7"/>
        <v>0.6677422401</v>
      </c>
      <c r="R506" s="7">
        <f t="shared" si="8"/>
        <v>0.159477709</v>
      </c>
      <c r="S506" s="7">
        <f t="shared" si="2"/>
        <v>1.172902989</v>
      </c>
      <c r="T506" s="7">
        <f t="shared" si="3"/>
        <v>1.348109788</v>
      </c>
      <c r="U506" s="7">
        <f t="shared" si="4"/>
        <v>1</v>
      </c>
      <c r="V506" s="7">
        <f t="shared" si="5"/>
        <v>1</v>
      </c>
      <c r="W506" s="7">
        <f t="shared" ref="W506:X506" si="955">IF(AVERAGE(U446:U505) &gt; 0.25, 1, 0)</f>
        <v>1</v>
      </c>
      <c r="X506" s="7">
        <f t="shared" si="955"/>
        <v>1</v>
      </c>
      <c r="Y506" s="8">
        <v>1.0</v>
      </c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</row>
    <row r="507" ht="22.5" customHeight="1">
      <c r="B507" s="6">
        <v>506.0</v>
      </c>
      <c r="C507" s="6">
        <v>112235.0</v>
      </c>
      <c r="D507" s="6">
        <v>2.02</v>
      </c>
      <c r="E507" s="6">
        <v>-1.72</v>
      </c>
      <c r="F507" s="6">
        <v>10.07</v>
      </c>
      <c r="G507" s="6">
        <v>0.13</v>
      </c>
      <c r="H507" s="6">
        <v>-0.45</v>
      </c>
      <c r="I507" s="6">
        <v>1.32</v>
      </c>
      <c r="J507" s="6">
        <v>33.4</v>
      </c>
      <c r="K507" s="7">
        <f t="shared" ref="K507:P507" si="956">abs(D507-D506)/200</f>
        <v>0.00085</v>
      </c>
      <c r="L507" s="7">
        <f t="shared" si="956"/>
        <v>0.0019</v>
      </c>
      <c r="M507" s="7">
        <f t="shared" si="956"/>
        <v>0.0027</v>
      </c>
      <c r="N507" s="7">
        <f t="shared" si="956"/>
        <v>0.001</v>
      </c>
      <c r="O507" s="7">
        <f t="shared" si="956"/>
        <v>0.0016</v>
      </c>
      <c r="P507" s="7">
        <f t="shared" si="956"/>
        <v>0.0001</v>
      </c>
      <c r="Q507" s="7">
        <f t="shared" si="7"/>
        <v>0.0525329218</v>
      </c>
      <c r="R507" s="7">
        <f t="shared" si="8"/>
        <v>0.5592724979</v>
      </c>
      <c r="S507" s="7">
        <f t="shared" si="2"/>
        <v>0.6136304909</v>
      </c>
      <c r="T507" s="7">
        <f t="shared" si="3"/>
        <v>1.40064271</v>
      </c>
      <c r="U507" s="7">
        <f t="shared" si="4"/>
        <v>1</v>
      </c>
      <c r="V507" s="7">
        <f t="shared" si="5"/>
        <v>1</v>
      </c>
      <c r="W507" s="7">
        <f t="shared" ref="W507:X507" si="957">IF(AVERAGE(U447:U506) &gt; 0.25, 1, 0)</f>
        <v>1</v>
      </c>
      <c r="X507" s="7">
        <f t="shared" si="957"/>
        <v>1</v>
      </c>
      <c r="Y507" s="8">
        <v>1.0</v>
      </c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</row>
    <row r="508" ht="22.5" customHeight="1">
      <c r="B508" s="6">
        <v>507.0</v>
      </c>
      <c r="C508" s="6">
        <v>112439.0</v>
      </c>
      <c r="D508" s="6">
        <v>3.66</v>
      </c>
      <c r="E508" s="6">
        <v>0.43</v>
      </c>
      <c r="F508" s="6">
        <v>10.44</v>
      </c>
      <c r="G508" s="6">
        <v>-0.26</v>
      </c>
      <c r="H508" s="6">
        <v>0.08</v>
      </c>
      <c r="I508" s="6">
        <v>0.46</v>
      </c>
      <c r="J508" s="6">
        <v>33.4</v>
      </c>
      <c r="K508" s="7">
        <f t="shared" ref="K508:P508" si="958">abs(D508-D507)/200</f>
        <v>0.0082</v>
      </c>
      <c r="L508" s="7">
        <f t="shared" si="958"/>
        <v>0.01075</v>
      </c>
      <c r="M508" s="7">
        <f t="shared" si="958"/>
        <v>0.00185</v>
      </c>
      <c r="N508" s="7">
        <f t="shared" si="958"/>
        <v>0.00195</v>
      </c>
      <c r="O508" s="7">
        <f t="shared" si="958"/>
        <v>0.00265</v>
      </c>
      <c r="P508" s="7">
        <f t="shared" si="958"/>
        <v>0.0043</v>
      </c>
      <c r="Q508" s="7">
        <f t="shared" si="7"/>
        <v>0.866227141</v>
      </c>
      <c r="R508" s="7">
        <f t="shared" si="8"/>
        <v>0.6576883104</v>
      </c>
      <c r="S508" s="7">
        <f t="shared" si="2"/>
        <v>1.271318801</v>
      </c>
      <c r="T508" s="7">
        <f t="shared" si="3"/>
        <v>0.5344155686</v>
      </c>
      <c r="U508" s="7">
        <f t="shared" si="4"/>
        <v>1</v>
      </c>
      <c r="V508" s="7">
        <f t="shared" si="5"/>
        <v>1</v>
      </c>
      <c r="W508" s="7">
        <f t="shared" ref="W508:X508" si="959">IF(AVERAGE(U448:U507) &gt; 0.25, 1, 0)</f>
        <v>1</v>
      </c>
      <c r="X508" s="7">
        <f t="shared" si="959"/>
        <v>1</v>
      </c>
      <c r="Y508" s="8">
        <v>1.0</v>
      </c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</row>
    <row r="509" ht="22.5" customHeight="1">
      <c r="B509" s="6">
        <v>508.0</v>
      </c>
      <c r="C509" s="6">
        <v>112643.0</v>
      </c>
      <c r="D509" s="6">
        <v>2.35</v>
      </c>
      <c r="E509" s="6">
        <v>3.63</v>
      </c>
      <c r="F509" s="6">
        <v>9.99</v>
      </c>
      <c r="G509" s="6">
        <v>-0.13</v>
      </c>
      <c r="H509" s="6">
        <v>0.09</v>
      </c>
      <c r="I509" s="6">
        <v>0.07</v>
      </c>
      <c r="J509" s="6">
        <v>33.4</v>
      </c>
      <c r="K509" s="7">
        <f t="shared" ref="K509:P509" si="960">abs(D509-D508)/200</f>
        <v>0.00655</v>
      </c>
      <c r="L509" s="7">
        <f t="shared" si="960"/>
        <v>0.016</v>
      </c>
      <c r="M509" s="7">
        <f t="shared" si="960"/>
        <v>0.00225</v>
      </c>
      <c r="N509" s="7">
        <f t="shared" si="960"/>
        <v>0.00065</v>
      </c>
      <c r="O509" s="7">
        <f t="shared" si="960"/>
        <v>0.00005</v>
      </c>
      <c r="P509" s="7">
        <f t="shared" si="960"/>
        <v>0.00195</v>
      </c>
      <c r="Q509" s="7">
        <f t="shared" si="7"/>
        <v>0.361499404</v>
      </c>
      <c r="R509" s="7">
        <f t="shared" si="8"/>
        <v>0.1855712385</v>
      </c>
      <c r="S509" s="7">
        <f t="shared" si="2"/>
        <v>1.085747563</v>
      </c>
      <c r="T509" s="7">
        <f t="shared" si="3"/>
        <v>0.1729161647</v>
      </c>
      <c r="U509" s="7">
        <f t="shared" si="4"/>
        <v>1</v>
      </c>
      <c r="V509" s="7">
        <f t="shared" si="5"/>
        <v>1</v>
      </c>
      <c r="W509" s="7">
        <f t="shared" ref="W509:X509" si="961">IF(AVERAGE(U449:U508) &gt; 0.25, 1, 0)</f>
        <v>1</v>
      </c>
      <c r="X509" s="7">
        <f t="shared" si="961"/>
        <v>1</v>
      </c>
      <c r="Y509" s="8">
        <v>1.0</v>
      </c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</row>
    <row r="510" ht="22.5" customHeight="1">
      <c r="B510" s="6">
        <v>509.0</v>
      </c>
      <c r="C510" s="6">
        <v>112847.0</v>
      </c>
      <c r="D510" s="6">
        <v>0.77</v>
      </c>
      <c r="E510" s="6">
        <v>1.1</v>
      </c>
      <c r="F510" s="6">
        <v>10.75</v>
      </c>
      <c r="G510" s="6">
        <v>0.11</v>
      </c>
      <c r="H510" s="6">
        <v>0.06</v>
      </c>
      <c r="I510" s="6">
        <v>-0.15</v>
      </c>
      <c r="J510" s="6">
        <v>33.41</v>
      </c>
      <c r="K510" s="7">
        <f t="shared" ref="K510:P510" si="962">abs(D510-D509)/200</f>
        <v>0.0079</v>
      </c>
      <c r="L510" s="7">
        <f t="shared" si="962"/>
        <v>0.01265</v>
      </c>
      <c r="M510" s="7">
        <f t="shared" si="962"/>
        <v>0.0038</v>
      </c>
      <c r="N510" s="7">
        <f t="shared" si="962"/>
        <v>0.0012</v>
      </c>
      <c r="O510" s="7">
        <f t="shared" si="962"/>
        <v>0.00015</v>
      </c>
      <c r="P510" s="7">
        <f t="shared" si="962"/>
        <v>0.0011</v>
      </c>
      <c r="Q510" s="7">
        <f t="shared" si="7"/>
        <v>0.0225320382</v>
      </c>
      <c r="R510" s="7">
        <f t="shared" si="8"/>
        <v>0.05221628251</v>
      </c>
      <c r="S510" s="7">
        <f t="shared" si="2"/>
        <v>1.03353128</v>
      </c>
      <c r="T510" s="7">
        <f t="shared" si="3"/>
        <v>0.1954482029</v>
      </c>
      <c r="U510" s="7">
        <f t="shared" si="4"/>
        <v>1</v>
      </c>
      <c r="V510" s="7">
        <f t="shared" si="5"/>
        <v>1</v>
      </c>
      <c r="W510" s="7">
        <f t="shared" ref="W510:X510" si="963">IF(AVERAGE(U450:U509) &gt; 0.25, 1, 0)</f>
        <v>1</v>
      </c>
      <c r="X510" s="7">
        <f t="shared" si="963"/>
        <v>1</v>
      </c>
      <c r="Y510" s="8">
        <v>1.0</v>
      </c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</row>
    <row r="511" ht="22.5" customHeight="1">
      <c r="B511" s="6">
        <v>510.0</v>
      </c>
      <c r="C511" s="6">
        <v>113051.0</v>
      </c>
      <c r="D511" s="6">
        <v>5.8</v>
      </c>
      <c r="E511" s="6">
        <v>-0.24</v>
      </c>
      <c r="F511" s="6">
        <v>10.45</v>
      </c>
      <c r="G511" s="6">
        <v>0.11</v>
      </c>
      <c r="H511" s="6">
        <v>-0.01</v>
      </c>
      <c r="I511" s="6">
        <v>0.57</v>
      </c>
      <c r="J511" s="6">
        <v>33.4</v>
      </c>
      <c r="K511" s="7">
        <f t="shared" ref="K511:P511" si="964">abs(D511-D510)/200</f>
        <v>0.02515</v>
      </c>
      <c r="L511" s="7">
        <f t="shared" si="964"/>
        <v>0.0067</v>
      </c>
      <c r="M511" s="7">
        <f t="shared" si="964"/>
        <v>0.0015</v>
      </c>
      <c r="N511" s="7">
        <f t="shared" si="964"/>
        <v>0</v>
      </c>
      <c r="O511" s="7">
        <f t="shared" si="964"/>
        <v>0.00035</v>
      </c>
      <c r="P511" s="7">
        <f t="shared" si="964"/>
        <v>0.0036</v>
      </c>
      <c r="Q511" s="7">
        <f t="shared" si="7"/>
        <v>0.3851549318</v>
      </c>
      <c r="R511" s="7">
        <f t="shared" si="8"/>
        <v>1.120551704</v>
      </c>
      <c r="S511" s="7">
        <f t="shared" si="2"/>
        <v>2.154082984</v>
      </c>
      <c r="T511" s="7">
        <f t="shared" si="3"/>
        <v>0.5806031347</v>
      </c>
      <c r="U511" s="7">
        <f t="shared" si="4"/>
        <v>1</v>
      </c>
      <c r="V511" s="7">
        <f t="shared" si="5"/>
        <v>1</v>
      </c>
      <c r="W511" s="7">
        <f t="shared" ref="W511:X511" si="965">IF(AVERAGE(U451:U510) &gt; 0.25, 1, 0)</f>
        <v>1</v>
      </c>
      <c r="X511" s="7">
        <f t="shared" si="965"/>
        <v>1</v>
      </c>
      <c r="Y511" s="8">
        <v>1.0</v>
      </c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</row>
    <row r="512" ht="22.5" customHeight="1">
      <c r="B512" s="6">
        <v>511.0</v>
      </c>
      <c r="C512" s="6">
        <v>113255.0</v>
      </c>
      <c r="D512" s="6">
        <v>3.05</v>
      </c>
      <c r="E512" s="6">
        <v>-3.67</v>
      </c>
      <c r="F512" s="6">
        <v>10.7</v>
      </c>
      <c r="G512" s="6">
        <v>-0.29</v>
      </c>
      <c r="H512" s="6">
        <v>-0.3</v>
      </c>
      <c r="I512" s="6">
        <v>-1.54</v>
      </c>
      <c r="J512" s="6">
        <v>33.41</v>
      </c>
      <c r="K512" s="7">
        <f t="shared" ref="K512:P512" si="966">abs(D512-D511)/200</f>
        <v>0.01375</v>
      </c>
      <c r="L512" s="7">
        <f t="shared" si="966"/>
        <v>0.01715</v>
      </c>
      <c r="M512" s="7">
        <f t="shared" si="966"/>
        <v>0.00125</v>
      </c>
      <c r="N512" s="7">
        <f t="shared" si="966"/>
        <v>0.002</v>
      </c>
      <c r="O512" s="7">
        <f t="shared" si="966"/>
        <v>0.00145</v>
      </c>
      <c r="P512" s="7">
        <f t="shared" si="966"/>
        <v>0.01055</v>
      </c>
      <c r="Q512" s="7">
        <f t="shared" si="7"/>
        <v>1.014921857</v>
      </c>
      <c r="R512" s="7">
        <f t="shared" si="8"/>
        <v>0.2382219406</v>
      </c>
      <c r="S512" s="7">
        <f t="shared" si="2"/>
        <v>1.915861044</v>
      </c>
      <c r="T512" s="7">
        <f t="shared" si="3"/>
        <v>1.595524992</v>
      </c>
      <c r="U512" s="7">
        <f t="shared" si="4"/>
        <v>1</v>
      </c>
      <c r="V512" s="7">
        <f t="shared" si="5"/>
        <v>1</v>
      </c>
      <c r="W512" s="7">
        <f t="shared" ref="W512:X512" si="967">IF(AVERAGE(U452:U511) &gt; 0.25, 1, 0)</f>
        <v>1</v>
      </c>
      <c r="X512" s="7">
        <f t="shared" si="967"/>
        <v>1</v>
      </c>
      <c r="Y512" s="8">
        <v>1.0</v>
      </c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</row>
    <row r="513" ht="22.5" customHeight="1">
      <c r="B513" s="6">
        <v>512.0</v>
      </c>
      <c r="C513" s="6">
        <v>113459.0</v>
      </c>
      <c r="D513" s="6">
        <v>1.6</v>
      </c>
      <c r="E513" s="6">
        <v>-2.06</v>
      </c>
      <c r="F513" s="6">
        <v>10.29</v>
      </c>
      <c r="G513" s="6">
        <v>-0.68</v>
      </c>
      <c r="H513" s="6">
        <v>0.27</v>
      </c>
      <c r="I513" s="6">
        <v>-2.08</v>
      </c>
      <c r="J513" s="6">
        <v>33.4</v>
      </c>
      <c r="K513" s="7">
        <f t="shared" ref="K513:P513" si="968">abs(D513-D512)/200</f>
        <v>0.00725</v>
      </c>
      <c r="L513" s="7">
        <f t="shared" si="968"/>
        <v>0.00805</v>
      </c>
      <c r="M513" s="7">
        <f t="shared" si="968"/>
        <v>0.00205</v>
      </c>
      <c r="N513" s="7">
        <f t="shared" si="968"/>
        <v>0.00195</v>
      </c>
      <c r="O513" s="7">
        <f t="shared" si="968"/>
        <v>0.00285</v>
      </c>
      <c r="P513" s="7">
        <f t="shared" si="968"/>
        <v>0.0027</v>
      </c>
      <c r="Q513" s="7">
        <f t="shared" si="7"/>
        <v>0.6094013107</v>
      </c>
      <c r="R513" s="7">
        <f t="shared" si="8"/>
        <v>1.100414751</v>
      </c>
      <c r="S513" s="7">
        <f t="shared" si="2"/>
        <v>0.815446293</v>
      </c>
      <c r="T513" s="7">
        <f t="shared" si="3"/>
        <v>2.204926303</v>
      </c>
      <c r="U513" s="7">
        <f t="shared" si="4"/>
        <v>1</v>
      </c>
      <c r="V513" s="7">
        <f t="shared" si="5"/>
        <v>1</v>
      </c>
      <c r="W513" s="7">
        <f t="shared" ref="W513:X513" si="969">IF(AVERAGE(U453:U512) &gt; 0.25, 1, 0)</f>
        <v>1</v>
      </c>
      <c r="X513" s="7">
        <f t="shared" si="969"/>
        <v>1</v>
      </c>
      <c r="Y513" s="8">
        <v>1.0</v>
      </c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</row>
    <row r="514" ht="22.5" customHeight="1">
      <c r="B514" s="6">
        <v>513.0</v>
      </c>
      <c r="C514" s="6">
        <v>113663.0</v>
      </c>
      <c r="D514" s="6">
        <v>-3.06</v>
      </c>
      <c r="E514" s="6">
        <v>0.37</v>
      </c>
      <c r="F514" s="6">
        <v>11.03</v>
      </c>
      <c r="G514" s="6">
        <v>-0.22</v>
      </c>
      <c r="H514" s="6">
        <v>-0.22</v>
      </c>
      <c r="I514" s="6">
        <v>-0.75</v>
      </c>
      <c r="J514" s="6">
        <v>33.4</v>
      </c>
      <c r="K514" s="7">
        <f t="shared" ref="K514:P514" si="970">abs(D514-D513)/200</f>
        <v>0.0233</v>
      </c>
      <c r="L514" s="7">
        <f t="shared" si="970"/>
        <v>0.01215</v>
      </c>
      <c r="M514" s="7">
        <f t="shared" si="970"/>
        <v>0.0037</v>
      </c>
      <c r="N514" s="7">
        <f t="shared" si="970"/>
        <v>0.0023</v>
      </c>
      <c r="O514" s="7">
        <f t="shared" si="970"/>
        <v>0.00245</v>
      </c>
      <c r="P514" s="7">
        <f t="shared" si="970"/>
        <v>0.00665</v>
      </c>
      <c r="Q514" s="7">
        <f t="shared" si="7"/>
        <v>1.392953397</v>
      </c>
      <c r="R514" s="7">
        <f t="shared" si="8"/>
        <v>0.8371254706</v>
      </c>
      <c r="S514" s="7">
        <f t="shared" si="2"/>
        <v>1.652571764</v>
      </c>
      <c r="T514" s="7">
        <f t="shared" si="3"/>
        <v>0.811972906</v>
      </c>
      <c r="U514" s="7">
        <f t="shared" si="4"/>
        <v>1</v>
      </c>
      <c r="V514" s="7">
        <f t="shared" si="5"/>
        <v>1</v>
      </c>
      <c r="W514" s="7">
        <f t="shared" ref="W514:X514" si="971">IF(AVERAGE(U454:U513) &gt; 0.25, 1, 0)</f>
        <v>1</v>
      </c>
      <c r="X514" s="7">
        <f t="shared" si="971"/>
        <v>1</v>
      </c>
      <c r="Y514" s="8">
        <v>1.0</v>
      </c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</row>
    <row r="515" ht="22.5" customHeight="1">
      <c r="B515" s="6">
        <v>514.0</v>
      </c>
      <c r="C515" s="6">
        <v>113867.0</v>
      </c>
      <c r="D515" s="6">
        <v>-0.62</v>
      </c>
      <c r="E515" s="6">
        <v>1.78</v>
      </c>
      <c r="F515" s="6">
        <v>10.79</v>
      </c>
      <c r="G515" s="6">
        <v>-0.12</v>
      </c>
      <c r="H515" s="6">
        <v>0.07</v>
      </c>
      <c r="I515" s="6">
        <v>-0.25</v>
      </c>
      <c r="J515" s="6">
        <v>33.4</v>
      </c>
      <c r="K515" s="7">
        <f t="shared" ref="K515:P515" si="972">abs(D515-D514)/200</f>
        <v>0.0122</v>
      </c>
      <c r="L515" s="7">
        <f t="shared" si="972"/>
        <v>0.00705</v>
      </c>
      <c r="M515" s="7">
        <f t="shared" si="972"/>
        <v>0.0012</v>
      </c>
      <c r="N515" s="7">
        <f t="shared" si="972"/>
        <v>0.0005</v>
      </c>
      <c r="O515" s="7">
        <f t="shared" si="972"/>
        <v>0.00145</v>
      </c>
      <c r="P515" s="7">
        <f t="shared" si="972"/>
        <v>0.0025</v>
      </c>
      <c r="Q515" s="7">
        <f t="shared" si="7"/>
        <v>0.525965913</v>
      </c>
      <c r="R515" s="7">
        <f t="shared" si="8"/>
        <v>0.4991750301</v>
      </c>
      <c r="S515" s="7">
        <f t="shared" si="2"/>
        <v>1.153396733</v>
      </c>
      <c r="T515" s="7">
        <f t="shared" si="3"/>
        <v>0.2860069929</v>
      </c>
      <c r="U515" s="7">
        <f t="shared" si="4"/>
        <v>1</v>
      </c>
      <c r="V515" s="7">
        <f t="shared" si="5"/>
        <v>1</v>
      </c>
      <c r="W515" s="7">
        <f t="shared" ref="W515:X515" si="973">IF(AVERAGE(U455:U514) &gt; 0.25, 1, 0)</f>
        <v>1</v>
      </c>
      <c r="X515" s="7">
        <f t="shared" si="973"/>
        <v>1</v>
      </c>
      <c r="Y515" s="8">
        <v>1.0</v>
      </c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</row>
    <row r="516" ht="22.5" customHeight="1">
      <c r="B516" s="6">
        <v>515.0</v>
      </c>
      <c r="C516" s="6">
        <v>114071.0</v>
      </c>
      <c r="D516" s="6">
        <v>0.86</v>
      </c>
      <c r="E516" s="6">
        <v>-0.72</v>
      </c>
      <c r="F516" s="6">
        <v>11.13</v>
      </c>
      <c r="G516" s="6">
        <v>0.12</v>
      </c>
      <c r="H516" s="6">
        <v>0.3</v>
      </c>
      <c r="I516" s="6">
        <v>-0.11</v>
      </c>
      <c r="J516" s="6">
        <v>33.4</v>
      </c>
      <c r="K516" s="7">
        <f t="shared" ref="K516:P516" si="974">abs(D516-D515)/200</f>
        <v>0.0074</v>
      </c>
      <c r="L516" s="7">
        <f t="shared" si="974"/>
        <v>0.0125</v>
      </c>
      <c r="M516" s="7">
        <f t="shared" si="974"/>
        <v>0.0017</v>
      </c>
      <c r="N516" s="7">
        <f t="shared" si="974"/>
        <v>0.0012</v>
      </c>
      <c r="O516" s="7">
        <f t="shared" si="974"/>
        <v>0.00115</v>
      </c>
      <c r="P516" s="7">
        <f t="shared" si="974"/>
        <v>0.0007</v>
      </c>
      <c r="Q516" s="7">
        <f t="shared" si="7"/>
        <v>0.0553139704</v>
      </c>
      <c r="R516" s="7">
        <f t="shared" si="8"/>
        <v>0.2329744387</v>
      </c>
      <c r="S516" s="7">
        <f t="shared" si="2"/>
        <v>1.386371172</v>
      </c>
      <c r="T516" s="7">
        <f t="shared" si="3"/>
        <v>0.3413209633</v>
      </c>
      <c r="U516" s="7">
        <f t="shared" si="4"/>
        <v>1</v>
      </c>
      <c r="V516" s="7">
        <f t="shared" si="5"/>
        <v>1</v>
      </c>
      <c r="W516" s="7">
        <f t="shared" ref="W516:X516" si="975">IF(AVERAGE(U456:U515) &gt; 0.25, 1, 0)</f>
        <v>1</v>
      </c>
      <c r="X516" s="7">
        <f t="shared" si="975"/>
        <v>1</v>
      </c>
      <c r="Y516" s="8">
        <v>1.0</v>
      </c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</row>
    <row r="517" ht="22.5" customHeight="1">
      <c r="B517" s="6">
        <v>516.0</v>
      </c>
      <c r="C517" s="6">
        <v>114275.0</v>
      </c>
      <c r="D517" s="6">
        <v>-0.17</v>
      </c>
      <c r="E517" s="6">
        <v>-2.88</v>
      </c>
      <c r="F517" s="6">
        <v>10.7</v>
      </c>
      <c r="G517" s="6">
        <v>-0.01</v>
      </c>
      <c r="H517" s="6">
        <v>0.05</v>
      </c>
      <c r="I517" s="6">
        <v>-0.13</v>
      </c>
      <c r="J517" s="6">
        <v>33.4</v>
      </c>
      <c r="K517" s="7">
        <f t="shared" ref="K517:P517" si="976">abs(D517-D516)/200</f>
        <v>0.00515</v>
      </c>
      <c r="L517" s="7">
        <f t="shared" si="976"/>
        <v>0.0108</v>
      </c>
      <c r="M517" s="7">
        <f t="shared" si="976"/>
        <v>0.00215</v>
      </c>
      <c r="N517" s="7">
        <f t="shared" si="976"/>
        <v>0.00065</v>
      </c>
      <c r="O517" s="7">
        <f t="shared" si="976"/>
        <v>0.00125</v>
      </c>
      <c r="P517" s="7">
        <f t="shared" si="976"/>
        <v>0.0001</v>
      </c>
      <c r="Q517" s="7">
        <f t="shared" si="7"/>
        <v>0.2016785629</v>
      </c>
      <c r="R517" s="7">
        <f t="shared" si="8"/>
        <v>0.1042549482</v>
      </c>
      <c r="S517" s="7">
        <f t="shared" si="2"/>
        <v>1.282116224</v>
      </c>
      <c r="T517" s="7">
        <f t="shared" si="3"/>
        <v>0.1396424004</v>
      </c>
      <c r="U517" s="7">
        <f t="shared" si="4"/>
        <v>1</v>
      </c>
      <c r="V517" s="7">
        <f t="shared" si="5"/>
        <v>1</v>
      </c>
      <c r="W517" s="7">
        <f t="shared" ref="W517:X517" si="977">IF(AVERAGE(U457:U516) &gt; 0.25, 1, 0)</f>
        <v>1</v>
      </c>
      <c r="X517" s="7">
        <f t="shared" si="977"/>
        <v>1</v>
      </c>
      <c r="Y517" s="8">
        <v>1.0</v>
      </c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</row>
    <row r="518" ht="22.5" customHeight="1">
      <c r="B518" s="6">
        <v>517.0</v>
      </c>
      <c r="C518" s="6">
        <v>114479.0</v>
      </c>
      <c r="D518" s="6">
        <v>4.95</v>
      </c>
      <c r="E518" s="6">
        <v>-1.68</v>
      </c>
      <c r="F518" s="6">
        <v>10.39</v>
      </c>
      <c r="G518" s="6">
        <v>-0.17</v>
      </c>
      <c r="H518" s="6">
        <v>-0.15</v>
      </c>
      <c r="I518" s="6">
        <v>0.7</v>
      </c>
      <c r="J518" s="6">
        <v>33.4</v>
      </c>
      <c r="K518" s="7">
        <f t="shared" ref="K518:P518" si="978">abs(D518-D517)/200</f>
        <v>0.0256</v>
      </c>
      <c r="L518" s="7">
        <f t="shared" si="978"/>
        <v>0.006</v>
      </c>
      <c r="M518" s="7">
        <f t="shared" si="978"/>
        <v>0.00155</v>
      </c>
      <c r="N518" s="7">
        <f t="shared" si="978"/>
        <v>0.0008</v>
      </c>
      <c r="O518" s="7">
        <f t="shared" si="978"/>
        <v>0.001</v>
      </c>
      <c r="P518" s="7">
        <f t="shared" si="978"/>
        <v>0.00415</v>
      </c>
      <c r="Q518" s="7">
        <f t="shared" si="7"/>
        <v>0.5961564851</v>
      </c>
      <c r="R518" s="7">
        <f t="shared" si="8"/>
        <v>0.5487478885</v>
      </c>
      <c r="S518" s="7">
        <f t="shared" si="2"/>
        <v>1.830864112</v>
      </c>
      <c r="T518" s="7">
        <f t="shared" si="3"/>
        <v>0.7357988856</v>
      </c>
      <c r="U518" s="7">
        <f t="shared" si="4"/>
        <v>1</v>
      </c>
      <c r="V518" s="7">
        <f t="shared" si="5"/>
        <v>1</v>
      </c>
      <c r="W518" s="7">
        <f t="shared" ref="W518:X518" si="979">IF(AVERAGE(U458:U517) &gt; 0.25, 1, 0)</f>
        <v>1</v>
      </c>
      <c r="X518" s="7">
        <f t="shared" si="979"/>
        <v>1</v>
      </c>
      <c r="Y518" s="8">
        <v>1.0</v>
      </c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</row>
    <row r="519" ht="22.5" customHeight="1">
      <c r="B519" s="6">
        <v>518.0</v>
      </c>
      <c r="C519" s="6">
        <v>114683.0</v>
      </c>
      <c r="D519" s="6">
        <v>1.49</v>
      </c>
      <c r="E519" s="6">
        <v>1.32</v>
      </c>
      <c r="F519" s="6">
        <v>11.22</v>
      </c>
      <c r="G519" s="6">
        <v>-0.33</v>
      </c>
      <c r="H519" s="6">
        <v>-0.28</v>
      </c>
      <c r="I519" s="6">
        <v>-0.65</v>
      </c>
      <c r="J519" s="6">
        <v>33.4</v>
      </c>
      <c r="K519" s="7">
        <f t="shared" ref="K519:P519" si="980">abs(D519-D518)/200</f>
        <v>0.0173</v>
      </c>
      <c r="L519" s="7">
        <f t="shared" si="980"/>
        <v>0.015</v>
      </c>
      <c r="M519" s="7">
        <f t="shared" si="980"/>
        <v>0.00415</v>
      </c>
      <c r="N519" s="7">
        <f t="shared" si="980"/>
        <v>0.0008</v>
      </c>
      <c r="O519" s="7">
        <f t="shared" si="980"/>
        <v>0.00065</v>
      </c>
      <c r="P519" s="7">
        <f t="shared" si="980"/>
        <v>0.00675</v>
      </c>
      <c r="Q519" s="7">
        <f t="shared" si="7"/>
        <v>0.04509803465</v>
      </c>
      <c r="R519" s="7">
        <f t="shared" si="8"/>
        <v>0.2356502048</v>
      </c>
      <c r="S519" s="7">
        <f t="shared" si="2"/>
        <v>1.595213908</v>
      </c>
      <c r="T519" s="7">
        <f t="shared" si="3"/>
        <v>0.7808969202</v>
      </c>
      <c r="U519" s="7">
        <f t="shared" si="4"/>
        <v>1</v>
      </c>
      <c r="V519" s="7">
        <f t="shared" si="5"/>
        <v>1</v>
      </c>
      <c r="W519" s="7">
        <f t="shared" ref="W519:X519" si="981">IF(AVERAGE(U459:U518) &gt; 0.25, 1, 0)</f>
        <v>1</v>
      </c>
      <c r="X519" s="7">
        <f t="shared" si="981"/>
        <v>1</v>
      </c>
      <c r="Y519" s="8">
        <v>1.0</v>
      </c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</row>
    <row r="520" ht="22.5" customHeight="1">
      <c r="B520" s="6">
        <v>519.0</v>
      </c>
      <c r="C520" s="6">
        <v>114887.0</v>
      </c>
      <c r="D520" s="6">
        <v>-1.65</v>
      </c>
      <c r="E520" s="6">
        <v>2.14</v>
      </c>
      <c r="F520" s="6">
        <v>10.91</v>
      </c>
      <c r="G520" s="6">
        <v>-0.23</v>
      </c>
      <c r="H520" s="6">
        <v>-0.02</v>
      </c>
      <c r="I520" s="6">
        <v>-0.63</v>
      </c>
      <c r="J520" s="6">
        <v>33.39</v>
      </c>
      <c r="K520" s="7">
        <f t="shared" ref="K520:P520" si="982">abs(D520-D519)/200</f>
        <v>0.0157</v>
      </c>
      <c r="L520" s="7">
        <f t="shared" si="982"/>
        <v>0.0041</v>
      </c>
      <c r="M520" s="7">
        <f t="shared" si="982"/>
        <v>0.00155</v>
      </c>
      <c r="N520" s="7">
        <f t="shared" si="982"/>
        <v>0.0005</v>
      </c>
      <c r="O520" s="7">
        <f t="shared" si="982"/>
        <v>0.0013</v>
      </c>
      <c r="P520" s="7">
        <f t="shared" si="982"/>
        <v>0.0001</v>
      </c>
      <c r="Q520" s="7">
        <f t="shared" si="7"/>
        <v>0.1099274723</v>
      </c>
      <c r="R520" s="7">
        <f t="shared" si="8"/>
        <v>0.1555430939</v>
      </c>
      <c r="S520" s="7">
        <f t="shared" si="2"/>
        <v>1.439670814</v>
      </c>
      <c r="T520" s="7">
        <f t="shared" si="3"/>
        <v>0.6709694479</v>
      </c>
      <c r="U520" s="7">
        <f t="shared" si="4"/>
        <v>1</v>
      </c>
      <c r="V520" s="7">
        <f t="shared" si="5"/>
        <v>1</v>
      </c>
      <c r="W520" s="7">
        <f t="shared" ref="W520:X520" si="983">IF(AVERAGE(U460:U519) &gt; 0.25, 1, 0)</f>
        <v>1</v>
      </c>
      <c r="X520" s="7">
        <f t="shared" si="983"/>
        <v>1</v>
      </c>
      <c r="Y520" s="8">
        <v>1.0</v>
      </c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</row>
    <row r="521" ht="22.5" customHeight="1">
      <c r="B521" s="6">
        <v>520.0</v>
      </c>
      <c r="C521" s="6">
        <v>115091.0</v>
      </c>
      <c r="D521" s="6">
        <v>-0.34</v>
      </c>
      <c r="E521" s="6">
        <v>-0.77</v>
      </c>
      <c r="F521" s="6">
        <v>11.12</v>
      </c>
      <c r="G521" s="6">
        <v>0.01</v>
      </c>
      <c r="H521" s="6">
        <v>0.1</v>
      </c>
      <c r="I521" s="6">
        <v>-0.34</v>
      </c>
      <c r="J521" s="6">
        <v>33.39</v>
      </c>
      <c r="K521" s="7">
        <f t="shared" ref="K521:P521" si="984">abs(D521-D520)/200</f>
        <v>0.00655</v>
      </c>
      <c r="L521" s="7">
        <f t="shared" si="984"/>
        <v>0.01455</v>
      </c>
      <c r="M521" s="7">
        <f t="shared" si="984"/>
        <v>0.00105</v>
      </c>
      <c r="N521" s="7">
        <f t="shared" si="984"/>
        <v>0.0012</v>
      </c>
      <c r="O521" s="7">
        <f t="shared" si="984"/>
        <v>0.0006</v>
      </c>
      <c r="P521" s="7">
        <f t="shared" si="984"/>
        <v>0.00145</v>
      </c>
      <c r="Q521" s="7">
        <f t="shared" si="7"/>
        <v>0.3164274899</v>
      </c>
      <c r="R521" s="7">
        <f t="shared" si="8"/>
        <v>0.08785930165</v>
      </c>
      <c r="S521" s="7">
        <f t="shared" si="2"/>
        <v>1.351811512</v>
      </c>
      <c r="T521" s="7">
        <f t="shared" si="3"/>
        <v>0.354541958</v>
      </c>
      <c r="U521" s="7">
        <f t="shared" si="4"/>
        <v>1</v>
      </c>
      <c r="V521" s="7">
        <f t="shared" si="5"/>
        <v>1</v>
      </c>
      <c r="W521" s="7">
        <f t="shared" ref="W521:X521" si="985">IF(AVERAGE(U461:U520) &gt; 0.25, 1, 0)</f>
        <v>1</v>
      </c>
      <c r="X521" s="7">
        <f t="shared" si="985"/>
        <v>1</v>
      </c>
      <c r="Y521" s="8">
        <v>1.0</v>
      </c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</row>
    <row r="522" ht="22.5" customHeight="1">
      <c r="B522" s="6">
        <v>521.0</v>
      </c>
      <c r="C522" s="6">
        <v>115295.0</v>
      </c>
      <c r="D522" s="6">
        <v>0.72</v>
      </c>
      <c r="E522" s="6">
        <v>-1.95</v>
      </c>
      <c r="F522" s="6">
        <v>11.17</v>
      </c>
      <c r="G522" s="6">
        <v>0.06</v>
      </c>
      <c r="H522" s="6">
        <v>0.36</v>
      </c>
      <c r="I522" s="6">
        <v>0.25</v>
      </c>
      <c r="J522" s="6">
        <v>33.39</v>
      </c>
      <c r="K522" s="7">
        <f t="shared" ref="K522:P522" si="986">abs(D522-D521)/200</f>
        <v>0.0053</v>
      </c>
      <c r="L522" s="7">
        <f t="shared" si="986"/>
        <v>0.0059</v>
      </c>
      <c r="M522" s="7">
        <f t="shared" si="986"/>
        <v>0.00025</v>
      </c>
      <c r="N522" s="7">
        <f t="shared" si="986"/>
        <v>0.00025</v>
      </c>
      <c r="O522" s="7">
        <f t="shared" si="986"/>
        <v>0.0013</v>
      </c>
      <c r="P522" s="7">
        <f t="shared" si="986"/>
        <v>0.00295</v>
      </c>
      <c r="Q522" s="7">
        <f t="shared" si="7"/>
        <v>0.08783796919</v>
      </c>
      <c r="R522" s="7">
        <f t="shared" si="8"/>
        <v>0.2099577164</v>
      </c>
      <c r="S522" s="7">
        <f t="shared" si="2"/>
        <v>1.561769228</v>
      </c>
      <c r="T522" s="7">
        <f t="shared" si="3"/>
        <v>0.4423799272</v>
      </c>
      <c r="U522" s="7">
        <f t="shared" si="4"/>
        <v>1</v>
      </c>
      <c r="V522" s="7">
        <f t="shared" si="5"/>
        <v>1</v>
      </c>
      <c r="W522" s="7">
        <f t="shared" ref="W522:X522" si="987">IF(AVERAGE(U462:U521) &gt; 0.25, 1, 0)</f>
        <v>1</v>
      </c>
      <c r="X522" s="7">
        <f t="shared" si="987"/>
        <v>1</v>
      </c>
      <c r="Y522" s="8">
        <v>1.0</v>
      </c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</row>
    <row r="523" ht="22.5" customHeight="1">
      <c r="B523" s="6">
        <v>522.0</v>
      </c>
      <c r="C523" s="6">
        <v>115499.0</v>
      </c>
      <c r="D523" s="6">
        <v>3.5</v>
      </c>
      <c r="E523" s="6">
        <v>-1.16</v>
      </c>
      <c r="F523" s="6">
        <v>10.61</v>
      </c>
      <c r="G523" s="6">
        <v>-0.08</v>
      </c>
      <c r="H523" s="6">
        <v>0.03</v>
      </c>
      <c r="I523" s="6">
        <v>0.85</v>
      </c>
      <c r="J523" s="6">
        <v>33.39</v>
      </c>
      <c r="K523" s="7">
        <f t="shared" ref="K523:P523" si="988">abs(D523-D522)/200</f>
        <v>0.0139</v>
      </c>
      <c r="L523" s="7">
        <f t="shared" si="988"/>
        <v>0.00395</v>
      </c>
      <c r="M523" s="7">
        <f t="shared" si="988"/>
        <v>0.0028</v>
      </c>
      <c r="N523" s="7">
        <f t="shared" si="988"/>
        <v>0.0007</v>
      </c>
      <c r="O523" s="7">
        <f t="shared" si="988"/>
        <v>0.00165</v>
      </c>
      <c r="P523" s="7">
        <f t="shared" si="988"/>
        <v>0.003</v>
      </c>
      <c r="Q523" s="7">
        <f t="shared" si="7"/>
        <v>0.4119033982</v>
      </c>
      <c r="R523" s="7">
        <f t="shared" si="8"/>
        <v>0.1293296003</v>
      </c>
      <c r="S523" s="7">
        <f t="shared" si="2"/>
        <v>1.432439628</v>
      </c>
      <c r="T523" s="7">
        <f t="shared" si="3"/>
        <v>0.8542833254</v>
      </c>
      <c r="U523" s="7">
        <f t="shared" si="4"/>
        <v>1</v>
      </c>
      <c r="V523" s="7">
        <f t="shared" si="5"/>
        <v>1</v>
      </c>
      <c r="W523" s="7">
        <f t="shared" ref="W523:X523" si="989">IF(AVERAGE(U463:U522) &gt; 0.25, 1, 0)</f>
        <v>1</v>
      </c>
      <c r="X523" s="7">
        <f t="shared" si="989"/>
        <v>1</v>
      </c>
      <c r="Y523" s="8">
        <v>1.0</v>
      </c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</row>
    <row r="524" ht="22.5" customHeight="1">
      <c r="B524" s="6">
        <v>523.0</v>
      </c>
      <c r="C524" s="6">
        <v>115703.0</v>
      </c>
      <c r="D524" s="6">
        <v>2.22</v>
      </c>
      <c r="E524" s="6">
        <v>-1.74</v>
      </c>
      <c r="F524" s="6">
        <v>10.42</v>
      </c>
      <c r="G524" s="6">
        <v>-0.35</v>
      </c>
      <c r="H524" s="6">
        <v>-0.25</v>
      </c>
      <c r="I524" s="6">
        <v>-0.2</v>
      </c>
      <c r="J524" s="6">
        <v>33.39</v>
      </c>
      <c r="K524" s="7">
        <f t="shared" ref="K524:P524" si="990">abs(D524-D523)/200</f>
        <v>0.0064</v>
      </c>
      <c r="L524" s="7">
        <f t="shared" si="990"/>
        <v>0.0029</v>
      </c>
      <c r="M524" s="7">
        <f t="shared" si="990"/>
        <v>0.00095</v>
      </c>
      <c r="N524" s="7">
        <f t="shared" si="990"/>
        <v>0.00135</v>
      </c>
      <c r="O524" s="7">
        <f t="shared" si="990"/>
        <v>0.0014</v>
      </c>
      <c r="P524" s="7">
        <f t="shared" si="990"/>
        <v>0.00525</v>
      </c>
      <c r="Q524" s="7">
        <f t="shared" si="7"/>
        <v>0.3799416763</v>
      </c>
      <c r="R524" s="7">
        <f t="shared" si="8"/>
        <v>0.437422259</v>
      </c>
      <c r="S524" s="7">
        <f t="shared" si="2"/>
        <v>0.9950173691</v>
      </c>
      <c r="T524" s="7">
        <f t="shared" si="3"/>
        <v>0.474341649</v>
      </c>
      <c r="U524" s="7">
        <f t="shared" si="4"/>
        <v>1</v>
      </c>
      <c r="V524" s="7">
        <f t="shared" si="5"/>
        <v>1</v>
      </c>
      <c r="W524" s="7">
        <f t="shared" ref="W524:X524" si="991">IF(AVERAGE(U464:U523) &gt; 0.25, 1, 0)</f>
        <v>1</v>
      </c>
      <c r="X524" s="7">
        <f t="shared" si="991"/>
        <v>1</v>
      </c>
      <c r="Y524" s="8">
        <v>1.0</v>
      </c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</row>
    <row r="525" ht="22.5" customHeight="1">
      <c r="B525" s="6">
        <v>524.0</v>
      </c>
      <c r="C525" s="6">
        <v>115907.0</v>
      </c>
      <c r="D525" s="6">
        <v>-0.1</v>
      </c>
      <c r="E525" s="6">
        <v>0.27</v>
      </c>
      <c r="F525" s="6">
        <v>10.65</v>
      </c>
      <c r="G525" s="6">
        <v>-0.17</v>
      </c>
      <c r="H525" s="6">
        <v>-0.19</v>
      </c>
      <c r="I525" s="6">
        <v>-0.04</v>
      </c>
      <c r="J525" s="6">
        <v>33.39</v>
      </c>
      <c r="K525" s="7">
        <f t="shared" ref="K525:P525" si="992">abs(D525-D524)/200</f>
        <v>0.0116</v>
      </c>
      <c r="L525" s="7">
        <f t="shared" si="992"/>
        <v>0.01005</v>
      </c>
      <c r="M525" s="7">
        <f t="shared" si="992"/>
        <v>0.00115</v>
      </c>
      <c r="N525" s="7">
        <f t="shared" si="992"/>
        <v>0.0009</v>
      </c>
      <c r="O525" s="7">
        <f t="shared" si="992"/>
        <v>0.0003</v>
      </c>
      <c r="P525" s="7">
        <f t="shared" si="992"/>
        <v>0.0008</v>
      </c>
      <c r="Q525" s="7">
        <f t="shared" si="7"/>
        <v>0.216271891</v>
      </c>
      <c r="R525" s="7">
        <f t="shared" si="8"/>
        <v>0.1411260613</v>
      </c>
      <c r="S525" s="7">
        <f t="shared" si="2"/>
        <v>0.8538913079</v>
      </c>
      <c r="T525" s="7">
        <f t="shared" si="3"/>
        <v>0.258069758</v>
      </c>
      <c r="U525" s="7">
        <f t="shared" si="4"/>
        <v>1</v>
      </c>
      <c r="V525" s="7">
        <f t="shared" si="5"/>
        <v>1</v>
      </c>
      <c r="W525" s="7">
        <f t="shared" ref="W525:X525" si="993">IF(AVERAGE(U465:U524) &gt; 0.25, 1, 0)</f>
        <v>1</v>
      </c>
      <c r="X525" s="7">
        <f t="shared" si="993"/>
        <v>1</v>
      </c>
      <c r="Y525" s="8">
        <v>1.0</v>
      </c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</row>
    <row r="526" ht="22.5" customHeight="1">
      <c r="B526" s="6">
        <v>525.0</v>
      </c>
      <c r="C526" s="6">
        <v>116111.0</v>
      </c>
      <c r="D526" s="6">
        <v>-1.54</v>
      </c>
      <c r="E526" s="6">
        <v>2.05</v>
      </c>
      <c r="F526" s="6">
        <v>10.95</v>
      </c>
      <c r="G526" s="6">
        <v>-0.05</v>
      </c>
      <c r="H526" s="6">
        <v>0.21</v>
      </c>
      <c r="I526" s="6">
        <v>0.21</v>
      </c>
      <c r="J526" s="6">
        <v>33.38</v>
      </c>
      <c r="K526" s="7">
        <f t="shared" ref="K526:P526" si="994">abs(D526-D525)/200</f>
        <v>0.0072</v>
      </c>
      <c r="L526" s="7">
        <f t="shared" si="994"/>
        <v>0.0089</v>
      </c>
      <c r="M526" s="7">
        <f t="shared" si="994"/>
        <v>0.0015</v>
      </c>
      <c r="N526" s="7">
        <f t="shared" si="994"/>
        <v>0.0006</v>
      </c>
      <c r="O526" s="7">
        <f t="shared" si="994"/>
        <v>0.002</v>
      </c>
      <c r="P526" s="7">
        <f t="shared" si="994"/>
        <v>0.00125</v>
      </c>
      <c r="Q526" s="7">
        <f t="shared" si="7"/>
        <v>0.04309464892</v>
      </c>
      <c r="R526" s="7">
        <f t="shared" si="8"/>
        <v>0.5922902663</v>
      </c>
      <c r="S526" s="7">
        <f t="shared" si="2"/>
        <v>1.446181574</v>
      </c>
      <c r="T526" s="7">
        <f t="shared" si="3"/>
        <v>0.3011644069</v>
      </c>
      <c r="U526" s="7">
        <f t="shared" si="4"/>
        <v>1</v>
      </c>
      <c r="V526" s="7">
        <f t="shared" si="5"/>
        <v>1</v>
      </c>
      <c r="W526" s="7">
        <f t="shared" ref="W526:X526" si="995">IF(AVERAGE(U466:U525) &gt; 0.25, 1, 0)</f>
        <v>1</v>
      </c>
      <c r="X526" s="7">
        <f t="shared" si="995"/>
        <v>1</v>
      </c>
      <c r="Y526" s="8">
        <v>1.0</v>
      </c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</row>
    <row r="527" ht="22.5" customHeight="1">
      <c r="B527" s="6">
        <v>526.0</v>
      </c>
      <c r="C527" s="6">
        <v>116315.0</v>
      </c>
      <c r="D527" s="6">
        <v>1.79</v>
      </c>
      <c r="E527" s="6">
        <v>0.58</v>
      </c>
      <c r="F527" s="6">
        <v>10.92</v>
      </c>
      <c r="G527" s="6">
        <v>0.15</v>
      </c>
      <c r="H527" s="6">
        <v>0.25</v>
      </c>
      <c r="I527" s="6">
        <v>0.65</v>
      </c>
      <c r="J527" s="6">
        <v>33.4</v>
      </c>
      <c r="K527" s="7">
        <f t="shared" ref="K527:P527" si="996">abs(D527-D526)/200</f>
        <v>0.01665</v>
      </c>
      <c r="L527" s="7">
        <f t="shared" si="996"/>
        <v>0.00735</v>
      </c>
      <c r="M527" s="7">
        <f t="shared" si="996"/>
        <v>0.00015</v>
      </c>
      <c r="N527" s="7">
        <f t="shared" si="996"/>
        <v>0.001</v>
      </c>
      <c r="O527" s="7">
        <f t="shared" si="996"/>
        <v>0.0002</v>
      </c>
      <c r="P527" s="7">
        <f t="shared" si="996"/>
        <v>0.0022</v>
      </c>
      <c r="Q527" s="7">
        <f t="shared" si="7"/>
        <v>0.4112259355</v>
      </c>
      <c r="R527" s="7">
        <f t="shared" si="8"/>
        <v>0.1652565226</v>
      </c>
      <c r="S527" s="7">
        <f t="shared" si="2"/>
        <v>1.280925052</v>
      </c>
      <c r="T527" s="7">
        <f t="shared" si="3"/>
        <v>0.7123903424</v>
      </c>
      <c r="U527" s="7">
        <f t="shared" si="4"/>
        <v>1</v>
      </c>
      <c r="V527" s="7">
        <f t="shared" si="5"/>
        <v>1</v>
      </c>
      <c r="W527" s="7">
        <f t="shared" ref="W527:X527" si="997">IF(AVERAGE(U467:U526) &gt; 0.25, 1, 0)</f>
        <v>1</v>
      </c>
      <c r="X527" s="7">
        <f t="shared" si="997"/>
        <v>1</v>
      </c>
      <c r="Y527" s="8">
        <v>1.0</v>
      </c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</row>
    <row r="528" ht="22.5" customHeight="1">
      <c r="B528" s="6">
        <v>527.0</v>
      </c>
      <c r="C528" s="6">
        <v>116519.0</v>
      </c>
      <c r="D528" s="6">
        <v>3.37</v>
      </c>
      <c r="E528" s="6">
        <v>-3.49</v>
      </c>
      <c r="F528" s="6">
        <v>10.62</v>
      </c>
      <c r="G528" s="6">
        <v>0.0</v>
      </c>
      <c r="H528" s="6">
        <v>0.03</v>
      </c>
      <c r="I528" s="6">
        <v>0.29</v>
      </c>
      <c r="J528" s="6">
        <v>33.39</v>
      </c>
      <c r="K528" s="7">
        <f t="shared" ref="K528:P528" si="998">abs(D528-D527)/200</f>
        <v>0.0079</v>
      </c>
      <c r="L528" s="7">
        <f t="shared" si="998"/>
        <v>0.02035</v>
      </c>
      <c r="M528" s="7">
        <f t="shared" si="998"/>
        <v>0.0015</v>
      </c>
      <c r="N528" s="7">
        <f t="shared" si="998"/>
        <v>0.00075</v>
      </c>
      <c r="O528" s="7">
        <f t="shared" si="998"/>
        <v>0.0011</v>
      </c>
      <c r="P528" s="7">
        <f t="shared" si="998"/>
        <v>0.0018</v>
      </c>
      <c r="Q528" s="7">
        <f t="shared" si="7"/>
        <v>0.4208427477</v>
      </c>
      <c r="R528" s="7">
        <f t="shared" si="8"/>
        <v>0.5947505177</v>
      </c>
      <c r="S528" s="7">
        <f t="shared" si="2"/>
        <v>1.875675569</v>
      </c>
      <c r="T528" s="7">
        <f t="shared" si="3"/>
        <v>0.2915475947</v>
      </c>
      <c r="U528" s="7">
        <f t="shared" si="4"/>
        <v>1</v>
      </c>
      <c r="V528" s="7">
        <f t="shared" si="5"/>
        <v>1</v>
      </c>
      <c r="W528" s="7">
        <f t="shared" ref="W528:X528" si="999">IF(AVERAGE(U468:U527) &gt; 0.25, 1, 0)</f>
        <v>1</v>
      </c>
      <c r="X528" s="7">
        <f t="shared" si="999"/>
        <v>1</v>
      </c>
      <c r="Y528" s="8">
        <v>1.0</v>
      </c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</row>
    <row r="529" ht="22.5" customHeight="1">
      <c r="B529" s="6">
        <v>528.0</v>
      </c>
      <c r="C529" s="6">
        <v>116723.0</v>
      </c>
      <c r="D529" s="6">
        <v>2.57</v>
      </c>
      <c r="E529" s="6">
        <v>-2.02</v>
      </c>
      <c r="F529" s="6">
        <v>10.57</v>
      </c>
      <c r="G529" s="6">
        <v>-0.3</v>
      </c>
      <c r="H529" s="6">
        <v>-0.07</v>
      </c>
      <c r="I529" s="6">
        <v>-0.56</v>
      </c>
      <c r="J529" s="6">
        <v>33.39</v>
      </c>
      <c r="K529" s="7">
        <f t="shared" ref="K529:P529" si="1000">abs(D529-D528)/200</f>
        <v>0.004</v>
      </c>
      <c r="L529" s="7">
        <f t="shared" si="1000"/>
        <v>0.00735</v>
      </c>
      <c r="M529" s="7">
        <f t="shared" si="1000"/>
        <v>0.00025</v>
      </c>
      <c r="N529" s="7">
        <f t="shared" si="1000"/>
        <v>0.0015</v>
      </c>
      <c r="O529" s="7">
        <f t="shared" si="1000"/>
        <v>0.0005</v>
      </c>
      <c r="P529" s="7">
        <f t="shared" si="1000"/>
        <v>0.00425</v>
      </c>
      <c r="Q529" s="7">
        <f t="shared" si="7"/>
        <v>0.3475924525</v>
      </c>
      <c r="R529" s="7">
        <f t="shared" si="8"/>
        <v>0.6117612529</v>
      </c>
      <c r="S529" s="7">
        <f t="shared" si="2"/>
        <v>1.263914316</v>
      </c>
      <c r="T529" s="7">
        <f t="shared" si="3"/>
        <v>0.6391400473</v>
      </c>
      <c r="U529" s="7">
        <f t="shared" si="4"/>
        <v>1</v>
      </c>
      <c r="V529" s="7">
        <f t="shared" si="5"/>
        <v>1</v>
      </c>
      <c r="W529" s="7">
        <f t="shared" ref="W529:X529" si="1001">IF(AVERAGE(U469:U528) &gt; 0.25, 1, 0)</f>
        <v>1</v>
      </c>
      <c r="X529" s="7">
        <f t="shared" si="1001"/>
        <v>1</v>
      </c>
      <c r="Y529" s="8">
        <v>1.0</v>
      </c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</row>
    <row r="530" ht="22.5" customHeight="1">
      <c r="B530" s="6">
        <v>529.0</v>
      </c>
      <c r="C530" s="6">
        <v>116927.0</v>
      </c>
      <c r="D530" s="6">
        <v>0.78</v>
      </c>
      <c r="E530" s="6">
        <v>0.21</v>
      </c>
      <c r="F530" s="6">
        <v>10.87</v>
      </c>
      <c r="G530" s="6">
        <v>-0.26</v>
      </c>
      <c r="H530" s="6">
        <v>-0.19</v>
      </c>
      <c r="I530" s="6">
        <v>-0.31</v>
      </c>
      <c r="J530" s="6">
        <v>33.4</v>
      </c>
      <c r="K530" s="7">
        <f t="shared" ref="K530:P530" si="1002">abs(D530-D529)/200</f>
        <v>0.00895</v>
      </c>
      <c r="L530" s="7">
        <f t="shared" si="1002"/>
        <v>0.01115</v>
      </c>
      <c r="M530" s="7">
        <f t="shared" si="1002"/>
        <v>0.0015</v>
      </c>
      <c r="N530" s="7">
        <f t="shared" si="1002"/>
        <v>0.0002</v>
      </c>
      <c r="O530" s="7">
        <f t="shared" si="1002"/>
        <v>0.0006</v>
      </c>
      <c r="P530" s="7">
        <f t="shared" si="1002"/>
        <v>0.00125</v>
      </c>
      <c r="Q530" s="7">
        <f t="shared" si="7"/>
        <v>0.1921501145</v>
      </c>
      <c r="R530" s="7">
        <f t="shared" si="8"/>
        <v>0.1639418393</v>
      </c>
      <c r="S530" s="7">
        <f t="shared" si="2"/>
        <v>1.099972477</v>
      </c>
      <c r="T530" s="7">
        <f t="shared" si="3"/>
        <v>0.4469899328</v>
      </c>
      <c r="U530" s="7">
        <f t="shared" si="4"/>
        <v>1</v>
      </c>
      <c r="V530" s="7">
        <f t="shared" si="5"/>
        <v>1</v>
      </c>
      <c r="W530" s="7">
        <f t="shared" ref="W530:X530" si="1003">IF(AVERAGE(U470:U529) &gt; 0.25, 1, 0)</f>
        <v>1</v>
      </c>
      <c r="X530" s="7">
        <f t="shared" si="1003"/>
        <v>1</v>
      </c>
      <c r="Y530" s="8">
        <v>1.0</v>
      </c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</row>
    <row r="531" ht="22.5" customHeight="1">
      <c r="B531" s="6">
        <v>530.0</v>
      </c>
      <c r="C531" s="6">
        <v>117131.0</v>
      </c>
      <c r="D531" s="6">
        <v>0.09</v>
      </c>
      <c r="E531" s="6">
        <v>1.27</v>
      </c>
      <c r="F531" s="6">
        <v>10.64</v>
      </c>
      <c r="G531" s="6">
        <v>-0.12</v>
      </c>
      <c r="H531" s="6">
        <v>0.03</v>
      </c>
      <c r="I531" s="6">
        <v>-0.03</v>
      </c>
      <c r="J531" s="6">
        <v>33.39</v>
      </c>
      <c r="K531" s="7">
        <f t="shared" ref="K531:P531" si="1004">abs(D531-D530)/200</f>
        <v>0.00345</v>
      </c>
      <c r="L531" s="7">
        <f t="shared" si="1004"/>
        <v>0.0053</v>
      </c>
      <c r="M531" s="7">
        <f t="shared" si="1004"/>
        <v>0.00115</v>
      </c>
      <c r="N531" s="7">
        <f t="shared" si="1004"/>
        <v>0.0007</v>
      </c>
      <c r="O531" s="7">
        <f t="shared" si="1004"/>
        <v>0.0011</v>
      </c>
      <c r="P531" s="7">
        <f t="shared" si="1004"/>
        <v>0.0014</v>
      </c>
      <c r="Q531" s="7">
        <f t="shared" si="7"/>
        <v>0.3197107122</v>
      </c>
      <c r="R531" s="7">
        <f t="shared" si="8"/>
        <v>0.1840684088</v>
      </c>
      <c r="S531" s="7">
        <f t="shared" si="2"/>
        <v>0.9159040683</v>
      </c>
      <c r="T531" s="7">
        <f t="shared" si="3"/>
        <v>0.1272792206</v>
      </c>
      <c r="U531" s="7">
        <f t="shared" si="4"/>
        <v>1</v>
      </c>
      <c r="V531" s="7">
        <f t="shared" si="5"/>
        <v>1</v>
      </c>
      <c r="W531" s="7">
        <f t="shared" ref="W531:X531" si="1005">IF(AVERAGE(U471:U530) &gt; 0.25, 1, 0)</f>
        <v>1</v>
      </c>
      <c r="X531" s="7">
        <f t="shared" si="1005"/>
        <v>1</v>
      </c>
      <c r="Y531" s="8">
        <v>1.0</v>
      </c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</row>
    <row r="532" ht="22.5" customHeight="1">
      <c r="B532" s="6">
        <v>531.0</v>
      </c>
      <c r="C532" s="6">
        <v>117335.0</v>
      </c>
      <c r="D532" s="6">
        <v>0.83</v>
      </c>
      <c r="E532" s="6">
        <v>1.14</v>
      </c>
      <c r="F532" s="6">
        <v>10.77</v>
      </c>
      <c r="G532" s="6">
        <v>-0.16</v>
      </c>
      <c r="H532" s="6">
        <v>0.09</v>
      </c>
      <c r="I532" s="6">
        <v>-0.36</v>
      </c>
      <c r="J532" s="6">
        <v>33.4</v>
      </c>
      <c r="K532" s="7">
        <f t="shared" ref="K532:P532" si="1006">abs(D532-D531)/200</f>
        <v>0.0037</v>
      </c>
      <c r="L532" s="7">
        <f t="shared" si="1006"/>
        <v>0.00065</v>
      </c>
      <c r="M532" s="7">
        <f t="shared" si="1006"/>
        <v>0.00065</v>
      </c>
      <c r="N532" s="7">
        <f t="shared" si="1006"/>
        <v>0.0002</v>
      </c>
      <c r="O532" s="7">
        <f t="shared" si="1006"/>
        <v>0.0003</v>
      </c>
      <c r="P532" s="7">
        <f t="shared" si="1006"/>
        <v>0.00165</v>
      </c>
      <c r="Q532" s="7">
        <f t="shared" si="7"/>
        <v>0.2768247264</v>
      </c>
      <c r="R532" s="7">
        <f t="shared" si="8"/>
        <v>0.1460202548</v>
      </c>
      <c r="S532" s="7">
        <f t="shared" si="2"/>
        <v>1.061924323</v>
      </c>
      <c r="T532" s="7">
        <f t="shared" si="3"/>
        <v>0.404103947</v>
      </c>
      <c r="U532" s="7">
        <f t="shared" si="4"/>
        <v>1</v>
      </c>
      <c r="V532" s="7">
        <f t="shared" si="5"/>
        <v>1</v>
      </c>
      <c r="W532" s="7">
        <f t="shared" ref="W532:X532" si="1007">IF(AVERAGE(U472:U531) &gt; 0.25, 1, 0)</f>
        <v>1</v>
      </c>
      <c r="X532" s="7">
        <f t="shared" si="1007"/>
        <v>1</v>
      </c>
      <c r="Y532" s="8">
        <v>1.0</v>
      </c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</row>
    <row r="533" ht="22.5" customHeight="1">
      <c r="B533" s="6">
        <v>532.0</v>
      </c>
      <c r="C533" s="6">
        <v>117539.0</v>
      </c>
      <c r="D533" s="6">
        <v>1.16</v>
      </c>
      <c r="E533" s="6">
        <v>-1.21</v>
      </c>
      <c r="F533" s="6">
        <v>10.76</v>
      </c>
      <c r="G533" s="6">
        <v>0.06</v>
      </c>
      <c r="H533" s="6">
        <v>0.23</v>
      </c>
      <c r="I533" s="6">
        <v>-0.16</v>
      </c>
      <c r="J533" s="6">
        <v>33.41</v>
      </c>
      <c r="K533" s="7">
        <f t="shared" ref="K533:P533" si="1008">abs(D533-D532)/200</f>
        <v>0.00165</v>
      </c>
      <c r="L533" s="7">
        <f t="shared" si="1008"/>
        <v>0.01175</v>
      </c>
      <c r="M533" s="7">
        <f t="shared" si="1008"/>
        <v>0.00005</v>
      </c>
      <c r="N533" s="7">
        <f t="shared" si="1008"/>
        <v>0.0011</v>
      </c>
      <c r="O533" s="7">
        <f t="shared" si="1008"/>
        <v>0.0007</v>
      </c>
      <c r="P533" s="7">
        <f t="shared" si="1008"/>
        <v>0.001</v>
      </c>
      <c r="Q533" s="7">
        <f t="shared" si="7"/>
        <v>0.1175729714</v>
      </c>
      <c r="R533" s="7">
        <f t="shared" si="8"/>
        <v>0.02785528903</v>
      </c>
      <c r="S533" s="7">
        <f t="shared" si="2"/>
        <v>1.089779612</v>
      </c>
      <c r="T533" s="7">
        <f t="shared" si="3"/>
        <v>0.2865309756</v>
      </c>
      <c r="U533" s="7">
        <f t="shared" si="4"/>
        <v>1</v>
      </c>
      <c r="V533" s="7">
        <f t="shared" si="5"/>
        <v>1</v>
      </c>
      <c r="W533" s="7">
        <f t="shared" ref="W533:X533" si="1009">IF(AVERAGE(U473:U532) &gt; 0.25, 1, 0)</f>
        <v>1</v>
      </c>
      <c r="X533" s="7">
        <f t="shared" si="1009"/>
        <v>1</v>
      </c>
      <c r="Y533" s="8">
        <v>1.0</v>
      </c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</row>
    <row r="534" ht="22.5" customHeight="1">
      <c r="B534" s="6">
        <v>533.0</v>
      </c>
      <c r="C534" s="6">
        <v>117743.0</v>
      </c>
      <c r="D534" s="6">
        <v>1.62</v>
      </c>
      <c r="E534" s="6">
        <v>-1.65</v>
      </c>
      <c r="F534" s="6">
        <v>10.83</v>
      </c>
      <c r="G534" s="6">
        <v>0.07</v>
      </c>
      <c r="H534" s="6">
        <v>0.05</v>
      </c>
      <c r="I534" s="6">
        <v>0.24</v>
      </c>
      <c r="J534" s="6">
        <v>33.4</v>
      </c>
      <c r="K534" s="7">
        <f t="shared" ref="K534:P534" si="1010">abs(D534-D533)/200</f>
        <v>0.0023</v>
      </c>
      <c r="L534" s="7">
        <f t="shared" si="1010"/>
        <v>0.0022</v>
      </c>
      <c r="M534" s="7">
        <f t="shared" si="1010"/>
        <v>0.00035</v>
      </c>
      <c r="N534" s="7">
        <f t="shared" si="1010"/>
        <v>0.00005</v>
      </c>
      <c r="O534" s="7">
        <f t="shared" si="1010"/>
        <v>0.0009</v>
      </c>
      <c r="P534" s="7">
        <f t="shared" si="1010"/>
        <v>0.002</v>
      </c>
      <c r="Q534" s="7">
        <f t="shared" si="7"/>
        <v>0.03157999996</v>
      </c>
      <c r="R534" s="7">
        <f t="shared" si="8"/>
        <v>0.1843253179</v>
      </c>
      <c r="S534" s="7">
        <f t="shared" si="2"/>
        <v>1.27410493</v>
      </c>
      <c r="T534" s="7">
        <f t="shared" si="3"/>
        <v>0.2549509757</v>
      </c>
      <c r="U534" s="7">
        <f t="shared" si="4"/>
        <v>1</v>
      </c>
      <c r="V534" s="7">
        <f t="shared" si="5"/>
        <v>1</v>
      </c>
      <c r="W534" s="7">
        <f t="shared" ref="W534:X534" si="1011">IF(AVERAGE(U474:U533) &gt; 0.25, 1, 0)</f>
        <v>1</v>
      </c>
      <c r="X534" s="7">
        <f t="shared" si="1011"/>
        <v>1</v>
      </c>
      <c r="Y534" s="8">
        <v>1.0</v>
      </c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</row>
    <row r="535" ht="22.5" customHeight="1">
      <c r="B535" s="6">
        <v>534.0</v>
      </c>
      <c r="C535" s="6">
        <v>117947.0</v>
      </c>
      <c r="D535" s="6">
        <v>2.69</v>
      </c>
      <c r="E535" s="6">
        <v>-2.72</v>
      </c>
      <c r="F535" s="6">
        <v>10.67</v>
      </c>
      <c r="G535" s="6">
        <v>-0.22</v>
      </c>
      <c r="H535" s="6">
        <v>-0.14</v>
      </c>
      <c r="I535" s="6">
        <v>0.21</v>
      </c>
      <c r="J535" s="6">
        <v>33.4</v>
      </c>
      <c r="K535" s="7">
        <f t="shared" ref="K535:P535" si="1012">abs(D535-D534)/200</f>
        <v>0.00535</v>
      </c>
      <c r="L535" s="7">
        <f t="shared" si="1012"/>
        <v>0.00535</v>
      </c>
      <c r="M535" s="7">
        <f t="shared" si="1012"/>
        <v>0.0008</v>
      </c>
      <c r="N535" s="7">
        <f t="shared" si="1012"/>
        <v>0.00145</v>
      </c>
      <c r="O535" s="7">
        <f t="shared" si="1012"/>
        <v>0.00095</v>
      </c>
      <c r="P535" s="7">
        <f t="shared" si="1012"/>
        <v>0.00015</v>
      </c>
      <c r="Q535" s="7">
        <f t="shared" si="7"/>
        <v>0.07986240518</v>
      </c>
      <c r="R535" s="7">
        <f t="shared" si="8"/>
        <v>0.2609469005</v>
      </c>
      <c r="S535" s="7">
        <f t="shared" si="2"/>
        <v>1.53505183</v>
      </c>
      <c r="T535" s="7">
        <f t="shared" si="3"/>
        <v>0.3348133809</v>
      </c>
      <c r="U535" s="7">
        <f t="shared" si="4"/>
        <v>1</v>
      </c>
      <c r="V535" s="7">
        <f t="shared" si="5"/>
        <v>1</v>
      </c>
      <c r="W535" s="7">
        <f t="shared" ref="W535:X535" si="1013">IF(AVERAGE(U475:U534) &gt; 0.25, 1, 0)</f>
        <v>1</v>
      </c>
      <c r="X535" s="7">
        <f t="shared" si="1013"/>
        <v>1</v>
      </c>
      <c r="Y535" s="8">
        <v>1.0</v>
      </c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</row>
    <row r="536" ht="22.5" customHeight="1">
      <c r="B536" s="6">
        <v>535.0</v>
      </c>
      <c r="C536" s="6">
        <v>118151.0</v>
      </c>
      <c r="D536" s="6">
        <v>1.23</v>
      </c>
      <c r="E536" s="6">
        <v>0.42</v>
      </c>
      <c r="F536" s="6">
        <v>10.67</v>
      </c>
      <c r="G536" s="6">
        <v>-0.17</v>
      </c>
      <c r="H536" s="6">
        <v>-0.22</v>
      </c>
      <c r="I536" s="6">
        <v>0.23</v>
      </c>
      <c r="J536" s="6">
        <v>33.38</v>
      </c>
      <c r="K536" s="7">
        <f t="shared" ref="K536:P536" si="1014">abs(D536-D535)/200</f>
        <v>0.0073</v>
      </c>
      <c r="L536" s="7">
        <f t="shared" si="1014"/>
        <v>0.0157</v>
      </c>
      <c r="M536" s="7">
        <f t="shared" si="1014"/>
        <v>0</v>
      </c>
      <c r="N536" s="7">
        <f t="shared" si="1014"/>
        <v>0.00025</v>
      </c>
      <c r="O536" s="7">
        <f t="shared" si="1014"/>
        <v>0.0004</v>
      </c>
      <c r="P536" s="7">
        <f t="shared" si="1014"/>
        <v>0.0001</v>
      </c>
      <c r="Q536" s="7">
        <f t="shared" si="7"/>
        <v>0.0260189902</v>
      </c>
      <c r="R536" s="7">
        <f t="shared" si="8"/>
        <v>0.5861821225</v>
      </c>
      <c r="S536" s="7">
        <f t="shared" si="2"/>
        <v>0.948869708</v>
      </c>
      <c r="T536" s="7">
        <f t="shared" si="3"/>
        <v>0.3608323711</v>
      </c>
      <c r="U536" s="7">
        <f t="shared" si="4"/>
        <v>1</v>
      </c>
      <c r="V536" s="7">
        <f t="shared" si="5"/>
        <v>1</v>
      </c>
      <c r="W536" s="7">
        <f t="shared" ref="W536:X536" si="1015">IF(AVERAGE(U476:U535) &gt; 0.25, 1, 0)</f>
        <v>1</v>
      </c>
      <c r="X536" s="7">
        <f t="shared" si="1015"/>
        <v>1</v>
      </c>
      <c r="Y536" s="8">
        <v>1.0</v>
      </c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</row>
    <row r="537" ht="22.5" customHeight="1">
      <c r="B537" s="6">
        <v>536.0</v>
      </c>
      <c r="C537" s="6">
        <v>118355.0</v>
      </c>
      <c r="D537" s="6">
        <v>1.2</v>
      </c>
      <c r="E537" s="6">
        <v>2.78</v>
      </c>
      <c r="F537" s="6">
        <v>10.3</v>
      </c>
      <c r="G537" s="6">
        <v>-0.08</v>
      </c>
      <c r="H537" s="6">
        <v>-0.06</v>
      </c>
      <c r="I537" s="6">
        <v>-0.03</v>
      </c>
      <c r="J537" s="6">
        <v>33.39</v>
      </c>
      <c r="K537" s="7">
        <f t="shared" ref="K537:P537" si="1016">abs(D537-D536)/200</f>
        <v>0.00015</v>
      </c>
      <c r="L537" s="7">
        <f t="shared" si="1016"/>
        <v>0.0118</v>
      </c>
      <c r="M537" s="7">
        <f t="shared" si="1016"/>
        <v>0.00185</v>
      </c>
      <c r="N537" s="7">
        <f t="shared" si="1016"/>
        <v>0.00045</v>
      </c>
      <c r="O537" s="7">
        <f t="shared" si="1016"/>
        <v>0.0008</v>
      </c>
      <c r="P537" s="7">
        <f t="shared" si="1016"/>
        <v>0.0013</v>
      </c>
      <c r="Q537" s="7">
        <f t="shared" si="7"/>
        <v>0.256429306</v>
      </c>
      <c r="R537" s="7">
        <f t="shared" si="8"/>
        <v>0.01302321135</v>
      </c>
      <c r="S537" s="7">
        <f t="shared" si="2"/>
        <v>0.9358464967</v>
      </c>
      <c r="T537" s="7">
        <f t="shared" si="3"/>
        <v>0.1044030651</v>
      </c>
      <c r="U537" s="7">
        <f t="shared" si="4"/>
        <v>1</v>
      </c>
      <c r="V537" s="7">
        <f t="shared" si="5"/>
        <v>1</v>
      </c>
      <c r="W537" s="7">
        <f t="shared" ref="W537:X537" si="1017">IF(AVERAGE(U477:U536) &gt; 0.25, 1, 0)</f>
        <v>1</v>
      </c>
      <c r="X537" s="7">
        <f t="shared" si="1017"/>
        <v>1</v>
      </c>
      <c r="Y537" s="8">
        <v>1.0</v>
      </c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</row>
    <row r="538" ht="22.5" customHeight="1">
      <c r="B538" s="6">
        <v>537.0</v>
      </c>
      <c r="C538" s="6">
        <v>118559.0</v>
      </c>
      <c r="D538" s="6">
        <v>0.75</v>
      </c>
      <c r="E538" s="6">
        <v>1.57</v>
      </c>
      <c r="F538" s="6">
        <v>10.7</v>
      </c>
      <c r="G538" s="6">
        <v>0.01</v>
      </c>
      <c r="H538" s="6">
        <v>0.2</v>
      </c>
      <c r="I538" s="6">
        <v>0.26</v>
      </c>
      <c r="J538" s="6">
        <v>33.39</v>
      </c>
      <c r="K538" s="7">
        <f t="shared" ref="K538:P538" si="1018">abs(D538-D537)/200</f>
        <v>0.00225</v>
      </c>
      <c r="L538" s="7">
        <f t="shared" si="1018"/>
        <v>0.00605</v>
      </c>
      <c r="M538" s="7">
        <f t="shared" si="1018"/>
        <v>0.002</v>
      </c>
      <c r="N538" s="7">
        <f t="shared" si="1018"/>
        <v>0.00045</v>
      </c>
      <c r="O538" s="7">
        <f t="shared" si="1018"/>
        <v>0.0013</v>
      </c>
      <c r="P538" s="7">
        <f t="shared" si="1018"/>
        <v>0.00145</v>
      </c>
      <c r="Q538" s="7">
        <f t="shared" si="7"/>
        <v>0.2237737165</v>
      </c>
      <c r="R538" s="7">
        <f t="shared" si="8"/>
        <v>0.1046977701</v>
      </c>
      <c r="S538" s="7">
        <f t="shared" si="2"/>
        <v>1.040544267</v>
      </c>
      <c r="T538" s="7">
        <f t="shared" si="3"/>
        <v>0.3281767816</v>
      </c>
      <c r="U538" s="7">
        <f t="shared" si="4"/>
        <v>1</v>
      </c>
      <c r="V538" s="7">
        <f t="shared" si="5"/>
        <v>1</v>
      </c>
      <c r="W538" s="7">
        <f t="shared" ref="W538:X538" si="1019">IF(AVERAGE(U478:U537) &gt; 0.25, 1, 0)</f>
        <v>1</v>
      </c>
      <c r="X538" s="7">
        <f t="shared" si="1019"/>
        <v>1</v>
      </c>
      <c r="Y538" s="8">
        <v>1.0</v>
      </c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</row>
    <row r="539" ht="22.5" customHeight="1">
      <c r="B539" s="6">
        <v>538.0</v>
      </c>
      <c r="C539" s="6">
        <v>118763.0</v>
      </c>
      <c r="D539" s="6">
        <v>2.01</v>
      </c>
      <c r="E539" s="6">
        <v>-1.09</v>
      </c>
      <c r="F539" s="6">
        <v>10.83</v>
      </c>
      <c r="G539" s="6">
        <v>0.11</v>
      </c>
      <c r="H539" s="6">
        <v>0.11</v>
      </c>
      <c r="I539" s="6">
        <v>0.01</v>
      </c>
      <c r="J539" s="6">
        <v>33.39</v>
      </c>
      <c r="K539" s="7">
        <f t="shared" ref="K539:P539" si="1020">abs(D539-D538)/200</f>
        <v>0.0063</v>
      </c>
      <c r="L539" s="7">
        <f t="shared" si="1020"/>
        <v>0.0133</v>
      </c>
      <c r="M539" s="7">
        <f t="shared" si="1020"/>
        <v>0.00065</v>
      </c>
      <c r="N539" s="7">
        <f t="shared" si="1020"/>
        <v>0.0005</v>
      </c>
      <c r="O539" s="7">
        <f t="shared" si="1020"/>
        <v>0.00045</v>
      </c>
      <c r="P539" s="7">
        <f t="shared" si="1020"/>
        <v>0.00125</v>
      </c>
      <c r="Q539" s="7">
        <f t="shared" si="7"/>
        <v>0.1722922089</v>
      </c>
      <c r="R539" s="7">
        <f t="shared" si="8"/>
        <v>0.2282000161</v>
      </c>
      <c r="S539" s="7">
        <f t="shared" si="2"/>
        <v>1.268744283</v>
      </c>
      <c r="T539" s="7">
        <f t="shared" si="3"/>
        <v>0.1558845727</v>
      </c>
      <c r="U539" s="7">
        <f t="shared" si="4"/>
        <v>1</v>
      </c>
      <c r="V539" s="7">
        <f t="shared" si="5"/>
        <v>1</v>
      </c>
      <c r="W539" s="7">
        <f t="shared" ref="W539:X539" si="1021">IF(AVERAGE(U479:U538) &gt; 0.25, 1, 0)</f>
        <v>1</v>
      </c>
      <c r="X539" s="7">
        <f t="shared" si="1021"/>
        <v>1</v>
      </c>
      <c r="Y539" s="8">
        <v>1.0</v>
      </c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</row>
    <row r="540" ht="22.5" customHeight="1">
      <c r="B540" s="6">
        <v>539.0</v>
      </c>
      <c r="C540" s="6">
        <v>118967.0</v>
      </c>
      <c r="D540" s="6">
        <v>3.18</v>
      </c>
      <c r="E540" s="6">
        <v>-3.25</v>
      </c>
      <c r="F540" s="6">
        <v>10.29</v>
      </c>
      <c r="G540" s="6">
        <v>-0.12</v>
      </c>
      <c r="H540" s="6">
        <v>-0.1</v>
      </c>
      <c r="I540" s="6">
        <v>-0.02</v>
      </c>
      <c r="J540" s="6">
        <v>33.39</v>
      </c>
      <c r="K540" s="7">
        <f t="shared" ref="K540:P540" si="1022">abs(D540-D539)/200</f>
        <v>0.00585</v>
      </c>
      <c r="L540" s="7">
        <f t="shared" si="1022"/>
        <v>0.0108</v>
      </c>
      <c r="M540" s="7">
        <f t="shared" si="1022"/>
        <v>0.0027</v>
      </c>
      <c r="N540" s="7">
        <f t="shared" si="1022"/>
        <v>0.00115</v>
      </c>
      <c r="O540" s="7">
        <f t="shared" si="1022"/>
        <v>0.00105</v>
      </c>
      <c r="P540" s="7">
        <f t="shared" si="1022"/>
        <v>0.00015</v>
      </c>
      <c r="Q540" s="7">
        <f t="shared" si="7"/>
        <v>0.001595584799</v>
      </c>
      <c r="R540" s="7">
        <f t="shared" si="8"/>
        <v>0.1811001605</v>
      </c>
      <c r="S540" s="7">
        <f t="shared" si="2"/>
        <v>1.449844443</v>
      </c>
      <c r="T540" s="7">
        <f t="shared" si="3"/>
        <v>0.1574801575</v>
      </c>
      <c r="U540" s="7">
        <f t="shared" si="4"/>
        <v>1</v>
      </c>
      <c r="V540" s="7">
        <f t="shared" si="5"/>
        <v>1</v>
      </c>
      <c r="W540" s="7">
        <f t="shared" ref="W540:X540" si="1023">IF(AVERAGE(U480:U539) &gt; 0.25, 1, 0)</f>
        <v>1</v>
      </c>
      <c r="X540" s="7">
        <f t="shared" si="1023"/>
        <v>1</v>
      </c>
      <c r="Y540" s="8">
        <v>1.0</v>
      </c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</row>
    <row r="541" ht="22.5" customHeight="1">
      <c r="B541" s="6">
        <v>540.0</v>
      </c>
      <c r="C541" s="6">
        <v>119171.0</v>
      </c>
      <c r="D541" s="6">
        <v>2.28</v>
      </c>
      <c r="E541" s="6">
        <v>-1.26</v>
      </c>
      <c r="F541" s="6">
        <v>10.78</v>
      </c>
      <c r="G541" s="6">
        <v>-0.36</v>
      </c>
      <c r="H541" s="6">
        <v>-0.19</v>
      </c>
      <c r="I541" s="6">
        <v>-0.53</v>
      </c>
      <c r="J541" s="6">
        <v>33.39</v>
      </c>
      <c r="K541" s="7">
        <f t="shared" ref="K541:P541" si="1024">abs(D541-D540)/200</f>
        <v>0.0045</v>
      </c>
      <c r="L541" s="7">
        <f t="shared" si="1024"/>
        <v>0.00995</v>
      </c>
      <c r="M541" s="7">
        <f t="shared" si="1024"/>
        <v>0.00245</v>
      </c>
      <c r="N541" s="7">
        <f t="shared" si="1024"/>
        <v>0.0012</v>
      </c>
      <c r="O541" s="7">
        <f t="shared" si="1024"/>
        <v>0.00045</v>
      </c>
      <c r="P541" s="7">
        <f t="shared" si="1024"/>
        <v>0.00255</v>
      </c>
      <c r="Q541" s="7">
        <f t="shared" si="7"/>
        <v>0.5108012204</v>
      </c>
      <c r="R541" s="7">
        <f t="shared" si="8"/>
        <v>0.1595604073</v>
      </c>
      <c r="S541" s="7">
        <f t="shared" si="2"/>
        <v>1.290284036</v>
      </c>
      <c r="T541" s="7">
        <f t="shared" si="3"/>
        <v>0.6682813779</v>
      </c>
      <c r="U541" s="7">
        <f t="shared" si="4"/>
        <v>1</v>
      </c>
      <c r="V541" s="7">
        <f t="shared" si="5"/>
        <v>1</v>
      </c>
      <c r="W541" s="7">
        <f t="shared" ref="W541:X541" si="1025">IF(AVERAGE(U481:U540) &gt; 0.25, 1, 0)</f>
        <v>1</v>
      </c>
      <c r="X541" s="7">
        <f t="shared" si="1025"/>
        <v>1</v>
      </c>
      <c r="Y541" s="8">
        <v>1.0</v>
      </c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</row>
    <row r="542" ht="22.5" customHeight="1">
      <c r="B542" s="6">
        <v>541.0</v>
      </c>
      <c r="C542" s="6">
        <v>119375.0</v>
      </c>
      <c r="D542" s="6">
        <v>-0.4</v>
      </c>
      <c r="E542" s="6">
        <v>1.33</v>
      </c>
      <c r="F542" s="6">
        <v>10.98</v>
      </c>
      <c r="G542" s="6">
        <v>-0.24</v>
      </c>
      <c r="H542" s="6">
        <v>-0.3</v>
      </c>
      <c r="I542" s="6">
        <v>-0.77</v>
      </c>
      <c r="J542" s="6">
        <v>33.39</v>
      </c>
      <c r="K542" s="7">
        <f t="shared" ref="K542:P542" si="1026">abs(D542-D541)/200</f>
        <v>0.0134</v>
      </c>
      <c r="L542" s="7">
        <f t="shared" si="1026"/>
        <v>0.01295</v>
      </c>
      <c r="M542" s="7">
        <f t="shared" si="1026"/>
        <v>0.001</v>
      </c>
      <c r="N542" s="7">
        <f t="shared" si="1026"/>
        <v>0.0006</v>
      </c>
      <c r="O542" s="7">
        <f t="shared" si="1026"/>
        <v>0.00055</v>
      </c>
      <c r="P542" s="7">
        <f t="shared" si="1026"/>
        <v>0.0012</v>
      </c>
      <c r="Q542" s="7">
        <f t="shared" si="7"/>
        <v>0.1922417189</v>
      </c>
      <c r="R542" s="7">
        <f t="shared" si="8"/>
        <v>0.02279561273</v>
      </c>
      <c r="S542" s="7">
        <f t="shared" si="2"/>
        <v>1.267488423</v>
      </c>
      <c r="T542" s="7">
        <f t="shared" si="3"/>
        <v>0.8605230967</v>
      </c>
      <c r="U542" s="7">
        <f t="shared" si="4"/>
        <v>1</v>
      </c>
      <c r="V542" s="7">
        <f t="shared" si="5"/>
        <v>1</v>
      </c>
      <c r="W542" s="7">
        <f t="shared" ref="W542:X542" si="1027">IF(AVERAGE(U482:U541) &gt; 0.25, 1, 0)</f>
        <v>1</v>
      </c>
      <c r="X542" s="7">
        <f t="shared" si="1027"/>
        <v>1</v>
      </c>
      <c r="Y542" s="8">
        <v>1.0</v>
      </c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</row>
    <row r="543" ht="22.5" customHeight="1">
      <c r="B543" s="6">
        <v>542.0</v>
      </c>
      <c r="C543" s="6">
        <v>119579.0</v>
      </c>
      <c r="D543" s="6">
        <v>1.02</v>
      </c>
      <c r="E543" s="6">
        <v>1.53</v>
      </c>
      <c r="F543" s="6">
        <v>10.47</v>
      </c>
      <c r="G543" s="6">
        <v>-0.16</v>
      </c>
      <c r="H543" s="6">
        <v>0.03</v>
      </c>
      <c r="I543" s="6">
        <v>-0.25</v>
      </c>
      <c r="J543" s="6">
        <v>33.4</v>
      </c>
      <c r="K543" s="7">
        <f t="shared" ref="K543:P543" si="1028">abs(D543-D542)/200</f>
        <v>0.0071</v>
      </c>
      <c r="L543" s="7">
        <f t="shared" si="1028"/>
        <v>0.001</v>
      </c>
      <c r="M543" s="7">
        <f t="shared" si="1028"/>
        <v>0.00255</v>
      </c>
      <c r="N543" s="7">
        <f t="shared" si="1028"/>
        <v>0.0004</v>
      </c>
      <c r="O543" s="7">
        <f t="shared" si="1028"/>
        <v>0.00165</v>
      </c>
      <c r="P543" s="7">
        <f t="shared" si="1028"/>
        <v>0.0026</v>
      </c>
      <c r="Q543" s="7">
        <f t="shared" si="7"/>
        <v>0.5621944189</v>
      </c>
      <c r="R543" s="7">
        <f t="shared" si="8"/>
        <v>0.4372391318</v>
      </c>
      <c r="S543" s="7">
        <f t="shared" si="2"/>
        <v>0.8302492915</v>
      </c>
      <c r="T543" s="7">
        <f t="shared" si="3"/>
        <v>0.2983286778</v>
      </c>
      <c r="U543" s="7">
        <f t="shared" si="4"/>
        <v>1</v>
      </c>
      <c r="V543" s="7">
        <f t="shared" si="5"/>
        <v>1</v>
      </c>
      <c r="W543" s="7">
        <f t="shared" ref="W543:X543" si="1029">IF(AVERAGE(U483:U542) &gt; 0.25, 1, 0)</f>
        <v>1</v>
      </c>
      <c r="X543" s="7">
        <f t="shared" si="1029"/>
        <v>1</v>
      </c>
      <c r="Y543" s="8">
        <v>1.0</v>
      </c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</row>
    <row r="544" ht="22.5" customHeight="1">
      <c r="B544" s="6">
        <v>543.0</v>
      </c>
      <c r="C544" s="6">
        <v>119783.0</v>
      </c>
      <c r="D544" s="6">
        <v>1.1</v>
      </c>
      <c r="E544" s="6">
        <v>0.77</v>
      </c>
      <c r="F544" s="6">
        <v>10.57</v>
      </c>
      <c r="G544" s="6">
        <v>-0.09</v>
      </c>
      <c r="H544" s="6">
        <v>0.21</v>
      </c>
      <c r="I544" s="6">
        <v>0.0</v>
      </c>
      <c r="J544" s="6">
        <v>33.4</v>
      </c>
      <c r="K544" s="7">
        <f t="shared" ref="K544:P544" si="1030">abs(D544-D543)/200</f>
        <v>0.0004</v>
      </c>
      <c r="L544" s="7">
        <f t="shared" si="1030"/>
        <v>0.0038</v>
      </c>
      <c r="M544" s="7">
        <f t="shared" si="1030"/>
        <v>0.0005</v>
      </c>
      <c r="N544" s="7">
        <f t="shared" si="1030"/>
        <v>0.00035</v>
      </c>
      <c r="O544" s="7">
        <f t="shared" si="1030"/>
        <v>0.0009</v>
      </c>
      <c r="P544" s="7">
        <f t="shared" si="1030"/>
        <v>0.00125</v>
      </c>
      <c r="Q544" s="7">
        <f t="shared" si="7"/>
        <v>0.06985548463</v>
      </c>
      <c r="R544" s="7">
        <f t="shared" si="8"/>
        <v>0.02469322357</v>
      </c>
      <c r="S544" s="7">
        <f t="shared" si="2"/>
        <v>0.8549425151</v>
      </c>
      <c r="T544" s="7">
        <f t="shared" si="3"/>
        <v>0.2284731932</v>
      </c>
      <c r="U544" s="7">
        <f t="shared" si="4"/>
        <v>1</v>
      </c>
      <c r="V544" s="7">
        <f t="shared" si="5"/>
        <v>1</v>
      </c>
      <c r="W544" s="7">
        <f t="shared" ref="W544:X544" si="1031">IF(AVERAGE(U484:U543) &gt; 0.25, 1, 0)</f>
        <v>1</v>
      </c>
      <c r="X544" s="7">
        <f t="shared" si="1031"/>
        <v>1</v>
      </c>
      <c r="Y544" s="8">
        <v>1.0</v>
      </c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</row>
    <row r="545" ht="22.5" customHeight="1">
      <c r="B545" s="6">
        <v>544.0</v>
      </c>
      <c r="C545" s="6">
        <v>119987.0</v>
      </c>
      <c r="D545" s="6">
        <v>2.11</v>
      </c>
      <c r="E545" s="6">
        <v>-2.27</v>
      </c>
      <c r="F545" s="6">
        <v>10.87</v>
      </c>
      <c r="G545" s="6">
        <v>0.13</v>
      </c>
      <c r="H545" s="6">
        <v>0.25</v>
      </c>
      <c r="I545" s="6">
        <v>-0.15</v>
      </c>
      <c r="J545" s="6">
        <v>33.39</v>
      </c>
      <c r="K545" s="7">
        <f t="shared" ref="K545:P545" si="1032">abs(D545-D544)/200</f>
        <v>0.00505</v>
      </c>
      <c r="L545" s="7">
        <f t="shared" si="1032"/>
        <v>0.0152</v>
      </c>
      <c r="M545" s="7">
        <f t="shared" si="1032"/>
        <v>0.0015</v>
      </c>
      <c r="N545" s="7">
        <f t="shared" si="1032"/>
        <v>0.0011</v>
      </c>
      <c r="O545" s="7">
        <f t="shared" si="1032"/>
        <v>0.0002</v>
      </c>
      <c r="P545" s="7">
        <f t="shared" si="1032"/>
        <v>0.00075</v>
      </c>
      <c r="Q545" s="7">
        <f t="shared" si="7"/>
        <v>0.09074460081</v>
      </c>
      <c r="R545" s="7">
        <f t="shared" si="8"/>
        <v>0.6482384531</v>
      </c>
      <c r="S545" s="7">
        <f t="shared" si="2"/>
        <v>1.503180968</v>
      </c>
      <c r="T545" s="7">
        <f t="shared" si="3"/>
        <v>0.319217794</v>
      </c>
      <c r="U545" s="7">
        <f t="shared" si="4"/>
        <v>1</v>
      </c>
      <c r="V545" s="7">
        <f t="shared" si="5"/>
        <v>1</v>
      </c>
      <c r="W545" s="7">
        <f t="shared" ref="W545:X545" si="1033">IF(AVERAGE(U485:U544) &gt; 0.25, 1, 0)</f>
        <v>1</v>
      </c>
      <c r="X545" s="7">
        <f t="shared" si="1033"/>
        <v>1</v>
      </c>
      <c r="Y545" s="8">
        <v>1.0</v>
      </c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</row>
    <row r="546" ht="22.5" customHeight="1">
      <c r="B546" s="6">
        <v>545.0</v>
      </c>
      <c r="C546" s="6">
        <v>120191.0</v>
      </c>
      <c r="D546" s="6">
        <v>2.83</v>
      </c>
      <c r="E546" s="6">
        <v>-2.04</v>
      </c>
      <c r="F546" s="6">
        <v>10.71</v>
      </c>
      <c r="G546" s="6">
        <v>-0.18</v>
      </c>
      <c r="H546" s="6">
        <v>-0.13</v>
      </c>
      <c r="I546" s="6">
        <v>0.17</v>
      </c>
      <c r="J546" s="6">
        <v>33.39</v>
      </c>
      <c r="K546" s="7">
        <f t="shared" ref="K546:P546" si="1034">abs(D546-D545)/200</f>
        <v>0.0036</v>
      </c>
      <c r="L546" s="7">
        <f t="shared" si="1034"/>
        <v>0.00115</v>
      </c>
      <c r="M546" s="7">
        <f t="shared" si="1034"/>
        <v>0.0008</v>
      </c>
      <c r="N546" s="7">
        <f t="shared" si="1034"/>
        <v>0.00155</v>
      </c>
      <c r="O546" s="7">
        <f t="shared" si="1034"/>
        <v>0.0019</v>
      </c>
      <c r="P546" s="7">
        <f t="shared" si="1034"/>
        <v>0.0016</v>
      </c>
      <c r="Q546" s="7">
        <f t="shared" si="7"/>
        <v>0.03957516491</v>
      </c>
      <c r="R546" s="7">
        <f t="shared" si="8"/>
        <v>0.03931839802</v>
      </c>
      <c r="S546" s="7">
        <f t="shared" si="2"/>
        <v>1.46386257</v>
      </c>
      <c r="T546" s="7">
        <f t="shared" si="3"/>
        <v>0.2796426291</v>
      </c>
      <c r="U546" s="7">
        <f t="shared" si="4"/>
        <v>1</v>
      </c>
      <c r="V546" s="7">
        <f t="shared" si="5"/>
        <v>1</v>
      </c>
      <c r="W546" s="7">
        <f t="shared" ref="W546:X546" si="1035">IF(AVERAGE(U486:U545) &gt; 0.25, 1, 0)</f>
        <v>1</v>
      </c>
      <c r="X546" s="7">
        <f t="shared" si="1035"/>
        <v>1</v>
      </c>
      <c r="Y546" s="8">
        <v>1.0</v>
      </c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</row>
    <row r="547" ht="22.5" customHeight="1">
      <c r="B547" s="6">
        <v>546.0</v>
      </c>
      <c r="C547" s="6">
        <v>120395.0</v>
      </c>
      <c r="D547" s="6">
        <v>1.97</v>
      </c>
      <c r="E547" s="6">
        <v>-1.09</v>
      </c>
      <c r="F547" s="6">
        <v>10.5</v>
      </c>
      <c r="G547" s="6">
        <v>-0.28</v>
      </c>
      <c r="H547" s="6">
        <v>-0.27</v>
      </c>
      <c r="I547" s="6">
        <v>-0.15</v>
      </c>
      <c r="J547" s="6">
        <v>33.39</v>
      </c>
      <c r="K547" s="7">
        <f t="shared" ref="K547:P547" si="1036">abs(D547-D546)/200</f>
        <v>0.0043</v>
      </c>
      <c r="L547" s="7">
        <f t="shared" si="1036"/>
        <v>0.00475</v>
      </c>
      <c r="M547" s="7">
        <f t="shared" si="1036"/>
        <v>0.00105</v>
      </c>
      <c r="N547" s="7">
        <f t="shared" si="1036"/>
        <v>0.0005</v>
      </c>
      <c r="O547" s="7">
        <f t="shared" si="1036"/>
        <v>0.0007</v>
      </c>
      <c r="P547" s="7">
        <f t="shared" si="1036"/>
        <v>0.0016</v>
      </c>
      <c r="Q547" s="7">
        <f t="shared" si="7"/>
        <v>0.1372506426</v>
      </c>
      <c r="R547" s="7">
        <f t="shared" si="8"/>
        <v>0.5251941239</v>
      </c>
      <c r="S547" s="7">
        <f t="shared" si="2"/>
        <v>0.9386684463</v>
      </c>
      <c r="T547" s="7">
        <f t="shared" si="3"/>
        <v>0.4168932717</v>
      </c>
      <c r="U547" s="7">
        <f t="shared" si="4"/>
        <v>1</v>
      </c>
      <c r="V547" s="7">
        <f t="shared" si="5"/>
        <v>1</v>
      </c>
      <c r="W547" s="7">
        <f t="shared" ref="W547:X547" si="1037">IF(AVERAGE(U487:U546) &gt; 0.25, 1, 0)</f>
        <v>1</v>
      </c>
      <c r="X547" s="7">
        <f t="shared" si="1037"/>
        <v>1</v>
      </c>
      <c r="Y547" s="8">
        <v>1.0</v>
      </c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</row>
    <row r="548" ht="22.5" customHeight="1">
      <c r="B548" s="6">
        <v>547.0</v>
      </c>
      <c r="C548" s="6">
        <v>120599.0</v>
      </c>
      <c r="D548" s="6">
        <v>-0.74</v>
      </c>
      <c r="E548" s="6">
        <v>2.63</v>
      </c>
      <c r="F548" s="6">
        <v>10.82</v>
      </c>
      <c r="G548" s="6">
        <v>-0.17</v>
      </c>
      <c r="H548" s="6">
        <v>-0.03</v>
      </c>
      <c r="I548" s="6">
        <v>-0.59</v>
      </c>
      <c r="J548" s="6">
        <v>33.39</v>
      </c>
      <c r="K548" s="7">
        <f t="shared" ref="K548:P548" si="1038">abs(D548-D547)/200</f>
        <v>0.01355</v>
      </c>
      <c r="L548" s="7">
        <f t="shared" si="1038"/>
        <v>0.0186</v>
      </c>
      <c r="M548" s="7">
        <f t="shared" si="1038"/>
        <v>0.0016</v>
      </c>
      <c r="N548" s="7">
        <f t="shared" si="1038"/>
        <v>0.00055</v>
      </c>
      <c r="O548" s="7">
        <f t="shared" si="1038"/>
        <v>0.0012</v>
      </c>
      <c r="P548" s="7">
        <f t="shared" si="1038"/>
        <v>0.0022</v>
      </c>
      <c r="Q548" s="7">
        <f t="shared" si="7"/>
        <v>0.1978424439</v>
      </c>
      <c r="R548" s="7">
        <f t="shared" si="8"/>
        <v>0.4209417619</v>
      </c>
      <c r="S548" s="7">
        <f t="shared" si="2"/>
        <v>1.359610208</v>
      </c>
      <c r="T548" s="7">
        <f t="shared" si="3"/>
        <v>0.6147357156</v>
      </c>
      <c r="U548" s="7">
        <f t="shared" si="4"/>
        <v>1</v>
      </c>
      <c r="V548" s="7">
        <f t="shared" si="5"/>
        <v>1</v>
      </c>
      <c r="W548" s="7">
        <f t="shared" ref="W548:X548" si="1039">IF(AVERAGE(U488:U547) &gt; 0.25, 1, 0)</f>
        <v>1</v>
      </c>
      <c r="X548" s="7">
        <f t="shared" si="1039"/>
        <v>1</v>
      </c>
      <c r="Y548" s="8">
        <v>1.0</v>
      </c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</row>
    <row r="549" ht="22.5" customHeight="1">
      <c r="B549" s="6">
        <v>548.0</v>
      </c>
      <c r="C549" s="6">
        <v>120803.0</v>
      </c>
      <c r="D549" s="6">
        <v>0.09</v>
      </c>
      <c r="E549" s="6">
        <v>1.64</v>
      </c>
      <c r="F549" s="6">
        <v>10.77</v>
      </c>
      <c r="G549" s="6">
        <v>-0.11</v>
      </c>
      <c r="H549" s="6">
        <v>0.04</v>
      </c>
      <c r="I549" s="6">
        <v>-0.01</v>
      </c>
      <c r="J549" s="6">
        <v>33.39</v>
      </c>
      <c r="K549" s="7">
        <f t="shared" ref="K549:P549" si="1040">abs(D549-D548)/200</f>
        <v>0.00415</v>
      </c>
      <c r="L549" s="7">
        <f t="shared" si="1040"/>
        <v>0.00495</v>
      </c>
      <c r="M549" s="7">
        <f t="shared" si="1040"/>
        <v>0.00025</v>
      </c>
      <c r="N549" s="7">
        <f t="shared" si="1040"/>
        <v>0.0003</v>
      </c>
      <c r="O549" s="7">
        <f t="shared" si="1040"/>
        <v>0.00035</v>
      </c>
      <c r="P549" s="7">
        <f t="shared" si="1040"/>
        <v>0.0029</v>
      </c>
      <c r="Q549" s="7">
        <f t="shared" si="7"/>
        <v>0.4972623143</v>
      </c>
      <c r="R549" s="7">
        <f t="shared" si="8"/>
        <v>0.2650886492</v>
      </c>
      <c r="S549" s="7">
        <f t="shared" si="2"/>
        <v>1.094521559</v>
      </c>
      <c r="T549" s="7">
        <f t="shared" si="3"/>
        <v>0.1174734012</v>
      </c>
      <c r="U549" s="7">
        <f t="shared" si="4"/>
        <v>1</v>
      </c>
      <c r="V549" s="7">
        <f t="shared" si="5"/>
        <v>1</v>
      </c>
      <c r="W549" s="7">
        <f t="shared" ref="W549:X549" si="1041">IF(AVERAGE(U489:U548) &gt; 0.25, 1, 0)</f>
        <v>1</v>
      </c>
      <c r="X549" s="7">
        <f t="shared" si="1041"/>
        <v>1</v>
      </c>
      <c r="Y549" s="8">
        <v>1.0</v>
      </c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</row>
    <row r="550" ht="22.5" customHeight="1">
      <c r="B550" s="6">
        <v>549.0</v>
      </c>
      <c r="C550" s="6">
        <v>121007.0</v>
      </c>
      <c r="D550" s="6">
        <v>1.53</v>
      </c>
      <c r="E550" s="6">
        <v>-0.79</v>
      </c>
      <c r="F550" s="6">
        <v>10.72</v>
      </c>
      <c r="G550" s="6">
        <v>0.05</v>
      </c>
      <c r="H550" s="6">
        <v>0.33</v>
      </c>
      <c r="I550" s="6">
        <v>-0.52</v>
      </c>
      <c r="J550" s="6">
        <v>33.39</v>
      </c>
      <c r="K550" s="7">
        <f t="shared" ref="K550:P550" si="1042">abs(D550-D549)/200</f>
        <v>0.0072</v>
      </c>
      <c r="L550" s="7">
        <f t="shared" si="1042"/>
        <v>0.01215</v>
      </c>
      <c r="M550" s="7">
        <f t="shared" si="1042"/>
        <v>0.00025</v>
      </c>
      <c r="N550" s="7">
        <f t="shared" si="1042"/>
        <v>0.0008</v>
      </c>
      <c r="O550" s="7">
        <f t="shared" si="1042"/>
        <v>0.00145</v>
      </c>
      <c r="P550" s="7">
        <f t="shared" si="1042"/>
        <v>0.00255</v>
      </c>
      <c r="Q550" s="7">
        <f t="shared" si="7"/>
        <v>0.500426267</v>
      </c>
      <c r="R550" s="7">
        <f t="shared" si="8"/>
        <v>0.03710934432</v>
      </c>
      <c r="S550" s="7">
        <f t="shared" si="2"/>
        <v>1.057412215</v>
      </c>
      <c r="T550" s="7">
        <f t="shared" si="3"/>
        <v>0.6178996682</v>
      </c>
      <c r="U550" s="7">
        <f t="shared" si="4"/>
        <v>1</v>
      </c>
      <c r="V550" s="7">
        <f t="shared" si="5"/>
        <v>1</v>
      </c>
      <c r="W550" s="7">
        <f t="shared" ref="W550:X550" si="1043">IF(AVERAGE(U490:U549) &gt; 0.25, 1, 0)</f>
        <v>1</v>
      </c>
      <c r="X550" s="7">
        <f t="shared" si="1043"/>
        <v>1</v>
      </c>
      <c r="Y550" s="8">
        <v>1.0</v>
      </c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</row>
    <row r="551" ht="22.5" customHeight="1">
      <c r="B551" s="6">
        <v>550.0</v>
      </c>
      <c r="C551" s="6">
        <v>121211.0</v>
      </c>
      <c r="D551" s="6">
        <v>1.45</v>
      </c>
      <c r="E551" s="6">
        <v>-3.53</v>
      </c>
      <c r="F551" s="6">
        <v>10.75</v>
      </c>
      <c r="G551" s="6">
        <v>0.02</v>
      </c>
      <c r="H551" s="6">
        <v>0.28</v>
      </c>
      <c r="I551" s="6">
        <v>0.64</v>
      </c>
      <c r="J551" s="6">
        <v>33.39</v>
      </c>
      <c r="K551" s="7">
        <f t="shared" ref="K551:P551" si="1044">abs(D551-D550)/200</f>
        <v>0.0004</v>
      </c>
      <c r="L551" s="7">
        <f t="shared" si="1044"/>
        <v>0.0137</v>
      </c>
      <c r="M551" s="7">
        <f t="shared" si="1044"/>
        <v>0.00015</v>
      </c>
      <c r="N551" s="7">
        <f t="shared" si="1044"/>
        <v>0.00015</v>
      </c>
      <c r="O551" s="7">
        <f t="shared" si="1044"/>
        <v>0.00025</v>
      </c>
      <c r="P551" s="7">
        <f t="shared" si="1044"/>
        <v>0.0058</v>
      </c>
      <c r="Q551" s="7">
        <f t="shared" si="7"/>
        <v>0.08095654016</v>
      </c>
      <c r="R551" s="7">
        <f t="shared" si="8"/>
        <v>0.5498617804</v>
      </c>
      <c r="S551" s="7">
        <f t="shared" si="2"/>
        <v>1.607273995</v>
      </c>
      <c r="T551" s="7">
        <f t="shared" si="3"/>
        <v>0.6988562084</v>
      </c>
      <c r="U551" s="7">
        <f t="shared" si="4"/>
        <v>1</v>
      </c>
      <c r="V551" s="7">
        <f t="shared" si="5"/>
        <v>1</v>
      </c>
      <c r="W551" s="7">
        <f t="shared" ref="W551:X551" si="1045">IF(AVERAGE(U491:U550) &gt; 0.25, 1, 0)</f>
        <v>1</v>
      </c>
      <c r="X551" s="7">
        <f t="shared" si="1045"/>
        <v>1</v>
      </c>
      <c r="Y551" s="8">
        <v>1.0</v>
      </c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</row>
    <row r="552" ht="22.5" customHeight="1">
      <c r="B552" s="6">
        <v>551.0</v>
      </c>
      <c r="C552" s="6">
        <v>121415.0</v>
      </c>
      <c r="D552" s="6">
        <v>1.66</v>
      </c>
      <c r="E552" s="6">
        <v>-1.94</v>
      </c>
      <c r="F552" s="6">
        <v>10.74</v>
      </c>
      <c r="G552" s="6">
        <v>0.1</v>
      </c>
      <c r="H552" s="6">
        <v>-0.08</v>
      </c>
      <c r="I552" s="6">
        <v>1.99</v>
      </c>
      <c r="J552" s="6">
        <v>33.4</v>
      </c>
      <c r="K552" s="7">
        <f t="shared" ref="K552:P552" si="1046">abs(D552-D551)/200</f>
        <v>0.00105</v>
      </c>
      <c r="L552" s="7">
        <f t="shared" si="1046"/>
        <v>0.00795</v>
      </c>
      <c r="M552" s="7">
        <f t="shared" si="1046"/>
        <v>0.00005</v>
      </c>
      <c r="N552" s="7">
        <f t="shared" si="1046"/>
        <v>0.0004</v>
      </c>
      <c r="O552" s="7">
        <f t="shared" si="1046"/>
        <v>0.0018</v>
      </c>
      <c r="P552" s="7">
        <f t="shared" si="1046"/>
        <v>0.00675</v>
      </c>
      <c r="Q552" s="7">
        <f t="shared" si="7"/>
        <v>1.295260137</v>
      </c>
      <c r="R552" s="7">
        <f t="shared" si="8"/>
        <v>0.3679443053</v>
      </c>
      <c r="S552" s="7">
        <f t="shared" si="2"/>
        <v>1.23932969</v>
      </c>
      <c r="T552" s="7">
        <f t="shared" si="3"/>
        <v>1.994116346</v>
      </c>
      <c r="U552" s="7">
        <f t="shared" si="4"/>
        <v>1</v>
      </c>
      <c r="V552" s="7">
        <f t="shared" si="5"/>
        <v>1</v>
      </c>
      <c r="W552" s="7">
        <f t="shared" ref="W552:X552" si="1047">IF(AVERAGE(U492:U551) &gt; 0.25, 1, 0)</f>
        <v>1</v>
      </c>
      <c r="X552" s="7">
        <f t="shared" si="1047"/>
        <v>1</v>
      </c>
      <c r="Y552" s="8">
        <v>1.0</v>
      </c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</row>
    <row r="553" ht="22.5" customHeight="1">
      <c r="B553" s="6">
        <v>552.0</v>
      </c>
      <c r="C553" s="6">
        <v>121619.0</v>
      </c>
      <c r="D553" s="6">
        <v>2.26</v>
      </c>
      <c r="E553" s="6">
        <v>-0.97</v>
      </c>
      <c r="F553" s="6">
        <v>10.28</v>
      </c>
      <c r="G553" s="6">
        <v>0.19</v>
      </c>
      <c r="H553" s="6">
        <v>-0.33</v>
      </c>
      <c r="I553" s="6">
        <v>1.74</v>
      </c>
      <c r="J553" s="6">
        <v>33.41</v>
      </c>
      <c r="K553" s="7">
        <f t="shared" ref="K553:P553" si="1048">abs(D553-D552)/200</f>
        <v>0.003</v>
      </c>
      <c r="L553" s="7">
        <f t="shared" si="1048"/>
        <v>0.00485</v>
      </c>
      <c r="M553" s="7">
        <f t="shared" si="1048"/>
        <v>0.0023</v>
      </c>
      <c r="N553" s="7">
        <f t="shared" si="1048"/>
        <v>0.00045</v>
      </c>
      <c r="O553" s="7">
        <f t="shared" si="1048"/>
        <v>0.00125</v>
      </c>
      <c r="P553" s="7">
        <f t="shared" si="1048"/>
        <v>0.00125</v>
      </c>
      <c r="Q553" s="7">
        <f t="shared" si="7"/>
        <v>0.2129369611</v>
      </c>
      <c r="R553" s="7">
        <f t="shared" si="8"/>
        <v>0.4692350828</v>
      </c>
      <c r="S553" s="7">
        <f t="shared" si="2"/>
        <v>0.770094607</v>
      </c>
      <c r="T553" s="7">
        <f t="shared" si="3"/>
        <v>1.781179385</v>
      </c>
      <c r="U553" s="7">
        <f t="shared" si="4"/>
        <v>1</v>
      </c>
      <c r="V553" s="7">
        <f t="shared" si="5"/>
        <v>1</v>
      </c>
      <c r="W553" s="7">
        <f t="shared" ref="W553:X553" si="1049">IF(AVERAGE(U493:U552) &gt; 0.25, 1, 0)</f>
        <v>1</v>
      </c>
      <c r="X553" s="7">
        <f t="shared" si="1049"/>
        <v>1</v>
      </c>
      <c r="Y553" s="8">
        <v>1.0</v>
      </c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</row>
    <row r="554" ht="22.5" customHeight="1">
      <c r="B554" s="6">
        <v>553.0</v>
      </c>
      <c r="C554" s="6">
        <v>121823.0</v>
      </c>
      <c r="D554" s="6">
        <v>4.6</v>
      </c>
      <c r="E554" s="6">
        <v>1.57</v>
      </c>
      <c r="F554" s="6">
        <v>10.26</v>
      </c>
      <c r="G554" s="6">
        <v>0.04</v>
      </c>
      <c r="H554" s="6">
        <v>0.16</v>
      </c>
      <c r="I554" s="6">
        <v>1.59</v>
      </c>
      <c r="J554" s="6">
        <v>33.4</v>
      </c>
      <c r="K554" s="7">
        <f t="shared" ref="K554:P554" si="1050">abs(D554-D553)/200</f>
        <v>0.0117</v>
      </c>
      <c r="L554" s="7">
        <f t="shared" si="1050"/>
        <v>0.0127</v>
      </c>
      <c r="M554" s="7">
        <f t="shared" si="1050"/>
        <v>0.0001</v>
      </c>
      <c r="N554" s="7">
        <f t="shared" si="1050"/>
        <v>0.00075</v>
      </c>
      <c r="O554" s="7">
        <f t="shared" si="1050"/>
        <v>0.00245</v>
      </c>
      <c r="P554" s="7">
        <f t="shared" si="1050"/>
        <v>0.00075</v>
      </c>
      <c r="Q554" s="7">
        <f t="shared" si="7"/>
        <v>0.1826488093</v>
      </c>
      <c r="R554" s="7">
        <f t="shared" si="8"/>
        <v>0.7829886747</v>
      </c>
      <c r="S554" s="7">
        <f t="shared" si="2"/>
        <v>1.553083282</v>
      </c>
      <c r="T554" s="7">
        <f t="shared" si="3"/>
        <v>1.598530575</v>
      </c>
      <c r="U554" s="7">
        <f t="shared" si="4"/>
        <v>1</v>
      </c>
      <c r="V554" s="7">
        <f t="shared" si="5"/>
        <v>1</v>
      </c>
      <c r="W554" s="7">
        <f t="shared" ref="W554:X554" si="1051">IF(AVERAGE(U494:U553) &gt; 0.25, 1, 0)</f>
        <v>1</v>
      </c>
      <c r="X554" s="7">
        <f t="shared" si="1051"/>
        <v>1</v>
      </c>
      <c r="Y554" s="8">
        <v>1.0</v>
      </c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</row>
    <row r="555" ht="22.5" customHeight="1">
      <c r="B555" s="6">
        <v>554.0</v>
      </c>
      <c r="C555" s="6">
        <v>122027.0</v>
      </c>
      <c r="D555" s="6">
        <v>3.88</v>
      </c>
      <c r="E555" s="6">
        <v>1.38</v>
      </c>
      <c r="F555" s="6">
        <v>10.29</v>
      </c>
      <c r="G555" s="6">
        <v>0.03</v>
      </c>
      <c r="H555" s="6">
        <v>-0.13</v>
      </c>
      <c r="I555" s="6">
        <v>0.94</v>
      </c>
      <c r="J555" s="6">
        <v>33.4</v>
      </c>
      <c r="K555" s="7">
        <f t="shared" ref="K555:P555" si="1052">abs(D555-D554)/200</f>
        <v>0.0036</v>
      </c>
      <c r="L555" s="7">
        <f t="shared" si="1052"/>
        <v>0.00095</v>
      </c>
      <c r="M555" s="7">
        <f t="shared" si="1052"/>
        <v>0.00015</v>
      </c>
      <c r="N555" s="7">
        <f t="shared" si="1052"/>
        <v>0.00005</v>
      </c>
      <c r="O555" s="7">
        <f t="shared" si="1052"/>
        <v>0.00145</v>
      </c>
      <c r="P555" s="7">
        <f t="shared" si="1052"/>
        <v>0.00325</v>
      </c>
      <c r="Q555" s="7">
        <f t="shared" si="7"/>
        <v>0.6491096991</v>
      </c>
      <c r="R555" s="7">
        <f t="shared" si="8"/>
        <v>0.2696316532</v>
      </c>
      <c r="S555" s="7">
        <f t="shared" si="2"/>
        <v>1.283451628</v>
      </c>
      <c r="T555" s="7">
        <f t="shared" si="3"/>
        <v>0.9494208761</v>
      </c>
      <c r="U555" s="7">
        <f t="shared" si="4"/>
        <v>1</v>
      </c>
      <c r="V555" s="7">
        <f t="shared" si="5"/>
        <v>1</v>
      </c>
      <c r="W555" s="7">
        <f t="shared" ref="W555:X555" si="1053">IF(AVERAGE(U495:U554) &gt; 0.25, 1, 0)</f>
        <v>1</v>
      </c>
      <c r="X555" s="7">
        <f t="shared" si="1053"/>
        <v>1</v>
      </c>
      <c r="Y555" s="8">
        <v>1.0</v>
      </c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</row>
    <row r="556" ht="22.5" customHeight="1">
      <c r="B556" s="6">
        <v>555.0</v>
      </c>
      <c r="C556" s="6">
        <v>122231.0</v>
      </c>
      <c r="D556" s="6">
        <v>5.11</v>
      </c>
      <c r="E556" s="6">
        <v>-0.41</v>
      </c>
      <c r="F556" s="6">
        <v>9.79</v>
      </c>
      <c r="G556" s="6">
        <v>-0.22</v>
      </c>
      <c r="H556" s="6">
        <v>0.04</v>
      </c>
      <c r="I556" s="6">
        <v>-1.25</v>
      </c>
      <c r="J556" s="6">
        <v>33.41</v>
      </c>
      <c r="K556" s="7">
        <f t="shared" ref="K556:P556" si="1054">abs(D556-D555)/200</f>
        <v>0.00615</v>
      </c>
      <c r="L556" s="7">
        <f t="shared" si="1054"/>
        <v>0.00895</v>
      </c>
      <c r="M556" s="7">
        <f t="shared" si="1054"/>
        <v>0.0025</v>
      </c>
      <c r="N556" s="7">
        <f t="shared" si="1054"/>
        <v>0.00125</v>
      </c>
      <c r="O556" s="7">
        <f t="shared" si="1054"/>
        <v>0.00085</v>
      </c>
      <c r="P556" s="7">
        <f t="shared" si="1054"/>
        <v>0.01095</v>
      </c>
      <c r="Q556" s="7">
        <f t="shared" si="7"/>
        <v>0.3204216338</v>
      </c>
      <c r="R556" s="7">
        <f t="shared" si="8"/>
        <v>0.03246524713</v>
      </c>
      <c r="S556" s="7">
        <f t="shared" si="2"/>
        <v>1.250986381</v>
      </c>
      <c r="T556" s="7">
        <f t="shared" si="3"/>
        <v>1.26984251</v>
      </c>
      <c r="U556" s="7">
        <f t="shared" si="4"/>
        <v>1</v>
      </c>
      <c r="V556" s="7">
        <f t="shared" si="5"/>
        <v>1</v>
      </c>
      <c r="W556" s="7">
        <f t="shared" ref="W556:X556" si="1055">IF(AVERAGE(U496:U555) &gt; 0.25, 1, 0)</f>
        <v>1</v>
      </c>
      <c r="X556" s="7">
        <f t="shared" si="1055"/>
        <v>1</v>
      </c>
      <c r="Y556" s="8">
        <v>1.0</v>
      </c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</row>
    <row r="557" ht="22.5" customHeight="1">
      <c r="B557" s="6">
        <v>556.0</v>
      </c>
      <c r="C557" s="6">
        <v>122435.0</v>
      </c>
      <c r="D557" s="6">
        <v>3.09</v>
      </c>
      <c r="E557" s="6">
        <v>-4.23</v>
      </c>
      <c r="F557" s="6">
        <v>10.43</v>
      </c>
      <c r="G557" s="6">
        <v>-0.62</v>
      </c>
      <c r="H557" s="6">
        <v>0.14</v>
      </c>
      <c r="I557" s="6">
        <v>-3.71</v>
      </c>
      <c r="J557" s="6">
        <v>33.41</v>
      </c>
      <c r="K557" s="7">
        <f t="shared" ref="K557:P557" si="1056">abs(D557-D556)/200</f>
        <v>0.0101</v>
      </c>
      <c r="L557" s="7">
        <f t="shared" si="1056"/>
        <v>0.0191</v>
      </c>
      <c r="M557" s="7">
        <f t="shared" si="1056"/>
        <v>0.0032</v>
      </c>
      <c r="N557" s="7">
        <f t="shared" si="1056"/>
        <v>0.002</v>
      </c>
      <c r="O557" s="7">
        <f t="shared" si="1056"/>
        <v>0.0005</v>
      </c>
      <c r="P557" s="7">
        <f t="shared" si="1056"/>
        <v>0.0123</v>
      </c>
      <c r="Q557" s="7">
        <f t="shared" si="7"/>
        <v>2.494211156</v>
      </c>
      <c r="R557" s="7">
        <f t="shared" si="8"/>
        <v>0.6205987724</v>
      </c>
      <c r="S557" s="7">
        <f t="shared" si="2"/>
        <v>1.871585154</v>
      </c>
      <c r="T557" s="7">
        <f t="shared" si="3"/>
        <v>3.764053666</v>
      </c>
      <c r="U557" s="7">
        <f t="shared" si="4"/>
        <v>1</v>
      </c>
      <c r="V557" s="7">
        <f t="shared" si="5"/>
        <v>1</v>
      </c>
      <c r="W557" s="7">
        <f t="shared" ref="W557:X557" si="1057">IF(AVERAGE(U497:U556) &gt; 0.25, 1, 0)</f>
        <v>1</v>
      </c>
      <c r="X557" s="7">
        <f t="shared" si="1057"/>
        <v>1</v>
      </c>
      <c r="Y557" s="8">
        <v>1.0</v>
      </c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</row>
    <row r="558" ht="22.5" customHeight="1">
      <c r="B558" s="6">
        <v>557.0</v>
      </c>
      <c r="C558" s="6">
        <v>122639.0</v>
      </c>
      <c r="D558" s="6">
        <v>-0.26</v>
      </c>
      <c r="E558" s="6">
        <v>-3.43</v>
      </c>
      <c r="F558" s="6">
        <v>11.07</v>
      </c>
      <c r="G558" s="6">
        <v>-0.41</v>
      </c>
      <c r="H558" s="6">
        <v>-0.38</v>
      </c>
      <c r="I558" s="6">
        <v>-2.46</v>
      </c>
      <c r="J558" s="6">
        <v>33.41</v>
      </c>
      <c r="K558" s="7">
        <f t="shared" ref="K558:P558" si="1058">abs(D558-D557)/200</f>
        <v>0.01675</v>
      </c>
      <c r="L558" s="7">
        <f t="shared" si="1058"/>
        <v>0.004</v>
      </c>
      <c r="M558" s="7">
        <f t="shared" si="1058"/>
        <v>0.0032</v>
      </c>
      <c r="N558" s="7">
        <f t="shared" si="1058"/>
        <v>0.00105</v>
      </c>
      <c r="O558" s="7">
        <f t="shared" si="1058"/>
        <v>0.0026</v>
      </c>
      <c r="P558" s="7">
        <f t="shared" si="1058"/>
        <v>0.00625</v>
      </c>
      <c r="Q558" s="7">
        <f t="shared" si="7"/>
        <v>1.241336876</v>
      </c>
      <c r="R558" s="7">
        <f t="shared" si="8"/>
        <v>0.07945851533</v>
      </c>
      <c r="S558" s="7">
        <f t="shared" si="2"/>
        <v>1.792126638</v>
      </c>
      <c r="T558" s="7">
        <f t="shared" si="3"/>
        <v>2.522716789</v>
      </c>
      <c r="U558" s="7">
        <f t="shared" si="4"/>
        <v>1</v>
      </c>
      <c r="V558" s="7">
        <f t="shared" si="5"/>
        <v>1</v>
      </c>
      <c r="W558" s="7">
        <f t="shared" ref="W558:X558" si="1059">IF(AVERAGE(U498:U557) &gt; 0.25, 1, 0)</f>
        <v>1</v>
      </c>
      <c r="X558" s="7">
        <f t="shared" si="1059"/>
        <v>1</v>
      </c>
      <c r="Y558" s="8">
        <v>1.0</v>
      </c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</row>
    <row r="559" ht="22.5" customHeight="1">
      <c r="B559" s="6">
        <v>558.0</v>
      </c>
      <c r="C559" s="6">
        <v>122843.0</v>
      </c>
      <c r="D559" s="6">
        <v>-0.47</v>
      </c>
      <c r="E559" s="6">
        <v>-0.07</v>
      </c>
      <c r="F559" s="6">
        <v>10.84</v>
      </c>
      <c r="G559" s="6">
        <v>-0.16</v>
      </c>
      <c r="H559" s="6">
        <v>0.11</v>
      </c>
      <c r="I559" s="6">
        <v>-0.38</v>
      </c>
      <c r="J559" s="6">
        <v>33.41</v>
      </c>
      <c r="K559" s="7">
        <f t="shared" ref="K559:P559" si="1060">abs(D559-D558)/200</f>
        <v>0.00105</v>
      </c>
      <c r="L559" s="7">
        <f t="shared" si="1060"/>
        <v>0.0168</v>
      </c>
      <c r="M559" s="7">
        <f t="shared" si="1060"/>
        <v>0.00115</v>
      </c>
      <c r="N559" s="7">
        <f t="shared" si="1060"/>
        <v>0.00125</v>
      </c>
      <c r="O559" s="7">
        <f t="shared" si="1060"/>
        <v>0.00245</v>
      </c>
      <c r="P559" s="7">
        <f t="shared" si="1060"/>
        <v>0.0104</v>
      </c>
      <c r="Q559" s="7">
        <f t="shared" si="7"/>
        <v>2.095985024</v>
      </c>
      <c r="R559" s="7">
        <f t="shared" si="8"/>
        <v>0.7417165079</v>
      </c>
      <c r="S559" s="7">
        <f t="shared" si="2"/>
        <v>1.05041013</v>
      </c>
      <c r="T559" s="7">
        <f t="shared" si="3"/>
        <v>0.4267317659</v>
      </c>
      <c r="U559" s="7">
        <f t="shared" si="4"/>
        <v>1</v>
      </c>
      <c r="V559" s="7">
        <f t="shared" si="5"/>
        <v>1</v>
      </c>
      <c r="W559" s="7">
        <f t="shared" ref="W559:X559" si="1061">IF(AVERAGE(U499:U558) &gt; 0.25, 1, 0)</f>
        <v>1</v>
      </c>
      <c r="X559" s="7">
        <f t="shared" si="1061"/>
        <v>1</v>
      </c>
      <c r="Y559" s="8">
        <v>1.0</v>
      </c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</row>
    <row r="560" ht="22.5" customHeight="1">
      <c r="B560" s="6">
        <v>559.0</v>
      </c>
      <c r="C560" s="6">
        <v>123047.0</v>
      </c>
      <c r="D560" s="6">
        <v>1.15</v>
      </c>
      <c r="E560" s="6">
        <v>-2.51</v>
      </c>
      <c r="F560" s="6">
        <v>10.65</v>
      </c>
      <c r="G560" s="6">
        <v>0.05</v>
      </c>
      <c r="H560" s="6">
        <v>0.39</v>
      </c>
      <c r="I560" s="6">
        <v>2.05</v>
      </c>
      <c r="J560" s="6">
        <v>33.41</v>
      </c>
      <c r="K560" s="7">
        <f t="shared" ref="K560:P560" si="1062">abs(D560-D559)/200</f>
        <v>0.0081</v>
      </c>
      <c r="L560" s="7">
        <f t="shared" si="1062"/>
        <v>0.0122</v>
      </c>
      <c r="M560" s="7">
        <f t="shared" si="1062"/>
        <v>0.00095</v>
      </c>
      <c r="N560" s="7">
        <f t="shared" si="1062"/>
        <v>0.00105</v>
      </c>
      <c r="O560" s="7">
        <f t="shared" si="1062"/>
        <v>0.0014</v>
      </c>
      <c r="P560" s="7">
        <f t="shared" si="1062"/>
        <v>0.01215</v>
      </c>
      <c r="Q560" s="7">
        <f t="shared" si="7"/>
        <v>1.660634996</v>
      </c>
      <c r="R560" s="7">
        <f t="shared" si="8"/>
        <v>0.1516396785</v>
      </c>
      <c r="S560" s="7">
        <f t="shared" si="2"/>
        <v>1.202049809</v>
      </c>
      <c r="T560" s="7">
        <f t="shared" si="3"/>
        <v>2.087366762</v>
      </c>
      <c r="U560" s="7">
        <f t="shared" si="4"/>
        <v>1</v>
      </c>
      <c r="V560" s="7">
        <f t="shared" si="5"/>
        <v>1</v>
      </c>
      <c r="W560" s="7">
        <f t="shared" ref="W560:X560" si="1063">IF(AVERAGE(U500:U559) &gt; 0.25, 1, 0)</f>
        <v>1</v>
      </c>
      <c r="X560" s="7">
        <f t="shared" si="1063"/>
        <v>1</v>
      </c>
      <c r="Y560" s="8">
        <v>1.0</v>
      </c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</row>
    <row r="561" ht="22.5" customHeight="1">
      <c r="B561" s="6">
        <v>560.0</v>
      </c>
      <c r="C561" s="6">
        <v>123251.0</v>
      </c>
      <c r="D561" s="6">
        <v>0.91</v>
      </c>
      <c r="E561" s="6">
        <v>-1.78</v>
      </c>
      <c r="F561" s="6">
        <v>10.89</v>
      </c>
      <c r="G561" s="6">
        <v>0.28</v>
      </c>
      <c r="H561" s="6">
        <v>0.09</v>
      </c>
      <c r="I561" s="6">
        <v>2.16</v>
      </c>
      <c r="J561" s="6">
        <v>33.41</v>
      </c>
      <c r="K561" s="7">
        <f t="shared" ref="K561:P561" si="1064">abs(D561-D560)/200</f>
        <v>0.0012</v>
      </c>
      <c r="L561" s="7">
        <f t="shared" si="1064"/>
        <v>0.00365</v>
      </c>
      <c r="M561" s="7">
        <f t="shared" si="1064"/>
        <v>0.0012</v>
      </c>
      <c r="N561" s="7">
        <f t="shared" si="1064"/>
        <v>0.00115</v>
      </c>
      <c r="O561" s="7">
        <f t="shared" si="1064"/>
        <v>0.0015</v>
      </c>
      <c r="P561" s="7">
        <f t="shared" si="1064"/>
        <v>0.00055</v>
      </c>
      <c r="Q561" s="7">
        <f t="shared" si="7"/>
        <v>0.09256442936</v>
      </c>
      <c r="R561" s="7">
        <f t="shared" si="8"/>
        <v>0.06992381812</v>
      </c>
      <c r="S561" s="7">
        <f t="shared" si="2"/>
        <v>1.271973627</v>
      </c>
      <c r="T561" s="7">
        <f t="shared" si="3"/>
        <v>2.179931192</v>
      </c>
      <c r="U561" s="7">
        <f t="shared" si="4"/>
        <v>1</v>
      </c>
      <c r="V561" s="7">
        <f t="shared" si="5"/>
        <v>1</v>
      </c>
      <c r="W561" s="7">
        <f t="shared" ref="W561:X561" si="1065">IF(AVERAGE(U501:U560) &gt; 0.25, 1, 0)</f>
        <v>1</v>
      </c>
      <c r="X561" s="7">
        <f t="shared" si="1065"/>
        <v>1</v>
      </c>
      <c r="Y561" s="8">
        <v>1.0</v>
      </c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</row>
    <row r="562" ht="22.5" customHeight="1">
      <c r="B562" s="6">
        <v>561.0</v>
      </c>
      <c r="C562" s="6">
        <v>123455.0</v>
      </c>
      <c r="D562" s="6">
        <v>3.01</v>
      </c>
      <c r="E562" s="6">
        <v>-1.83</v>
      </c>
      <c r="F562" s="6">
        <v>10.04</v>
      </c>
      <c r="G562" s="6">
        <v>0.36</v>
      </c>
      <c r="H562" s="6">
        <v>-0.62</v>
      </c>
      <c r="I562" s="6">
        <v>2.48</v>
      </c>
      <c r="J562" s="6">
        <v>33.41</v>
      </c>
      <c r="K562" s="7">
        <f t="shared" ref="K562:P562" si="1066">abs(D562-D561)/200</f>
        <v>0.0105</v>
      </c>
      <c r="L562" s="7">
        <f t="shared" si="1066"/>
        <v>0.00025</v>
      </c>
      <c r="M562" s="7">
        <f t="shared" si="1066"/>
        <v>0.00425</v>
      </c>
      <c r="N562" s="7">
        <f t="shared" si="1066"/>
        <v>0.0004</v>
      </c>
      <c r="O562" s="7">
        <f t="shared" si="1066"/>
        <v>0.00355</v>
      </c>
      <c r="P562" s="7">
        <f t="shared" si="1066"/>
        <v>0.0016</v>
      </c>
      <c r="Q562" s="7">
        <f t="shared" si="7"/>
        <v>0.4016187305</v>
      </c>
      <c r="R562" s="7">
        <f t="shared" si="8"/>
        <v>0.4319266348</v>
      </c>
      <c r="S562" s="7">
        <f t="shared" si="2"/>
        <v>0.8400469924</v>
      </c>
      <c r="T562" s="7">
        <f t="shared" si="3"/>
        <v>2.581549922</v>
      </c>
      <c r="U562" s="7">
        <f t="shared" si="4"/>
        <v>1</v>
      </c>
      <c r="V562" s="7">
        <f t="shared" si="5"/>
        <v>1</v>
      </c>
      <c r="W562" s="7">
        <f t="shared" ref="W562:X562" si="1067">IF(AVERAGE(U502:U561) &gt; 0.25, 1, 0)</f>
        <v>1</v>
      </c>
      <c r="X562" s="7">
        <f t="shared" si="1067"/>
        <v>1</v>
      </c>
      <c r="Y562" s="8">
        <v>1.0</v>
      </c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</row>
    <row r="563" ht="22.5" customHeight="1">
      <c r="B563" s="6">
        <v>562.0</v>
      </c>
      <c r="C563" s="6">
        <v>123659.0</v>
      </c>
      <c r="D563" s="6">
        <v>5.85</v>
      </c>
      <c r="E563" s="6">
        <v>-0.54</v>
      </c>
      <c r="F563" s="6">
        <v>10.09</v>
      </c>
      <c r="G563" s="6">
        <v>-0.07</v>
      </c>
      <c r="H563" s="6">
        <v>0.11</v>
      </c>
      <c r="I563" s="6">
        <v>0.69</v>
      </c>
      <c r="J563" s="6">
        <v>33.41</v>
      </c>
      <c r="K563" s="7">
        <f t="shared" ref="K563:P563" si="1068">abs(D563-D562)/200</f>
        <v>0.0142</v>
      </c>
      <c r="L563" s="7">
        <f t="shared" si="1068"/>
        <v>0.00645</v>
      </c>
      <c r="M563" s="7">
        <f t="shared" si="1068"/>
        <v>0.00025</v>
      </c>
      <c r="N563" s="7">
        <f t="shared" si="1068"/>
        <v>0.00215</v>
      </c>
      <c r="O563" s="7">
        <f t="shared" si="1068"/>
        <v>0.00365</v>
      </c>
      <c r="P563" s="7">
        <f t="shared" si="1068"/>
        <v>0.00895</v>
      </c>
      <c r="Q563" s="7">
        <f t="shared" si="7"/>
        <v>1.879339127</v>
      </c>
      <c r="R563" s="7">
        <f t="shared" si="8"/>
        <v>1.035662836</v>
      </c>
      <c r="S563" s="7">
        <f t="shared" si="2"/>
        <v>1.875709829</v>
      </c>
      <c r="T563" s="7">
        <f t="shared" si="3"/>
        <v>0.7022107946</v>
      </c>
      <c r="U563" s="7">
        <f t="shared" si="4"/>
        <v>1</v>
      </c>
      <c r="V563" s="7">
        <f t="shared" si="5"/>
        <v>1</v>
      </c>
      <c r="W563" s="7">
        <f t="shared" ref="W563:X563" si="1069">IF(AVERAGE(U503:U562) &gt; 0.25, 1, 0)</f>
        <v>1</v>
      </c>
      <c r="X563" s="7">
        <f t="shared" si="1069"/>
        <v>1</v>
      </c>
      <c r="Y563" s="8">
        <v>1.0</v>
      </c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</row>
    <row r="564" ht="22.5" customHeight="1">
      <c r="B564" s="6">
        <v>563.0</v>
      </c>
      <c r="C564" s="6">
        <v>123863.0</v>
      </c>
      <c r="D564" s="6">
        <v>3.44</v>
      </c>
      <c r="E564" s="6">
        <v>0.08</v>
      </c>
      <c r="F564" s="6">
        <v>10.48</v>
      </c>
      <c r="G564" s="6">
        <v>-0.31</v>
      </c>
      <c r="H564" s="6">
        <v>-0.12</v>
      </c>
      <c r="I564" s="6">
        <v>-0.89</v>
      </c>
      <c r="J564" s="6">
        <v>33.41</v>
      </c>
      <c r="K564" s="7">
        <f t="shared" ref="K564:P564" si="1070">abs(D564-D563)/200</f>
        <v>0.01205</v>
      </c>
      <c r="L564" s="7">
        <f t="shared" si="1070"/>
        <v>0.0031</v>
      </c>
      <c r="M564" s="7">
        <f t="shared" si="1070"/>
        <v>0.00195</v>
      </c>
      <c r="N564" s="7">
        <f t="shared" si="1070"/>
        <v>0.0012</v>
      </c>
      <c r="O564" s="7">
        <f t="shared" si="1070"/>
        <v>0.00115</v>
      </c>
      <c r="P564" s="7">
        <f t="shared" si="1070"/>
        <v>0.0079</v>
      </c>
      <c r="Q564" s="7">
        <f t="shared" si="7"/>
        <v>0.2478418356</v>
      </c>
      <c r="R564" s="7">
        <f t="shared" si="8"/>
        <v>0.6452791932</v>
      </c>
      <c r="S564" s="7">
        <f t="shared" si="2"/>
        <v>1.230430635</v>
      </c>
      <c r="T564" s="7">
        <f t="shared" si="3"/>
        <v>0.9500526301</v>
      </c>
      <c r="U564" s="7">
        <f t="shared" si="4"/>
        <v>1</v>
      </c>
      <c r="V564" s="7">
        <f t="shared" si="5"/>
        <v>1</v>
      </c>
      <c r="W564" s="7">
        <f t="shared" ref="W564:X564" si="1071">IF(AVERAGE(U504:U563) &gt; 0.25, 1, 0)</f>
        <v>1</v>
      </c>
      <c r="X564" s="7">
        <f t="shared" si="1071"/>
        <v>1</v>
      </c>
      <c r="Y564" s="8">
        <v>1.0</v>
      </c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</row>
    <row r="565" ht="22.5" customHeight="1">
      <c r="B565" s="6">
        <v>564.0</v>
      </c>
      <c r="C565" s="6">
        <v>124067.0</v>
      </c>
      <c r="D565" s="6">
        <v>2.71</v>
      </c>
      <c r="E565" s="6">
        <v>1.33</v>
      </c>
      <c r="F565" s="6">
        <v>10.45</v>
      </c>
      <c r="G565" s="6">
        <v>-0.2</v>
      </c>
      <c r="H565" s="6">
        <v>0.03</v>
      </c>
      <c r="I565" s="6">
        <v>-0.58</v>
      </c>
      <c r="J565" s="6">
        <v>33.41</v>
      </c>
      <c r="K565" s="7">
        <f t="shared" ref="K565:P565" si="1072">abs(D565-D564)/200</f>
        <v>0.00365</v>
      </c>
      <c r="L565" s="7">
        <f t="shared" si="1072"/>
        <v>0.00625</v>
      </c>
      <c r="M565" s="7">
        <f t="shared" si="1072"/>
        <v>0.00015</v>
      </c>
      <c r="N565" s="7">
        <f t="shared" si="1072"/>
        <v>0.00055</v>
      </c>
      <c r="O565" s="7">
        <f t="shared" si="1072"/>
        <v>0.00075</v>
      </c>
      <c r="P565" s="7">
        <f t="shared" si="1072"/>
        <v>0.00155</v>
      </c>
      <c r="Q565" s="7">
        <f t="shared" si="7"/>
        <v>0.335805123</v>
      </c>
      <c r="R565" s="7">
        <f t="shared" si="8"/>
        <v>0.1531377736</v>
      </c>
      <c r="S565" s="7">
        <f t="shared" si="2"/>
        <v>1.077292862</v>
      </c>
      <c r="T565" s="7">
        <f t="shared" si="3"/>
        <v>0.6142475071</v>
      </c>
      <c r="U565" s="7">
        <f t="shared" si="4"/>
        <v>1</v>
      </c>
      <c r="V565" s="7">
        <f t="shared" si="5"/>
        <v>1</v>
      </c>
      <c r="W565" s="7">
        <f t="shared" ref="W565:X565" si="1073">IF(AVERAGE(U505:U564) &gt; 0.25, 1, 0)</f>
        <v>1</v>
      </c>
      <c r="X565" s="7">
        <f t="shared" si="1073"/>
        <v>1</v>
      </c>
      <c r="Y565" s="8">
        <v>1.0</v>
      </c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</row>
    <row r="566" ht="22.5" customHeight="1">
      <c r="B566" s="6">
        <v>565.0</v>
      </c>
      <c r="C566" s="6">
        <v>124271.0</v>
      </c>
      <c r="D566" s="6">
        <v>2.2</v>
      </c>
      <c r="E566" s="6">
        <v>0.89</v>
      </c>
      <c r="F566" s="6">
        <v>9.91</v>
      </c>
      <c r="G566" s="6">
        <v>-0.68</v>
      </c>
      <c r="H566" s="6">
        <v>0.15</v>
      </c>
      <c r="I566" s="6">
        <v>-2.46</v>
      </c>
      <c r="J566" s="6">
        <v>33.41</v>
      </c>
      <c r="K566" s="7">
        <f t="shared" ref="K566:P566" si="1074">abs(D566-D565)/200</f>
        <v>0.00255</v>
      </c>
      <c r="L566" s="7">
        <f t="shared" si="1074"/>
        <v>0.0022</v>
      </c>
      <c r="M566" s="7">
        <f t="shared" si="1074"/>
        <v>0.0027</v>
      </c>
      <c r="N566" s="7">
        <f t="shared" si="1074"/>
        <v>0.0024</v>
      </c>
      <c r="O566" s="7">
        <f t="shared" si="1074"/>
        <v>0.0006</v>
      </c>
      <c r="P566" s="7">
        <f t="shared" si="1074"/>
        <v>0.0094</v>
      </c>
      <c r="Q566" s="7">
        <f t="shared" si="7"/>
        <v>1.942410468</v>
      </c>
      <c r="R566" s="7">
        <f t="shared" si="8"/>
        <v>0.6870916861</v>
      </c>
      <c r="S566" s="7">
        <f t="shared" si="2"/>
        <v>0.3902011756</v>
      </c>
      <c r="T566" s="7">
        <f t="shared" si="3"/>
        <v>2.556657975</v>
      </c>
      <c r="U566" s="7">
        <f t="shared" si="4"/>
        <v>1</v>
      </c>
      <c r="V566" s="7">
        <f t="shared" si="5"/>
        <v>1</v>
      </c>
      <c r="W566" s="7">
        <f t="shared" ref="W566:X566" si="1075">IF(AVERAGE(U506:U565) &gt; 0.25, 1, 0)</f>
        <v>1</v>
      </c>
      <c r="X566" s="7">
        <f t="shared" si="1075"/>
        <v>1</v>
      </c>
      <c r="Y566" s="8">
        <v>1.0</v>
      </c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</row>
    <row r="567" ht="22.5" customHeight="1">
      <c r="B567" s="6">
        <v>566.0</v>
      </c>
      <c r="C567" s="6">
        <v>124475.0</v>
      </c>
      <c r="D567" s="6">
        <v>-1.4</v>
      </c>
      <c r="E567" s="6">
        <v>-1.51</v>
      </c>
      <c r="F567" s="6">
        <v>11.12</v>
      </c>
      <c r="G567" s="6">
        <v>-0.16</v>
      </c>
      <c r="H567" s="6">
        <v>0.19</v>
      </c>
      <c r="I567" s="6">
        <v>-1.07</v>
      </c>
      <c r="J567" s="6">
        <v>33.42</v>
      </c>
      <c r="K567" s="7">
        <f t="shared" ref="K567:P567" si="1076">abs(D567-D566)/200</f>
        <v>0.018</v>
      </c>
      <c r="L567" s="7">
        <f t="shared" si="1076"/>
        <v>0.012</v>
      </c>
      <c r="M567" s="7">
        <f t="shared" si="1076"/>
        <v>0.00605</v>
      </c>
      <c r="N567" s="7">
        <f t="shared" si="1076"/>
        <v>0.0026</v>
      </c>
      <c r="O567" s="7">
        <f t="shared" si="1076"/>
        <v>0.0002</v>
      </c>
      <c r="P567" s="7">
        <f t="shared" si="1076"/>
        <v>0.00695</v>
      </c>
      <c r="Q567" s="7">
        <f t="shared" si="7"/>
        <v>1.458204517</v>
      </c>
      <c r="R567" s="7">
        <f t="shared" si="8"/>
        <v>1.118843877</v>
      </c>
      <c r="S567" s="7">
        <f t="shared" si="2"/>
        <v>1.509045053</v>
      </c>
      <c r="T567" s="7">
        <f t="shared" si="3"/>
        <v>1.098453458</v>
      </c>
      <c r="U567" s="7">
        <f t="shared" si="4"/>
        <v>1</v>
      </c>
      <c r="V567" s="7">
        <f t="shared" si="5"/>
        <v>1</v>
      </c>
      <c r="W567" s="7">
        <f t="shared" ref="W567:X567" si="1077">IF(AVERAGE(U507:U566) &gt; 0.25, 1, 0)</f>
        <v>1</v>
      </c>
      <c r="X567" s="7">
        <f t="shared" si="1077"/>
        <v>1</v>
      </c>
      <c r="Y567" s="8">
        <v>1.0</v>
      </c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</row>
    <row r="568" ht="22.5" customHeight="1">
      <c r="B568" s="6">
        <v>567.0</v>
      </c>
      <c r="C568" s="6">
        <v>124679.0</v>
      </c>
      <c r="D568" s="6">
        <v>0.4</v>
      </c>
      <c r="E568" s="6">
        <v>-4.39</v>
      </c>
      <c r="F568" s="6">
        <v>11.01</v>
      </c>
      <c r="G568" s="6">
        <v>0.33</v>
      </c>
      <c r="H568" s="6">
        <v>0.0</v>
      </c>
      <c r="I568" s="6">
        <v>1.64</v>
      </c>
      <c r="J568" s="6">
        <v>33.41</v>
      </c>
      <c r="K568" s="7">
        <f t="shared" ref="K568:P568" si="1078">abs(D568-D567)/200</f>
        <v>0.009</v>
      </c>
      <c r="L568" s="7">
        <f t="shared" si="1078"/>
        <v>0.0144</v>
      </c>
      <c r="M568" s="7">
        <f t="shared" si="1078"/>
        <v>0.00055</v>
      </c>
      <c r="N568" s="7">
        <f t="shared" si="1078"/>
        <v>0.00245</v>
      </c>
      <c r="O568" s="7">
        <f t="shared" si="1078"/>
        <v>0.00095</v>
      </c>
      <c r="P568" s="7">
        <f t="shared" si="1078"/>
        <v>0.01355</v>
      </c>
      <c r="Q568" s="7">
        <f t="shared" si="7"/>
        <v>0.574418324</v>
      </c>
      <c r="R568" s="7">
        <f t="shared" si="8"/>
        <v>0.5506429704</v>
      </c>
      <c r="S568" s="7">
        <f t="shared" si="2"/>
        <v>2.059688023</v>
      </c>
      <c r="T568" s="7">
        <f t="shared" si="3"/>
        <v>1.672871782</v>
      </c>
      <c r="U568" s="7">
        <f t="shared" si="4"/>
        <v>1</v>
      </c>
      <c r="V568" s="7">
        <f t="shared" si="5"/>
        <v>1</v>
      </c>
      <c r="W568" s="7">
        <f t="shared" ref="W568:X568" si="1079">IF(AVERAGE(U508:U567) &gt; 0.25, 1, 0)</f>
        <v>1</v>
      </c>
      <c r="X568" s="7">
        <f t="shared" si="1079"/>
        <v>1</v>
      </c>
      <c r="Y568" s="8">
        <v>1.0</v>
      </c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</row>
    <row r="569" ht="22.5" customHeight="1">
      <c r="B569" s="6">
        <v>568.0</v>
      </c>
      <c r="C569" s="6">
        <v>124883.0</v>
      </c>
      <c r="D569" s="6">
        <v>3.57</v>
      </c>
      <c r="E569" s="6">
        <v>-2.56</v>
      </c>
      <c r="F569" s="6">
        <v>10.11</v>
      </c>
      <c r="G569" s="6">
        <v>0.24</v>
      </c>
      <c r="H569" s="6">
        <v>-0.35</v>
      </c>
      <c r="I569" s="6">
        <v>2.01</v>
      </c>
      <c r="J569" s="6">
        <v>33.4</v>
      </c>
      <c r="K569" s="7">
        <f t="shared" ref="K569:P569" si="1080">abs(D569-D568)/200</f>
        <v>0.01585</v>
      </c>
      <c r="L569" s="7">
        <f t="shared" si="1080"/>
        <v>0.00915</v>
      </c>
      <c r="M569" s="7">
        <f t="shared" si="1080"/>
        <v>0.0045</v>
      </c>
      <c r="N569" s="7">
        <f t="shared" si="1080"/>
        <v>0.00045</v>
      </c>
      <c r="O569" s="7">
        <f t="shared" si="1080"/>
        <v>0.00175</v>
      </c>
      <c r="P569" s="7">
        <f t="shared" si="1080"/>
        <v>0.00185</v>
      </c>
      <c r="Q569" s="7">
        <f t="shared" si="7"/>
        <v>0.3814407548</v>
      </c>
      <c r="R569" s="7">
        <f t="shared" si="8"/>
        <v>0.8365033651</v>
      </c>
      <c r="S569" s="7">
        <f t="shared" si="2"/>
        <v>1.223184658</v>
      </c>
      <c r="T569" s="7">
        <f t="shared" si="3"/>
        <v>2.054312537</v>
      </c>
      <c r="U569" s="7">
        <f t="shared" si="4"/>
        <v>1</v>
      </c>
      <c r="V569" s="7">
        <f t="shared" si="5"/>
        <v>1</v>
      </c>
      <c r="W569" s="7">
        <f t="shared" ref="W569:X569" si="1081">IF(AVERAGE(U509:U568) &gt; 0.25, 1, 0)</f>
        <v>1</v>
      </c>
      <c r="X569" s="7">
        <f t="shared" si="1081"/>
        <v>1</v>
      </c>
      <c r="Y569" s="8">
        <v>1.0</v>
      </c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</row>
    <row r="570" ht="22.5" customHeight="1">
      <c r="B570" s="6">
        <v>569.0</v>
      </c>
      <c r="C570" s="6">
        <v>126311.0</v>
      </c>
      <c r="D570" s="6">
        <v>0.49</v>
      </c>
      <c r="E570" s="6">
        <v>-1.56</v>
      </c>
      <c r="F570" s="6">
        <v>10.9</v>
      </c>
      <c r="G570" s="6">
        <v>0.19</v>
      </c>
      <c r="H570" s="6">
        <v>0.24</v>
      </c>
      <c r="I570" s="6">
        <v>0.95</v>
      </c>
      <c r="J570" s="6">
        <v>33.42</v>
      </c>
      <c r="K570" s="7">
        <f t="shared" ref="K570:P570" si="1082">abs(D570-D569)/200</f>
        <v>0.0154</v>
      </c>
      <c r="L570" s="7">
        <f t="shared" si="1082"/>
        <v>0.005</v>
      </c>
      <c r="M570" s="7">
        <f t="shared" si="1082"/>
        <v>0.00395</v>
      </c>
      <c r="N570" s="7">
        <f t="shared" si="1082"/>
        <v>0.00025</v>
      </c>
      <c r="O570" s="7">
        <f t="shared" si="1082"/>
        <v>0.00295</v>
      </c>
      <c r="P570" s="7">
        <f t="shared" si="1082"/>
        <v>0.0053</v>
      </c>
      <c r="Q570" s="7">
        <f t="shared" si="7"/>
        <v>1.056214346</v>
      </c>
      <c r="R570" s="7">
        <f t="shared" si="8"/>
        <v>0.001220223092</v>
      </c>
      <c r="S570" s="7">
        <f t="shared" si="2"/>
        <v>1.221964435</v>
      </c>
      <c r="T570" s="7">
        <f t="shared" si="3"/>
        <v>0.9980981916</v>
      </c>
      <c r="U570" s="7">
        <f t="shared" si="4"/>
        <v>1</v>
      </c>
      <c r="V570" s="7">
        <f t="shared" si="5"/>
        <v>1</v>
      </c>
      <c r="W570" s="7">
        <f t="shared" ref="W570:X570" si="1083">IF(AVERAGE(U510:U569) &gt; 0.25, 1, 0)</f>
        <v>1</v>
      </c>
      <c r="X570" s="7">
        <f t="shared" si="1083"/>
        <v>1</v>
      </c>
      <c r="Y570" s="8">
        <v>1.0</v>
      </c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</row>
    <row r="571" ht="22.5" customHeight="1">
      <c r="B571" s="6">
        <v>570.0</v>
      </c>
      <c r="C571" s="6">
        <v>126515.0</v>
      </c>
      <c r="D571" s="6">
        <v>6.05</v>
      </c>
      <c r="E571" s="6">
        <v>-0.62</v>
      </c>
      <c r="F571" s="6">
        <v>9.65</v>
      </c>
      <c r="G571" s="6">
        <v>-0.05</v>
      </c>
      <c r="H571" s="6">
        <v>-0.14</v>
      </c>
      <c r="I571" s="6">
        <v>-0.01</v>
      </c>
      <c r="J571" s="6">
        <v>33.42</v>
      </c>
      <c r="K571" s="7">
        <f t="shared" ref="K571:P571" si="1084">abs(D571-D570)/200</f>
        <v>0.0278</v>
      </c>
      <c r="L571" s="7">
        <f t="shared" si="1084"/>
        <v>0.0047</v>
      </c>
      <c r="M571" s="7">
        <f t="shared" si="1084"/>
        <v>0.00625</v>
      </c>
      <c r="N571" s="7">
        <f t="shared" si="1084"/>
        <v>0.0012</v>
      </c>
      <c r="O571" s="7">
        <f t="shared" si="1084"/>
        <v>0.0019</v>
      </c>
      <c r="P571" s="7">
        <f t="shared" si="1084"/>
        <v>0.0048</v>
      </c>
      <c r="Q571" s="7">
        <f t="shared" si="7"/>
        <v>0.8491015473</v>
      </c>
      <c r="R571" s="7">
        <f t="shared" si="8"/>
        <v>0.3845863148</v>
      </c>
      <c r="S571" s="7">
        <f t="shared" si="2"/>
        <v>1.606550749</v>
      </c>
      <c r="T571" s="7">
        <f t="shared" si="3"/>
        <v>0.1489966443</v>
      </c>
      <c r="U571" s="7">
        <f t="shared" si="4"/>
        <v>1</v>
      </c>
      <c r="V571" s="7">
        <f t="shared" si="5"/>
        <v>1</v>
      </c>
      <c r="W571" s="7">
        <f t="shared" ref="W571:X571" si="1085">IF(AVERAGE(U511:U570) &gt; 0.25, 1, 0)</f>
        <v>1</v>
      </c>
      <c r="X571" s="7">
        <f t="shared" si="1085"/>
        <v>1</v>
      </c>
      <c r="Y571" s="8">
        <v>1.0</v>
      </c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</row>
    <row r="572" ht="22.5" customHeight="1">
      <c r="B572" s="6">
        <v>571.0</v>
      </c>
      <c r="C572" s="6">
        <v>126719.0</v>
      </c>
      <c r="D572" s="6">
        <v>2.83</v>
      </c>
      <c r="E572" s="6">
        <v>-1.7</v>
      </c>
      <c r="F572" s="6">
        <v>10.3</v>
      </c>
      <c r="G572" s="6">
        <v>-0.37</v>
      </c>
      <c r="H572" s="6">
        <v>-0.04</v>
      </c>
      <c r="I572" s="6">
        <v>-0.87</v>
      </c>
      <c r="J572" s="6">
        <v>33.42</v>
      </c>
      <c r="K572" s="7">
        <f t="shared" ref="K572:P572" si="1086">abs(D572-D571)/200</f>
        <v>0.0161</v>
      </c>
      <c r="L572" s="7">
        <f t="shared" si="1086"/>
        <v>0.0054</v>
      </c>
      <c r="M572" s="7">
        <f t="shared" si="1086"/>
        <v>0.00325</v>
      </c>
      <c r="N572" s="7">
        <f t="shared" si="1086"/>
        <v>0.0016</v>
      </c>
      <c r="O572" s="7">
        <f t="shared" si="1086"/>
        <v>0.0005</v>
      </c>
      <c r="P572" s="7">
        <f t="shared" si="1086"/>
        <v>0.0043</v>
      </c>
      <c r="Q572" s="7">
        <f t="shared" si="7"/>
        <v>0.7972591351</v>
      </c>
      <c r="R572" s="7">
        <f t="shared" si="8"/>
        <v>0.5904100329</v>
      </c>
      <c r="S572" s="7">
        <f t="shared" si="2"/>
        <v>1.016140717</v>
      </c>
      <c r="T572" s="7">
        <f t="shared" si="3"/>
        <v>0.9462557794</v>
      </c>
      <c r="U572" s="7">
        <f t="shared" si="4"/>
        <v>1</v>
      </c>
      <c r="V572" s="7">
        <f t="shared" si="5"/>
        <v>1</v>
      </c>
      <c r="W572" s="7">
        <f t="shared" ref="W572:X572" si="1087">IF(AVERAGE(U512:U571) &gt; 0.25, 1, 0)</f>
        <v>1</v>
      </c>
      <c r="X572" s="7">
        <f t="shared" si="1087"/>
        <v>1</v>
      </c>
      <c r="Y572" s="8">
        <v>1.0</v>
      </c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</row>
    <row r="573" ht="22.5" customHeight="1">
      <c r="B573" s="6">
        <v>572.0</v>
      </c>
      <c r="C573" s="6">
        <v>126923.0</v>
      </c>
      <c r="D573" s="6">
        <v>-1.02</v>
      </c>
      <c r="E573" s="6">
        <v>2.11</v>
      </c>
      <c r="F573" s="6">
        <v>10.91</v>
      </c>
      <c r="G573" s="6">
        <v>-0.15</v>
      </c>
      <c r="H573" s="6">
        <v>-0.1</v>
      </c>
      <c r="I573" s="6">
        <v>-0.04</v>
      </c>
      <c r="J573" s="6">
        <v>33.42</v>
      </c>
      <c r="K573" s="7">
        <f t="shared" ref="K573:P573" si="1088">abs(D573-D572)/200</f>
        <v>0.01925</v>
      </c>
      <c r="L573" s="7">
        <f t="shared" si="1088"/>
        <v>0.01905</v>
      </c>
      <c r="M573" s="7">
        <f t="shared" si="1088"/>
        <v>0.00305</v>
      </c>
      <c r="N573" s="7">
        <f t="shared" si="1088"/>
        <v>0.0011</v>
      </c>
      <c r="O573" s="7">
        <f t="shared" si="1088"/>
        <v>0.0003</v>
      </c>
      <c r="P573" s="7">
        <f t="shared" si="1088"/>
        <v>0.00415</v>
      </c>
      <c r="Q573" s="7">
        <f t="shared" si="7"/>
        <v>0.7615939262</v>
      </c>
      <c r="R573" s="7">
        <f t="shared" si="8"/>
        <v>0.3427391556</v>
      </c>
      <c r="S573" s="7">
        <f t="shared" si="2"/>
        <v>1.358879872</v>
      </c>
      <c r="T573" s="7">
        <f t="shared" si="3"/>
        <v>0.1846618531</v>
      </c>
      <c r="U573" s="7">
        <f t="shared" si="4"/>
        <v>1</v>
      </c>
      <c r="V573" s="7">
        <f t="shared" si="5"/>
        <v>1</v>
      </c>
      <c r="W573" s="7">
        <f t="shared" ref="W573:X573" si="1089">IF(AVERAGE(U513:U572) &gt; 0.25, 1, 0)</f>
        <v>1</v>
      </c>
      <c r="X573" s="7">
        <f t="shared" si="1089"/>
        <v>1</v>
      </c>
      <c r="Y573" s="8">
        <v>1.0</v>
      </c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</row>
    <row r="574" ht="22.5" customHeight="1">
      <c r="B574" s="6">
        <v>573.0</v>
      </c>
      <c r="C574" s="6">
        <v>127127.0</v>
      </c>
      <c r="D574" s="6">
        <v>-0.01</v>
      </c>
      <c r="E574" s="6">
        <v>1.52</v>
      </c>
      <c r="F574" s="6">
        <v>10.82</v>
      </c>
      <c r="G574" s="6">
        <v>-0.08</v>
      </c>
      <c r="H574" s="6">
        <v>0.06</v>
      </c>
      <c r="I574" s="6">
        <v>0.04</v>
      </c>
      <c r="J574" s="6">
        <v>33.41</v>
      </c>
      <c r="K574" s="7">
        <f t="shared" ref="K574:P574" si="1090">abs(D574-D573)/200</f>
        <v>0.00505</v>
      </c>
      <c r="L574" s="7">
        <f t="shared" si="1090"/>
        <v>0.00295</v>
      </c>
      <c r="M574" s="7">
        <f t="shared" si="1090"/>
        <v>0.00045</v>
      </c>
      <c r="N574" s="7">
        <f t="shared" si="1090"/>
        <v>0.00035</v>
      </c>
      <c r="O574" s="7">
        <f t="shared" si="1090"/>
        <v>0.0008</v>
      </c>
      <c r="P574" s="7">
        <f t="shared" si="1090"/>
        <v>0.0004</v>
      </c>
      <c r="Q574" s="7">
        <f t="shared" si="7"/>
        <v>0.07695855698</v>
      </c>
      <c r="R574" s="7">
        <f t="shared" si="8"/>
        <v>0.2326316597</v>
      </c>
      <c r="S574" s="7">
        <f t="shared" si="2"/>
        <v>1.126248212</v>
      </c>
      <c r="T574" s="7">
        <f t="shared" si="3"/>
        <v>0.1077032961</v>
      </c>
      <c r="U574" s="7">
        <f t="shared" si="4"/>
        <v>1</v>
      </c>
      <c r="V574" s="7">
        <f t="shared" si="5"/>
        <v>1</v>
      </c>
      <c r="W574" s="7">
        <f t="shared" ref="W574:X574" si="1091">IF(AVERAGE(U514:U573) &gt; 0.25, 1, 0)</f>
        <v>1</v>
      </c>
      <c r="X574" s="7">
        <f t="shared" si="1091"/>
        <v>1</v>
      </c>
      <c r="Y574" s="8">
        <v>1.0</v>
      </c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</row>
    <row r="575" ht="22.5" customHeight="1">
      <c r="B575" s="6">
        <v>574.0</v>
      </c>
      <c r="C575" s="6">
        <v>127331.0</v>
      </c>
      <c r="D575" s="6">
        <v>2.41</v>
      </c>
      <c r="E575" s="6">
        <v>-1.53</v>
      </c>
      <c r="F575" s="6">
        <v>10.71</v>
      </c>
      <c r="G575" s="6">
        <v>0.05</v>
      </c>
      <c r="H575" s="6">
        <v>0.17</v>
      </c>
      <c r="I575" s="6">
        <v>0.18</v>
      </c>
      <c r="J575" s="6">
        <v>33.42</v>
      </c>
      <c r="K575" s="7">
        <f t="shared" ref="K575:P575" si="1092">abs(D575-D574)/200</f>
        <v>0.0121</v>
      </c>
      <c r="L575" s="7">
        <f t="shared" si="1092"/>
        <v>0.01525</v>
      </c>
      <c r="M575" s="7">
        <f t="shared" si="1092"/>
        <v>0.00055</v>
      </c>
      <c r="N575" s="7">
        <f t="shared" si="1092"/>
        <v>0.00065</v>
      </c>
      <c r="O575" s="7">
        <f t="shared" si="1092"/>
        <v>0.00055</v>
      </c>
      <c r="P575" s="7">
        <f t="shared" si="1092"/>
        <v>0.0007</v>
      </c>
      <c r="Q575" s="7">
        <f t="shared" si="7"/>
        <v>0.1448833227</v>
      </c>
      <c r="R575" s="7">
        <f t="shared" si="8"/>
        <v>0.1576635519</v>
      </c>
      <c r="S575" s="7">
        <f t="shared" si="2"/>
        <v>1.283911764</v>
      </c>
      <c r="T575" s="7">
        <f t="shared" si="3"/>
        <v>0.2525866188</v>
      </c>
      <c r="U575" s="7">
        <f t="shared" si="4"/>
        <v>1</v>
      </c>
      <c r="V575" s="7">
        <f t="shared" si="5"/>
        <v>1</v>
      </c>
      <c r="W575" s="7">
        <f t="shared" ref="W575:X575" si="1093">IF(AVERAGE(U515:U574) &gt; 0.25, 1, 0)</f>
        <v>1</v>
      </c>
      <c r="X575" s="7">
        <f t="shared" si="1093"/>
        <v>1</v>
      </c>
      <c r="Y575" s="8">
        <v>1.0</v>
      </c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</row>
    <row r="576" ht="22.5" customHeight="1">
      <c r="B576" s="6">
        <v>575.0</v>
      </c>
      <c r="C576" s="6">
        <v>127535.0</v>
      </c>
      <c r="D576" s="6">
        <v>1.25</v>
      </c>
      <c r="E576" s="6">
        <v>-0.31</v>
      </c>
      <c r="F576" s="6">
        <v>10.97</v>
      </c>
      <c r="G576" s="6">
        <v>-0.13</v>
      </c>
      <c r="H576" s="6">
        <v>0.06</v>
      </c>
      <c r="I576" s="6">
        <v>-0.01</v>
      </c>
      <c r="J576" s="6">
        <v>33.42</v>
      </c>
      <c r="K576" s="7">
        <f t="shared" ref="K576:P576" si="1094">abs(D576-D575)/200</f>
        <v>0.0058</v>
      </c>
      <c r="L576" s="7">
        <f t="shared" si="1094"/>
        <v>0.0061</v>
      </c>
      <c r="M576" s="7">
        <f t="shared" si="1094"/>
        <v>0.0013</v>
      </c>
      <c r="N576" s="7">
        <f t="shared" si="1094"/>
        <v>0.0009</v>
      </c>
      <c r="O576" s="7">
        <f t="shared" si="1094"/>
        <v>0.00055</v>
      </c>
      <c r="P576" s="7">
        <f t="shared" si="1094"/>
        <v>0.00095</v>
      </c>
      <c r="Q576" s="7">
        <f t="shared" si="7"/>
        <v>0.1090596179</v>
      </c>
      <c r="R576" s="7">
        <f t="shared" si="8"/>
        <v>0.03857338113</v>
      </c>
      <c r="S576" s="7">
        <f t="shared" si="2"/>
        <v>1.245338383</v>
      </c>
      <c r="T576" s="7">
        <f t="shared" si="3"/>
        <v>0.1435270009</v>
      </c>
      <c r="U576" s="7">
        <f t="shared" si="4"/>
        <v>1</v>
      </c>
      <c r="V576" s="7">
        <f t="shared" si="5"/>
        <v>1</v>
      </c>
      <c r="W576" s="7">
        <f t="shared" ref="W576:X576" si="1095">IF(AVERAGE(U516:U575) &gt; 0.25, 1, 0)</f>
        <v>1</v>
      </c>
      <c r="X576" s="7">
        <f t="shared" si="1095"/>
        <v>1</v>
      </c>
      <c r="Y576" s="8">
        <v>1.0</v>
      </c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</row>
    <row r="577" ht="22.5" customHeight="1">
      <c r="B577" s="6">
        <v>576.0</v>
      </c>
      <c r="C577" s="6">
        <v>127739.0</v>
      </c>
      <c r="D577" s="6">
        <v>1.21</v>
      </c>
      <c r="E577" s="6">
        <v>-0.21</v>
      </c>
      <c r="F577" s="6">
        <v>10.67</v>
      </c>
      <c r="G577" s="6">
        <v>-0.1</v>
      </c>
      <c r="H577" s="6">
        <v>0.0</v>
      </c>
      <c r="I577" s="6">
        <v>-0.01</v>
      </c>
      <c r="J577" s="6">
        <v>33.41</v>
      </c>
      <c r="K577" s="7">
        <f t="shared" ref="K577:P577" si="1096">abs(D577-D576)/200</f>
        <v>0.0002</v>
      </c>
      <c r="L577" s="7">
        <f t="shared" si="1096"/>
        <v>0.0005</v>
      </c>
      <c r="M577" s="7">
        <f t="shared" si="1096"/>
        <v>0.0015</v>
      </c>
      <c r="N577" s="7">
        <f t="shared" si="1096"/>
        <v>0.00015</v>
      </c>
      <c r="O577" s="7">
        <f t="shared" si="1096"/>
        <v>0.0003</v>
      </c>
      <c r="P577" s="7">
        <f t="shared" si="1096"/>
        <v>0</v>
      </c>
      <c r="Q577" s="7">
        <f t="shared" si="7"/>
        <v>0.04302824473</v>
      </c>
      <c r="R577" s="7">
        <f t="shared" si="8"/>
        <v>0.3048961205</v>
      </c>
      <c r="S577" s="7">
        <f t="shared" si="2"/>
        <v>0.9404422628</v>
      </c>
      <c r="T577" s="7">
        <f t="shared" si="3"/>
        <v>0.1004987562</v>
      </c>
      <c r="U577" s="7">
        <f t="shared" si="4"/>
        <v>1</v>
      </c>
      <c r="V577" s="7">
        <f t="shared" si="5"/>
        <v>0</v>
      </c>
      <c r="W577" s="7">
        <f t="shared" ref="W577:X577" si="1097">IF(AVERAGE(U517:U576) &gt; 0.25, 1, 0)</f>
        <v>1</v>
      </c>
      <c r="X577" s="7">
        <f t="shared" si="1097"/>
        <v>1</v>
      </c>
      <c r="Y577" s="8">
        <v>1.0</v>
      </c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</row>
    <row r="578" ht="22.5" customHeight="1">
      <c r="B578" s="6">
        <v>577.0</v>
      </c>
      <c r="C578" s="6">
        <v>127943.0</v>
      </c>
      <c r="D578" s="6">
        <v>1.22</v>
      </c>
      <c r="E578" s="6">
        <v>-0.2</v>
      </c>
      <c r="F578" s="6">
        <v>10.68</v>
      </c>
      <c r="G578" s="6">
        <v>-0.1</v>
      </c>
      <c r="H578" s="6">
        <v>0.0</v>
      </c>
      <c r="I578" s="6">
        <v>-0.01</v>
      </c>
      <c r="J578" s="6">
        <v>33.41</v>
      </c>
      <c r="K578" s="7">
        <f t="shared" ref="K578:P578" si="1098">abs(D578-D577)/200</f>
        <v>0.00005</v>
      </c>
      <c r="L578" s="7">
        <f t="shared" si="1098"/>
        <v>0.00005</v>
      </c>
      <c r="M578" s="7">
        <f t="shared" si="1098"/>
        <v>0.00005</v>
      </c>
      <c r="N578" s="7">
        <f t="shared" si="1098"/>
        <v>0</v>
      </c>
      <c r="O578" s="7">
        <f t="shared" si="1098"/>
        <v>0</v>
      </c>
      <c r="P578" s="7">
        <f t="shared" si="1098"/>
        <v>0</v>
      </c>
      <c r="Q578" s="7">
        <f t="shared" si="7"/>
        <v>0</v>
      </c>
      <c r="R578" s="7">
        <f t="shared" si="8"/>
        <v>0.01087393572</v>
      </c>
      <c r="S578" s="7">
        <f t="shared" si="2"/>
        <v>0.9513161985</v>
      </c>
      <c r="T578" s="7">
        <f t="shared" si="3"/>
        <v>0.1004987562</v>
      </c>
      <c r="U578" s="7">
        <f t="shared" si="4"/>
        <v>0</v>
      </c>
      <c r="V578" s="7">
        <f t="shared" si="5"/>
        <v>0</v>
      </c>
      <c r="W578" s="7">
        <f t="shared" ref="W578:X578" si="1099">IF(AVERAGE(U518:U577) &gt; 0.25, 1, 0)</f>
        <v>1</v>
      </c>
      <c r="X578" s="7">
        <f t="shared" si="1099"/>
        <v>1</v>
      </c>
      <c r="Y578" s="8">
        <v>1.0</v>
      </c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</row>
    <row r="579" ht="22.5" customHeight="1">
      <c r="B579" s="6">
        <v>578.0</v>
      </c>
      <c r="C579" s="6">
        <v>128147.0</v>
      </c>
      <c r="D579" s="6">
        <v>1.23</v>
      </c>
      <c r="E579" s="6">
        <v>-0.2</v>
      </c>
      <c r="F579" s="6">
        <v>10.68</v>
      </c>
      <c r="G579" s="6">
        <v>-0.1</v>
      </c>
      <c r="H579" s="6">
        <v>0.0</v>
      </c>
      <c r="I579" s="6">
        <v>-0.01</v>
      </c>
      <c r="J579" s="6">
        <v>33.41</v>
      </c>
      <c r="K579" s="7">
        <f t="shared" ref="K579:P579" si="1100">abs(D579-D578)/200</f>
        <v>0.00005</v>
      </c>
      <c r="L579" s="7">
        <f t="shared" si="1100"/>
        <v>0</v>
      </c>
      <c r="M579" s="7">
        <f t="shared" si="1100"/>
        <v>0</v>
      </c>
      <c r="N579" s="7">
        <f t="shared" si="1100"/>
        <v>0</v>
      </c>
      <c r="O579" s="7">
        <f t="shared" si="1100"/>
        <v>0</v>
      </c>
      <c r="P579" s="7">
        <f t="shared" si="1100"/>
        <v>0</v>
      </c>
      <c r="Q579" s="7">
        <f t="shared" si="7"/>
        <v>0</v>
      </c>
      <c r="R579" s="7">
        <f t="shared" si="8"/>
        <v>0.001139335011</v>
      </c>
      <c r="S579" s="7">
        <f t="shared" si="2"/>
        <v>0.9524555335</v>
      </c>
      <c r="T579" s="7">
        <f t="shared" si="3"/>
        <v>0.1004987562</v>
      </c>
      <c r="U579" s="7">
        <f t="shared" si="4"/>
        <v>0</v>
      </c>
      <c r="V579" s="7">
        <f t="shared" si="5"/>
        <v>0</v>
      </c>
      <c r="W579" s="7">
        <f t="shared" ref="W579:X579" si="1101">IF(AVERAGE(U519:U578) &gt; 0.25, 1, 0)</f>
        <v>1</v>
      </c>
      <c r="X579" s="7">
        <f t="shared" si="1101"/>
        <v>1</v>
      </c>
      <c r="Y579" s="8">
        <v>1.0</v>
      </c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</row>
    <row r="580" ht="22.5" customHeight="1">
      <c r="B580" s="6">
        <v>579.0</v>
      </c>
      <c r="C580" s="6">
        <v>128351.0</v>
      </c>
      <c r="D580" s="6">
        <v>1.22</v>
      </c>
      <c r="E580" s="6">
        <v>-0.2</v>
      </c>
      <c r="F580" s="6">
        <v>10.67</v>
      </c>
      <c r="G580" s="6">
        <v>-0.1</v>
      </c>
      <c r="H580" s="6">
        <v>0.0</v>
      </c>
      <c r="I580" s="6">
        <v>-0.01</v>
      </c>
      <c r="J580" s="6">
        <v>33.41</v>
      </c>
      <c r="K580" s="7">
        <f t="shared" ref="K580:P580" si="1102">abs(D580-D579)/200</f>
        <v>0.00005</v>
      </c>
      <c r="L580" s="7">
        <f t="shared" si="1102"/>
        <v>0</v>
      </c>
      <c r="M580" s="7">
        <f t="shared" si="1102"/>
        <v>0.00005</v>
      </c>
      <c r="N580" s="7">
        <f t="shared" si="1102"/>
        <v>0</v>
      </c>
      <c r="O580" s="7">
        <f t="shared" si="1102"/>
        <v>0</v>
      </c>
      <c r="P580" s="7">
        <f t="shared" si="1102"/>
        <v>0</v>
      </c>
      <c r="Q580" s="7">
        <f t="shared" si="7"/>
        <v>0</v>
      </c>
      <c r="R580" s="7">
        <f t="shared" si="8"/>
        <v>0.01107294093</v>
      </c>
      <c r="S580" s="7">
        <f t="shared" si="2"/>
        <v>0.9413825926</v>
      </c>
      <c r="T580" s="7">
        <f t="shared" si="3"/>
        <v>0.1004987562</v>
      </c>
      <c r="U580" s="7">
        <f t="shared" si="4"/>
        <v>0</v>
      </c>
      <c r="V580" s="7">
        <f t="shared" si="5"/>
        <v>0</v>
      </c>
      <c r="W580" s="7">
        <f t="shared" ref="W580:X580" si="1103">IF(AVERAGE(U520:U579) &gt; 0.25, 1, 0)</f>
        <v>1</v>
      </c>
      <c r="X580" s="7">
        <f t="shared" si="1103"/>
        <v>1</v>
      </c>
      <c r="Y580" s="8">
        <v>1.0</v>
      </c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</row>
    <row r="581" ht="22.5" customHeight="1">
      <c r="B581" s="6">
        <v>580.0</v>
      </c>
      <c r="C581" s="6">
        <v>128555.0</v>
      </c>
      <c r="D581" s="6">
        <v>1.22</v>
      </c>
      <c r="E581" s="6">
        <v>-0.2</v>
      </c>
      <c r="F581" s="6">
        <v>10.68</v>
      </c>
      <c r="G581" s="6">
        <v>-0.1</v>
      </c>
      <c r="H581" s="6">
        <v>0.0</v>
      </c>
      <c r="I581" s="6">
        <v>-0.01</v>
      </c>
      <c r="J581" s="6">
        <v>33.41</v>
      </c>
      <c r="K581" s="7">
        <f t="shared" ref="K581:P581" si="1104">abs(D581-D580)/200</f>
        <v>0</v>
      </c>
      <c r="L581" s="7">
        <f t="shared" si="1104"/>
        <v>0</v>
      </c>
      <c r="M581" s="7">
        <f t="shared" si="1104"/>
        <v>0.00005</v>
      </c>
      <c r="N581" s="7">
        <f t="shared" si="1104"/>
        <v>0</v>
      </c>
      <c r="O581" s="7">
        <f t="shared" si="1104"/>
        <v>0</v>
      </c>
      <c r="P581" s="7">
        <f t="shared" si="1104"/>
        <v>0</v>
      </c>
      <c r="Q581" s="7">
        <f t="shared" si="7"/>
        <v>0</v>
      </c>
      <c r="R581" s="7">
        <f t="shared" si="8"/>
        <v>0.009933605922</v>
      </c>
      <c r="S581" s="7">
        <f t="shared" si="2"/>
        <v>0.9513161985</v>
      </c>
      <c r="T581" s="7">
        <f t="shared" si="3"/>
        <v>0.1004987562</v>
      </c>
      <c r="U581" s="7">
        <f t="shared" si="4"/>
        <v>0</v>
      </c>
      <c r="V581" s="7">
        <f t="shared" si="5"/>
        <v>0</v>
      </c>
      <c r="W581" s="7">
        <f t="shared" ref="W581:X581" si="1105">IF(AVERAGE(U521:U580) &gt; 0.25, 1, 0)</f>
        <v>1</v>
      </c>
      <c r="X581" s="7">
        <f t="shared" si="1105"/>
        <v>1</v>
      </c>
      <c r="Y581" s="8">
        <v>1.0</v>
      </c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</row>
    <row r="582" ht="22.5" customHeight="1">
      <c r="B582" s="6">
        <v>581.0</v>
      </c>
      <c r="C582" s="6">
        <v>128759.0</v>
      </c>
      <c r="D582" s="6">
        <v>1.23</v>
      </c>
      <c r="E582" s="6">
        <v>-0.19</v>
      </c>
      <c r="F582" s="6">
        <v>10.68</v>
      </c>
      <c r="G582" s="6">
        <v>-0.1</v>
      </c>
      <c r="H582" s="6">
        <v>0.0</v>
      </c>
      <c r="I582" s="6">
        <v>-0.01</v>
      </c>
      <c r="J582" s="6">
        <v>33.42</v>
      </c>
      <c r="K582" s="7">
        <f t="shared" ref="K582:P582" si="1106">abs(D582-D581)/200</f>
        <v>0.00005</v>
      </c>
      <c r="L582" s="7">
        <f t="shared" si="1106"/>
        <v>0.00005</v>
      </c>
      <c r="M582" s="7">
        <f t="shared" si="1106"/>
        <v>0</v>
      </c>
      <c r="N582" s="7">
        <f t="shared" si="1106"/>
        <v>0</v>
      </c>
      <c r="O582" s="7">
        <f t="shared" si="1106"/>
        <v>0</v>
      </c>
      <c r="P582" s="7">
        <f t="shared" si="1106"/>
        <v>0</v>
      </c>
      <c r="Q582" s="7">
        <f t="shared" si="7"/>
        <v>0</v>
      </c>
      <c r="R582" s="7">
        <f t="shared" si="8"/>
        <v>0.0009579795578</v>
      </c>
      <c r="S582" s="7">
        <f t="shared" si="2"/>
        <v>0.9522741781</v>
      </c>
      <c r="T582" s="7">
        <f t="shared" si="3"/>
        <v>0.1004987562</v>
      </c>
      <c r="U582" s="7">
        <f t="shared" si="4"/>
        <v>0</v>
      </c>
      <c r="V582" s="7">
        <f t="shared" si="5"/>
        <v>0</v>
      </c>
      <c r="W582" s="7">
        <f t="shared" ref="W582:X582" si="1107">IF(AVERAGE(U522:U581) &gt; 0.25, 1, 0)</f>
        <v>1</v>
      </c>
      <c r="X582" s="7">
        <f t="shared" si="1107"/>
        <v>1</v>
      </c>
      <c r="Y582" s="8">
        <v>1.0</v>
      </c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</row>
    <row r="583" ht="22.5" customHeight="1">
      <c r="B583" s="6">
        <v>582.0</v>
      </c>
      <c r="C583" s="6">
        <v>128963.0</v>
      </c>
      <c r="D583" s="6">
        <v>1.22</v>
      </c>
      <c r="E583" s="6">
        <v>-0.2</v>
      </c>
      <c r="F583" s="6">
        <v>10.68</v>
      </c>
      <c r="G583" s="6">
        <v>-0.1</v>
      </c>
      <c r="H583" s="6">
        <v>0.0</v>
      </c>
      <c r="I583" s="6">
        <v>-0.01</v>
      </c>
      <c r="J583" s="6">
        <v>33.41</v>
      </c>
      <c r="K583" s="7">
        <f t="shared" ref="K583:P583" si="1108">abs(D583-D582)/200</f>
        <v>0.00005</v>
      </c>
      <c r="L583" s="7">
        <f t="shared" si="1108"/>
        <v>0.00005</v>
      </c>
      <c r="M583" s="7">
        <f t="shared" si="1108"/>
        <v>0</v>
      </c>
      <c r="N583" s="7">
        <f t="shared" si="1108"/>
        <v>0</v>
      </c>
      <c r="O583" s="7">
        <f t="shared" si="1108"/>
        <v>0</v>
      </c>
      <c r="P583" s="7">
        <f t="shared" si="1108"/>
        <v>0</v>
      </c>
      <c r="Q583" s="7">
        <f t="shared" si="7"/>
        <v>0</v>
      </c>
      <c r="R583" s="7">
        <f t="shared" si="8"/>
        <v>0.0009579795578</v>
      </c>
      <c r="S583" s="7">
        <f t="shared" si="2"/>
        <v>0.9513161985</v>
      </c>
      <c r="T583" s="7">
        <f t="shared" si="3"/>
        <v>0.1004987562</v>
      </c>
      <c r="U583" s="7">
        <f t="shared" si="4"/>
        <v>0</v>
      </c>
      <c r="V583" s="7">
        <f t="shared" si="5"/>
        <v>0</v>
      </c>
      <c r="W583" s="7">
        <f t="shared" ref="W583:X583" si="1109">IF(AVERAGE(U523:U582) &gt; 0.25, 1, 0)</f>
        <v>1</v>
      </c>
      <c r="X583" s="7">
        <f t="shared" si="1109"/>
        <v>1</v>
      </c>
      <c r="Y583" s="8">
        <v>1.0</v>
      </c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</row>
    <row r="584" ht="22.5" customHeight="1">
      <c r="B584" s="6">
        <v>583.0</v>
      </c>
      <c r="C584" s="6">
        <v>129167.0</v>
      </c>
      <c r="D584" s="6">
        <v>1.23</v>
      </c>
      <c r="E584" s="6">
        <v>-0.2</v>
      </c>
      <c r="F584" s="6">
        <v>10.68</v>
      </c>
      <c r="G584" s="6">
        <v>-0.1</v>
      </c>
      <c r="H584" s="6">
        <v>0.0</v>
      </c>
      <c r="I584" s="6">
        <v>-0.01</v>
      </c>
      <c r="J584" s="6">
        <v>33.41</v>
      </c>
      <c r="K584" s="7">
        <f t="shared" ref="K584:P584" si="1110">abs(D584-D583)/200</f>
        <v>0.00005</v>
      </c>
      <c r="L584" s="7">
        <f t="shared" si="1110"/>
        <v>0</v>
      </c>
      <c r="M584" s="7">
        <f t="shared" si="1110"/>
        <v>0</v>
      </c>
      <c r="N584" s="7">
        <f t="shared" si="1110"/>
        <v>0</v>
      </c>
      <c r="O584" s="7">
        <f t="shared" si="1110"/>
        <v>0</v>
      </c>
      <c r="P584" s="7">
        <f t="shared" si="1110"/>
        <v>0</v>
      </c>
      <c r="Q584" s="7">
        <f t="shared" si="7"/>
        <v>0</v>
      </c>
      <c r="R584" s="7">
        <f t="shared" si="8"/>
        <v>0.001139335011</v>
      </c>
      <c r="S584" s="7">
        <f t="shared" si="2"/>
        <v>0.9524555335</v>
      </c>
      <c r="T584" s="7">
        <f t="shared" si="3"/>
        <v>0.1004987562</v>
      </c>
      <c r="U584" s="7">
        <f t="shared" si="4"/>
        <v>0</v>
      </c>
      <c r="V584" s="7">
        <f t="shared" si="5"/>
        <v>0</v>
      </c>
      <c r="W584" s="7">
        <f t="shared" ref="W584:X584" si="1111">IF(AVERAGE(U524:U583) &gt; 0.25, 1, 0)</f>
        <v>1</v>
      </c>
      <c r="X584" s="7">
        <f t="shared" si="1111"/>
        <v>1</v>
      </c>
      <c r="Y584" s="8">
        <v>1.0</v>
      </c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</row>
    <row r="585" ht="22.5" customHeight="1">
      <c r="B585" s="6">
        <v>584.0</v>
      </c>
      <c r="C585" s="6">
        <v>129371.0</v>
      </c>
      <c r="D585" s="6">
        <v>1.23</v>
      </c>
      <c r="E585" s="6">
        <v>-0.21</v>
      </c>
      <c r="F585" s="6">
        <v>10.69</v>
      </c>
      <c r="G585" s="6">
        <v>-0.1</v>
      </c>
      <c r="H585" s="6">
        <v>0.0</v>
      </c>
      <c r="I585" s="6">
        <v>-0.01</v>
      </c>
      <c r="J585" s="6">
        <v>33.42</v>
      </c>
      <c r="K585" s="7">
        <f t="shared" ref="K585:P585" si="1112">abs(D585-D584)/200</f>
        <v>0</v>
      </c>
      <c r="L585" s="7">
        <f t="shared" si="1112"/>
        <v>0.00005</v>
      </c>
      <c r="M585" s="7">
        <f t="shared" si="1112"/>
        <v>0.00005</v>
      </c>
      <c r="N585" s="7">
        <f t="shared" si="1112"/>
        <v>0</v>
      </c>
      <c r="O585" s="7">
        <f t="shared" si="1112"/>
        <v>0</v>
      </c>
      <c r="P585" s="7">
        <f t="shared" si="1112"/>
        <v>0</v>
      </c>
      <c r="Q585" s="7">
        <f t="shared" si="7"/>
        <v>0</v>
      </c>
      <c r="R585" s="7">
        <f t="shared" si="8"/>
        <v>0.01012315378</v>
      </c>
      <c r="S585" s="7">
        <f t="shared" si="2"/>
        <v>0.9625786873</v>
      </c>
      <c r="T585" s="7">
        <f t="shared" si="3"/>
        <v>0.1004987562</v>
      </c>
      <c r="U585" s="7">
        <f t="shared" si="4"/>
        <v>0</v>
      </c>
      <c r="V585" s="7">
        <f t="shared" si="5"/>
        <v>0</v>
      </c>
      <c r="W585" s="7">
        <f t="shared" ref="W585:X585" si="1113">IF(AVERAGE(U525:U584) &gt; 0.25, 1, 0)</f>
        <v>1</v>
      </c>
      <c r="X585" s="7">
        <f t="shared" si="1113"/>
        <v>1</v>
      </c>
      <c r="Y585" s="8">
        <v>1.0</v>
      </c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</row>
    <row r="586" ht="22.5" customHeight="1">
      <c r="B586" s="6">
        <v>585.0</v>
      </c>
      <c r="C586" s="6">
        <v>129575.0</v>
      </c>
      <c r="D586" s="6">
        <v>1.23</v>
      </c>
      <c r="E586" s="6">
        <v>-0.2</v>
      </c>
      <c r="F586" s="6">
        <v>10.68</v>
      </c>
      <c r="G586" s="6">
        <v>-0.1</v>
      </c>
      <c r="H586" s="6">
        <v>0.0</v>
      </c>
      <c r="I586" s="6">
        <v>-0.01</v>
      </c>
      <c r="J586" s="6">
        <v>33.42</v>
      </c>
      <c r="K586" s="7">
        <f t="shared" ref="K586:P586" si="1114">abs(D586-D585)/200</f>
        <v>0</v>
      </c>
      <c r="L586" s="7">
        <f t="shared" si="1114"/>
        <v>0.00005</v>
      </c>
      <c r="M586" s="7">
        <f t="shared" si="1114"/>
        <v>0.00005</v>
      </c>
      <c r="N586" s="7">
        <f t="shared" si="1114"/>
        <v>0</v>
      </c>
      <c r="O586" s="7">
        <f t="shared" si="1114"/>
        <v>0</v>
      </c>
      <c r="P586" s="7">
        <f t="shared" si="1114"/>
        <v>0</v>
      </c>
      <c r="Q586" s="7">
        <f t="shared" si="7"/>
        <v>0</v>
      </c>
      <c r="R586" s="7">
        <f t="shared" si="8"/>
        <v>0.01012315378</v>
      </c>
      <c r="S586" s="7">
        <f t="shared" si="2"/>
        <v>0.9524555335</v>
      </c>
      <c r="T586" s="7">
        <f t="shared" si="3"/>
        <v>0.1004987562</v>
      </c>
      <c r="U586" s="7">
        <f t="shared" si="4"/>
        <v>0</v>
      </c>
      <c r="V586" s="7">
        <f t="shared" si="5"/>
        <v>0</v>
      </c>
      <c r="W586" s="7">
        <f t="shared" ref="W586:X586" si="1115">IF(AVERAGE(U526:U585) &gt; 0.25, 1, 0)</f>
        <v>1</v>
      </c>
      <c r="X586" s="7">
        <f t="shared" si="1115"/>
        <v>1</v>
      </c>
      <c r="Y586" s="8">
        <v>1.0</v>
      </c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</row>
    <row r="587" ht="22.5" customHeight="1">
      <c r="B587" s="6">
        <v>586.0</v>
      </c>
      <c r="C587" s="6">
        <v>129779.0</v>
      </c>
      <c r="D587" s="6">
        <v>1.23</v>
      </c>
      <c r="E587" s="6">
        <v>-0.21</v>
      </c>
      <c r="F587" s="6">
        <v>10.68</v>
      </c>
      <c r="G587" s="6">
        <v>-0.1</v>
      </c>
      <c r="H587" s="6">
        <v>0.0</v>
      </c>
      <c r="I587" s="6">
        <v>-0.01</v>
      </c>
      <c r="J587" s="6">
        <v>33.41</v>
      </c>
      <c r="K587" s="7">
        <f t="shared" ref="K587:P587" si="1116">abs(D587-D586)/200</f>
        <v>0</v>
      </c>
      <c r="L587" s="7">
        <f t="shared" si="1116"/>
        <v>0.00005</v>
      </c>
      <c r="M587" s="7">
        <f t="shared" si="1116"/>
        <v>0</v>
      </c>
      <c r="N587" s="7">
        <f t="shared" si="1116"/>
        <v>0</v>
      </c>
      <c r="O587" s="7">
        <f t="shared" si="1116"/>
        <v>0</v>
      </c>
      <c r="P587" s="7">
        <f t="shared" si="1116"/>
        <v>0</v>
      </c>
      <c r="Q587" s="7">
        <f t="shared" si="7"/>
        <v>0</v>
      </c>
      <c r="R587" s="7">
        <f t="shared" si="8"/>
        <v>0.0001906524346</v>
      </c>
      <c r="S587" s="7">
        <f t="shared" si="2"/>
        <v>0.9526461859</v>
      </c>
      <c r="T587" s="7">
        <f t="shared" si="3"/>
        <v>0.1004987562</v>
      </c>
      <c r="U587" s="7">
        <f t="shared" si="4"/>
        <v>0</v>
      </c>
      <c r="V587" s="7">
        <f t="shared" si="5"/>
        <v>0</v>
      </c>
      <c r="W587" s="7">
        <f t="shared" ref="W587:X587" si="1117">IF(AVERAGE(U527:U586) &gt; 0.25, 1, 0)</f>
        <v>1</v>
      </c>
      <c r="X587" s="7">
        <f t="shared" si="1117"/>
        <v>1</v>
      </c>
      <c r="Y587" s="8">
        <v>1.0</v>
      </c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</row>
    <row r="588" ht="22.5" customHeight="1">
      <c r="B588" s="6">
        <v>587.0</v>
      </c>
      <c r="C588" s="6">
        <v>129983.0</v>
      </c>
      <c r="D588" s="6">
        <v>1.22</v>
      </c>
      <c r="E588" s="6">
        <v>-0.2</v>
      </c>
      <c r="F588" s="6">
        <v>10.67</v>
      </c>
      <c r="G588" s="6">
        <v>-0.1</v>
      </c>
      <c r="H588" s="6">
        <v>0.0</v>
      </c>
      <c r="I588" s="6">
        <v>-0.01</v>
      </c>
      <c r="J588" s="6">
        <v>33.42</v>
      </c>
      <c r="K588" s="7">
        <f t="shared" ref="K588:P588" si="1118">abs(D588-D587)/200</f>
        <v>0.00005</v>
      </c>
      <c r="L588" s="7">
        <f t="shared" si="1118"/>
        <v>0.00005</v>
      </c>
      <c r="M588" s="7">
        <f t="shared" si="1118"/>
        <v>0.00005</v>
      </c>
      <c r="N588" s="7">
        <f t="shared" si="1118"/>
        <v>0</v>
      </c>
      <c r="O588" s="7">
        <f t="shared" si="1118"/>
        <v>0</v>
      </c>
      <c r="P588" s="7">
        <f t="shared" si="1118"/>
        <v>0</v>
      </c>
      <c r="Q588" s="7">
        <f t="shared" si="7"/>
        <v>0</v>
      </c>
      <c r="R588" s="7">
        <f t="shared" si="8"/>
        <v>0.01126359337</v>
      </c>
      <c r="S588" s="7">
        <f t="shared" si="2"/>
        <v>0.9413825926</v>
      </c>
      <c r="T588" s="7">
        <f t="shared" si="3"/>
        <v>0.1004987562</v>
      </c>
      <c r="U588" s="7">
        <f t="shared" si="4"/>
        <v>0</v>
      </c>
      <c r="V588" s="7">
        <f t="shared" si="5"/>
        <v>0</v>
      </c>
      <c r="W588" s="7">
        <f t="shared" ref="W588:X588" si="1119">IF(AVERAGE(U528:U587) &gt; 0.25, 1, 0)</f>
        <v>1</v>
      </c>
      <c r="X588" s="7">
        <f t="shared" si="1119"/>
        <v>1</v>
      </c>
      <c r="Y588" s="8">
        <v>1.0</v>
      </c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</row>
    <row r="589" ht="22.5" customHeight="1">
      <c r="B589" s="6">
        <v>588.0</v>
      </c>
      <c r="C589" s="6">
        <v>130187.0</v>
      </c>
      <c r="D589" s="6">
        <v>1.23</v>
      </c>
      <c r="E589" s="6">
        <v>-0.2</v>
      </c>
      <c r="F589" s="6">
        <v>10.67</v>
      </c>
      <c r="G589" s="6">
        <v>-0.1</v>
      </c>
      <c r="H589" s="6">
        <v>0.0</v>
      </c>
      <c r="I589" s="6">
        <v>-0.01</v>
      </c>
      <c r="J589" s="6">
        <v>33.42</v>
      </c>
      <c r="K589" s="7">
        <f t="shared" ref="K589:P589" si="1120">abs(D589-D588)/200</f>
        <v>0.00005</v>
      </c>
      <c r="L589" s="7">
        <f t="shared" si="1120"/>
        <v>0</v>
      </c>
      <c r="M589" s="7">
        <f t="shared" si="1120"/>
        <v>0</v>
      </c>
      <c r="N589" s="7">
        <f t="shared" si="1120"/>
        <v>0</v>
      </c>
      <c r="O589" s="7">
        <f t="shared" si="1120"/>
        <v>0</v>
      </c>
      <c r="P589" s="7">
        <f t="shared" si="1120"/>
        <v>0</v>
      </c>
      <c r="Q589" s="7">
        <f t="shared" si="7"/>
        <v>0</v>
      </c>
      <c r="R589" s="7">
        <f t="shared" si="8"/>
        <v>0.001140388553</v>
      </c>
      <c r="S589" s="7">
        <f t="shared" si="2"/>
        <v>0.9425229811</v>
      </c>
      <c r="T589" s="7">
        <f t="shared" si="3"/>
        <v>0.1004987562</v>
      </c>
      <c r="U589" s="7">
        <f t="shared" si="4"/>
        <v>0</v>
      </c>
      <c r="V589" s="7">
        <f t="shared" si="5"/>
        <v>0</v>
      </c>
      <c r="W589" s="7">
        <f t="shared" ref="W589:X589" si="1121">IF(AVERAGE(U529:U588) &gt; 0.25, 1, 0)</f>
        <v>1</v>
      </c>
      <c r="X589" s="7">
        <f t="shared" si="1121"/>
        <v>1</v>
      </c>
      <c r="Y589" s="8">
        <v>1.0</v>
      </c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</row>
    <row r="590" ht="22.5" customHeight="1">
      <c r="B590" s="6">
        <v>589.0</v>
      </c>
      <c r="C590" s="6">
        <v>130391.0</v>
      </c>
      <c r="D590" s="6">
        <v>1.22</v>
      </c>
      <c r="E590" s="6">
        <v>-0.2</v>
      </c>
      <c r="F590" s="6">
        <v>10.69</v>
      </c>
      <c r="G590" s="6">
        <v>-0.1</v>
      </c>
      <c r="H590" s="6">
        <v>0.0</v>
      </c>
      <c r="I590" s="6">
        <v>-0.01</v>
      </c>
      <c r="J590" s="6">
        <v>33.42</v>
      </c>
      <c r="K590" s="7">
        <f t="shared" ref="K590:P590" si="1122">abs(D590-D589)/200</f>
        <v>0.00005</v>
      </c>
      <c r="L590" s="7">
        <f t="shared" si="1122"/>
        <v>0</v>
      </c>
      <c r="M590" s="7">
        <f t="shared" si="1122"/>
        <v>0.0001</v>
      </c>
      <c r="N590" s="7">
        <f t="shared" si="1122"/>
        <v>0</v>
      </c>
      <c r="O590" s="7">
        <f t="shared" si="1122"/>
        <v>0</v>
      </c>
      <c r="P590" s="7">
        <f t="shared" si="1122"/>
        <v>0</v>
      </c>
      <c r="Q590" s="7">
        <f t="shared" si="7"/>
        <v>0</v>
      </c>
      <c r="R590" s="7">
        <f t="shared" si="8"/>
        <v>0.01872694628</v>
      </c>
      <c r="S590" s="7">
        <f t="shared" si="2"/>
        <v>0.9612499274</v>
      </c>
      <c r="T590" s="7">
        <f t="shared" si="3"/>
        <v>0.1004987562</v>
      </c>
      <c r="U590" s="7">
        <f t="shared" si="4"/>
        <v>0</v>
      </c>
      <c r="V590" s="7">
        <f t="shared" si="5"/>
        <v>0</v>
      </c>
      <c r="W590" s="7">
        <f t="shared" ref="W590:X590" si="1123">IF(AVERAGE(U530:U589) &gt; 0.25, 1, 0)</f>
        <v>1</v>
      </c>
      <c r="X590" s="7">
        <f t="shared" si="1123"/>
        <v>1</v>
      </c>
      <c r="Y590" s="8">
        <v>1.0</v>
      </c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</row>
    <row r="591" ht="22.5" customHeight="1">
      <c r="B591" s="6">
        <v>590.0</v>
      </c>
      <c r="C591" s="6">
        <v>130595.0</v>
      </c>
      <c r="D591" s="6">
        <v>1.22</v>
      </c>
      <c r="E591" s="6">
        <v>-0.21</v>
      </c>
      <c r="F591" s="6">
        <v>10.68</v>
      </c>
      <c r="G591" s="6">
        <v>-0.1</v>
      </c>
      <c r="H591" s="6">
        <v>0.0</v>
      </c>
      <c r="I591" s="6">
        <v>-0.01</v>
      </c>
      <c r="J591" s="6">
        <v>33.41</v>
      </c>
      <c r="K591" s="7">
        <f t="shared" ref="K591:P591" si="1124">abs(D591-D590)/200</f>
        <v>0</v>
      </c>
      <c r="L591" s="7">
        <f t="shared" si="1124"/>
        <v>0.00005</v>
      </c>
      <c r="M591" s="7">
        <f t="shared" si="1124"/>
        <v>0.00005</v>
      </c>
      <c r="N591" s="7">
        <f t="shared" si="1124"/>
        <v>0</v>
      </c>
      <c r="O591" s="7">
        <f t="shared" si="1124"/>
        <v>0</v>
      </c>
      <c r="P591" s="7">
        <f t="shared" si="1124"/>
        <v>0</v>
      </c>
      <c r="Q591" s="7">
        <f t="shared" si="7"/>
        <v>0</v>
      </c>
      <c r="R591" s="7">
        <f t="shared" si="8"/>
        <v>0.009743056269</v>
      </c>
      <c r="S591" s="7">
        <f t="shared" si="2"/>
        <v>0.9515068711</v>
      </c>
      <c r="T591" s="7">
        <f t="shared" si="3"/>
        <v>0.1004987562</v>
      </c>
      <c r="U591" s="7">
        <f t="shared" si="4"/>
        <v>0</v>
      </c>
      <c r="V591" s="7">
        <f t="shared" si="5"/>
        <v>0</v>
      </c>
      <c r="W591" s="7">
        <f t="shared" ref="W591:X591" si="1125">IF(AVERAGE(U531:U590) &gt; 0.25, 1, 0)</f>
        <v>1</v>
      </c>
      <c r="X591" s="7">
        <f t="shared" si="1125"/>
        <v>1</v>
      </c>
      <c r="Y591" s="8">
        <v>1.0</v>
      </c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</row>
    <row r="592" ht="22.5" customHeight="1">
      <c r="B592" s="6">
        <v>591.0</v>
      </c>
      <c r="C592" s="6">
        <v>130799.0</v>
      </c>
      <c r="D592" s="6">
        <v>1.22</v>
      </c>
      <c r="E592" s="6">
        <v>-0.2</v>
      </c>
      <c r="F592" s="6">
        <v>10.66</v>
      </c>
      <c r="G592" s="6">
        <v>-0.1</v>
      </c>
      <c r="H592" s="6">
        <v>0.0</v>
      </c>
      <c r="I592" s="6">
        <v>-0.01</v>
      </c>
      <c r="J592" s="6">
        <v>33.41</v>
      </c>
      <c r="K592" s="7">
        <f t="shared" ref="K592:P592" si="1126">abs(D592-D591)/200</f>
        <v>0</v>
      </c>
      <c r="L592" s="7">
        <f t="shared" si="1126"/>
        <v>0.00005</v>
      </c>
      <c r="M592" s="7">
        <f t="shared" si="1126"/>
        <v>0.0001</v>
      </c>
      <c r="N592" s="7">
        <f t="shared" si="1126"/>
        <v>0</v>
      </c>
      <c r="O592" s="7">
        <f t="shared" si="1126"/>
        <v>0</v>
      </c>
      <c r="P592" s="7">
        <f t="shared" si="1126"/>
        <v>0</v>
      </c>
      <c r="Q592" s="7">
        <f t="shared" si="7"/>
        <v>0</v>
      </c>
      <c r="R592" s="7">
        <f t="shared" si="8"/>
        <v>0.02005776116</v>
      </c>
      <c r="S592" s="7">
        <f t="shared" si="2"/>
        <v>0.93144911</v>
      </c>
      <c r="T592" s="7">
        <f t="shared" si="3"/>
        <v>0.1004987562</v>
      </c>
      <c r="U592" s="7">
        <f t="shared" si="4"/>
        <v>0</v>
      </c>
      <c r="V592" s="7">
        <f t="shared" si="5"/>
        <v>0</v>
      </c>
      <c r="W592" s="7">
        <f t="shared" ref="W592:X592" si="1127">IF(AVERAGE(U532:U591) &gt; 0.25, 1, 0)</f>
        <v>1</v>
      </c>
      <c r="X592" s="7">
        <f t="shared" si="1127"/>
        <v>1</v>
      </c>
      <c r="Y592" s="8">
        <v>1.0</v>
      </c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</row>
    <row r="593" ht="22.5" customHeight="1">
      <c r="B593" s="6">
        <v>592.0</v>
      </c>
      <c r="C593" s="6">
        <v>131003.0</v>
      </c>
      <c r="D593" s="6">
        <v>1.23</v>
      </c>
      <c r="E593" s="6">
        <v>-0.2</v>
      </c>
      <c r="F593" s="6">
        <v>10.67</v>
      </c>
      <c r="G593" s="6">
        <v>-0.1</v>
      </c>
      <c r="H593" s="6">
        <v>0.0</v>
      </c>
      <c r="I593" s="6">
        <v>-0.01</v>
      </c>
      <c r="J593" s="6">
        <v>33.42</v>
      </c>
      <c r="K593" s="7">
        <f t="shared" ref="K593:P593" si="1128">abs(D593-D592)/200</f>
        <v>0.00005</v>
      </c>
      <c r="L593" s="7">
        <f t="shared" si="1128"/>
        <v>0</v>
      </c>
      <c r="M593" s="7">
        <f t="shared" si="1128"/>
        <v>0.00005</v>
      </c>
      <c r="N593" s="7">
        <f t="shared" si="1128"/>
        <v>0</v>
      </c>
      <c r="O593" s="7">
        <f t="shared" si="1128"/>
        <v>0</v>
      </c>
      <c r="P593" s="7">
        <f t="shared" si="1128"/>
        <v>0</v>
      </c>
      <c r="Q593" s="7">
        <f t="shared" si="7"/>
        <v>0</v>
      </c>
      <c r="R593" s="7">
        <f t="shared" si="8"/>
        <v>0.01107387115</v>
      </c>
      <c r="S593" s="7">
        <f t="shared" si="2"/>
        <v>0.9425229811</v>
      </c>
      <c r="T593" s="7">
        <f t="shared" si="3"/>
        <v>0.1004987562</v>
      </c>
      <c r="U593" s="7">
        <f t="shared" si="4"/>
        <v>0</v>
      </c>
      <c r="V593" s="7">
        <f t="shared" si="5"/>
        <v>0</v>
      </c>
      <c r="W593" s="7">
        <f t="shared" ref="W593:X593" si="1129">IF(AVERAGE(U533:U592) &gt; 0.25, 1, 0)</f>
        <v>1</v>
      </c>
      <c r="X593" s="7">
        <f t="shared" si="1129"/>
        <v>1</v>
      </c>
      <c r="Y593" s="8">
        <v>1.0</v>
      </c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</row>
    <row r="594" ht="22.5" customHeight="1">
      <c r="B594" s="6">
        <v>593.0</v>
      </c>
      <c r="C594" s="6">
        <v>131207.0</v>
      </c>
      <c r="D594" s="6">
        <v>1.23</v>
      </c>
      <c r="E594" s="6">
        <v>-0.2</v>
      </c>
      <c r="F594" s="6">
        <v>10.66</v>
      </c>
      <c r="G594" s="6">
        <v>-0.1</v>
      </c>
      <c r="H594" s="6">
        <v>0.0</v>
      </c>
      <c r="I594" s="6">
        <v>-0.01</v>
      </c>
      <c r="J594" s="6">
        <v>33.42</v>
      </c>
      <c r="K594" s="7">
        <f t="shared" ref="K594:P594" si="1130">abs(D594-D593)/200</f>
        <v>0</v>
      </c>
      <c r="L594" s="7">
        <f t="shared" si="1130"/>
        <v>0</v>
      </c>
      <c r="M594" s="7">
        <f t="shared" si="1130"/>
        <v>0.00005</v>
      </c>
      <c r="N594" s="7">
        <f t="shared" si="1130"/>
        <v>0</v>
      </c>
      <c r="O594" s="7">
        <f t="shared" si="1130"/>
        <v>0</v>
      </c>
      <c r="P594" s="7">
        <f t="shared" si="1130"/>
        <v>0</v>
      </c>
      <c r="Q594" s="7">
        <f t="shared" si="7"/>
        <v>0</v>
      </c>
      <c r="R594" s="7">
        <f t="shared" si="8"/>
        <v>0.009932427116</v>
      </c>
      <c r="S594" s="7">
        <f t="shared" si="2"/>
        <v>0.932590554</v>
      </c>
      <c r="T594" s="7">
        <f t="shared" si="3"/>
        <v>0.1004987562</v>
      </c>
      <c r="U594" s="7">
        <f t="shared" si="4"/>
        <v>0</v>
      </c>
      <c r="V594" s="7">
        <f t="shared" si="5"/>
        <v>0</v>
      </c>
      <c r="W594" s="7">
        <f t="shared" ref="W594:X594" si="1131">IF(AVERAGE(U534:U593) &gt; 0.25, 1, 0)</f>
        <v>1</v>
      </c>
      <c r="X594" s="7">
        <f t="shared" si="1131"/>
        <v>1</v>
      </c>
      <c r="Y594" s="8">
        <v>1.0</v>
      </c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</row>
    <row r="595" ht="22.5" customHeight="1">
      <c r="B595" s="6">
        <v>594.0</v>
      </c>
      <c r="C595" s="6">
        <v>131411.0</v>
      </c>
      <c r="D595" s="6">
        <v>1.22</v>
      </c>
      <c r="E595" s="6">
        <v>-0.2</v>
      </c>
      <c r="F595" s="6">
        <v>10.67</v>
      </c>
      <c r="G595" s="6">
        <v>-0.1</v>
      </c>
      <c r="H595" s="6">
        <v>0.0</v>
      </c>
      <c r="I595" s="6">
        <v>-0.01</v>
      </c>
      <c r="J595" s="6">
        <v>33.41</v>
      </c>
      <c r="K595" s="7">
        <f t="shared" ref="K595:P595" si="1132">abs(D595-D594)/200</f>
        <v>0.00005</v>
      </c>
      <c r="L595" s="7">
        <f t="shared" si="1132"/>
        <v>0</v>
      </c>
      <c r="M595" s="7">
        <f t="shared" si="1132"/>
        <v>0.00005</v>
      </c>
      <c r="N595" s="7">
        <f t="shared" si="1132"/>
        <v>0</v>
      </c>
      <c r="O595" s="7">
        <f t="shared" si="1132"/>
        <v>0</v>
      </c>
      <c r="P595" s="7">
        <f t="shared" si="1132"/>
        <v>0</v>
      </c>
      <c r="Q595" s="7">
        <f t="shared" si="7"/>
        <v>0</v>
      </c>
      <c r="R595" s="7">
        <f t="shared" si="8"/>
        <v>0.008792038563</v>
      </c>
      <c r="S595" s="7">
        <f t="shared" si="2"/>
        <v>0.9413825926</v>
      </c>
      <c r="T595" s="7">
        <f t="shared" si="3"/>
        <v>0.1004987562</v>
      </c>
      <c r="U595" s="7">
        <f t="shared" si="4"/>
        <v>0</v>
      </c>
      <c r="V595" s="7">
        <f t="shared" si="5"/>
        <v>0</v>
      </c>
      <c r="W595" s="7">
        <f t="shared" ref="W595:X595" si="1133">IF(AVERAGE(U535:U594) &gt; 0.25, 1, 0)</f>
        <v>1</v>
      </c>
      <c r="X595" s="7">
        <f t="shared" si="1133"/>
        <v>1</v>
      </c>
      <c r="Y595" s="8">
        <v>1.0</v>
      </c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</row>
    <row r="596" ht="22.5" customHeight="1">
      <c r="B596" s="6">
        <v>595.0</v>
      </c>
      <c r="C596" s="6">
        <v>131615.0</v>
      </c>
      <c r="D596" s="6">
        <v>1.22</v>
      </c>
      <c r="E596" s="6">
        <v>-0.21</v>
      </c>
      <c r="F596" s="6">
        <v>10.68</v>
      </c>
      <c r="G596" s="6">
        <v>-0.1</v>
      </c>
      <c r="H596" s="6">
        <v>0.0</v>
      </c>
      <c r="I596" s="6">
        <v>-0.01</v>
      </c>
      <c r="J596" s="6">
        <v>33.42</v>
      </c>
      <c r="K596" s="7">
        <f t="shared" ref="K596:P596" si="1134">abs(D596-D595)/200</f>
        <v>0</v>
      </c>
      <c r="L596" s="7">
        <f t="shared" si="1134"/>
        <v>0.00005</v>
      </c>
      <c r="M596" s="7">
        <f t="shared" si="1134"/>
        <v>0.00005</v>
      </c>
      <c r="N596" s="7">
        <f t="shared" si="1134"/>
        <v>0</v>
      </c>
      <c r="O596" s="7">
        <f t="shared" si="1134"/>
        <v>0</v>
      </c>
      <c r="P596" s="7">
        <f t="shared" si="1134"/>
        <v>0</v>
      </c>
      <c r="Q596" s="7">
        <f t="shared" si="7"/>
        <v>0</v>
      </c>
      <c r="R596" s="7">
        <f t="shared" si="8"/>
        <v>0.01012427856</v>
      </c>
      <c r="S596" s="7">
        <f t="shared" si="2"/>
        <v>0.9515068711</v>
      </c>
      <c r="T596" s="7">
        <f t="shared" si="3"/>
        <v>0.1004987562</v>
      </c>
      <c r="U596" s="7">
        <f t="shared" si="4"/>
        <v>0</v>
      </c>
      <c r="V596" s="7">
        <f t="shared" si="5"/>
        <v>0</v>
      </c>
      <c r="W596" s="7">
        <f t="shared" ref="W596:X596" si="1135">IF(AVERAGE(U536:U595) &gt; 0.25, 1, 0)</f>
        <v>1</v>
      </c>
      <c r="X596" s="7">
        <f t="shared" si="1135"/>
        <v>1</v>
      </c>
      <c r="Y596" s="8">
        <v>1.0</v>
      </c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</row>
    <row r="597" ht="22.5" customHeight="1">
      <c r="B597" s="6">
        <v>596.0</v>
      </c>
      <c r="C597" s="6">
        <v>131819.0</v>
      </c>
      <c r="D597" s="6">
        <v>1.22</v>
      </c>
      <c r="E597" s="6">
        <v>-0.2</v>
      </c>
      <c r="F597" s="6">
        <v>10.69</v>
      </c>
      <c r="G597" s="6">
        <v>-0.1</v>
      </c>
      <c r="H597" s="6">
        <v>0.0</v>
      </c>
      <c r="I597" s="6">
        <v>-0.01</v>
      </c>
      <c r="J597" s="6">
        <v>33.4</v>
      </c>
      <c r="K597" s="7">
        <f t="shared" ref="K597:P597" si="1136">abs(D597-D596)/200</f>
        <v>0</v>
      </c>
      <c r="L597" s="7">
        <f t="shared" si="1136"/>
        <v>0.00005</v>
      </c>
      <c r="M597" s="7">
        <f t="shared" si="1136"/>
        <v>0.00005</v>
      </c>
      <c r="N597" s="7">
        <f t="shared" si="1136"/>
        <v>0</v>
      </c>
      <c r="O597" s="7">
        <f t="shared" si="1136"/>
        <v>0</v>
      </c>
      <c r="P597" s="7">
        <f t="shared" si="1136"/>
        <v>0</v>
      </c>
      <c r="Q597" s="7">
        <f t="shared" si="7"/>
        <v>0</v>
      </c>
      <c r="R597" s="7">
        <f t="shared" si="8"/>
        <v>0.009743056269</v>
      </c>
      <c r="S597" s="7">
        <f t="shared" si="2"/>
        <v>0.9612499274</v>
      </c>
      <c r="T597" s="7">
        <f t="shared" si="3"/>
        <v>0.1004987562</v>
      </c>
      <c r="U597" s="7">
        <f t="shared" si="4"/>
        <v>0</v>
      </c>
      <c r="V597" s="7">
        <f t="shared" si="5"/>
        <v>0</v>
      </c>
      <c r="W597" s="7">
        <f t="shared" ref="W597:X597" si="1137">IF(AVERAGE(U537:U596) &gt; 0.25, 1, 0)</f>
        <v>1</v>
      </c>
      <c r="X597" s="7">
        <f t="shared" si="1137"/>
        <v>1</v>
      </c>
      <c r="Y597" s="8">
        <v>1.0</v>
      </c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</row>
    <row r="598" ht="22.5" customHeight="1">
      <c r="B598" s="6">
        <v>597.0</v>
      </c>
      <c r="C598" s="6">
        <v>132023.0</v>
      </c>
      <c r="D598" s="6">
        <v>1.23</v>
      </c>
      <c r="E598" s="6">
        <v>-0.19</v>
      </c>
      <c r="F598" s="6">
        <v>10.69</v>
      </c>
      <c r="G598" s="6">
        <v>-0.1</v>
      </c>
      <c r="H598" s="6">
        <v>0.0</v>
      </c>
      <c r="I598" s="6">
        <v>-0.01</v>
      </c>
      <c r="J598" s="6">
        <v>33.4</v>
      </c>
      <c r="K598" s="7">
        <f t="shared" ref="K598:P598" si="1138">abs(D598-D597)/200</f>
        <v>0.00005</v>
      </c>
      <c r="L598" s="7">
        <f t="shared" si="1138"/>
        <v>0.00005</v>
      </c>
      <c r="M598" s="7">
        <f t="shared" si="1138"/>
        <v>0</v>
      </c>
      <c r="N598" s="7">
        <f t="shared" si="1138"/>
        <v>0</v>
      </c>
      <c r="O598" s="7">
        <f t="shared" si="1138"/>
        <v>0</v>
      </c>
      <c r="P598" s="7">
        <f t="shared" si="1138"/>
        <v>0</v>
      </c>
      <c r="Q598" s="7">
        <f t="shared" si="7"/>
        <v>0</v>
      </c>
      <c r="R598" s="7">
        <f t="shared" si="8"/>
        <v>0.0009570953238</v>
      </c>
      <c r="S598" s="7">
        <f t="shared" si="2"/>
        <v>0.9622070227</v>
      </c>
      <c r="T598" s="7">
        <f t="shared" si="3"/>
        <v>0.1004987562</v>
      </c>
      <c r="U598" s="7">
        <f t="shared" si="4"/>
        <v>0</v>
      </c>
      <c r="V598" s="7">
        <f t="shared" si="5"/>
        <v>0</v>
      </c>
      <c r="W598" s="7">
        <f t="shared" ref="W598:X598" si="1139">IF(AVERAGE(U538:U597) &gt; 0.25, 1, 0)</f>
        <v>1</v>
      </c>
      <c r="X598" s="7">
        <f t="shared" si="1139"/>
        <v>1</v>
      </c>
      <c r="Y598" s="8">
        <v>1.0</v>
      </c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</row>
    <row r="599" ht="22.5" customHeight="1">
      <c r="B599" s="6">
        <v>598.0</v>
      </c>
      <c r="C599" s="6">
        <v>132227.0</v>
      </c>
      <c r="D599" s="6">
        <v>1.23</v>
      </c>
      <c r="E599" s="6">
        <v>-0.2</v>
      </c>
      <c r="F599" s="6">
        <v>10.69</v>
      </c>
      <c r="G599" s="6">
        <v>-0.1</v>
      </c>
      <c r="H599" s="6">
        <v>0.0</v>
      </c>
      <c r="I599" s="6">
        <v>-0.01</v>
      </c>
      <c r="J599" s="6">
        <v>33.39</v>
      </c>
      <c r="K599" s="7">
        <f t="shared" ref="K599:P599" si="1140">abs(D599-D598)/200</f>
        <v>0</v>
      </c>
      <c r="L599" s="7">
        <f t="shared" si="1140"/>
        <v>0.00005</v>
      </c>
      <c r="M599" s="7">
        <f t="shared" si="1140"/>
        <v>0</v>
      </c>
      <c r="N599" s="7">
        <f t="shared" si="1140"/>
        <v>0</v>
      </c>
      <c r="O599" s="7">
        <f t="shared" si="1140"/>
        <v>0</v>
      </c>
      <c r="P599" s="7">
        <f t="shared" si="1140"/>
        <v>0</v>
      </c>
      <c r="Q599" s="7">
        <f t="shared" si="7"/>
        <v>0</v>
      </c>
      <c r="R599" s="7">
        <f t="shared" si="8"/>
        <v>0.0001811880761</v>
      </c>
      <c r="S599" s="7">
        <f t="shared" si="2"/>
        <v>0.9623882108</v>
      </c>
      <c r="T599" s="7">
        <f t="shared" si="3"/>
        <v>0.1004987562</v>
      </c>
      <c r="U599" s="7">
        <f t="shared" si="4"/>
        <v>0</v>
      </c>
      <c r="V599" s="7">
        <f t="shared" si="5"/>
        <v>0</v>
      </c>
      <c r="W599" s="7">
        <f t="shared" ref="W599:X599" si="1141">IF(AVERAGE(U539:U598) &gt; 0.25, 1, 0)</f>
        <v>1</v>
      </c>
      <c r="X599" s="7">
        <f t="shared" si="1141"/>
        <v>1</v>
      </c>
      <c r="Y599" s="8">
        <v>1.0</v>
      </c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</row>
    <row r="600" ht="22.5" customHeight="1">
      <c r="B600" s="6">
        <v>599.0</v>
      </c>
      <c r="C600" s="6">
        <v>132431.0</v>
      </c>
      <c r="D600" s="6">
        <v>1.22</v>
      </c>
      <c r="E600" s="6">
        <v>-0.21</v>
      </c>
      <c r="F600" s="6">
        <v>10.68</v>
      </c>
      <c r="G600" s="6">
        <v>-0.1</v>
      </c>
      <c r="H600" s="6">
        <v>0.0</v>
      </c>
      <c r="I600" s="6">
        <v>-0.01</v>
      </c>
      <c r="J600" s="6">
        <v>33.39</v>
      </c>
      <c r="K600" s="7">
        <f t="shared" ref="K600:P600" si="1142">abs(D600-D599)/200</f>
        <v>0.00005</v>
      </c>
      <c r="L600" s="7">
        <f t="shared" si="1142"/>
        <v>0.00005</v>
      </c>
      <c r="M600" s="7">
        <f t="shared" si="1142"/>
        <v>0.00005</v>
      </c>
      <c r="N600" s="7">
        <f t="shared" si="1142"/>
        <v>0</v>
      </c>
      <c r="O600" s="7">
        <f t="shared" si="1142"/>
        <v>0</v>
      </c>
      <c r="P600" s="7">
        <f t="shared" si="1142"/>
        <v>0</v>
      </c>
      <c r="Q600" s="7">
        <f t="shared" si="7"/>
        <v>0</v>
      </c>
      <c r="R600" s="7">
        <f t="shared" si="8"/>
        <v>0.01088133967</v>
      </c>
      <c r="S600" s="7">
        <f t="shared" si="2"/>
        <v>0.9515068711</v>
      </c>
      <c r="T600" s="7">
        <f t="shared" si="3"/>
        <v>0.1004987562</v>
      </c>
      <c r="U600" s="7">
        <f t="shared" si="4"/>
        <v>0</v>
      </c>
      <c r="V600" s="7">
        <f t="shared" si="5"/>
        <v>0</v>
      </c>
      <c r="W600" s="7">
        <f t="shared" ref="W600:X600" si="1143">IF(AVERAGE(U540:U599) &gt; 0.25, 1, 0)</f>
        <v>1</v>
      </c>
      <c r="X600" s="7">
        <f t="shared" si="1143"/>
        <v>1</v>
      </c>
      <c r="Y600" s="8">
        <v>1.0</v>
      </c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</row>
    <row r="601" ht="22.5" customHeight="1">
      <c r="B601" s="6">
        <v>600.0</v>
      </c>
      <c r="C601" s="6">
        <v>132635.0</v>
      </c>
      <c r="D601" s="6">
        <v>1.23</v>
      </c>
      <c r="E601" s="6">
        <v>-0.21</v>
      </c>
      <c r="F601" s="6">
        <v>10.69</v>
      </c>
      <c r="G601" s="6">
        <v>-0.1</v>
      </c>
      <c r="H601" s="6">
        <v>0.0</v>
      </c>
      <c r="I601" s="6">
        <v>-0.01</v>
      </c>
      <c r="J601" s="6">
        <v>33.39</v>
      </c>
      <c r="K601" s="7">
        <f t="shared" ref="K601:P601" si="1144">abs(D601-D600)/200</f>
        <v>0.00005</v>
      </c>
      <c r="L601" s="7">
        <f t="shared" si="1144"/>
        <v>0</v>
      </c>
      <c r="M601" s="7">
        <f t="shared" si="1144"/>
        <v>0.00005</v>
      </c>
      <c r="N601" s="7">
        <f t="shared" si="1144"/>
        <v>0</v>
      </c>
      <c r="O601" s="7">
        <f t="shared" si="1144"/>
        <v>0</v>
      </c>
      <c r="P601" s="7">
        <f t="shared" si="1144"/>
        <v>0</v>
      </c>
      <c r="Q601" s="7">
        <f t="shared" si="7"/>
        <v>0</v>
      </c>
      <c r="R601" s="7">
        <f t="shared" si="8"/>
        <v>0.01107181615</v>
      </c>
      <c r="S601" s="7">
        <f t="shared" si="2"/>
        <v>0.9625786873</v>
      </c>
      <c r="T601" s="7">
        <f t="shared" si="3"/>
        <v>0.1004987562</v>
      </c>
      <c r="U601" s="7">
        <f t="shared" si="4"/>
        <v>0</v>
      </c>
      <c r="V601" s="7">
        <f t="shared" si="5"/>
        <v>0</v>
      </c>
      <c r="W601" s="7">
        <f t="shared" ref="W601:X601" si="1145">IF(AVERAGE(U541:U600) &gt; 0.25, 1, 0)</f>
        <v>1</v>
      </c>
      <c r="X601" s="7">
        <f t="shared" si="1145"/>
        <v>1</v>
      </c>
      <c r="Y601" s="8">
        <v>1.0</v>
      </c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</row>
    <row r="602" ht="22.5" customHeight="1">
      <c r="A602" s="5" t="s">
        <v>38</v>
      </c>
      <c r="B602" s="6">
        <v>601.0</v>
      </c>
      <c r="C602" s="6">
        <v>443.0</v>
      </c>
      <c r="D602" s="6">
        <v>1.2</v>
      </c>
      <c r="E602" s="6">
        <v>-0.19</v>
      </c>
      <c r="F602" s="6">
        <v>10.38</v>
      </c>
      <c r="G602" s="6">
        <v>-0.1</v>
      </c>
      <c r="H602" s="6">
        <v>0.0</v>
      </c>
      <c r="I602" s="6">
        <v>-0.01</v>
      </c>
      <c r="J602" s="6">
        <v>33.14</v>
      </c>
      <c r="K602" s="7">
        <f t="shared" ref="K602:P602" si="1146">abs(D602-D601)/200</f>
        <v>0.00015</v>
      </c>
      <c r="L602" s="7">
        <f t="shared" si="1146"/>
        <v>0.0001</v>
      </c>
      <c r="M602" s="7">
        <f t="shared" si="1146"/>
        <v>0.00155</v>
      </c>
      <c r="N602" s="7">
        <f t="shared" si="1146"/>
        <v>0</v>
      </c>
      <c r="O602" s="7">
        <f t="shared" si="1146"/>
        <v>0</v>
      </c>
      <c r="P602" s="7">
        <f t="shared" si="1146"/>
        <v>0</v>
      </c>
      <c r="Q602" s="7">
        <f t="shared" si="7"/>
        <v>0</v>
      </c>
      <c r="R602" s="7">
        <f t="shared" si="8"/>
        <v>0.3117174788</v>
      </c>
      <c r="S602" s="7">
        <f t="shared" si="2"/>
        <v>0.6508612085</v>
      </c>
      <c r="T602" s="7">
        <f t="shared" si="3"/>
        <v>0.1004987562</v>
      </c>
      <c r="U602" s="7">
        <f t="shared" si="4"/>
        <v>1</v>
      </c>
      <c r="V602" s="7">
        <f t="shared" si="5"/>
        <v>0</v>
      </c>
      <c r="W602" s="7">
        <f t="shared" ref="W602:X602" si="1147">IF(AVERAGE(U542:U601) &gt; 0.25, 1, 0)</f>
        <v>1</v>
      </c>
      <c r="X602" s="7">
        <f t="shared" si="1147"/>
        <v>1</v>
      </c>
      <c r="Y602" s="8">
        <v>0.0</v>
      </c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</row>
    <row r="603" ht="22.5" customHeight="1">
      <c r="B603" s="6">
        <v>602.0</v>
      </c>
      <c r="C603" s="6">
        <v>647.0</v>
      </c>
      <c r="D603" s="6">
        <v>1.24</v>
      </c>
      <c r="E603" s="6">
        <v>-0.2</v>
      </c>
      <c r="F603" s="6">
        <v>10.68</v>
      </c>
      <c r="G603" s="6">
        <v>-0.1</v>
      </c>
      <c r="H603" s="6">
        <v>0.0</v>
      </c>
      <c r="I603" s="6">
        <v>-0.01</v>
      </c>
      <c r="J603" s="6">
        <v>33.15</v>
      </c>
      <c r="K603" s="7">
        <f t="shared" ref="K603:P603" si="1148">abs(D603-D602)/200</f>
        <v>0.0002</v>
      </c>
      <c r="L603" s="7">
        <f t="shared" si="1148"/>
        <v>0.00005</v>
      </c>
      <c r="M603" s="7">
        <f t="shared" si="1148"/>
        <v>0.0015</v>
      </c>
      <c r="N603" s="7">
        <f t="shared" si="1148"/>
        <v>0</v>
      </c>
      <c r="O603" s="7">
        <f t="shared" si="1148"/>
        <v>0</v>
      </c>
      <c r="P603" s="7">
        <f t="shared" si="1148"/>
        <v>0</v>
      </c>
      <c r="Q603" s="7">
        <f t="shared" si="7"/>
        <v>0</v>
      </c>
      <c r="R603" s="7">
        <f t="shared" si="8"/>
        <v>0.3027428385</v>
      </c>
      <c r="S603" s="7">
        <f t="shared" si="2"/>
        <v>0.953604047</v>
      </c>
      <c r="T603" s="7">
        <f t="shared" si="3"/>
        <v>0.1004987562</v>
      </c>
      <c r="U603" s="7">
        <f t="shared" si="4"/>
        <v>1</v>
      </c>
      <c r="V603" s="7">
        <f t="shared" si="5"/>
        <v>0</v>
      </c>
      <c r="W603" s="7">
        <f t="shared" ref="W603:X603" si="1149">IF(AVERAGE(U543:U602) &gt; 0.25, 1, 0)</f>
        <v>1</v>
      </c>
      <c r="X603" s="7">
        <f t="shared" si="1149"/>
        <v>1</v>
      </c>
      <c r="Y603" s="8">
        <v>0.0</v>
      </c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</row>
    <row r="604" ht="22.5" customHeight="1">
      <c r="B604" s="6">
        <v>603.0</v>
      </c>
      <c r="C604" s="6">
        <v>851.0</v>
      </c>
      <c r="D604" s="6">
        <v>1.23</v>
      </c>
      <c r="E604" s="6">
        <v>-0.2</v>
      </c>
      <c r="F604" s="6">
        <v>10.7</v>
      </c>
      <c r="G604" s="6">
        <v>-0.1</v>
      </c>
      <c r="H604" s="6">
        <v>0.0</v>
      </c>
      <c r="I604" s="6">
        <v>-0.01</v>
      </c>
      <c r="J604" s="6">
        <v>33.16</v>
      </c>
      <c r="K604" s="7">
        <f t="shared" ref="K604:P604" si="1150">abs(D604-D603)/200</f>
        <v>0.00005</v>
      </c>
      <c r="L604" s="7">
        <f t="shared" si="1150"/>
        <v>0</v>
      </c>
      <c r="M604" s="7">
        <f t="shared" si="1150"/>
        <v>0.0001</v>
      </c>
      <c r="N604" s="7">
        <f t="shared" si="1150"/>
        <v>0</v>
      </c>
      <c r="O604" s="7">
        <f t="shared" si="1150"/>
        <v>0</v>
      </c>
      <c r="P604" s="7">
        <f t="shared" si="1150"/>
        <v>0</v>
      </c>
      <c r="Q604" s="7">
        <f t="shared" si="7"/>
        <v>0</v>
      </c>
      <c r="R604" s="7">
        <f t="shared" si="8"/>
        <v>0.01871696565</v>
      </c>
      <c r="S604" s="7">
        <f t="shared" si="2"/>
        <v>0.9723210127</v>
      </c>
      <c r="T604" s="7">
        <f t="shared" si="3"/>
        <v>0.1004987562</v>
      </c>
      <c r="U604" s="7">
        <f t="shared" si="4"/>
        <v>0</v>
      </c>
      <c r="V604" s="7">
        <f t="shared" si="5"/>
        <v>0</v>
      </c>
      <c r="W604" s="7">
        <f t="shared" ref="W604:X604" si="1151">IF(AVERAGE(U544:U603) &gt; 0.25, 1, 0)</f>
        <v>1</v>
      </c>
      <c r="X604" s="7">
        <f t="shared" si="1151"/>
        <v>1</v>
      </c>
      <c r="Y604" s="8">
        <v>0.0</v>
      </c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</row>
    <row r="605" ht="22.5" customHeight="1">
      <c r="B605" s="6">
        <v>604.0</v>
      </c>
      <c r="C605" s="6">
        <v>1055.0</v>
      </c>
      <c r="D605" s="6">
        <v>1.24</v>
      </c>
      <c r="E605" s="6">
        <v>-0.2</v>
      </c>
      <c r="F605" s="6">
        <v>10.68</v>
      </c>
      <c r="G605" s="6">
        <v>-0.1</v>
      </c>
      <c r="H605" s="6">
        <v>0.0</v>
      </c>
      <c r="I605" s="6">
        <v>-0.01</v>
      </c>
      <c r="J605" s="6">
        <v>33.16</v>
      </c>
      <c r="K605" s="7">
        <f t="shared" ref="K605:P605" si="1152">abs(D605-D604)/200</f>
        <v>0.00005</v>
      </c>
      <c r="L605" s="7">
        <f t="shared" si="1152"/>
        <v>0</v>
      </c>
      <c r="M605" s="7">
        <f t="shared" si="1152"/>
        <v>0.0001</v>
      </c>
      <c r="N605" s="7">
        <f t="shared" si="1152"/>
        <v>0</v>
      </c>
      <c r="O605" s="7">
        <f t="shared" si="1152"/>
        <v>0</v>
      </c>
      <c r="P605" s="7">
        <f t="shared" si="1152"/>
        <v>0</v>
      </c>
      <c r="Q605" s="7">
        <f t="shared" si="7"/>
        <v>0</v>
      </c>
      <c r="R605" s="7">
        <f t="shared" si="8"/>
        <v>0.01871696565</v>
      </c>
      <c r="S605" s="7">
        <f t="shared" si="2"/>
        <v>0.953604047</v>
      </c>
      <c r="T605" s="7">
        <f t="shared" si="3"/>
        <v>0.1004987562</v>
      </c>
      <c r="U605" s="7">
        <f t="shared" si="4"/>
        <v>0</v>
      </c>
      <c r="V605" s="7">
        <f t="shared" si="5"/>
        <v>0</v>
      </c>
      <c r="W605" s="7">
        <f t="shared" ref="W605:X605" si="1153">IF(AVERAGE(U545:U604) &gt; 0.25, 1, 0)</f>
        <v>1</v>
      </c>
      <c r="X605" s="7">
        <f t="shared" si="1153"/>
        <v>1</v>
      </c>
      <c r="Y605" s="8">
        <v>0.0</v>
      </c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</row>
    <row r="606" ht="22.5" customHeight="1">
      <c r="B606" s="6">
        <v>605.0</v>
      </c>
      <c r="C606" s="6">
        <v>1259.0</v>
      </c>
      <c r="D606" s="6">
        <v>1.24</v>
      </c>
      <c r="E606" s="6">
        <v>-0.19</v>
      </c>
      <c r="F606" s="6">
        <v>10.69</v>
      </c>
      <c r="G606" s="6">
        <v>-0.1</v>
      </c>
      <c r="H606" s="6">
        <v>0.0</v>
      </c>
      <c r="I606" s="6">
        <v>-0.01</v>
      </c>
      <c r="J606" s="6">
        <v>33.16</v>
      </c>
      <c r="K606" s="7">
        <f t="shared" ref="K606:P606" si="1154">abs(D606-D605)/200</f>
        <v>0</v>
      </c>
      <c r="L606" s="7">
        <f t="shared" si="1154"/>
        <v>0.00005</v>
      </c>
      <c r="M606" s="7">
        <f t="shared" si="1154"/>
        <v>0.00005</v>
      </c>
      <c r="N606" s="7">
        <f t="shared" si="1154"/>
        <v>0</v>
      </c>
      <c r="O606" s="7">
        <f t="shared" si="1154"/>
        <v>0</v>
      </c>
      <c r="P606" s="7">
        <f t="shared" si="1154"/>
        <v>0</v>
      </c>
      <c r="Q606" s="7">
        <f t="shared" si="7"/>
        <v>0</v>
      </c>
      <c r="R606" s="7">
        <f t="shared" si="8"/>
        <v>0.009750448679</v>
      </c>
      <c r="S606" s="7">
        <f t="shared" si="2"/>
        <v>0.9633544957</v>
      </c>
      <c r="T606" s="7">
        <f t="shared" si="3"/>
        <v>0.1004987562</v>
      </c>
      <c r="U606" s="7">
        <f t="shared" si="4"/>
        <v>0</v>
      </c>
      <c r="V606" s="7">
        <f t="shared" si="5"/>
        <v>0</v>
      </c>
      <c r="W606" s="7">
        <f t="shared" ref="W606:X606" si="1155">IF(AVERAGE(U546:U605) &gt; 0.25, 1, 0)</f>
        <v>1</v>
      </c>
      <c r="X606" s="7">
        <f t="shared" si="1155"/>
        <v>1</v>
      </c>
      <c r="Y606" s="8">
        <v>0.0</v>
      </c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</row>
    <row r="607" ht="22.5" customHeight="1">
      <c r="B607" s="6">
        <v>606.0</v>
      </c>
      <c r="C607" s="6">
        <v>1463.0</v>
      </c>
      <c r="D607" s="6">
        <v>1.24</v>
      </c>
      <c r="E607" s="6">
        <v>-0.2</v>
      </c>
      <c r="F607" s="6">
        <v>10.69</v>
      </c>
      <c r="G607" s="6">
        <v>-0.1</v>
      </c>
      <c r="H607" s="6">
        <v>0.0</v>
      </c>
      <c r="I607" s="6">
        <v>-0.01</v>
      </c>
      <c r="J607" s="6">
        <v>33.16</v>
      </c>
      <c r="K607" s="7">
        <f t="shared" ref="K607:P607" si="1156">abs(D607-D606)/200</f>
        <v>0</v>
      </c>
      <c r="L607" s="7">
        <f t="shared" si="1156"/>
        <v>0.00005</v>
      </c>
      <c r="M607" s="7">
        <f t="shared" si="1156"/>
        <v>0</v>
      </c>
      <c r="N607" s="7">
        <f t="shared" si="1156"/>
        <v>0</v>
      </c>
      <c r="O607" s="7">
        <f t="shared" si="1156"/>
        <v>0</v>
      </c>
      <c r="P607" s="7">
        <f t="shared" si="1156"/>
        <v>0</v>
      </c>
      <c r="Q607" s="7">
        <f t="shared" si="7"/>
        <v>0</v>
      </c>
      <c r="R607" s="7">
        <f t="shared" si="8"/>
        <v>0.0001811687601</v>
      </c>
      <c r="S607" s="7">
        <f t="shared" si="2"/>
        <v>0.9635356645</v>
      </c>
      <c r="T607" s="7">
        <f t="shared" si="3"/>
        <v>0.1004987562</v>
      </c>
      <c r="U607" s="7">
        <f t="shared" si="4"/>
        <v>0</v>
      </c>
      <c r="V607" s="7">
        <f t="shared" si="5"/>
        <v>0</v>
      </c>
      <c r="W607" s="7">
        <f t="shared" ref="W607:X607" si="1157">IF(AVERAGE(U547:U606) &gt; 0.25, 1, 0)</f>
        <v>1</v>
      </c>
      <c r="X607" s="7">
        <f t="shared" si="1157"/>
        <v>1</v>
      </c>
      <c r="Y607" s="8">
        <v>0.0</v>
      </c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</row>
    <row r="608" ht="22.5" customHeight="1">
      <c r="B608" s="6">
        <v>607.0</v>
      </c>
      <c r="C608" s="6">
        <v>1667.0</v>
      </c>
      <c r="D608" s="6">
        <v>1.24</v>
      </c>
      <c r="E608" s="6">
        <v>-0.21</v>
      </c>
      <c r="F608" s="6">
        <v>10.66</v>
      </c>
      <c r="G608" s="6">
        <v>-0.1</v>
      </c>
      <c r="H608" s="6">
        <v>0.0</v>
      </c>
      <c r="I608" s="6">
        <v>-0.01</v>
      </c>
      <c r="J608" s="6">
        <v>33.17</v>
      </c>
      <c r="K608" s="7">
        <f t="shared" ref="K608:P608" si="1158">abs(D608-D607)/200</f>
        <v>0</v>
      </c>
      <c r="L608" s="7">
        <f t="shared" si="1158"/>
        <v>0.00005</v>
      </c>
      <c r="M608" s="7">
        <f t="shared" si="1158"/>
        <v>0.00015</v>
      </c>
      <c r="N608" s="7">
        <f t="shared" si="1158"/>
        <v>0</v>
      </c>
      <c r="O608" s="7">
        <f t="shared" si="1158"/>
        <v>0</v>
      </c>
      <c r="P608" s="7">
        <f t="shared" si="1158"/>
        <v>0</v>
      </c>
      <c r="Q608" s="7">
        <f t="shared" si="7"/>
        <v>0</v>
      </c>
      <c r="R608" s="7">
        <f t="shared" si="8"/>
        <v>0.02960348654</v>
      </c>
      <c r="S608" s="7">
        <f t="shared" si="2"/>
        <v>0.9339321779</v>
      </c>
      <c r="T608" s="7">
        <f t="shared" si="3"/>
        <v>0.1004987562</v>
      </c>
      <c r="U608" s="7">
        <f t="shared" si="4"/>
        <v>0</v>
      </c>
      <c r="V608" s="7">
        <f t="shared" si="5"/>
        <v>0</v>
      </c>
      <c r="W608" s="7">
        <f t="shared" ref="W608:X608" si="1159">IF(AVERAGE(U548:U607) &gt; 0.25, 1, 0)</f>
        <v>1</v>
      </c>
      <c r="X608" s="7">
        <f t="shared" si="1159"/>
        <v>1</v>
      </c>
      <c r="Y608" s="8">
        <v>0.0</v>
      </c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</row>
    <row r="609" ht="22.5" customHeight="1">
      <c r="B609" s="6">
        <v>608.0</v>
      </c>
      <c r="C609" s="6">
        <v>1871.0</v>
      </c>
      <c r="D609" s="6">
        <v>1.22</v>
      </c>
      <c r="E609" s="6">
        <v>-0.21</v>
      </c>
      <c r="F609" s="6">
        <v>10.67</v>
      </c>
      <c r="G609" s="6">
        <v>-0.1</v>
      </c>
      <c r="H609" s="6">
        <v>0.0</v>
      </c>
      <c r="I609" s="6">
        <v>-0.01</v>
      </c>
      <c r="J609" s="6">
        <v>33.17</v>
      </c>
      <c r="K609" s="7">
        <f t="shared" ref="K609:P609" si="1160">abs(D609-D608)/200</f>
        <v>0.0001</v>
      </c>
      <c r="L609" s="7">
        <f t="shared" si="1160"/>
        <v>0</v>
      </c>
      <c r="M609" s="7">
        <f t="shared" si="1160"/>
        <v>0.00005</v>
      </c>
      <c r="N609" s="7">
        <f t="shared" si="1160"/>
        <v>0</v>
      </c>
      <c r="O609" s="7">
        <f t="shared" si="1160"/>
        <v>0</v>
      </c>
      <c r="P609" s="7">
        <f t="shared" si="1160"/>
        <v>0</v>
      </c>
      <c r="Q609" s="7">
        <f t="shared" si="7"/>
        <v>0</v>
      </c>
      <c r="R609" s="7">
        <f t="shared" si="8"/>
        <v>0.007641263629</v>
      </c>
      <c r="S609" s="7">
        <f t="shared" si="2"/>
        <v>0.9415734415</v>
      </c>
      <c r="T609" s="7">
        <f t="shared" si="3"/>
        <v>0.1004987562</v>
      </c>
      <c r="U609" s="7">
        <f t="shared" si="4"/>
        <v>0</v>
      </c>
      <c r="V609" s="7">
        <f t="shared" si="5"/>
        <v>0</v>
      </c>
      <c r="W609" s="7">
        <f t="shared" ref="W609:X609" si="1161">IF(AVERAGE(U549:U608) &gt; 0.25, 1, 0)</f>
        <v>1</v>
      </c>
      <c r="X609" s="7">
        <f t="shared" si="1161"/>
        <v>1</v>
      </c>
      <c r="Y609" s="8">
        <v>0.0</v>
      </c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</row>
    <row r="610" ht="22.5" customHeight="1">
      <c r="B610" s="6">
        <v>609.0</v>
      </c>
      <c r="C610" s="6">
        <v>2075.0</v>
      </c>
      <c r="D610" s="6">
        <v>1.24</v>
      </c>
      <c r="E610" s="6">
        <v>-0.2</v>
      </c>
      <c r="F610" s="6">
        <v>10.67</v>
      </c>
      <c r="G610" s="6">
        <v>-0.1</v>
      </c>
      <c r="H610" s="6">
        <v>0.0</v>
      </c>
      <c r="I610" s="6">
        <v>-0.01</v>
      </c>
      <c r="J610" s="6">
        <v>33.16</v>
      </c>
      <c r="K610" s="7">
        <f t="shared" ref="K610:P610" si="1162">abs(D610-D609)/200</f>
        <v>0.0001</v>
      </c>
      <c r="L610" s="7">
        <f t="shared" si="1162"/>
        <v>0.00005</v>
      </c>
      <c r="M610" s="7">
        <f t="shared" si="1162"/>
        <v>0</v>
      </c>
      <c r="N610" s="7">
        <f t="shared" si="1162"/>
        <v>0</v>
      </c>
      <c r="O610" s="7">
        <f t="shared" si="1162"/>
        <v>0</v>
      </c>
      <c r="P610" s="7">
        <f t="shared" si="1162"/>
        <v>0</v>
      </c>
      <c r="Q610" s="7">
        <f t="shared" si="7"/>
        <v>0</v>
      </c>
      <c r="R610" s="7">
        <f t="shared" si="8"/>
        <v>0.0020991149</v>
      </c>
      <c r="S610" s="7">
        <f t="shared" si="2"/>
        <v>0.9436725564</v>
      </c>
      <c r="T610" s="7">
        <f t="shared" si="3"/>
        <v>0.1004987562</v>
      </c>
      <c r="U610" s="7">
        <f t="shared" si="4"/>
        <v>0</v>
      </c>
      <c r="V610" s="7">
        <f t="shared" si="5"/>
        <v>0</v>
      </c>
      <c r="W610" s="7">
        <f t="shared" ref="W610:X610" si="1163">IF(AVERAGE(U550:U609) &gt; 0.25, 1, 0)</f>
        <v>1</v>
      </c>
      <c r="X610" s="7">
        <f t="shared" si="1163"/>
        <v>1</v>
      </c>
      <c r="Y610" s="8">
        <v>0.0</v>
      </c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</row>
    <row r="611" ht="22.5" customHeight="1">
      <c r="B611" s="6">
        <v>610.0</v>
      </c>
      <c r="C611" s="6">
        <v>2279.0</v>
      </c>
      <c r="D611" s="6">
        <v>1.23</v>
      </c>
      <c r="E611" s="6">
        <v>-0.2</v>
      </c>
      <c r="F611" s="6">
        <v>10.68</v>
      </c>
      <c r="G611" s="6">
        <v>-0.1</v>
      </c>
      <c r="H611" s="6">
        <v>0.0</v>
      </c>
      <c r="I611" s="6">
        <v>-0.01</v>
      </c>
      <c r="J611" s="6">
        <v>33.17</v>
      </c>
      <c r="K611" s="7">
        <f t="shared" ref="K611:P611" si="1164">abs(D611-D610)/200</f>
        <v>0.00005</v>
      </c>
      <c r="L611" s="7">
        <f t="shared" si="1164"/>
        <v>0</v>
      </c>
      <c r="M611" s="7">
        <f t="shared" si="1164"/>
        <v>0.00005</v>
      </c>
      <c r="N611" s="7">
        <f t="shared" si="1164"/>
        <v>0</v>
      </c>
      <c r="O611" s="7">
        <f t="shared" si="1164"/>
        <v>0</v>
      </c>
      <c r="P611" s="7">
        <f t="shared" si="1164"/>
        <v>0</v>
      </c>
      <c r="Q611" s="7">
        <f t="shared" si="7"/>
        <v>0</v>
      </c>
      <c r="R611" s="7">
        <f t="shared" si="8"/>
        <v>0.008782977065</v>
      </c>
      <c r="S611" s="7">
        <f t="shared" si="2"/>
        <v>0.9524555335</v>
      </c>
      <c r="T611" s="7">
        <f t="shared" si="3"/>
        <v>0.1004987562</v>
      </c>
      <c r="U611" s="7">
        <f t="shared" si="4"/>
        <v>0</v>
      </c>
      <c r="V611" s="7">
        <f t="shared" si="5"/>
        <v>0</v>
      </c>
      <c r="W611" s="7">
        <f t="shared" ref="W611:X611" si="1165">IF(AVERAGE(U551:U610) &gt; 0.25, 1, 0)</f>
        <v>1</v>
      </c>
      <c r="X611" s="7">
        <f t="shared" si="1165"/>
        <v>1</v>
      </c>
      <c r="Y611" s="8">
        <v>0.0</v>
      </c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</row>
    <row r="612" ht="22.5" customHeight="1">
      <c r="B612" s="6">
        <v>611.0</v>
      </c>
      <c r="C612" s="6">
        <v>2483.0</v>
      </c>
      <c r="D612" s="6">
        <v>1.22</v>
      </c>
      <c r="E612" s="6">
        <v>-0.19</v>
      </c>
      <c r="F612" s="6">
        <v>10.67</v>
      </c>
      <c r="G612" s="6">
        <v>-0.1</v>
      </c>
      <c r="H612" s="6">
        <v>0.0</v>
      </c>
      <c r="I612" s="6">
        <v>-0.01</v>
      </c>
      <c r="J612" s="6">
        <v>33.17</v>
      </c>
      <c r="K612" s="7">
        <f t="shared" ref="K612:P612" si="1166">abs(D612-D611)/200</f>
        <v>0.00005</v>
      </c>
      <c r="L612" s="7">
        <f t="shared" si="1166"/>
        <v>0.00005</v>
      </c>
      <c r="M612" s="7">
        <f t="shared" si="1166"/>
        <v>0.00005</v>
      </c>
      <c r="N612" s="7">
        <f t="shared" si="1166"/>
        <v>0</v>
      </c>
      <c r="O612" s="7">
        <f t="shared" si="1166"/>
        <v>0</v>
      </c>
      <c r="P612" s="7">
        <f t="shared" si="1166"/>
        <v>0</v>
      </c>
      <c r="Q612" s="7">
        <f t="shared" si="7"/>
        <v>0</v>
      </c>
      <c r="R612" s="7">
        <f t="shared" si="8"/>
        <v>0.01125448334</v>
      </c>
      <c r="S612" s="7">
        <f t="shared" si="2"/>
        <v>0.9412010502</v>
      </c>
      <c r="T612" s="7">
        <f t="shared" si="3"/>
        <v>0.1004987562</v>
      </c>
      <c r="U612" s="7">
        <f t="shared" si="4"/>
        <v>0</v>
      </c>
      <c r="V612" s="7">
        <f t="shared" si="5"/>
        <v>0</v>
      </c>
      <c r="W612" s="7">
        <f t="shared" ref="W612:X612" si="1167">IF(AVERAGE(U552:U611) &gt; 0.25, 1, 0)</f>
        <v>1</v>
      </c>
      <c r="X612" s="7">
        <f t="shared" si="1167"/>
        <v>1</v>
      </c>
      <c r="Y612" s="8">
        <v>0.0</v>
      </c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</row>
    <row r="613" ht="22.5" customHeight="1">
      <c r="B613" s="6">
        <v>612.0</v>
      </c>
      <c r="C613" s="6">
        <v>2687.0</v>
      </c>
      <c r="D613" s="6">
        <v>1.23</v>
      </c>
      <c r="E613" s="6">
        <v>-0.21</v>
      </c>
      <c r="F613" s="6">
        <v>10.68</v>
      </c>
      <c r="G613" s="6">
        <v>-0.1</v>
      </c>
      <c r="H613" s="6">
        <v>0.0</v>
      </c>
      <c r="I613" s="6">
        <v>-0.01</v>
      </c>
      <c r="J613" s="6">
        <v>33.17</v>
      </c>
      <c r="K613" s="7">
        <f t="shared" ref="K613:P613" si="1168">abs(D613-D612)/200</f>
        <v>0.00005</v>
      </c>
      <c r="L613" s="7">
        <f t="shared" si="1168"/>
        <v>0.0001</v>
      </c>
      <c r="M613" s="7">
        <f t="shared" si="1168"/>
        <v>0.00005</v>
      </c>
      <c r="N613" s="7">
        <f t="shared" si="1168"/>
        <v>0</v>
      </c>
      <c r="O613" s="7">
        <f t="shared" si="1168"/>
        <v>0</v>
      </c>
      <c r="P613" s="7">
        <f t="shared" si="1168"/>
        <v>0</v>
      </c>
      <c r="Q613" s="7">
        <f t="shared" si="7"/>
        <v>0</v>
      </c>
      <c r="R613" s="7">
        <f t="shared" si="8"/>
        <v>0.01144513578</v>
      </c>
      <c r="S613" s="7">
        <f t="shared" si="2"/>
        <v>0.9526461859</v>
      </c>
      <c r="T613" s="7">
        <f t="shared" si="3"/>
        <v>0.1004987562</v>
      </c>
      <c r="U613" s="7">
        <f t="shared" si="4"/>
        <v>0</v>
      </c>
      <c r="V613" s="7">
        <f t="shared" si="5"/>
        <v>0</v>
      </c>
      <c r="W613" s="7">
        <f t="shared" ref="W613:X613" si="1169">IF(AVERAGE(U553:U612) &gt; 0.25, 1, 0)</f>
        <v>1</v>
      </c>
      <c r="X613" s="7">
        <f t="shared" si="1169"/>
        <v>1</v>
      </c>
      <c r="Y613" s="8">
        <v>0.0</v>
      </c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</row>
    <row r="614" ht="22.5" customHeight="1">
      <c r="B614" s="6">
        <v>613.0</v>
      </c>
      <c r="C614" s="6">
        <v>2891.0</v>
      </c>
      <c r="D614" s="6">
        <v>1.24</v>
      </c>
      <c r="E614" s="6">
        <v>-0.2</v>
      </c>
      <c r="F614" s="6">
        <v>10.68</v>
      </c>
      <c r="G614" s="6">
        <v>-0.1</v>
      </c>
      <c r="H614" s="6">
        <v>0.0</v>
      </c>
      <c r="I614" s="6">
        <v>-0.01</v>
      </c>
      <c r="J614" s="6">
        <v>33.16</v>
      </c>
      <c r="K614" s="7">
        <f t="shared" ref="K614:P614" si="1170">abs(D614-D613)/200</f>
        <v>0.00005</v>
      </c>
      <c r="L614" s="7">
        <f t="shared" si="1170"/>
        <v>0.00005</v>
      </c>
      <c r="M614" s="7">
        <f t="shared" si="1170"/>
        <v>0</v>
      </c>
      <c r="N614" s="7">
        <f t="shared" si="1170"/>
        <v>0</v>
      </c>
      <c r="O614" s="7">
        <f t="shared" si="1170"/>
        <v>0</v>
      </c>
      <c r="P614" s="7">
        <f t="shared" si="1170"/>
        <v>0</v>
      </c>
      <c r="Q614" s="7">
        <f t="shared" si="7"/>
        <v>0</v>
      </c>
      <c r="R614" s="7">
        <f t="shared" si="8"/>
        <v>0.0009578610765</v>
      </c>
      <c r="S614" s="7">
        <f t="shared" si="2"/>
        <v>0.953604047</v>
      </c>
      <c r="T614" s="7">
        <f t="shared" si="3"/>
        <v>0.1004987562</v>
      </c>
      <c r="U614" s="7">
        <f t="shared" si="4"/>
        <v>0</v>
      </c>
      <c r="V614" s="7">
        <f t="shared" si="5"/>
        <v>0</v>
      </c>
      <c r="W614" s="7">
        <f t="shared" ref="W614:X614" si="1171">IF(AVERAGE(U554:U613) &gt; 0.25, 1, 0)</f>
        <v>1</v>
      </c>
      <c r="X614" s="7">
        <f t="shared" si="1171"/>
        <v>1</v>
      </c>
      <c r="Y614" s="8">
        <v>0.0</v>
      </c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</row>
    <row r="615" ht="22.5" customHeight="1">
      <c r="B615" s="6">
        <v>614.0</v>
      </c>
      <c r="C615" s="6">
        <v>3095.0</v>
      </c>
      <c r="D615" s="6">
        <v>1.23</v>
      </c>
      <c r="E615" s="6">
        <v>-0.2</v>
      </c>
      <c r="F615" s="6">
        <v>10.68</v>
      </c>
      <c r="G615" s="6">
        <v>-0.1</v>
      </c>
      <c r="H615" s="6">
        <v>0.0</v>
      </c>
      <c r="I615" s="6">
        <v>-0.01</v>
      </c>
      <c r="J615" s="6">
        <v>33.17</v>
      </c>
      <c r="K615" s="7">
        <f t="shared" ref="K615:P615" si="1172">abs(D615-D614)/200</f>
        <v>0.00005</v>
      </c>
      <c r="L615" s="7">
        <f t="shared" si="1172"/>
        <v>0</v>
      </c>
      <c r="M615" s="7">
        <f t="shared" si="1172"/>
        <v>0</v>
      </c>
      <c r="N615" s="7">
        <f t="shared" si="1172"/>
        <v>0</v>
      </c>
      <c r="O615" s="7">
        <f t="shared" si="1172"/>
        <v>0</v>
      </c>
      <c r="P615" s="7">
        <f t="shared" si="1172"/>
        <v>0</v>
      </c>
      <c r="Q615" s="7">
        <f t="shared" si="7"/>
        <v>0</v>
      </c>
      <c r="R615" s="7">
        <f t="shared" si="8"/>
        <v>0.001148513511</v>
      </c>
      <c r="S615" s="7">
        <f t="shared" si="2"/>
        <v>0.9524555335</v>
      </c>
      <c r="T615" s="7">
        <f t="shared" si="3"/>
        <v>0.1004987562</v>
      </c>
      <c r="U615" s="7">
        <f t="shared" si="4"/>
        <v>0</v>
      </c>
      <c r="V615" s="7">
        <f t="shared" si="5"/>
        <v>0</v>
      </c>
      <c r="W615" s="7">
        <f t="shared" ref="W615:X615" si="1173">IF(AVERAGE(U555:U614) &gt; 0.25, 1, 0)</f>
        <v>1</v>
      </c>
      <c r="X615" s="7">
        <f t="shared" si="1173"/>
        <v>1</v>
      </c>
      <c r="Y615" s="8">
        <v>0.0</v>
      </c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</row>
    <row r="616" ht="22.5" customHeight="1">
      <c r="B616" s="6">
        <v>615.0</v>
      </c>
      <c r="C616" s="6">
        <v>3299.0</v>
      </c>
      <c r="D616" s="6">
        <v>1.23</v>
      </c>
      <c r="E616" s="6">
        <v>-0.21</v>
      </c>
      <c r="F616" s="6">
        <v>10.69</v>
      </c>
      <c r="G616" s="6">
        <v>-0.1</v>
      </c>
      <c r="H616" s="6">
        <v>0.0</v>
      </c>
      <c r="I616" s="6">
        <v>-0.01</v>
      </c>
      <c r="J616" s="6">
        <v>33.17</v>
      </c>
      <c r="K616" s="7">
        <f t="shared" ref="K616:P616" si="1174">abs(D616-D615)/200</f>
        <v>0</v>
      </c>
      <c r="L616" s="7">
        <f t="shared" si="1174"/>
        <v>0.00005</v>
      </c>
      <c r="M616" s="7">
        <f t="shared" si="1174"/>
        <v>0.00005</v>
      </c>
      <c r="N616" s="7">
        <f t="shared" si="1174"/>
        <v>0</v>
      </c>
      <c r="O616" s="7">
        <f t="shared" si="1174"/>
        <v>0</v>
      </c>
      <c r="P616" s="7">
        <f t="shared" si="1174"/>
        <v>0</v>
      </c>
      <c r="Q616" s="7">
        <f t="shared" si="7"/>
        <v>0</v>
      </c>
      <c r="R616" s="7">
        <f t="shared" si="8"/>
        <v>0.01012315378</v>
      </c>
      <c r="S616" s="7">
        <f t="shared" si="2"/>
        <v>0.9625786873</v>
      </c>
      <c r="T616" s="7">
        <f t="shared" si="3"/>
        <v>0.1004987562</v>
      </c>
      <c r="U616" s="7">
        <f t="shared" si="4"/>
        <v>0</v>
      </c>
      <c r="V616" s="7">
        <f t="shared" si="5"/>
        <v>0</v>
      </c>
      <c r="W616" s="7">
        <f t="shared" ref="W616:X616" si="1175">IF(AVERAGE(U556:U615) &gt; 0.25, 1, 0)</f>
        <v>1</v>
      </c>
      <c r="X616" s="7">
        <f t="shared" si="1175"/>
        <v>1</v>
      </c>
      <c r="Y616" s="8">
        <v>0.0</v>
      </c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</row>
    <row r="617" ht="22.5" customHeight="1">
      <c r="B617" s="6">
        <v>616.0</v>
      </c>
      <c r="C617" s="6">
        <v>3503.0</v>
      </c>
      <c r="D617" s="6">
        <v>1.24</v>
      </c>
      <c r="E617" s="6">
        <v>-0.21</v>
      </c>
      <c r="F617" s="6">
        <v>10.69</v>
      </c>
      <c r="G617" s="6">
        <v>-0.1</v>
      </c>
      <c r="H617" s="6">
        <v>0.0</v>
      </c>
      <c r="I617" s="6">
        <v>-0.01</v>
      </c>
      <c r="J617" s="6">
        <v>33.18</v>
      </c>
      <c r="K617" s="7">
        <f t="shared" ref="K617:P617" si="1176">abs(D617-D616)/200</f>
        <v>0.00005</v>
      </c>
      <c r="L617" s="7">
        <f t="shared" si="1176"/>
        <v>0</v>
      </c>
      <c r="M617" s="7">
        <f t="shared" si="1176"/>
        <v>0</v>
      </c>
      <c r="N617" s="7">
        <f t="shared" si="1176"/>
        <v>0</v>
      </c>
      <c r="O617" s="7">
        <f t="shared" si="1176"/>
        <v>0</v>
      </c>
      <c r="P617" s="7">
        <f t="shared" si="1176"/>
        <v>0</v>
      </c>
      <c r="Q617" s="7">
        <f t="shared" si="7"/>
        <v>0</v>
      </c>
      <c r="R617" s="7">
        <f t="shared" si="8"/>
        <v>0.001147433348</v>
      </c>
      <c r="S617" s="7">
        <f t="shared" si="2"/>
        <v>0.9637261206</v>
      </c>
      <c r="T617" s="7">
        <f t="shared" si="3"/>
        <v>0.1004987562</v>
      </c>
      <c r="U617" s="7">
        <f t="shared" si="4"/>
        <v>0</v>
      </c>
      <c r="V617" s="7">
        <f t="shared" si="5"/>
        <v>0</v>
      </c>
      <c r="W617" s="7">
        <f t="shared" ref="W617:X617" si="1177">IF(AVERAGE(U557:U616) &gt; 0.25, 1, 0)</f>
        <v>1</v>
      </c>
      <c r="X617" s="7">
        <f t="shared" si="1177"/>
        <v>1</v>
      </c>
      <c r="Y617" s="8">
        <v>0.0</v>
      </c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</row>
    <row r="618" ht="22.5" customHeight="1">
      <c r="B618" s="6">
        <v>617.0</v>
      </c>
      <c r="C618" s="6">
        <v>3707.0</v>
      </c>
      <c r="D618" s="6">
        <v>1.23</v>
      </c>
      <c r="E618" s="6">
        <v>-0.2</v>
      </c>
      <c r="F618" s="6">
        <v>10.69</v>
      </c>
      <c r="G618" s="6">
        <v>-0.1</v>
      </c>
      <c r="H618" s="6">
        <v>0.0</v>
      </c>
      <c r="I618" s="6">
        <v>-0.01</v>
      </c>
      <c r="J618" s="6">
        <v>33.18</v>
      </c>
      <c r="K618" s="7">
        <f t="shared" ref="K618:P618" si="1178">abs(D618-D617)/200</f>
        <v>0.00005</v>
      </c>
      <c r="L618" s="7">
        <f t="shared" si="1178"/>
        <v>0.00005</v>
      </c>
      <c r="M618" s="7">
        <f t="shared" si="1178"/>
        <v>0</v>
      </c>
      <c r="N618" s="7">
        <f t="shared" si="1178"/>
        <v>0</v>
      </c>
      <c r="O618" s="7">
        <f t="shared" si="1178"/>
        <v>0</v>
      </c>
      <c r="P618" s="7">
        <f t="shared" si="1178"/>
        <v>0</v>
      </c>
      <c r="Q618" s="7">
        <f t="shared" si="7"/>
        <v>0</v>
      </c>
      <c r="R618" s="7">
        <f t="shared" si="8"/>
        <v>0.001337909832</v>
      </c>
      <c r="S618" s="7">
        <f t="shared" si="2"/>
        <v>0.9623882108</v>
      </c>
      <c r="T618" s="7">
        <f t="shared" si="3"/>
        <v>0.1004987562</v>
      </c>
      <c r="U618" s="7">
        <f t="shared" si="4"/>
        <v>0</v>
      </c>
      <c r="V618" s="7">
        <f t="shared" si="5"/>
        <v>0</v>
      </c>
      <c r="W618" s="7">
        <f t="shared" ref="W618:X618" si="1179">IF(AVERAGE(U558:U617) &gt; 0.25, 1, 0)</f>
        <v>1</v>
      </c>
      <c r="X618" s="7">
        <f t="shared" si="1179"/>
        <v>1</v>
      </c>
      <c r="Y618" s="8">
        <v>0.0</v>
      </c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</row>
    <row r="619" ht="22.5" customHeight="1">
      <c r="B619" s="6">
        <v>618.0</v>
      </c>
      <c r="C619" s="6">
        <v>3911.0</v>
      </c>
      <c r="D619" s="6">
        <v>1.24</v>
      </c>
      <c r="E619" s="6">
        <v>-0.19</v>
      </c>
      <c r="F619" s="6">
        <v>10.68</v>
      </c>
      <c r="G619" s="6">
        <v>-0.1</v>
      </c>
      <c r="H619" s="6">
        <v>0.0</v>
      </c>
      <c r="I619" s="6">
        <v>-0.01</v>
      </c>
      <c r="J619" s="6">
        <v>33.18</v>
      </c>
      <c r="K619" s="7">
        <f t="shared" ref="K619:P619" si="1180">abs(D619-D618)/200</f>
        <v>0.00005</v>
      </c>
      <c r="L619" s="7">
        <f t="shared" si="1180"/>
        <v>0.00005</v>
      </c>
      <c r="M619" s="7">
        <f t="shared" si="1180"/>
        <v>0.00005</v>
      </c>
      <c r="N619" s="7">
        <f t="shared" si="1180"/>
        <v>0</v>
      </c>
      <c r="O619" s="7">
        <f t="shared" si="1180"/>
        <v>0</v>
      </c>
      <c r="P619" s="7">
        <f t="shared" si="1180"/>
        <v>0</v>
      </c>
      <c r="Q619" s="7">
        <f t="shared" si="7"/>
        <v>0</v>
      </c>
      <c r="R619" s="7">
        <f t="shared" si="8"/>
        <v>0.008965499869</v>
      </c>
      <c r="S619" s="7">
        <f t="shared" si="2"/>
        <v>0.9534227109</v>
      </c>
      <c r="T619" s="7">
        <f t="shared" si="3"/>
        <v>0.1004987562</v>
      </c>
      <c r="U619" s="7">
        <f t="shared" si="4"/>
        <v>0</v>
      </c>
      <c r="V619" s="7">
        <f t="shared" si="5"/>
        <v>0</v>
      </c>
      <c r="W619" s="7">
        <f t="shared" ref="W619:X619" si="1181">IF(AVERAGE(U559:U618) &gt; 0.25, 1, 0)</f>
        <v>1</v>
      </c>
      <c r="X619" s="7">
        <f t="shared" si="1181"/>
        <v>1</v>
      </c>
      <c r="Y619" s="8">
        <v>0.0</v>
      </c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</row>
    <row r="620" ht="22.5" customHeight="1">
      <c r="B620" s="6">
        <v>619.0</v>
      </c>
      <c r="C620" s="6">
        <v>4115.0</v>
      </c>
      <c r="D620" s="6">
        <v>1.24</v>
      </c>
      <c r="E620" s="6">
        <v>-0.2</v>
      </c>
      <c r="F620" s="6">
        <v>10.68</v>
      </c>
      <c r="G620" s="6">
        <v>-0.1</v>
      </c>
      <c r="H620" s="6">
        <v>0.0</v>
      </c>
      <c r="I620" s="6">
        <v>-0.01</v>
      </c>
      <c r="J620" s="6">
        <v>33.18</v>
      </c>
      <c r="K620" s="7">
        <f t="shared" ref="K620:P620" si="1182">abs(D620-D619)/200</f>
        <v>0</v>
      </c>
      <c r="L620" s="7">
        <f t="shared" si="1182"/>
        <v>0.00005</v>
      </c>
      <c r="M620" s="7">
        <f t="shared" si="1182"/>
        <v>0</v>
      </c>
      <c r="N620" s="7">
        <f t="shared" si="1182"/>
        <v>0</v>
      </c>
      <c r="O620" s="7">
        <f t="shared" si="1182"/>
        <v>0</v>
      </c>
      <c r="P620" s="7">
        <f t="shared" si="1182"/>
        <v>0</v>
      </c>
      <c r="Q620" s="7">
        <f t="shared" si="7"/>
        <v>0</v>
      </c>
      <c r="R620" s="7">
        <f t="shared" si="8"/>
        <v>0.0001813360835</v>
      </c>
      <c r="S620" s="7">
        <f t="shared" si="2"/>
        <v>0.953604047</v>
      </c>
      <c r="T620" s="7">
        <f t="shared" si="3"/>
        <v>0.1004987562</v>
      </c>
      <c r="U620" s="7">
        <f t="shared" si="4"/>
        <v>0</v>
      </c>
      <c r="V620" s="7">
        <f t="shared" si="5"/>
        <v>0</v>
      </c>
      <c r="W620" s="7">
        <f t="shared" ref="W620:X620" si="1183">IF(AVERAGE(U560:U619) &gt; 0.25, 1, 0)</f>
        <v>1</v>
      </c>
      <c r="X620" s="7">
        <f t="shared" si="1183"/>
        <v>1</v>
      </c>
      <c r="Y620" s="8">
        <v>0.0</v>
      </c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</row>
    <row r="621" ht="22.5" customHeight="1">
      <c r="B621" s="6">
        <v>620.0</v>
      </c>
      <c r="C621" s="6">
        <v>4319.0</v>
      </c>
      <c r="D621" s="6">
        <v>1.22</v>
      </c>
      <c r="E621" s="6">
        <v>-0.21</v>
      </c>
      <c r="F621" s="6">
        <v>10.7</v>
      </c>
      <c r="G621" s="6">
        <v>-0.1</v>
      </c>
      <c r="H621" s="6">
        <v>0.0</v>
      </c>
      <c r="I621" s="6">
        <v>-0.01</v>
      </c>
      <c r="J621" s="6">
        <v>33.18</v>
      </c>
      <c r="K621" s="7">
        <f t="shared" ref="K621:P621" si="1184">abs(D621-D620)/200</f>
        <v>0.0001</v>
      </c>
      <c r="L621" s="7">
        <f t="shared" si="1184"/>
        <v>0.00005</v>
      </c>
      <c r="M621" s="7">
        <f t="shared" si="1184"/>
        <v>0.0001</v>
      </c>
      <c r="N621" s="7">
        <f t="shared" si="1184"/>
        <v>0</v>
      </c>
      <c r="O621" s="7">
        <f t="shared" si="1184"/>
        <v>0</v>
      </c>
      <c r="P621" s="7">
        <f t="shared" si="1184"/>
        <v>0</v>
      </c>
      <c r="Q621" s="7">
        <f t="shared" si="7"/>
        <v>0</v>
      </c>
      <c r="R621" s="7">
        <f t="shared" si="8"/>
        <v>0.01777005288</v>
      </c>
      <c r="S621" s="7">
        <f t="shared" si="2"/>
        <v>0.9713740999</v>
      </c>
      <c r="T621" s="7">
        <f t="shared" si="3"/>
        <v>0.1004987562</v>
      </c>
      <c r="U621" s="7">
        <f t="shared" si="4"/>
        <v>0</v>
      </c>
      <c r="V621" s="7">
        <f t="shared" si="5"/>
        <v>0</v>
      </c>
      <c r="W621" s="7">
        <f t="shared" ref="W621:X621" si="1185">IF(AVERAGE(U561:U620) &gt; 0.25, 1, 0)</f>
        <v>1</v>
      </c>
      <c r="X621" s="7">
        <f t="shared" si="1185"/>
        <v>1</v>
      </c>
      <c r="Y621" s="8">
        <v>0.0</v>
      </c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</row>
    <row r="622" ht="22.5" customHeight="1">
      <c r="B622" s="6">
        <v>621.0</v>
      </c>
      <c r="C622" s="6">
        <v>4523.0</v>
      </c>
      <c r="D622" s="6">
        <v>1.23</v>
      </c>
      <c r="E622" s="6">
        <v>-0.2</v>
      </c>
      <c r="F622" s="6">
        <v>10.67</v>
      </c>
      <c r="G622" s="6">
        <v>-0.1</v>
      </c>
      <c r="H622" s="6">
        <v>0.0</v>
      </c>
      <c r="I622" s="6">
        <v>-0.01</v>
      </c>
      <c r="J622" s="6">
        <v>33.19</v>
      </c>
      <c r="K622" s="7">
        <f t="shared" ref="K622:P622" si="1186">abs(D622-D621)/200</f>
        <v>0.00005</v>
      </c>
      <c r="L622" s="7">
        <f t="shared" si="1186"/>
        <v>0.00005</v>
      </c>
      <c r="M622" s="7">
        <f t="shared" si="1186"/>
        <v>0.00015</v>
      </c>
      <c r="N622" s="7">
        <f t="shared" si="1186"/>
        <v>0</v>
      </c>
      <c r="O622" s="7">
        <f t="shared" si="1186"/>
        <v>0</v>
      </c>
      <c r="P622" s="7">
        <f t="shared" si="1186"/>
        <v>0</v>
      </c>
      <c r="Q622" s="7">
        <f t="shared" si="7"/>
        <v>0</v>
      </c>
      <c r="R622" s="7">
        <f t="shared" si="8"/>
        <v>0.02885111878</v>
      </c>
      <c r="S622" s="7">
        <f t="shared" si="2"/>
        <v>0.9425229811</v>
      </c>
      <c r="T622" s="7">
        <f t="shared" si="3"/>
        <v>0.1004987562</v>
      </c>
      <c r="U622" s="7">
        <f t="shared" si="4"/>
        <v>0</v>
      </c>
      <c r="V622" s="7">
        <f t="shared" si="5"/>
        <v>0</v>
      </c>
      <c r="W622" s="7">
        <f t="shared" ref="W622:X622" si="1187">IF(AVERAGE(U562:U621) &gt; 0.25, 1, 0)</f>
        <v>1</v>
      </c>
      <c r="X622" s="7">
        <f t="shared" si="1187"/>
        <v>0</v>
      </c>
      <c r="Y622" s="8">
        <v>0.0</v>
      </c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</row>
    <row r="623" ht="22.5" customHeight="1">
      <c r="B623" s="6">
        <v>622.0</v>
      </c>
      <c r="C623" s="6">
        <v>4727.0</v>
      </c>
      <c r="D623" s="6">
        <v>1.23</v>
      </c>
      <c r="E623" s="6">
        <v>-0.19</v>
      </c>
      <c r="F623" s="6">
        <v>10.67</v>
      </c>
      <c r="G623" s="6">
        <v>-0.1</v>
      </c>
      <c r="H623" s="6">
        <v>0.0</v>
      </c>
      <c r="I623" s="6">
        <v>-0.01</v>
      </c>
      <c r="J623" s="6">
        <v>33.18</v>
      </c>
      <c r="K623" s="7">
        <f t="shared" ref="K623:P623" si="1188">abs(D623-D622)/200</f>
        <v>0</v>
      </c>
      <c r="L623" s="7">
        <f t="shared" si="1188"/>
        <v>0.00005</v>
      </c>
      <c r="M623" s="7">
        <f t="shared" si="1188"/>
        <v>0</v>
      </c>
      <c r="N623" s="7">
        <f t="shared" si="1188"/>
        <v>0</v>
      </c>
      <c r="O623" s="7">
        <f t="shared" si="1188"/>
        <v>0</v>
      </c>
      <c r="P623" s="7">
        <f t="shared" si="1188"/>
        <v>0</v>
      </c>
      <c r="Q623" s="7">
        <f t="shared" si="7"/>
        <v>0</v>
      </c>
      <c r="R623" s="7">
        <f t="shared" si="8"/>
        <v>0.0001815231374</v>
      </c>
      <c r="S623" s="7">
        <f t="shared" si="2"/>
        <v>0.942341458</v>
      </c>
      <c r="T623" s="7">
        <f t="shared" si="3"/>
        <v>0.1004987562</v>
      </c>
      <c r="U623" s="7">
        <f t="shared" si="4"/>
        <v>0</v>
      </c>
      <c r="V623" s="7">
        <f t="shared" si="5"/>
        <v>0</v>
      </c>
      <c r="W623" s="7">
        <f t="shared" ref="W623:X623" si="1189">IF(AVERAGE(U563:U622) &gt; 0.25, 1, 0)</f>
        <v>1</v>
      </c>
      <c r="X623" s="7">
        <f t="shared" si="1189"/>
        <v>0</v>
      </c>
      <c r="Y623" s="8">
        <v>0.0</v>
      </c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</row>
    <row r="624" ht="22.5" customHeight="1">
      <c r="B624" s="6">
        <v>623.0</v>
      </c>
      <c r="C624" s="6">
        <v>4931.0</v>
      </c>
      <c r="D624" s="6">
        <v>1.23</v>
      </c>
      <c r="E624" s="6">
        <v>-0.2</v>
      </c>
      <c r="F624" s="6">
        <v>10.68</v>
      </c>
      <c r="G624" s="6">
        <v>-0.1</v>
      </c>
      <c r="H624" s="6">
        <v>0.0</v>
      </c>
      <c r="I624" s="6">
        <v>-0.01</v>
      </c>
      <c r="J624" s="6">
        <v>33.19</v>
      </c>
      <c r="K624" s="7">
        <f t="shared" ref="K624:P624" si="1190">abs(D624-D623)/200</f>
        <v>0</v>
      </c>
      <c r="L624" s="7">
        <f t="shared" si="1190"/>
        <v>0.00005</v>
      </c>
      <c r="M624" s="7">
        <f t="shared" si="1190"/>
        <v>0.00005</v>
      </c>
      <c r="N624" s="7">
        <f t="shared" si="1190"/>
        <v>0</v>
      </c>
      <c r="O624" s="7">
        <f t="shared" si="1190"/>
        <v>0</v>
      </c>
      <c r="P624" s="7">
        <f t="shared" si="1190"/>
        <v>0</v>
      </c>
      <c r="Q624" s="7">
        <f t="shared" si="7"/>
        <v>0</v>
      </c>
      <c r="R624" s="7">
        <f t="shared" si="8"/>
        <v>0.01011407552</v>
      </c>
      <c r="S624" s="7">
        <f t="shared" si="2"/>
        <v>0.9524555335</v>
      </c>
      <c r="T624" s="7">
        <f t="shared" si="3"/>
        <v>0.1004987562</v>
      </c>
      <c r="U624" s="7">
        <f t="shared" si="4"/>
        <v>0</v>
      </c>
      <c r="V624" s="7">
        <f t="shared" si="5"/>
        <v>0</v>
      </c>
      <c r="W624" s="7">
        <f t="shared" ref="W624:X624" si="1191">IF(AVERAGE(U564:U623) &gt; 0.25, 1, 0)</f>
        <v>1</v>
      </c>
      <c r="X624" s="7">
        <f t="shared" si="1191"/>
        <v>0</v>
      </c>
      <c r="Y624" s="8">
        <v>0.0</v>
      </c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</row>
    <row r="625" ht="22.5" customHeight="1">
      <c r="B625" s="6">
        <v>624.0</v>
      </c>
      <c r="C625" s="6">
        <v>5135.0</v>
      </c>
      <c r="D625" s="6">
        <v>1.23</v>
      </c>
      <c r="E625" s="6">
        <v>-0.2</v>
      </c>
      <c r="F625" s="6">
        <v>10.67</v>
      </c>
      <c r="G625" s="6">
        <v>-0.1</v>
      </c>
      <c r="H625" s="6">
        <v>0.0</v>
      </c>
      <c r="I625" s="6">
        <v>-0.01</v>
      </c>
      <c r="J625" s="6">
        <v>33.19</v>
      </c>
      <c r="K625" s="7">
        <f t="shared" ref="K625:P625" si="1192">abs(D625-D624)/200</f>
        <v>0</v>
      </c>
      <c r="L625" s="7">
        <f t="shared" si="1192"/>
        <v>0</v>
      </c>
      <c r="M625" s="7">
        <f t="shared" si="1192"/>
        <v>0.00005</v>
      </c>
      <c r="N625" s="7">
        <f t="shared" si="1192"/>
        <v>0</v>
      </c>
      <c r="O625" s="7">
        <f t="shared" si="1192"/>
        <v>0</v>
      </c>
      <c r="P625" s="7">
        <f t="shared" si="1192"/>
        <v>0</v>
      </c>
      <c r="Q625" s="7">
        <f t="shared" si="7"/>
        <v>0</v>
      </c>
      <c r="R625" s="7">
        <f t="shared" si="8"/>
        <v>0.00993255238</v>
      </c>
      <c r="S625" s="7">
        <f t="shared" si="2"/>
        <v>0.9425229811</v>
      </c>
      <c r="T625" s="7">
        <f t="shared" si="3"/>
        <v>0.1004987562</v>
      </c>
      <c r="U625" s="7">
        <f t="shared" si="4"/>
        <v>0</v>
      </c>
      <c r="V625" s="7">
        <f t="shared" si="5"/>
        <v>0</v>
      </c>
      <c r="W625" s="7">
        <f t="shared" ref="W625:X625" si="1193">IF(AVERAGE(U565:U624) &gt; 0.25, 1, 0)</f>
        <v>0</v>
      </c>
      <c r="X625" s="7">
        <f t="shared" si="1193"/>
        <v>0</v>
      </c>
      <c r="Y625" s="8">
        <v>0.0</v>
      </c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</row>
    <row r="626" ht="22.5" customHeight="1">
      <c r="B626" s="6">
        <v>625.0</v>
      </c>
      <c r="C626" s="6">
        <v>5339.0</v>
      </c>
      <c r="D626" s="6">
        <v>1.23</v>
      </c>
      <c r="E626" s="6">
        <v>-0.2</v>
      </c>
      <c r="F626" s="6">
        <v>10.69</v>
      </c>
      <c r="G626" s="6">
        <v>-0.1</v>
      </c>
      <c r="H626" s="6">
        <v>0.0</v>
      </c>
      <c r="I626" s="6">
        <v>-0.01</v>
      </c>
      <c r="J626" s="6">
        <v>33.18</v>
      </c>
      <c r="K626" s="7">
        <f t="shared" ref="K626:P626" si="1194">abs(D626-D625)/200</f>
        <v>0</v>
      </c>
      <c r="L626" s="7">
        <f t="shared" si="1194"/>
        <v>0</v>
      </c>
      <c r="M626" s="7">
        <f t="shared" si="1194"/>
        <v>0.0001</v>
      </c>
      <c r="N626" s="7">
        <f t="shared" si="1194"/>
        <v>0</v>
      </c>
      <c r="O626" s="7">
        <f t="shared" si="1194"/>
        <v>0</v>
      </c>
      <c r="P626" s="7">
        <f t="shared" si="1194"/>
        <v>0</v>
      </c>
      <c r="Q626" s="7">
        <f t="shared" si="7"/>
        <v>0</v>
      </c>
      <c r="R626" s="7">
        <f t="shared" si="8"/>
        <v>0.01986522968</v>
      </c>
      <c r="S626" s="7">
        <f t="shared" si="2"/>
        <v>0.9623882108</v>
      </c>
      <c r="T626" s="7">
        <f t="shared" si="3"/>
        <v>0.1004987562</v>
      </c>
      <c r="U626" s="7">
        <f t="shared" si="4"/>
        <v>0</v>
      </c>
      <c r="V626" s="7">
        <f t="shared" si="5"/>
        <v>0</v>
      </c>
      <c r="W626" s="7">
        <f t="shared" ref="W626:X626" si="1195">IF(AVERAGE(U566:U625) &gt; 0.25, 1, 0)</f>
        <v>0</v>
      </c>
      <c r="X626" s="7">
        <f t="shared" si="1195"/>
        <v>0</v>
      </c>
      <c r="Y626" s="8">
        <v>0.0</v>
      </c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</row>
    <row r="627" ht="22.5" customHeight="1">
      <c r="B627" s="6">
        <v>626.0</v>
      </c>
      <c r="C627" s="6">
        <v>5543.0</v>
      </c>
      <c r="D627" s="6">
        <v>1.23</v>
      </c>
      <c r="E627" s="6">
        <v>-0.2</v>
      </c>
      <c r="F627" s="6">
        <v>10.68</v>
      </c>
      <c r="G627" s="6">
        <v>-0.1</v>
      </c>
      <c r="H627" s="6">
        <v>0.0</v>
      </c>
      <c r="I627" s="6">
        <v>-0.01</v>
      </c>
      <c r="J627" s="6">
        <v>33.18</v>
      </c>
      <c r="K627" s="7">
        <f t="shared" ref="K627:P627" si="1196">abs(D627-D626)/200</f>
        <v>0</v>
      </c>
      <c r="L627" s="7">
        <f t="shared" si="1196"/>
        <v>0</v>
      </c>
      <c r="M627" s="7">
        <f t="shared" si="1196"/>
        <v>0.00005</v>
      </c>
      <c r="N627" s="7">
        <f t="shared" si="1196"/>
        <v>0</v>
      </c>
      <c r="O627" s="7">
        <f t="shared" si="1196"/>
        <v>0</v>
      </c>
      <c r="P627" s="7">
        <f t="shared" si="1196"/>
        <v>0</v>
      </c>
      <c r="Q627" s="7">
        <f t="shared" si="7"/>
        <v>0</v>
      </c>
      <c r="R627" s="7">
        <f t="shared" si="8"/>
        <v>0.009932677297</v>
      </c>
      <c r="S627" s="7">
        <f t="shared" si="2"/>
        <v>0.9524555335</v>
      </c>
      <c r="T627" s="7">
        <f t="shared" si="3"/>
        <v>0.1004987562</v>
      </c>
      <c r="U627" s="7">
        <f t="shared" si="4"/>
        <v>0</v>
      </c>
      <c r="V627" s="7">
        <f t="shared" si="5"/>
        <v>0</v>
      </c>
      <c r="W627" s="7">
        <f t="shared" ref="W627:X627" si="1197">IF(AVERAGE(U567:U626) &gt; 0.25, 1, 0)</f>
        <v>0</v>
      </c>
      <c r="X627" s="7">
        <f t="shared" si="1197"/>
        <v>0</v>
      </c>
      <c r="Y627" s="8">
        <v>0.0</v>
      </c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</row>
    <row r="628" ht="22.5" customHeight="1">
      <c r="B628" s="6">
        <v>627.0</v>
      </c>
      <c r="C628" s="6">
        <v>5747.0</v>
      </c>
      <c r="D628" s="6">
        <v>1.23</v>
      </c>
      <c r="E628" s="6">
        <v>-0.2</v>
      </c>
      <c r="F628" s="6">
        <v>10.68</v>
      </c>
      <c r="G628" s="6">
        <v>-0.1</v>
      </c>
      <c r="H628" s="6">
        <v>0.0</v>
      </c>
      <c r="I628" s="6">
        <v>-0.01</v>
      </c>
      <c r="J628" s="6">
        <v>33.19</v>
      </c>
      <c r="K628" s="7">
        <f t="shared" ref="K628:P628" si="1198">abs(D628-D627)/200</f>
        <v>0</v>
      </c>
      <c r="L628" s="7">
        <f t="shared" si="1198"/>
        <v>0</v>
      </c>
      <c r="M628" s="7">
        <f t="shared" si="1198"/>
        <v>0</v>
      </c>
      <c r="N628" s="7">
        <f t="shared" si="1198"/>
        <v>0</v>
      </c>
      <c r="O628" s="7">
        <f t="shared" si="1198"/>
        <v>0</v>
      </c>
      <c r="P628" s="7">
        <f t="shared" si="1198"/>
        <v>0</v>
      </c>
      <c r="Q628" s="7">
        <f t="shared" si="7"/>
        <v>0</v>
      </c>
      <c r="R628" s="7">
        <f t="shared" si="8"/>
        <v>0</v>
      </c>
      <c r="S628" s="7">
        <f t="shared" si="2"/>
        <v>0.9524555335</v>
      </c>
      <c r="T628" s="7">
        <f t="shared" si="3"/>
        <v>0.1004987562</v>
      </c>
      <c r="U628" s="7">
        <f t="shared" si="4"/>
        <v>0</v>
      </c>
      <c r="V628" s="7">
        <f t="shared" si="5"/>
        <v>0</v>
      </c>
      <c r="W628" s="7">
        <f t="shared" ref="W628:X628" si="1199">IF(AVERAGE(U568:U627) &gt; 0.25, 1, 0)</f>
        <v>0</v>
      </c>
      <c r="X628" s="7">
        <f t="shared" si="1199"/>
        <v>0</v>
      </c>
      <c r="Y628" s="8">
        <v>0.0</v>
      </c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</row>
    <row r="629" ht="22.5" customHeight="1">
      <c r="B629" s="6">
        <v>628.0</v>
      </c>
      <c r="C629" s="6">
        <v>5951.0</v>
      </c>
      <c r="D629" s="6">
        <v>1.23</v>
      </c>
      <c r="E629" s="6">
        <v>-0.21</v>
      </c>
      <c r="F629" s="6">
        <v>10.68</v>
      </c>
      <c r="G629" s="6">
        <v>-0.1</v>
      </c>
      <c r="H629" s="6">
        <v>0.0</v>
      </c>
      <c r="I629" s="6">
        <v>-0.01</v>
      </c>
      <c r="J629" s="6">
        <v>33.19</v>
      </c>
      <c r="K629" s="7">
        <f t="shared" ref="K629:P629" si="1200">abs(D629-D628)/200</f>
        <v>0</v>
      </c>
      <c r="L629" s="7">
        <f t="shared" si="1200"/>
        <v>0.00005</v>
      </c>
      <c r="M629" s="7">
        <f t="shared" si="1200"/>
        <v>0</v>
      </c>
      <c r="N629" s="7">
        <f t="shared" si="1200"/>
        <v>0</v>
      </c>
      <c r="O629" s="7">
        <f t="shared" si="1200"/>
        <v>0</v>
      </c>
      <c r="P629" s="7">
        <f t="shared" si="1200"/>
        <v>0</v>
      </c>
      <c r="Q629" s="7">
        <f t="shared" si="7"/>
        <v>0</v>
      </c>
      <c r="R629" s="7">
        <f t="shared" si="8"/>
        <v>0.0001906524346</v>
      </c>
      <c r="S629" s="7">
        <f t="shared" si="2"/>
        <v>0.9526461859</v>
      </c>
      <c r="T629" s="7">
        <f t="shared" si="3"/>
        <v>0.1004987562</v>
      </c>
      <c r="U629" s="7">
        <f t="shared" si="4"/>
        <v>0</v>
      </c>
      <c r="V629" s="7">
        <f t="shared" si="5"/>
        <v>0</v>
      </c>
      <c r="W629" s="7">
        <f t="shared" ref="W629:X629" si="1201">IF(AVERAGE(U569:U628) &gt; 0.25, 1, 0)</f>
        <v>0</v>
      </c>
      <c r="X629" s="7">
        <f t="shared" si="1201"/>
        <v>0</v>
      </c>
      <c r="Y629" s="8">
        <v>0.0</v>
      </c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</row>
    <row r="630" ht="22.5" customHeight="1">
      <c r="B630" s="6">
        <v>629.0</v>
      </c>
      <c r="C630" s="6">
        <v>6155.0</v>
      </c>
      <c r="D630" s="6">
        <v>1.22</v>
      </c>
      <c r="E630" s="6">
        <v>-0.2</v>
      </c>
      <c r="F630" s="6">
        <v>10.68</v>
      </c>
      <c r="G630" s="6">
        <v>-0.1</v>
      </c>
      <c r="H630" s="6">
        <v>0.0</v>
      </c>
      <c r="I630" s="6">
        <v>-0.01</v>
      </c>
      <c r="J630" s="6">
        <v>33.19</v>
      </c>
      <c r="K630" s="7">
        <f t="shared" ref="K630:P630" si="1202">abs(D630-D629)/200</f>
        <v>0.00005</v>
      </c>
      <c r="L630" s="7">
        <f t="shared" si="1202"/>
        <v>0.00005</v>
      </c>
      <c r="M630" s="7">
        <f t="shared" si="1202"/>
        <v>0</v>
      </c>
      <c r="N630" s="7">
        <f t="shared" si="1202"/>
        <v>0</v>
      </c>
      <c r="O630" s="7">
        <f t="shared" si="1202"/>
        <v>0</v>
      </c>
      <c r="P630" s="7">
        <f t="shared" si="1202"/>
        <v>0</v>
      </c>
      <c r="Q630" s="7">
        <f t="shared" si="7"/>
        <v>0</v>
      </c>
      <c r="R630" s="7">
        <f t="shared" si="8"/>
        <v>0.001329987446</v>
      </c>
      <c r="S630" s="7">
        <f t="shared" si="2"/>
        <v>0.9513161985</v>
      </c>
      <c r="T630" s="7">
        <f t="shared" si="3"/>
        <v>0.1004987562</v>
      </c>
      <c r="U630" s="7">
        <f t="shared" si="4"/>
        <v>0</v>
      </c>
      <c r="V630" s="7">
        <f t="shared" si="5"/>
        <v>0</v>
      </c>
      <c r="W630" s="7">
        <f t="shared" ref="W630:X630" si="1203">IF(AVERAGE(U570:U629) &gt; 0.25, 1, 0)</f>
        <v>0</v>
      </c>
      <c r="X630" s="7">
        <f t="shared" si="1203"/>
        <v>0</v>
      </c>
      <c r="Y630" s="8">
        <v>0.0</v>
      </c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</row>
    <row r="631" ht="22.5" customHeight="1">
      <c r="B631" s="6">
        <v>630.0</v>
      </c>
      <c r="C631" s="6">
        <v>6359.0</v>
      </c>
      <c r="D631" s="6">
        <v>1.24</v>
      </c>
      <c r="E631" s="6">
        <v>-0.2</v>
      </c>
      <c r="F631" s="6">
        <v>10.68</v>
      </c>
      <c r="G631" s="6">
        <v>-0.1</v>
      </c>
      <c r="H631" s="6">
        <v>0.0</v>
      </c>
      <c r="I631" s="6">
        <v>-0.01</v>
      </c>
      <c r="J631" s="6">
        <v>33.18</v>
      </c>
      <c r="K631" s="7">
        <f t="shared" ref="K631:P631" si="1204">abs(D631-D630)/200</f>
        <v>0.0001</v>
      </c>
      <c r="L631" s="7">
        <f t="shared" si="1204"/>
        <v>0</v>
      </c>
      <c r="M631" s="7">
        <f t="shared" si="1204"/>
        <v>0</v>
      </c>
      <c r="N631" s="7">
        <f t="shared" si="1204"/>
        <v>0</v>
      </c>
      <c r="O631" s="7">
        <f t="shared" si="1204"/>
        <v>0</v>
      </c>
      <c r="P631" s="7">
        <f t="shared" si="1204"/>
        <v>0</v>
      </c>
      <c r="Q631" s="7">
        <f t="shared" si="7"/>
        <v>0</v>
      </c>
      <c r="R631" s="7">
        <f t="shared" si="8"/>
        <v>0.002287848522</v>
      </c>
      <c r="S631" s="7">
        <f t="shared" si="2"/>
        <v>0.953604047</v>
      </c>
      <c r="T631" s="7">
        <f t="shared" si="3"/>
        <v>0.1004987562</v>
      </c>
      <c r="U631" s="7">
        <f t="shared" si="4"/>
        <v>0</v>
      </c>
      <c r="V631" s="7">
        <f t="shared" si="5"/>
        <v>0</v>
      </c>
      <c r="W631" s="7">
        <f t="shared" ref="W631:X631" si="1205">IF(AVERAGE(U571:U630) &gt; 0.25, 1, 0)</f>
        <v>0</v>
      </c>
      <c r="X631" s="7">
        <f t="shared" si="1205"/>
        <v>0</v>
      </c>
      <c r="Y631" s="8">
        <v>0.0</v>
      </c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</row>
    <row r="632" ht="22.5" customHeight="1">
      <c r="B632" s="6">
        <v>631.0</v>
      </c>
      <c r="C632" s="6">
        <v>6563.0</v>
      </c>
      <c r="D632" s="6">
        <v>1.24</v>
      </c>
      <c r="E632" s="6">
        <v>-0.21</v>
      </c>
      <c r="F632" s="6">
        <v>10.69</v>
      </c>
      <c r="G632" s="6">
        <v>-0.1</v>
      </c>
      <c r="H632" s="6">
        <v>0.0</v>
      </c>
      <c r="I632" s="6">
        <v>-0.01</v>
      </c>
      <c r="J632" s="6">
        <v>33.19</v>
      </c>
      <c r="K632" s="7">
        <f t="shared" ref="K632:P632" si="1206">abs(D632-D631)/200</f>
        <v>0</v>
      </c>
      <c r="L632" s="7">
        <f t="shared" si="1206"/>
        <v>0.00005</v>
      </c>
      <c r="M632" s="7">
        <f t="shared" si="1206"/>
        <v>0.00005</v>
      </c>
      <c r="N632" s="7">
        <f t="shared" si="1206"/>
        <v>0</v>
      </c>
      <c r="O632" s="7">
        <f t="shared" si="1206"/>
        <v>0</v>
      </c>
      <c r="P632" s="7">
        <f t="shared" si="1206"/>
        <v>0</v>
      </c>
      <c r="Q632" s="7">
        <f t="shared" si="7"/>
        <v>0</v>
      </c>
      <c r="R632" s="7">
        <f t="shared" si="8"/>
        <v>0.01012207362</v>
      </c>
      <c r="S632" s="7">
        <f t="shared" si="2"/>
        <v>0.9637261206</v>
      </c>
      <c r="T632" s="7">
        <f t="shared" si="3"/>
        <v>0.1004987562</v>
      </c>
      <c r="U632" s="7">
        <f t="shared" si="4"/>
        <v>0</v>
      </c>
      <c r="V632" s="7">
        <f t="shared" si="5"/>
        <v>0</v>
      </c>
      <c r="W632" s="7">
        <f t="shared" ref="W632:X632" si="1207">IF(AVERAGE(U572:U631) &gt; 0.25, 1, 0)</f>
        <v>0</v>
      </c>
      <c r="X632" s="7">
        <f t="shared" si="1207"/>
        <v>0</v>
      </c>
      <c r="Y632" s="8">
        <v>0.0</v>
      </c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</row>
    <row r="633" ht="22.5" customHeight="1">
      <c r="B633" s="6">
        <v>632.0</v>
      </c>
      <c r="C633" s="6">
        <v>6767.0</v>
      </c>
      <c r="D633" s="6">
        <v>1.24</v>
      </c>
      <c r="E633" s="6">
        <v>-0.2</v>
      </c>
      <c r="F633" s="6">
        <v>10.69</v>
      </c>
      <c r="G633" s="6">
        <v>-0.1</v>
      </c>
      <c r="H633" s="6">
        <v>0.0</v>
      </c>
      <c r="I633" s="6">
        <v>-0.01</v>
      </c>
      <c r="J633" s="6">
        <v>33.19</v>
      </c>
      <c r="K633" s="7">
        <f t="shared" ref="K633:P633" si="1208">abs(D633-D632)/200</f>
        <v>0</v>
      </c>
      <c r="L633" s="7">
        <f t="shared" si="1208"/>
        <v>0.00005</v>
      </c>
      <c r="M633" s="7">
        <f t="shared" si="1208"/>
        <v>0</v>
      </c>
      <c r="N633" s="7">
        <f t="shared" si="1208"/>
        <v>0</v>
      </c>
      <c r="O633" s="7">
        <f t="shared" si="1208"/>
        <v>0</v>
      </c>
      <c r="P633" s="7">
        <f t="shared" si="1208"/>
        <v>0</v>
      </c>
      <c r="Q633" s="7">
        <f t="shared" si="7"/>
        <v>0</v>
      </c>
      <c r="R633" s="7">
        <f t="shared" si="8"/>
        <v>0.0001904561779</v>
      </c>
      <c r="S633" s="7">
        <f t="shared" si="2"/>
        <v>0.9635356645</v>
      </c>
      <c r="T633" s="7">
        <f t="shared" si="3"/>
        <v>0.1004987562</v>
      </c>
      <c r="U633" s="7">
        <f t="shared" si="4"/>
        <v>0</v>
      </c>
      <c r="V633" s="7">
        <f t="shared" si="5"/>
        <v>0</v>
      </c>
      <c r="W633" s="7">
        <f t="shared" ref="W633:X633" si="1209">IF(AVERAGE(U573:U632) &gt; 0.25, 1, 0)</f>
        <v>0</v>
      </c>
      <c r="X633" s="7">
        <f t="shared" si="1209"/>
        <v>0</v>
      </c>
      <c r="Y633" s="8">
        <v>0.0</v>
      </c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</row>
    <row r="634" ht="22.5" customHeight="1">
      <c r="B634" s="6">
        <v>633.0</v>
      </c>
      <c r="C634" s="6">
        <v>6971.0</v>
      </c>
      <c r="D634" s="6">
        <v>1.24</v>
      </c>
      <c r="E634" s="6">
        <v>-0.2</v>
      </c>
      <c r="F634" s="6">
        <v>10.69</v>
      </c>
      <c r="G634" s="6">
        <v>-0.1</v>
      </c>
      <c r="H634" s="6">
        <v>0.0</v>
      </c>
      <c r="I634" s="6">
        <v>-0.01</v>
      </c>
      <c r="J634" s="6">
        <v>33.18</v>
      </c>
      <c r="K634" s="7">
        <f t="shared" ref="K634:P634" si="1210">abs(D634-D633)/200</f>
        <v>0</v>
      </c>
      <c r="L634" s="7">
        <f t="shared" si="1210"/>
        <v>0</v>
      </c>
      <c r="M634" s="7">
        <f t="shared" si="1210"/>
        <v>0</v>
      </c>
      <c r="N634" s="7">
        <f t="shared" si="1210"/>
        <v>0</v>
      </c>
      <c r="O634" s="7">
        <f t="shared" si="1210"/>
        <v>0</v>
      </c>
      <c r="P634" s="7">
        <f t="shared" si="1210"/>
        <v>0</v>
      </c>
      <c r="Q634" s="7">
        <f t="shared" si="7"/>
        <v>0</v>
      </c>
      <c r="R634" s="7">
        <f t="shared" si="8"/>
        <v>0</v>
      </c>
      <c r="S634" s="7">
        <f t="shared" si="2"/>
        <v>0.9635356645</v>
      </c>
      <c r="T634" s="7">
        <f t="shared" si="3"/>
        <v>0.1004987562</v>
      </c>
      <c r="U634" s="7">
        <f t="shared" si="4"/>
        <v>0</v>
      </c>
      <c r="V634" s="7">
        <f t="shared" si="5"/>
        <v>0</v>
      </c>
      <c r="W634" s="7">
        <f t="shared" ref="W634:X634" si="1211">IF(AVERAGE(U574:U633) &gt; 0.25, 1, 0)</f>
        <v>0</v>
      </c>
      <c r="X634" s="7">
        <f t="shared" si="1211"/>
        <v>0</v>
      </c>
      <c r="Y634" s="8">
        <v>0.0</v>
      </c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</row>
    <row r="635" ht="22.5" customHeight="1">
      <c r="B635" s="6">
        <v>634.0</v>
      </c>
      <c r="C635" s="6">
        <v>7175.0</v>
      </c>
      <c r="D635" s="6">
        <v>1.23</v>
      </c>
      <c r="E635" s="6">
        <v>-0.2</v>
      </c>
      <c r="F635" s="6">
        <v>10.69</v>
      </c>
      <c r="G635" s="6">
        <v>-0.1</v>
      </c>
      <c r="H635" s="6">
        <v>0.0</v>
      </c>
      <c r="I635" s="6">
        <v>-0.01</v>
      </c>
      <c r="J635" s="6">
        <v>33.18</v>
      </c>
      <c r="K635" s="7">
        <f t="shared" ref="K635:P635" si="1212">abs(D635-D634)/200</f>
        <v>0.00005</v>
      </c>
      <c r="L635" s="7">
        <f t="shared" si="1212"/>
        <v>0</v>
      </c>
      <c r="M635" s="7">
        <f t="shared" si="1212"/>
        <v>0</v>
      </c>
      <c r="N635" s="7">
        <f t="shared" si="1212"/>
        <v>0</v>
      </c>
      <c r="O635" s="7">
        <f t="shared" si="1212"/>
        <v>0</v>
      </c>
      <c r="P635" s="7">
        <f t="shared" si="1212"/>
        <v>0</v>
      </c>
      <c r="Q635" s="7">
        <f t="shared" si="7"/>
        <v>0</v>
      </c>
      <c r="R635" s="7">
        <f t="shared" si="8"/>
        <v>0.001147453654</v>
      </c>
      <c r="S635" s="7">
        <f t="shared" si="2"/>
        <v>0.9623882108</v>
      </c>
      <c r="T635" s="7">
        <f t="shared" si="3"/>
        <v>0.1004987562</v>
      </c>
      <c r="U635" s="7">
        <f t="shared" si="4"/>
        <v>0</v>
      </c>
      <c r="V635" s="7">
        <f t="shared" si="5"/>
        <v>0</v>
      </c>
      <c r="W635" s="7">
        <f t="shared" ref="W635:X635" si="1213">IF(AVERAGE(U575:U634) &gt; 0.25, 1, 0)</f>
        <v>0</v>
      </c>
      <c r="X635" s="7">
        <f t="shared" si="1213"/>
        <v>0</v>
      </c>
      <c r="Y635" s="8">
        <v>0.0</v>
      </c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</row>
    <row r="636" ht="22.5" customHeight="1">
      <c r="B636" s="6">
        <v>635.0</v>
      </c>
      <c r="C636" s="6">
        <v>7379.0</v>
      </c>
      <c r="D636" s="6">
        <v>1.24</v>
      </c>
      <c r="E636" s="6">
        <v>-0.2</v>
      </c>
      <c r="F636" s="6">
        <v>10.69</v>
      </c>
      <c r="G636" s="6">
        <v>-0.1</v>
      </c>
      <c r="H636" s="6">
        <v>0.0</v>
      </c>
      <c r="I636" s="6">
        <v>-0.01</v>
      </c>
      <c r="J636" s="6">
        <v>33.19</v>
      </c>
      <c r="K636" s="7">
        <f t="shared" ref="K636:P636" si="1214">abs(D636-D635)/200</f>
        <v>0.00005</v>
      </c>
      <c r="L636" s="7">
        <f t="shared" si="1214"/>
        <v>0</v>
      </c>
      <c r="M636" s="7">
        <f t="shared" si="1214"/>
        <v>0</v>
      </c>
      <c r="N636" s="7">
        <f t="shared" si="1214"/>
        <v>0</v>
      </c>
      <c r="O636" s="7">
        <f t="shared" si="1214"/>
        <v>0</v>
      </c>
      <c r="P636" s="7">
        <f t="shared" si="1214"/>
        <v>0</v>
      </c>
      <c r="Q636" s="7">
        <f t="shared" si="7"/>
        <v>0</v>
      </c>
      <c r="R636" s="7">
        <f t="shared" si="8"/>
        <v>0.001147453654</v>
      </c>
      <c r="S636" s="7">
        <f t="shared" si="2"/>
        <v>0.9635356645</v>
      </c>
      <c r="T636" s="7">
        <f t="shared" si="3"/>
        <v>0.1004987562</v>
      </c>
      <c r="U636" s="7">
        <f t="shared" si="4"/>
        <v>0</v>
      </c>
      <c r="V636" s="7">
        <f t="shared" si="5"/>
        <v>0</v>
      </c>
      <c r="W636" s="7">
        <f t="shared" ref="W636:X636" si="1215">IF(AVERAGE(U576:U635) &gt; 0.25, 1, 0)</f>
        <v>0</v>
      </c>
      <c r="X636" s="7">
        <f t="shared" si="1215"/>
        <v>0</v>
      </c>
      <c r="Y636" s="8">
        <v>0.0</v>
      </c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</row>
    <row r="637" ht="22.5" customHeight="1">
      <c r="B637" s="6">
        <v>636.0</v>
      </c>
      <c r="C637" s="6">
        <v>7583.0</v>
      </c>
      <c r="D637" s="6">
        <v>1.23</v>
      </c>
      <c r="E637" s="6">
        <v>-0.2</v>
      </c>
      <c r="F637" s="6">
        <v>10.69</v>
      </c>
      <c r="G637" s="6">
        <v>-0.1</v>
      </c>
      <c r="H637" s="6">
        <v>0.0</v>
      </c>
      <c r="I637" s="6">
        <v>-0.01</v>
      </c>
      <c r="J637" s="6">
        <v>33.19</v>
      </c>
      <c r="K637" s="7">
        <f t="shared" ref="K637:P637" si="1216">abs(D637-D636)/200</f>
        <v>0.00005</v>
      </c>
      <c r="L637" s="7">
        <f t="shared" si="1216"/>
        <v>0</v>
      </c>
      <c r="M637" s="7">
        <f t="shared" si="1216"/>
        <v>0</v>
      </c>
      <c r="N637" s="7">
        <f t="shared" si="1216"/>
        <v>0</v>
      </c>
      <c r="O637" s="7">
        <f t="shared" si="1216"/>
        <v>0</v>
      </c>
      <c r="P637" s="7">
        <f t="shared" si="1216"/>
        <v>0</v>
      </c>
      <c r="Q637" s="7">
        <f t="shared" si="7"/>
        <v>0</v>
      </c>
      <c r="R637" s="7">
        <f t="shared" si="8"/>
        <v>0.001147453654</v>
      </c>
      <c r="S637" s="7">
        <f t="shared" si="2"/>
        <v>0.9623882108</v>
      </c>
      <c r="T637" s="7">
        <f t="shared" si="3"/>
        <v>0.1004987562</v>
      </c>
      <c r="U637" s="7">
        <f t="shared" si="4"/>
        <v>0</v>
      </c>
      <c r="V637" s="7">
        <f t="shared" si="5"/>
        <v>0</v>
      </c>
      <c r="W637" s="7">
        <f t="shared" ref="W637:X637" si="1217">IF(AVERAGE(U577:U636) &gt; 0.25, 1, 0)</f>
        <v>0</v>
      </c>
      <c r="X637" s="7">
        <f t="shared" si="1217"/>
        <v>0</v>
      </c>
      <c r="Y637" s="8">
        <v>0.0</v>
      </c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</row>
    <row r="638" ht="22.5" customHeight="1">
      <c r="B638" s="6">
        <v>637.0</v>
      </c>
      <c r="C638" s="6">
        <v>7787.0</v>
      </c>
      <c r="D638" s="6">
        <v>1.24</v>
      </c>
      <c r="E638" s="6">
        <v>-0.2</v>
      </c>
      <c r="F638" s="6">
        <v>10.68</v>
      </c>
      <c r="G638" s="6">
        <v>-0.1</v>
      </c>
      <c r="H638" s="6">
        <v>0.0</v>
      </c>
      <c r="I638" s="6">
        <v>-0.01</v>
      </c>
      <c r="J638" s="6">
        <v>33.19</v>
      </c>
      <c r="K638" s="7">
        <f t="shared" ref="K638:P638" si="1218">abs(D638-D637)/200</f>
        <v>0.00005</v>
      </c>
      <c r="L638" s="7">
        <f t="shared" si="1218"/>
        <v>0</v>
      </c>
      <c r="M638" s="7">
        <f t="shared" si="1218"/>
        <v>0.00005</v>
      </c>
      <c r="N638" s="7">
        <f t="shared" si="1218"/>
        <v>0</v>
      </c>
      <c r="O638" s="7">
        <f t="shared" si="1218"/>
        <v>0</v>
      </c>
      <c r="P638" s="7">
        <f t="shared" si="1218"/>
        <v>0</v>
      </c>
      <c r="Q638" s="7">
        <f t="shared" si="7"/>
        <v>0</v>
      </c>
      <c r="R638" s="7">
        <f t="shared" si="8"/>
        <v>0.008784163785</v>
      </c>
      <c r="S638" s="7">
        <f t="shared" si="2"/>
        <v>0.953604047</v>
      </c>
      <c r="T638" s="7">
        <f t="shared" si="3"/>
        <v>0.1004987562</v>
      </c>
      <c r="U638" s="7">
        <f t="shared" si="4"/>
        <v>0</v>
      </c>
      <c r="V638" s="7">
        <f t="shared" si="5"/>
        <v>0</v>
      </c>
      <c r="W638" s="7">
        <f t="shared" ref="W638:X638" si="1219">IF(AVERAGE(U578:U637) &gt; 0.25, 1, 0)</f>
        <v>0</v>
      </c>
      <c r="X638" s="7">
        <f t="shared" si="1219"/>
        <v>0</v>
      </c>
      <c r="Y638" s="8">
        <v>0.0</v>
      </c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</row>
    <row r="639" ht="22.5" customHeight="1">
      <c r="B639" s="6">
        <v>638.0</v>
      </c>
      <c r="C639" s="6">
        <v>7991.0</v>
      </c>
      <c r="D639" s="6">
        <v>1.23</v>
      </c>
      <c r="E639" s="6">
        <v>-0.2</v>
      </c>
      <c r="F639" s="6">
        <v>10.69</v>
      </c>
      <c r="G639" s="6">
        <v>-0.1</v>
      </c>
      <c r="H639" s="6">
        <v>0.0</v>
      </c>
      <c r="I639" s="6">
        <v>-0.01</v>
      </c>
      <c r="J639" s="6">
        <v>33.18</v>
      </c>
      <c r="K639" s="7">
        <f t="shared" ref="K639:P639" si="1220">abs(D639-D638)/200</f>
        <v>0.00005</v>
      </c>
      <c r="L639" s="7">
        <f t="shared" si="1220"/>
        <v>0</v>
      </c>
      <c r="M639" s="7">
        <f t="shared" si="1220"/>
        <v>0.00005</v>
      </c>
      <c r="N639" s="7">
        <f t="shared" si="1220"/>
        <v>0</v>
      </c>
      <c r="O639" s="7">
        <f t="shared" si="1220"/>
        <v>0</v>
      </c>
      <c r="P639" s="7">
        <f t="shared" si="1220"/>
        <v>0</v>
      </c>
      <c r="Q639" s="7">
        <f t="shared" si="7"/>
        <v>0</v>
      </c>
      <c r="R639" s="7">
        <f t="shared" si="8"/>
        <v>0.008784163785</v>
      </c>
      <c r="S639" s="7">
        <f t="shared" si="2"/>
        <v>0.9623882108</v>
      </c>
      <c r="T639" s="7">
        <f t="shared" si="3"/>
        <v>0.1004987562</v>
      </c>
      <c r="U639" s="7">
        <f t="shared" si="4"/>
        <v>0</v>
      </c>
      <c r="V639" s="7">
        <f t="shared" si="5"/>
        <v>0</v>
      </c>
      <c r="W639" s="7">
        <f t="shared" ref="W639:X639" si="1221">IF(AVERAGE(U579:U638) &gt; 0.25, 1, 0)</f>
        <v>0</v>
      </c>
      <c r="X639" s="7">
        <f t="shared" si="1221"/>
        <v>0</v>
      </c>
      <c r="Y639" s="8">
        <v>0.0</v>
      </c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</row>
    <row r="640" ht="22.5" customHeight="1">
      <c r="B640" s="6">
        <v>639.0</v>
      </c>
      <c r="C640" s="6">
        <v>8195.0</v>
      </c>
      <c r="D640" s="6">
        <v>1.23</v>
      </c>
      <c r="E640" s="6">
        <v>-0.2</v>
      </c>
      <c r="F640" s="6">
        <v>10.68</v>
      </c>
      <c r="G640" s="6">
        <v>-0.1</v>
      </c>
      <c r="H640" s="6">
        <v>0.0</v>
      </c>
      <c r="I640" s="6">
        <v>-0.01</v>
      </c>
      <c r="J640" s="6">
        <v>33.18</v>
      </c>
      <c r="K640" s="7">
        <f t="shared" ref="K640:P640" si="1222">abs(D640-D639)/200</f>
        <v>0</v>
      </c>
      <c r="L640" s="7">
        <f t="shared" si="1222"/>
        <v>0</v>
      </c>
      <c r="M640" s="7">
        <f t="shared" si="1222"/>
        <v>0.00005</v>
      </c>
      <c r="N640" s="7">
        <f t="shared" si="1222"/>
        <v>0</v>
      </c>
      <c r="O640" s="7">
        <f t="shared" si="1222"/>
        <v>0</v>
      </c>
      <c r="P640" s="7">
        <f t="shared" si="1222"/>
        <v>0</v>
      </c>
      <c r="Q640" s="7">
        <f t="shared" si="7"/>
        <v>0</v>
      </c>
      <c r="R640" s="7">
        <f t="shared" si="8"/>
        <v>0.009932677297</v>
      </c>
      <c r="S640" s="7">
        <f t="shared" si="2"/>
        <v>0.9524555335</v>
      </c>
      <c r="T640" s="7">
        <f t="shared" si="3"/>
        <v>0.1004987562</v>
      </c>
      <c r="U640" s="7">
        <f t="shared" si="4"/>
        <v>0</v>
      </c>
      <c r="V640" s="7">
        <f t="shared" si="5"/>
        <v>0</v>
      </c>
      <c r="W640" s="7">
        <f t="shared" ref="W640:X640" si="1223">IF(AVERAGE(U580:U639) &gt; 0.25, 1, 0)</f>
        <v>0</v>
      </c>
      <c r="X640" s="7">
        <f t="shared" si="1223"/>
        <v>0</v>
      </c>
      <c r="Y640" s="8">
        <v>0.0</v>
      </c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</row>
    <row r="641" ht="22.5" customHeight="1">
      <c r="B641" s="6">
        <v>640.0</v>
      </c>
      <c r="C641" s="6">
        <v>8399.0</v>
      </c>
      <c r="D641" s="6">
        <v>1.23</v>
      </c>
      <c r="E641" s="6">
        <v>-0.2</v>
      </c>
      <c r="F641" s="6">
        <v>10.68</v>
      </c>
      <c r="G641" s="6">
        <v>-0.1</v>
      </c>
      <c r="H641" s="6">
        <v>0.0</v>
      </c>
      <c r="I641" s="6">
        <v>-0.01</v>
      </c>
      <c r="J641" s="6">
        <v>33.18</v>
      </c>
      <c r="K641" s="7">
        <f t="shared" ref="K641:P641" si="1224">abs(D641-D640)/200</f>
        <v>0</v>
      </c>
      <c r="L641" s="7">
        <f t="shared" si="1224"/>
        <v>0</v>
      </c>
      <c r="M641" s="7">
        <f t="shared" si="1224"/>
        <v>0</v>
      </c>
      <c r="N641" s="7">
        <f t="shared" si="1224"/>
        <v>0</v>
      </c>
      <c r="O641" s="7">
        <f t="shared" si="1224"/>
        <v>0</v>
      </c>
      <c r="P641" s="7">
        <f t="shared" si="1224"/>
        <v>0</v>
      </c>
      <c r="Q641" s="7">
        <f t="shared" si="7"/>
        <v>0</v>
      </c>
      <c r="R641" s="7">
        <f t="shared" si="8"/>
        <v>0</v>
      </c>
      <c r="S641" s="7">
        <f t="shared" si="2"/>
        <v>0.9524555335</v>
      </c>
      <c r="T641" s="7">
        <f t="shared" si="3"/>
        <v>0.1004987562</v>
      </c>
      <c r="U641" s="7">
        <f t="shared" si="4"/>
        <v>0</v>
      </c>
      <c r="V641" s="7">
        <f t="shared" si="5"/>
        <v>0</v>
      </c>
      <c r="W641" s="7">
        <f t="shared" ref="W641:X641" si="1225">IF(AVERAGE(U581:U640) &gt; 0.25, 1, 0)</f>
        <v>0</v>
      </c>
      <c r="X641" s="7">
        <f t="shared" si="1225"/>
        <v>0</v>
      </c>
      <c r="Y641" s="8">
        <v>0.0</v>
      </c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</row>
    <row r="642" ht="22.5" customHeight="1">
      <c r="B642" s="6">
        <v>641.0</v>
      </c>
      <c r="C642" s="6">
        <v>8603.0</v>
      </c>
      <c r="D642" s="6">
        <v>1.24</v>
      </c>
      <c r="E642" s="6">
        <v>-0.2</v>
      </c>
      <c r="F642" s="6">
        <v>10.68</v>
      </c>
      <c r="G642" s="6">
        <v>-0.1</v>
      </c>
      <c r="H642" s="6">
        <v>0.0</v>
      </c>
      <c r="I642" s="6">
        <v>-0.01</v>
      </c>
      <c r="J642" s="6">
        <v>33.18</v>
      </c>
      <c r="K642" s="7">
        <f t="shared" ref="K642:P642" si="1226">abs(D642-D641)/200</f>
        <v>0.00005</v>
      </c>
      <c r="L642" s="7">
        <f t="shared" si="1226"/>
        <v>0</v>
      </c>
      <c r="M642" s="7">
        <f t="shared" si="1226"/>
        <v>0</v>
      </c>
      <c r="N642" s="7">
        <f t="shared" si="1226"/>
        <v>0</v>
      </c>
      <c r="O642" s="7">
        <f t="shared" si="1226"/>
        <v>0</v>
      </c>
      <c r="P642" s="7">
        <f t="shared" si="1226"/>
        <v>0</v>
      </c>
      <c r="Q642" s="7">
        <f t="shared" si="7"/>
        <v>0</v>
      </c>
      <c r="R642" s="7">
        <f t="shared" si="8"/>
        <v>0.001148513511</v>
      </c>
      <c r="S642" s="7">
        <f t="shared" si="2"/>
        <v>0.953604047</v>
      </c>
      <c r="T642" s="7">
        <f t="shared" si="3"/>
        <v>0.1004987562</v>
      </c>
      <c r="U642" s="7">
        <f t="shared" si="4"/>
        <v>0</v>
      </c>
      <c r="V642" s="7">
        <f t="shared" si="5"/>
        <v>0</v>
      </c>
      <c r="W642" s="7">
        <f t="shared" ref="W642:X642" si="1227">IF(AVERAGE(U582:U641) &gt; 0.25, 1, 0)</f>
        <v>0</v>
      </c>
      <c r="X642" s="7">
        <f t="shared" si="1227"/>
        <v>0</v>
      </c>
      <c r="Y642" s="8">
        <v>0.0</v>
      </c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</row>
    <row r="643" ht="22.5" customHeight="1">
      <c r="B643" s="6">
        <v>642.0</v>
      </c>
      <c r="C643" s="6">
        <v>8807.0</v>
      </c>
      <c r="D643" s="6">
        <v>1.23</v>
      </c>
      <c r="E643" s="6">
        <v>-0.21</v>
      </c>
      <c r="F643" s="6">
        <v>10.68</v>
      </c>
      <c r="G643" s="6">
        <v>-0.1</v>
      </c>
      <c r="H643" s="6">
        <v>0.0</v>
      </c>
      <c r="I643" s="6">
        <v>-0.01</v>
      </c>
      <c r="J643" s="6">
        <v>33.19</v>
      </c>
      <c r="K643" s="7">
        <f t="shared" ref="K643:P643" si="1228">abs(D643-D642)/200</f>
        <v>0.00005</v>
      </c>
      <c r="L643" s="7">
        <f t="shared" si="1228"/>
        <v>0.00005</v>
      </c>
      <c r="M643" s="7">
        <f t="shared" si="1228"/>
        <v>0</v>
      </c>
      <c r="N643" s="7">
        <f t="shared" si="1228"/>
        <v>0</v>
      </c>
      <c r="O643" s="7">
        <f t="shared" si="1228"/>
        <v>0</v>
      </c>
      <c r="P643" s="7">
        <f t="shared" si="1228"/>
        <v>0</v>
      </c>
      <c r="Q643" s="7">
        <f t="shared" si="7"/>
        <v>0</v>
      </c>
      <c r="R643" s="7">
        <f t="shared" si="8"/>
        <v>0.0009578610765</v>
      </c>
      <c r="S643" s="7">
        <f t="shared" si="2"/>
        <v>0.9526461859</v>
      </c>
      <c r="T643" s="7">
        <f t="shared" si="3"/>
        <v>0.1004987562</v>
      </c>
      <c r="U643" s="7">
        <f t="shared" si="4"/>
        <v>0</v>
      </c>
      <c r="V643" s="7">
        <f t="shared" si="5"/>
        <v>0</v>
      </c>
      <c r="W643" s="7">
        <f t="shared" ref="W643:X643" si="1229">IF(AVERAGE(U583:U642) &gt; 0.25, 1, 0)</f>
        <v>0</v>
      </c>
      <c r="X643" s="7">
        <f t="shared" si="1229"/>
        <v>0</v>
      </c>
      <c r="Y643" s="8">
        <v>0.0</v>
      </c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</row>
    <row r="644" ht="22.5" customHeight="1">
      <c r="B644" s="6">
        <v>643.0</v>
      </c>
      <c r="C644" s="6">
        <v>9011.0</v>
      </c>
      <c r="D644" s="6">
        <v>1.24</v>
      </c>
      <c r="E644" s="6">
        <v>-0.2</v>
      </c>
      <c r="F644" s="6">
        <v>10.67</v>
      </c>
      <c r="G644" s="6">
        <v>-0.1</v>
      </c>
      <c r="H644" s="6">
        <v>0.0</v>
      </c>
      <c r="I644" s="6">
        <v>-0.01</v>
      </c>
      <c r="J644" s="6">
        <v>33.19</v>
      </c>
      <c r="K644" s="7">
        <f t="shared" ref="K644:P644" si="1230">abs(D644-D643)/200</f>
        <v>0.00005</v>
      </c>
      <c r="L644" s="7">
        <f t="shared" si="1230"/>
        <v>0.00005</v>
      </c>
      <c r="M644" s="7">
        <f t="shared" si="1230"/>
        <v>0.00005</v>
      </c>
      <c r="N644" s="7">
        <f t="shared" si="1230"/>
        <v>0</v>
      </c>
      <c r="O644" s="7">
        <f t="shared" si="1230"/>
        <v>0</v>
      </c>
      <c r="P644" s="7">
        <f t="shared" si="1230"/>
        <v>0</v>
      </c>
      <c r="Q644" s="7">
        <f t="shared" si="7"/>
        <v>0</v>
      </c>
      <c r="R644" s="7">
        <f t="shared" si="8"/>
        <v>0.0089736295</v>
      </c>
      <c r="S644" s="7">
        <f t="shared" si="2"/>
        <v>0.9436725564</v>
      </c>
      <c r="T644" s="7">
        <f t="shared" si="3"/>
        <v>0.1004987562</v>
      </c>
      <c r="U644" s="7">
        <f t="shared" si="4"/>
        <v>0</v>
      </c>
      <c r="V644" s="7">
        <f t="shared" si="5"/>
        <v>0</v>
      </c>
      <c r="W644" s="7">
        <f t="shared" ref="W644:X644" si="1231">IF(AVERAGE(U584:U643) &gt; 0.25, 1, 0)</f>
        <v>0</v>
      </c>
      <c r="X644" s="7">
        <f t="shared" si="1231"/>
        <v>0</v>
      </c>
      <c r="Y644" s="8">
        <v>0.0</v>
      </c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</row>
    <row r="645" ht="22.5" customHeight="1">
      <c r="B645" s="6">
        <v>644.0</v>
      </c>
      <c r="C645" s="6">
        <v>9215.0</v>
      </c>
      <c r="D645" s="6">
        <v>1.23</v>
      </c>
      <c r="E645" s="6">
        <v>-0.2</v>
      </c>
      <c r="F645" s="6">
        <v>10.67</v>
      </c>
      <c r="G645" s="6">
        <v>-0.1</v>
      </c>
      <c r="H645" s="6">
        <v>0.0</v>
      </c>
      <c r="I645" s="6">
        <v>-0.01</v>
      </c>
      <c r="J645" s="6">
        <v>33.19</v>
      </c>
      <c r="K645" s="7">
        <f t="shared" ref="K645:P645" si="1232">abs(D645-D644)/200</f>
        <v>0.00005</v>
      </c>
      <c r="L645" s="7">
        <f t="shared" si="1232"/>
        <v>0</v>
      </c>
      <c r="M645" s="7">
        <f t="shared" si="1232"/>
        <v>0</v>
      </c>
      <c r="N645" s="7">
        <f t="shared" si="1232"/>
        <v>0</v>
      </c>
      <c r="O645" s="7">
        <f t="shared" si="1232"/>
        <v>0</v>
      </c>
      <c r="P645" s="7">
        <f t="shared" si="1232"/>
        <v>0</v>
      </c>
      <c r="Q645" s="7">
        <f t="shared" si="7"/>
        <v>0</v>
      </c>
      <c r="R645" s="7">
        <f t="shared" si="8"/>
        <v>0.001149575315</v>
      </c>
      <c r="S645" s="7">
        <f t="shared" si="2"/>
        <v>0.9425229811</v>
      </c>
      <c r="T645" s="7">
        <f t="shared" si="3"/>
        <v>0.1004987562</v>
      </c>
      <c r="U645" s="7">
        <f t="shared" si="4"/>
        <v>0</v>
      </c>
      <c r="V645" s="7">
        <f t="shared" si="5"/>
        <v>0</v>
      </c>
      <c r="W645" s="7">
        <f t="shared" ref="W645:X645" si="1233">IF(AVERAGE(U585:U644) &gt; 0.25, 1, 0)</f>
        <v>0</v>
      </c>
      <c r="X645" s="7">
        <f t="shared" si="1233"/>
        <v>0</v>
      </c>
      <c r="Y645" s="8">
        <v>0.0</v>
      </c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</row>
    <row r="646" ht="22.5" customHeight="1">
      <c r="B646" s="6">
        <v>645.0</v>
      </c>
      <c r="C646" s="6">
        <v>9419.0</v>
      </c>
      <c r="D646" s="6">
        <v>1.24</v>
      </c>
      <c r="E646" s="6">
        <v>-0.2</v>
      </c>
      <c r="F646" s="6">
        <v>10.69</v>
      </c>
      <c r="G646" s="6">
        <v>-0.1</v>
      </c>
      <c r="H646" s="6">
        <v>0.0</v>
      </c>
      <c r="I646" s="6">
        <v>-0.01</v>
      </c>
      <c r="J646" s="6">
        <v>33.18</v>
      </c>
      <c r="K646" s="7">
        <f t="shared" ref="K646:P646" si="1234">abs(D646-D645)/200</f>
        <v>0.00005</v>
      </c>
      <c r="L646" s="7">
        <f t="shared" si="1234"/>
        <v>0</v>
      </c>
      <c r="M646" s="7">
        <f t="shared" si="1234"/>
        <v>0.0001</v>
      </c>
      <c r="N646" s="7">
        <f t="shared" si="1234"/>
        <v>0</v>
      </c>
      <c r="O646" s="7">
        <f t="shared" si="1234"/>
        <v>0</v>
      </c>
      <c r="P646" s="7">
        <f t="shared" si="1234"/>
        <v>0</v>
      </c>
      <c r="Q646" s="7">
        <f t="shared" si="7"/>
        <v>0</v>
      </c>
      <c r="R646" s="7">
        <f t="shared" si="8"/>
        <v>0.02101268333</v>
      </c>
      <c r="S646" s="7">
        <f t="shared" si="2"/>
        <v>0.9635356645</v>
      </c>
      <c r="T646" s="7">
        <f t="shared" si="3"/>
        <v>0.1004987562</v>
      </c>
      <c r="U646" s="7">
        <f t="shared" si="4"/>
        <v>0</v>
      </c>
      <c r="V646" s="7">
        <f t="shared" si="5"/>
        <v>0</v>
      </c>
      <c r="W646" s="7">
        <f t="shared" ref="W646:X646" si="1235">IF(AVERAGE(U586:U645) &gt; 0.25, 1, 0)</f>
        <v>0</v>
      </c>
      <c r="X646" s="7">
        <f t="shared" si="1235"/>
        <v>0</v>
      </c>
      <c r="Y646" s="8">
        <v>0.0</v>
      </c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</row>
    <row r="647" ht="22.5" customHeight="1">
      <c r="B647" s="6">
        <v>646.0</v>
      </c>
      <c r="C647" s="6">
        <v>9623.0</v>
      </c>
      <c r="D647" s="6">
        <v>1.23</v>
      </c>
      <c r="E647" s="6">
        <v>-0.2</v>
      </c>
      <c r="F647" s="6">
        <v>10.68</v>
      </c>
      <c r="G647" s="6">
        <v>-0.1</v>
      </c>
      <c r="H647" s="6">
        <v>0.0</v>
      </c>
      <c r="I647" s="6">
        <v>-0.01</v>
      </c>
      <c r="J647" s="6">
        <v>33.19</v>
      </c>
      <c r="K647" s="7">
        <f t="shared" ref="K647:P647" si="1236">abs(D647-D646)/200</f>
        <v>0.00005</v>
      </c>
      <c r="L647" s="7">
        <f t="shared" si="1236"/>
        <v>0</v>
      </c>
      <c r="M647" s="7">
        <f t="shared" si="1236"/>
        <v>0.00005</v>
      </c>
      <c r="N647" s="7">
        <f t="shared" si="1236"/>
        <v>0</v>
      </c>
      <c r="O647" s="7">
        <f t="shared" si="1236"/>
        <v>0</v>
      </c>
      <c r="P647" s="7">
        <f t="shared" si="1236"/>
        <v>0</v>
      </c>
      <c r="Q647" s="7">
        <f t="shared" si="7"/>
        <v>0</v>
      </c>
      <c r="R647" s="7">
        <f t="shared" si="8"/>
        <v>0.01108013095</v>
      </c>
      <c r="S647" s="7">
        <f t="shared" si="2"/>
        <v>0.9524555335</v>
      </c>
      <c r="T647" s="7">
        <f t="shared" si="3"/>
        <v>0.1004987562</v>
      </c>
      <c r="U647" s="7">
        <f t="shared" si="4"/>
        <v>0</v>
      </c>
      <c r="V647" s="7">
        <f t="shared" si="5"/>
        <v>0</v>
      </c>
      <c r="W647" s="7">
        <f t="shared" ref="W647:X647" si="1237">IF(AVERAGE(U587:U646) &gt; 0.25, 1, 0)</f>
        <v>0</v>
      </c>
      <c r="X647" s="7">
        <f t="shared" si="1237"/>
        <v>0</v>
      </c>
      <c r="Y647" s="8">
        <v>0.0</v>
      </c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</row>
    <row r="648" ht="22.5" customHeight="1">
      <c r="B648" s="6">
        <v>647.0</v>
      </c>
      <c r="C648" s="6">
        <v>9827.0</v>
      </c>
      <c r="D648" s="6">
        <v>1.24</v>
      </c>
      <c r="E648" s="6">
        <v>-0.21</v>
      </c>
      <c r="F648" s="6">
        <v>10.69</v>
      </c>
      <c r="G648" s="6">
        <v>-0.1</v>
      </c>
      <c r="H648" s="6">
        <v>0.0</v>
      </c>
      <c r="I648" s="6">
        <v>-0.01</v>
      </c>
      <c r="J648" s="6">
        <v>33.2</v>
      </c>
      <c r="K648" s="7">
        <f t="shared" ref="K648:P648" si="1238">abs(D648-D647)/200</f>
        <v>0.00005</v>
      </c>
      <c r="L648" s="7">
        <f t="shared" si="1238"/>
        <v>0.00005</v>
      </c>
      <c r="M648" s="7">
        <f t="shared" si="1238"/>
        <v>0.00005</v>
      </c>
      <c r="N648" s="7">
        <f t="shared" si="1238"/>
        <v>0</v>
      </c>
      <c r="O648" s="7">
        <f t="shared" si="1238"/>
        <v>0</v>
      </c>
      <c r="P648" s="7">
        <f t="shared" si="1238"/>
        <v>0</v>
      </c>
      <c r="Q648" s="7">
        <f t="shared" si="7"/>
        <v>0</v>
      </c>
      <c r="R648" s="7">
        <f t="shared" si="8"/>
        <v>0.01127058713</v>
      </c>
      <c r="S648" s="7">
        <f t="shared" si="2"/>
        <v>0.9637261206</v>
      </c>
      <c r="T648" s="7">
        <f t="shared" si="3"/>
        <v>0.1004987562</v>
      </c>
      <c r="U648" s="7">
        <f t="shared" si="4"/>
        <v>0</v>
      </c>
      <c r="V648" s="7">
        <f t="shared" si="5"/>
        <v>0</v>
      </c>
      <c r="W648" s="7">
        <f t="shared" ref="W648:X648" si="1239">IF(AVERAGE(U588:U647) &gt; 0.25, 1, 0)</f>
        <v>0</v>
      </c>
      <c r="X648" s="7">
        <f t="shared" si="1239"/>
        <v>0</v>
      </c>
      <c r="Y648" s="8">
        <v>0.0</v>
      </c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</row>
    <row r="649" ht="22.5" customHeight="1">
      <c r="B649" s="6">
        <v>648.0</v>
      </c>
      <c r="C649" s="6">
        <v>10031.0</v>
      </c>
      <c r="D649" s="6">
        <v>1.23</v>
      </c>
      <c r="E649" s="6">
        <v>-0.21</v>
      </c>
      <c r="F649" s="6">
        <v>10.67</v>
      </c>
      <c r="G649" s="6">
        <v>-0.1</v>
      </c>
      <c r="H649" s="6">
        <v>0.0</v>
      </c>
      <c r="I649" s="6">
        <v>-0.01</v>
      </c>
      <c r="J649" s="6">
        <v>33.2</v>
      </c>
      <c r="K649" s="7">
        <f t="shared" ref="K649:P649" si="1240">abs(D649-D648)/200</f>
        <v>0.00005</v>
      </c>
      <c r="L649" s="7">
        <f t="shared" si="1240"/>
        <v>0</v>
      </c>
      <c r="M649" s="7">
        <f t="shared" si="1240"/>
        <v>0.0001</v>
      </c>
      <c r="N649" s="7">
        <f t="shared" si="1240"/>
        <v>0</v>
      </c>
      <c r="O649" s="7">
        <f t="shared" si="1240"/>
        <v>0</v>
      </c>
      <c r="P649" s="7">
        <f t="shared" si="1240"/>
        <v>0</v>
      </c>
      <c r="Q649" s="7">
        <f t="shared" si="7"/>
        <v>0</v>
      </c>
      <c r="R649" s="7">
        <f t="shared" si="8"/>
        <v>0.0210123108</v>
      </c>
      <c r="S649" s="7">
        <f t="shared" si="2"/>
        <v>0.9427138098</v>
      </c>
      <c r="T649" s="7">
        <f t="shared" si="3"/>
        <v>0.1004987562</v>
      </c>
      <c r="U649" s="7">
        <f t="shared" si="4"/>
        <v>0</v>
      </c>
      <c r="V649" s="7">
        <f t="shared" si="5"/>
        <v>0</v>
      </c>
      <c r="W649" s="7">
        <f t="shared" ref="W649:X649" si="1241">IF(AVERAGE(U589:U648) &gt; 0.25, 1, 0)</f>
        <v>0</v>
      </c>
      <c r="X649" s="7">
        <f t="shared" si="1241"/>
        <v>0</v>
      </c>
      <c r="Y649" s="8">
        <v>0.0</v>
      </c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</row>
    <row r="650" ht="22.5" customHeight="1">
      <c r="B650" s="6">
        <v>649.0</v>
      </c>
      <c r="C650" s="6">
        <v>10235.0</v>
      </c>
      <c r="D650" s="6">
        <v>1.24</v>
      </c>
      <c r="E650" s="6">
        <v>-0.19</v>
      </c>
      <c r="F650" s="6">
        <v>10.67</v>
      </c>
      <c r="G650" s="6">
        <v>-0.1</v>
      </c>
      <c r="H650" s="6">
        <v>0.0</v>
      </c>
      <c r="I650" s="6">
        <v>-0.01</v>
      </c>
      <c r="J650" s="6">
        <v>33.2</v>
      </c>
      <c r="K650" s="7">
        <f t="shared" ref="K650:P650" si="1242">abs(D650-D649)/200</f>
        <v>0.00005</v>
      </c>
      <c r="L650" s="7">
        <f t="shared" si="1242"/>
        <v>0.0001</v>
      </c>
      <c r="M650" s="7">
        <f t="shared" si="1242"/>
        <v>0</v>
      </c>
      <c r="N650" s="7">
        <f t="shared" si="1242"/>
        <v>0</v>
      </c>
      <c r="O650" s="7">
        <f t="shared" si="1242"/>
        <v>0</v>
      </c>
      <c r="P650" s="7">
        <f t="shared" si="1242"/>
        <v>0</v>
      </c>
      <c r="Q650" s="7">
        <f t="shared" si="7"/>
        <v>0</v>
      </c>
      <c r="R650" s="7">
        <f t="shared" si="8"/>
        <v>0.0007772428917</v>
      </c>
      <c r="S650" s="7">
        <f t="shared" si="2"/>
        <v>0.9434910527</v>
      </c>
      <c r="T650" s="7">
        <f t="shared" si="3"/>
        <v>0.1004987562</v>
      </c>
      <c r="U650" s="7">
        <f t="shared" si="4"/>
        <v>0</v>
      </c>
      <c r="V650" s="7">
        <f t="shared" si="5"/>
        <v>0</v>
      </c>
      <c r="W650" s="7">
        <f t="shared" ref="W650:X650" si="1243">IF(AVERAGE(U590:U649) &gt; 0.25, 1, 0)</f>
        <v>0</v>
      </c>
      <c r="X650" s="7">
        <f t="shared" si="1243"/>
        <v>0</v>
      </c>
      <c r="Y650" s="8">
        <v>0.0</v>
      </c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</row>
    <row r="651" ht="22.5" customHeight="1">
      <c r="B651" s="6">
        <v>650.0</v>
      </c>
      <c r="C651" s="6">
        <v>10439.0</v>
      </c>
      <c r="D651" s="6">
        <v>1.24</v>
      </c>
      <c r="E651" s="6">
        <v>-0.21</v>
      </c>
      <c r="F651" s="6">
        <v>10.69</v>
      </c>
      <c r="G651" s="6">
        <v>-0.1</v>
      </c>
      <c r="H651" s="6">
        <v>0.0</v>
      </c>
      <c r="I651" s="6">
        <v>-0.01</v>
      </c>
      <c r="J651" s="6">
        <v>33.19</v>
      </c>
      <c r="K651" s="7">
        <f t="shared" ref="K651:P651" si="1244">abs(D651-D650)/200</f>
        <v>0</v>
      </c>
      <c r="L651" s="7">
        <f t="shared" si="1244"/>
        <v>0.0001</v>
      </c>
      <c r="M651" s="7">
        <f t="shared" si="1244"/>
        <v>0.0001</v>
      </c>
      <c r="N651" s="7">
        <f t="shared" si="1244"/>
        <v>0</v>
      </c>
      <c r="O651" s="7">
        <f t="shared" si="1244"/>
        <v>0</v>
      </c>
      <c r="P651" s="7">
        <f t="shared" si="1244"/>
        <v>0</v>
      </c>
      <c r="Q651" s="7">
        <f t="shared" si="7"/>
        <v>0</v>
      </c>
      <c r="R651" s="7">
        <f t="shared" si="8"/>
        <v>0.02023506791</v>
      </c>
      <c r="S651" s="7">
        <f t="shared" si="2"/>
        <v>0.9637261206</v>
      </c>
      <c r="T651" s="7">
        <f t="shared" si="3"/>
        <v>0.1004987562</v>
      </c>
      <c r="U651" s="7">
        <f t="shared" si="4"/>
        <v>0</v>
      </c>
      <c r="V651" s="7">
        <f t="shared" si="5"/>
        <v>0</v>
      </c>
      <c r="W651" s="7">
        <f t="shared" ref="W651:X651" si="1245">IF(AVERAGE(U591:U650) &gt; 0.25, 1, 0)</f>
        <v>0</v>
      </c>
      <c r="X651" s="7">
        <f t="shared" si="1245"/>
        <v>0</v>
      </c>
      <c r="Y651" s="8">
        <v>0.0</v>
      </c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</row>
    <row r="652" ht="22.5" customHeight="1">
      <c r="B652" s="6">
        <v>651.0</v>
      </c>
      <c r="C652" s="6">
        <v>10643.0</v>
      </c>
      <c r="D652" s="6">
        <v>1.24</v>
      </c>
      <c r="E652" s="6">
        <v>-0.2</v>
      </c>
      <c r="F652" s="6">
        <v>10.69</v>
      </c>
      <c r="G652" s="6">
        <v>-0.1</v>
      </c>
      <c r="H652" s="6">
        <v>0.0</v>
      </c>
      <c r="I652" s="6">
        <v>-0.01</v>
      </c>
      <c r="J652" s="6">
        <v>33.2</v>
      </c>
      <c r="K652" s="7">
        <f t="shared" ref="K652:P652" si="1246">abs(D652-D651)/200</f>
        <v>0</v>
      </c>
      <c r="L652" s="7">
        <f t="shared" si="1246"/>
        <v>0.00005</v>
      </c>
      <c r="M652" s="7">
        <f t="shared" si="1246"/>
        <v>0</v>
      </c>
      <c r="N652" s="7">
        <f t="shared" si="1246"/>
        <v>0</v>
      </c>
      <c r="O652" s="7">
        <f t="shared" si="1246"/>
        <v>0</v>
      </c>
      <c r="P652" s="7">
        <f t="shared" si="1246"/>
        <v>0</v>
      </c>
      <c r="Q652" s="7">
        <f t="shared" si="7"/>
        <v>0</v>
      </c>
      <c r="R652" s="7">
        <f t="shared" si="8"/>
        <v>0.0001904561779</v>
      </c>
      <c r="S652" s="7">
        <f t="shared" si="2"/>
        <v>0.9635356645</v>
      </c>
      <c r="T652" s="7">
        <f t="shared" si="3"/>
        <v>0.1004987562</v>
      </c>
      <c r="U652" s="7">
        <f t="shared" si="4"/>
        <v>0</v>
      </c>
      <c r="V652" s="7">
        <f t="shared" si="5"/>
        <v>0</v>
      </c>
      <c r="W652" s="7">
        <f t="shared" ref="W652:X652" si="1247">IF(AVERAGE(U592:U651) &gt; 0.25, 1, 0)</f>
        <v>0</v>
      </c>
      <c r="X652" s="7">
        <f t="shared" si="1247"/>
        <v>0</v>
      </c>
      <c r="Y652" s="8">
        <v>0.0</v>
      </c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</row>
    <row r="653" ht="22.5" customHeight="1">
      <c r="B653" s="6">
        <v>652.0</v>
      </c>
      <c r="C653" s="6">
        <v>10847.0</v>
      </c>
      <c r="D653" s="6">
        <v>1.23</v>
      </c>
      <c r="E653" s="6">
        <v>-0.2</v>
      </c>
      <c r="F653" s="6">
        <v>10.7</v>
      </c>
      <c r="G653" s="6">
        <v>-0.1</v>
      </c>
      <c r="H653" s="6">
        <v>0.0</v>
      </c>
      <c r="I653" s="6">
        <v>-0.01</v>
      </c>
      <c r="J653" s="6">
        <v>33.19</v>
      </c>
      <c r="K653" s="7">
        <f t="shared" ref="K653:P653" si="1248">abs(D653-D652)/200</f>
        <v>0.00005</v>
      </c>
      <c r="L653" s="7">
        <f t="shared" si="1248"/>
        <v>0</v>
      </c>
      <c r="M653" s="7">
        <f t="shared" si="1248"/>
        <v>0.00005</v>
      </c>
      <c r="N653" s="7">
        <f t="shared" si="1248"/>
        <v>0</v>
      </c>
      <c r="O653" s="7">
        <f t="shared" si="1248"/>
        <v>0</v>
      </c>
      <c r="P653" s="7">
        <f t="shared" si="1248"/>
        <v>0</v>
      </c>
      <c r="Q653" s="7">
        <f t="shared" si="7"/>
        <v>0</v>
      </c>
      <c r="R653" s="7">
        <f t="shared" si="8"/>
        <v>0.008785348214</v>
      </c>
      <c r="S653" s="7">
        <f t="shared" si="2"/>
        <v>0.9723210127</v>
      </c>
      <c r="T653" s="7">
        <f t="shared" si="3"/>
        <v>0.1004987562</v>
      </c>
      <c r="U653" s="7">
        <f t="shared" si="4"/>
        <v>0</v>
      </c>
      <c r="V653" s="7">
        <f t="shared" si="5"/>
        <v>0</v>
      </c>
      <c r="W653" s="7">
        <f t="shared" ref="W653:X653" si="1249">IF(AVERAGE(U593:U652) &gt; 0.25, 1, 0)</f>
        <v>0</v>
      </c>
      <c r="X653" s="7">
        <f t="shared" si="1249"/>
        <v>0</v>
      </c>
      <c r="Y653" s="8">
        <v>0.0</v>
      </c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</row>
    <row r="654" ht="22.5" customHeight="1">
      <c r="B654" s="6">
        <v>653.0</v>
      </c>
      <c r="C654" s="6">
        <v>11051.0</v>
      </c>
      <c r="D654" s="6">
        <v>1.24</v>
      </c>
      <c r="E654" s="6">
        <v>-0.2</v>
      </c>
      <c r="F654" s="6">
        <v>10.68</v>
      </c>
      <c r="G654" s="6">
        <v>-0.1</v>
      </c>
      <c r="H654" s="6">
        <v>0.0</v>
      </c>
      <c r="I654" s="6">
        <v>-0.01</v>
      </c>
      <c r="J654" s="6">
        <v>33.19</v>
      </c>
      <c r="K654" s="7">
        <f t="shared" ref="K654:P654" si="1250">abs(D654-D653)/200</f>
        <v>0.00005</v>
      </c>
      <c r="L654" s="7">
        <f t="shared" si="1250"/>
        <v>0</v>
      </c>
      <c r="M654" s="7">
        <f t="shared" si="1250"/>
        <v>0.0001</v>
      </c>
      <c r="N654" s="7">
        <f t="shared" si="1250"/>
        <v>0</v>
      </c>
      <c r="O654" s="7">
        <f t="shared" si="1250"/>
        <v>0</v>
      </c>
      <c r="P654" s="7">
        <f t="shared" si="1250"/>
        <v>0</v>
      </c>
      <c r="Q654" s="7">
        <f t="shared" si="7"/>
        <v>0</v>
      </c>
      <c r="R654" s="7">
        <f t="shared" si="8"/>
        <v>0.01871696565</v>
      </c>
      <c r="S654" s="7">
        <f t="shared" si="2"/>
        <v>0.953604047</v>
      </c>
      <c r="T654" s="7">
        <f t="shared" si="3"/>
        <v>0.1004987562</v>
      </c>
      <c r="U654" s="7">
        <f t="shared" si="4"/>
        <v>0</v>
      </c>
      <c r="V654" s="7">
        <f t="shared" si="5"/>
        <v>0</v>
      </c>
      <c r="W654" s="7">
        <f t="shared" ref="W654:X654" si="1251">IF(AVERAGE(U594:U653) &gt; 0.25, 1, 0)</f>
        <v>0</v>
      </c>
      <c r="X654" s="7">
        <f t="shared" si="1251"/>
        <v>0</v>
      </c>
      <c r="Y654" s="8">
        <v>0.0</v>
      </c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</row>
    <row r="655" ht="22.5" customHeight="1">
      <c r="B655" s="6">
        <v>654.0</v>
      </c>
      <c r="C655" s="6">
        <v>11255.0</v>
      </c>
      <c r="D655" s="6">
        <v>1.22</v>
      </c>
      <c r="E655" s="6">
        <v>-0.2</v>
      </c>
      <c r="F655" s="6">
        <v>10.67</v>
      </c>
      <c r="G655" s="6">
        <v>-0.1</v>
      </c>
      <c r="H655" s="6">
        <v>0.0</v>
      </c>
      <c r="I655" s="6">
        <v>-0.01</v>
      </c>
      <c r="J655" s="6">
        <v>33.2</v>
      </c>
      <c r="K655" s="7">
        <f t="shared" ref="K655:P655" si="1252">abs(D655-D654)/200</f>
        <v>0.0001</v>
      </c>
      <c r="L655" s="7">
        <f t="shared" si="1252"/>
        <v>0</v>
      </c>
      <c r="M655" s="7">
        <f t="shared" si="1252"/>
        <v>0.00005</v>
      </c>
      <c r="N655" s="7">
        <f t="shared" si="1252"/>
        <v>0</v>
      </c>
      <c r="O655" s="7">
        <f t="shared" si="1252"/>
        <v>0</v>
      </c>
      <c r="P655" s="7">
        <f t="shared" si="1252"/>
        <v>0</v>
      </c>
      <c r="Q655" s="7">
        <f t="shared" si="7"/>
        <v>0</v>
      </c>
      <c r="R655" s="7">
        <f t="shared" si="8"/>
        <v>0.01222145444</v>
      </c>
      <c r="S655" s="7">
        <f t="shared" si="2"/>
        <v>0.9413825926</v>
      </c>
      <c r="T655" s="7">
        <f t="shared" si="3"/>
        <v>0.1004987562</v>
      </c>
      <c r="U655" s="7">
        <f t="shared" si="4"/>
        <v>0</v>
      </c>
      <c r="V655" s="7">
        <f t="shared" si="5"/>
        <v>0</v>
      </c>
      <c r="W655" s="7">
        <f t="shared" ref="W655:X655" si="1253">IF(AVERAGE(U595:U654) &gt; 0.25, 1, 0)</f>
        <v>0</v>
      </c>
      <c r="X655" s="7">
        <f t="shared" si="1253"/>
        <v>0</v>
      </c>
      <c r="Y655" s="8">
        <v>0.0</v>
      </c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</row>
    <row r="656" ht="22.5" customHeight="1">
      <c r="B656" s="6">
        <v>655.0</v>
      </c>
      <c r="C656" s="6">
        <v>11459.0</v>
      </c>
      <c r="D656" s="6">
        <v>1.23</v>
      </c>
      <c r="E656" s="6">
        <v>-0.21</v>
      </c>
      <c r="F656" s="6">
        <v>10.69</v>
      </c>
      <c r="G656" s="6">
        <v>-0.1</v>
      </c>
      <c r="H656" s="6">
        <v>0.0</v>
      </c>
      <c r="I656" s="6">
        <v>-0.01</v>
      </c>
      <c r="J656" s="6">
        <v>33.19</v>
      </c>
      <c r="K656" s="7">
        <f t="shared" ref="K656:P656" si="1254">abs(D656-D655)/200</f>
        <v>0.00005</v>
      </c>
      <c r="L656" s="7">
        <f t="shared" si="1254"/>
        <v>0.00005</v>
      </c>
      <c r="M656" s="7">
        <f t="shared" si="1254"/>
        <v>0.0001</v>
      </c>
      <c r="N656" s="7">
        <f t="shared" si="1254"/>
        <v>0</v>
      </c>
      <c r="O656" s="7">
        <f t="shared" si="1254"/>
        <v>0</v>
      </c>
      <c r="P656" s="7">
        <f t="shared" si="1254"/>
        <v>0</v>
      </c>
      <c r="Q656" s="7">
        <f t="shared" si="7"/>
        <v>0</v>
      </c>
      <c r="R656" s="7">
        <f t="shared" si="8"/>
        <v>0.02119609471</v>
      </c>
      <c r="S656" s="7">
        <f t="shared" si="2"/>
        <v>0.9625786873</v>
      </c>
      <c r="T656" s="7">
        <f t="shared" si="3"/>
        <v>0.1004987562</v>
      </c>
      <c r="U656" s="7">
        <f t="shared" si="4"/>
        <v>0</v>
      </c>
      <c r="V656" s="7">
        <f t="shared" si="5"/>
        <v>0</v>
      </c>
      <c r="W656" s="7">
        <f t="shared" ref="W656:X656" si="1255">IF(AVERAGE(U596:U655) &gt; 0.25, 1, 0)</f>
        <v>0</v>
      </c>
      <c r="X656" s="7">
        <f t="shared" si="1255"/>
        <v>0</v>
      </c>
      <c r="Y656" s="8">
        <v>0.0</v>
      </c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</row>
    <row r="657" ht="22.5" customHeight="1">
      <c r="B657" s="6">
        <v>656.0</v>
      </c>
      <c r="C657" s="6">
        <v>11663.0</v>
      </c>
      <c r="D657" s="6">
        <v>1.24</v>
      </c>
      <c r="E657" s="6">
        <v>-0.19</v>
      </c>
      <c r="F657" s="6">
        <v>10.68</v>
      </c>
      <c r="G657" s="6">
        <v>-0.1</v>
      </c>
      <c r="H657" s="6">
        <v>0.0</v>
      </c>
      <c r="I657" s="6">
        <v>-0.01</v>
      </c>
      <c r="J657" s="6">
        <v>33.19</v>
      </c>
      <c r="K657" s="7">
        <f t="shared" ref="K657:P657" si="1256">abs(D657-D656)/200</f>
        <v>0.00005</v>
      </c>
      <c r="L657" s="7">
        <f t="shared" si="1256"/>
        <v>0.0001</v>
      </c>
      <c r="M657" s="7">
        <f t="shared" si="1256"/>
        <v>0.00005</v>
      </c>
      <c r="N657" s="7">
        <f t="shared" si="1256"/>
        <v>0</v>
      </c>
      <c r="O657" s="7">
        <f t="shared" si="1256"/>
        <v>0</v>
      </c>
      <c r="P657" s="7">
        <f t="shared" si="1256"/>
        <v>0</v>
      </c>
      <c r="Q657" s="7">
        <f t="shared" si="7"/>
        <v>0</v>
      </c>
      <c r="R657" s="7">
        <f t="shared" si="8"/>
        <v>0.009155976352</v>
      </c>
      <c r="S657" s="7">
        <f t="shared" si="2"/>
        <v>0.9534227109</v>
      </c>
      <c r="T657" s="7">
        <f t="shared" si="3"/>
        <v>0.1004987562</v>
      </c>
      <c r="U657" s="7">
        <f t="shared" si="4"/>
        <v>0</v>
      </c>
      <c r="V657" s="7">
        <f t="shared" si="5"/>
        <v>0</v>
      </c>
      <c r="W657" s="7">
        <f t="shared" ref="W657:X657" si="1257">IF(AVERAGE(U597:U656) &gt; 0.25, 1, 0)</f>
        <v>0</v>
      </c>
      <c r="X657" s="7">
        <f t="shared" si="1257"/>
        <v>0</v>
      </c>
      <c r="Y657" s="8">
        <v>0.0</v>
      </c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</row>
    <row r="658" ht="22.5" customHeight="1">
      <c r="B658" s="6">
        <v>657.0</v>
      </c>
      <c r="C658" s="6">
        <v>11867.0</v>
      </c>
      <c r="D658" s="6">
        <v>1.23</v>
      </c>
      <c r="E658" s="6">
        <v>-0.2</v>
      </c>
      <c r="F658" s="6">
        <v>10.68</v>
      </c>
      <c r="G658" s="6">
        <v>-0.1</v>
      </c>
      <c r="H658" s="6">
        <v>0.0</v>
      </c>
      <c r="I658" s="6">
        <v>-0.01</v>
      </c>
      <c r="J658" s="6">
        <v>33.19</v>
      </c>
      <c r="K658" s="7">
        <f t="shared" ref="K658:P658" si="1258">abs(D658-D657)/200</f>
        <v>0.00005</v>
      </c>
      <c r="L658" s="7">
        <f t="shared" si="1258"/>
        <v>0.00005</v>
      </c>
      <c r="M658" s="7">
        <f t="shared" si="1258"/>
        <v>0</v>
      </c>
      <c r="N658" s="7">
        <f t="shared" si="1258"/>
        <v>0</v>
      </c>
      <c r="O658" s="7">
        <f t="shared" si="1258"/>
        <v>0</v>
      </c>
      <c r="P658" s="7">
        <f t="shared" si="1258"/>
        <v>0</v>
      </c>
      <c r="Q658" s="7">
        <f t="shared" si="7"/>
        <v>0</v>
      </c>
      <c r="R658" s="7">
        <f t="shared" si="8"/>
        <v>0.0009671774277</v>
      </c>
      <c r="S658" s="7">
        <f t="shared" si="2"/>
        <v>0.9524555335</v>
      </c>
      <c r="T658" s="7">
        <f t="shared" si="3"/>
        <v>0.1004987562</v>
      </c>
      <c r="U658" s="7">
        <f t="shared" si="4"/>
        <v>0</v>
      </c>
      <c r="V658" s="7">
        <f t="shared" si="5"/>
        <v>0</v>
      </c>
      <c r="W658" s="7">
        <f t="shared" ref="W658:X658" si="1259">IF(AVERAGE(U598:U657) &gt; 0.25, 1, 0)</f>
        <v>0</v>
      </c>
      <c r="X658" s="7">
        <f t="shared" si="1259"/>
        <v>0</v>
      </c>
      <c r="Y658" s="8">
        <v>0.0</v>
      </c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</row>
    <row r="659" ht="22.5" customHeight="1">
      <c r="B659" s="6">
        <v>658.0</v>
      </c>
      <c r="C659" s="6">
        <v>12071.0</v>
      </c>
      <c r="D659" s="6">
        <v>1.23</v>
      </c>
      <c r="E659" s="6">
        <v>-0.21</v>
      </c>
      <c r="F659" s="6">
        <v>10.68</v>
      </c>
      <c r="G659" s="6">
        <v>-0.1</v>
      </c>
      <c r="H659" s="6">
        <v>0.0</v>
      </c>
      <c r="I659" s="6">
        <v>-0.01</v>
      </c>
      <c r="J659" s="6">
        <v>33.18</v>
      </c>
      <c r="K659" s="7">
        <f t="shared" ref="K659:P659" si="1260">abs(D659-D658)/200</f>
        <v>0</v>
      </c>
      <c r="L659" s="7">
        <f t="shared" si="1260"/>
        <v>0.00005</v>
      </c>
      <c r="M659" s="7">
        <f t="shared" si="1260"/>
        <v>0</v>
      </c>
      <c r="N659" s="7">
        <f t="shared" si="1260"/>
        <v>0</v>
      </c>
      <c r="O659" s="7">
        <f t="shared" si="1260"/>
        <v>0</v>
      </c>
      <c r="P659" s="7">
        <f t="shared" si="1260"/>
        <v>0</v>
      </c>
      <c r="Q659" s="7">
        <f t="shared" si="7"/>
        <v>0</v>
      </c>
      <c r="R659" s="7">
        <f t="shared" si="8"/>
        <v>0.0001906524346</v>
      </c>
      <c r="S659" s="7">
        <f t="shared" si="2"/>
        <v>0.9526461859</v>
      </c>
      <c r="T659" s="7">
        <f t="shared" si="3"/>
        <v>0.1004987562</v>
      </c>
      <c r="U659" s="7">
        <f t="shared" si="4"/>
        <v>0</v>
      </c>
      <c r="V659" s="7">
        <f t="shared" si="5"/>
        <v>0</v>
      </c>
      <c r="W659" s="7">
        <f t="shared" ref="W659:X659" si="1261">IF(AVERAGE(U599:U658) &gt; 0.25, 1, 0)</f>
        <v>0</v>
      </c>
      <c r="X659" s="7">
        <f t="shared" si="1261"/>
        <v>0</v>
      </c>
      <c r="Y659" s="8">
        <v>0.0</v>
      </c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</row>
    <row r="660" ht="22.5" customHeight="1">
      <c r="B660" s="6">
        <v>659.0</v>
      </c>
      <c r="C660" s="6">
        <v>12275.0</v>
      </c>
      <c r="D660" s="6">
        <v>1.23</v>
      </c>
      <c r="E660" s="6">
        <v>-0.19</v>
      </c>
      <c r="F660" s="6">
        <v>10.68</v>
      </c>
      <c r="G660" s="6">
        <v>-0.1</v>
      </c>
      <c r="H660" s="6">
        <v>0.0</v>
      </c>
      <c r="I660" s="6">
        <v>-0.01</v>
      </c>
      <c r="J660" s="6">
        <v>33.19</v>
      </c>
      <c r="K660" s="7">
        <f t="shared" ref="K660:P660" si="1262">abs(D660-D659)/200</f>
        <v>0</v>
      </c>
      <c r="L660" s="7">
        <f t="shared" si="1262"/>
        <v>0.0001</v>
      </c>
      <c r="M660" s="7">
        <f t="shared" si="1262"/>
        <v>0</v>
      </c>
      <c r="N660" s="7">
        <f t="shared" si="1262"/>
        <v>0</v>
      </c>
      <c r="O660" s="7">
        <f t="shared" si="1262"/>
        <v>0</v>
      </c>
      <c r="P660" s="7">
        <f t="shared" si="1262"/>
        <v>0</v>
      </c>
      <c r="Q660" s="7">
        <f t="shared" si="7"/>
        <v>0</v>
      </c>
      <c r="R660" s="7">
        <f t="shared" si="8"/>
        <v>0.0003720078877</v>
      </c>
      <c r="S660" s="7">
        <f t="shared" si="2"/>
        <v>0.9522741781</v>
      </c>
      <c r="T660" s="7">
        <f t="shared" si="3"/>
        <v>0.1004987562</v>
      </c>
      <c r="U660" s="7">
        <f t="shared" si="4"/>
        <v>0</v>
      </c>
      <c r="V660" s="7">
        <f t="shared" si="5"/>
        <v>0</v>
      </c>
      <c r="W660" s="7">
        <f t="shared" ref="W660:X660" si="1263">IF(AVERAGE(U600:U659) &gt; 0.25, 1, 0)</f>
        <v>0</v>
      </c>
      <c r="X660" s="7">
        <f t="shared" si="1263"/>
        <v>0</v>
      </c>
      <c r="Y660" s="8">
        <v>0.0</v>
      </c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</row>
    <row r="661" ht="22.5" customHeight="1">
      <c r="B661" s="6">
        <v>660.0</v>
      </c>
      <c r="C661" s="6">
        <v>12479.0</v>
      </c>
      <c r="D661" s="6">
        <v>1.23</v>
      </c>
      <c r="E661" s="6">
        <v>-0.19</v>
      </c>
      <c r="F661" s="6">
        <v>10.68</v>
      </c>
      <c r="G661" s="6">
        <v>-0.1</v>
      </c>
      <c r="H661" s="6">
        <v>0.0</v>
      </c>
      <c r="I661" s="6">
        <v>-0.01</v>
      </c>
      <c r="J661" s="6">
        <v>33.18</v>
      </c>
      <c r="K661" s="7">
        <f t="shared" ref="K661:P661" si="1264">abs(D661-D660)/200</f>
        <v>0</v>
      </c>
      <c r="L661" s="7">
        <f t="shared" si="1264"/>
        <v>0</v>
      </c>
      <c r="M661" s="7">
        <f t="shared" si="1264"/>
        <v>0</v>
      </c>
      <c r="N661" s="7">
        <f t="shared" si="1264"/>
        <v>0</v>
      </c>
      <c r="O661" s="7">
        <f t="shared" si="1264"/>
        <v>0</v>
      </c>
      <c r="P661" s="7">
        <f t="shared" si="1264"/>
        <v>0</v>
      </c>
      <c r="Q661" s="7">
        <f t="shared" si="7"/>
        <v>0</v>
      </c>
      <c r="R661" s="7">
        <f t="shared" si="8"/>
        <v>0</v>
      </c>
      <c r="S661" s="7">
        <f t="shared" si="2"/>
        <v>0.9522741781</v>
      </c>
      <c r="T661" s="7">
        <f t="shared" si="3"/>
        <v>0.1004987562</v>
      </c>
      <c r="U661" s="7">
        <f t="shared" si="4"/>
        <v>0</v>
      </c>
      <c r="V661" s="7">
        <f t="shared" si="5"/>
        <v>0</v>
      </c>
      <c r="W661" s="7">
        <f t="shared" ref="W661:X661" si="1265">IF(AVERAGE(U601:U660) &gt; 0.25, 1, 0)</f>
        <v>0</v>
      </c>
      <c r="X661" s="7">
        <f t="shared" si="1265"/>
        <v>0</v>
      </c>
      <c r="Y661" s="8">
        <v>0.0</v>
      </c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</row>
    <row r="662" ht="22.5" customHeight="1">
      <c r="B662" s="6">
        <v>661.0</v>
      </c>
      <c r="C662" s="6">
        <v>12683.0</v>
      </c>
      <c r="D662" s="6">
        <v>1.23</v>
      </c>
      <c r="E662" s="6">
        <v>-0.2</v>
      </c>
      <c r="F662" s="6">
        <v>10.68</v>
      </c>
      <c r="G662" s="6">
        <v>-0.1</v>
      </c>
      <c r="H662" s="6">
        <v>0.0</v>
      </c>
      <c r="I662" s="6">
        <v>-0.01</v>
      </c>
      <c r="J662" s="6">
        <v>33.19</v>
      </c>
      <c r="K662" s="7">
        <f t="shared" ref="K662:P662" si="1266">abs(D662-D661)/200</f>
        <v>0</v>
      </c>
      <c r="L662" s="7">
        <f t="shared" si="1266"/>
        <v>0.00005</v>
      </c>
      <c r="M662" s="7">
        <f t="shared" si="1266"/>
        <v>0</v>
      </c>
      <c r="N662" s="7">
        <f t="shared" si="1266"/>
        <v>0</v>
      </c>
      <c r="O662" s="7">
        <f t="shared" si="1266"/>
        <v>0</v>
      </c>
      <c r="P662" s="7">
        <f t="shared" si="1266"/>
        <v>0</v>
      </c>
      <c r="Q662" s="7">
        <f t="shared" si="7"/>
        <v>0</v>
      </c>
      <c r="R662" s="7">
        <f t="shared" si="8"/>
        <v>0.0001813554531</v>
      </c>
      <c r="S662" s="7">
        <f t="shared" si="2"/>
        <v>0.9524555335</v>
      </c>
      <c r="T662" s="7">
        <f t="shared" si="3"/>
        <v>0.1004987562</v>
      </c>
      <c r="U662" s="7">
        <f t="shared" si="4"/>
        <v>0</v>
      </c>
      <c r="V662" s="7">
        <f t="shared" si="5"/>
        <v>0</v>
      </c>
      <c r="W662" s="7">
        <f t="shared" ref="W662:X662" si="1267">IF(AVERAGE(U602:U661) &gt; 0.25, 1, 0)</f>
        <v>0</v>
      </c>
      <c r="X662" s="7">
        <f t="shared" si="1267"/>
        <v>0</v>
      </c>
      <c r="Y662" s="8">
        <v>0.0</v>
      </c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</row>
    <row r="663" ht="22.5" customHeight="1">
      <c r="B663" s="6">
        <v>662.0</v>
      </c>
      <c r="C663" s="6">
        <v>12887.0</v>
      </c>
      <c r="D663" s="6">
        <v>1.24</v>
      </c>
      <c r="E663" s="6">
        <v>-0.2</v>
      </c>
      <c r="F663" s="6">
        <v>10.67</v>
      </c>
      <c r="G663" s="6">
        <v>-0.1</v>
      </c>
      <c r="H663" s="6">
        <v>0.0</v>
      </c>
      <c r="I663" s="6">
        <v>-0.01</v>
      </c>
      <c r="J663" s="6">
        <v>33.18</v>
      </c>
      <c r="K663" s="7">
        <f t="shared" ref="K663:P663" si="1268">abs(D663-D662)/200</f>
        <v>0.00005</v>
      </c>
      <c r="L663" s="7">
        <f t="shared" si="1268"/>
        <v>0</v>
      </c>
      <c r="M663" s="7">
        <f t="shared" si="1268"/>
        <v>0.00005</v>
      </c>
      <c r="N663" s="7">
        <f t="shared" si="1268"/>
        <v>0</v>
      </c>
      <c r="O663" s="7">
        <f t="shared" si="1268"/>
        <v>0</v>
      </c>
      <c r="P663" s="7">
        <f t="shared" si="1268"/>
        <v>0</v>
      </c>
      <c r="Q663" s="7">
        <f t="shared" si="7"/>
        <v>0</v>
      </c>
      <c r="R663" s="7">
        <f t="shared" si="8"/>
        <v>0.008782977065</v>
      </c>
      <c r="S663" s="7">
        <f t="shared" si="2"/>
        <v>0.9436725564</v>
      </c>
      <c r="T663" s="7">
        <f t="shared" si="3"/>
        <v>0.1004987562</v>
      </c>
      <c r="U663" s="7">
        <f t="shared" si="4"/>
        <v>0</v>
      </c>
      <c r="V663" s="7">
        <f t="shared" si="5"/>
        <v>0</v>
      </c>
      <c r="W663" s="7">
        <f t="shared" ref="W663:X663" si="1269">IF(AVERAGE(U603:U662) &gt; 0.25, 1, 0)</f>
        <v>0</v>
      </c>
      <c r="X663" s="7">
        <f t="shared" si="1269"/>
        <v>0</v>
      </c>
      <c r="Y663" s="8">
        <v>0.0</v>
      </c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</row>
    <row r="664" ht="22.5" customHeight="1">
      <c r="B664" s="6">
        <v>663.0</v>
      </c>
      <c r="C664" s="6">
        <v>13091.0</v>
      </c>
      <c r="D664" s="6">
        <v>1.23</v>
      </c>
      <c r="E664" s="6">
        <v>-0.2</v>
      </c>
      <c r="F664" s="6">
        <v>10.69</v>
      </c>
      <c r="G664" s="6">
        <v>-0.1</v>
      </c>
      <c r="H664" s="6">
        <v>0.0</v>
      </c>
      <c r="I664" s="6">
        <v>-0.01</v>
      </c>
      <c r="J664" s="6">
        <v>33.18</v>
      </c>
      <c r="K664" s="7">
        <f t="shared" ref="K664:P664" si="1270">abs(D664-D663)/200</f>
        <v>0.00005</v>
      </c>
      <c r="L664" s="7">
        <f t="shared" si="1270"/>
        <v>0</v>
      </c>
      <c r="M664" s="7">
        <f t="shared" si="1270"/>
        <v>0.0001</v>
      </c>
      <c r="N664" s="7">
        <f t="shared" si="1270"/>
        <v>0</v>
      </c>
      <c r="O664" s="7">
        <f t="shared" si="1270"/>
        <v>0</v>
      </c>
      <c r="P664" s="7">
        <f t="shared" si="1270"/>
        <v>0</v>
      </c>
      <c r="Q664" s="7">
        <f t="shared" si="7"/>
        <v>0</v>
      </c>
      <c r="R664" s="7">
        <f t="shared" si="8"/>
        <v>0.01871565436</v>
      </c>
      <c r="S664" s="7">
        <f t="shared" si="2"/>
        <v>0.9623882108</v>
      </c>
      <c r="T664" s="7">
        <f t="shared" si="3"/>
        <v>0.1004987562</v>
      </c>
      <c r="U664" s="7">
        <f t="shared" si="4"/>
        <v>0</v>
      </c>
      <c r="V664" s="7">
        <f t="shared" si="5"/>
        <v>0</v>
      </c>
      <c r="W664" s="7">
        <f t="shared" ref="W664:X664" si="1271">IF(AVERAGE(U604:U663) &gt; 0.25, 1, 0)</f>
        <v>0</v>
      </c>
      <c r="X664" s="7">
        <f t="shared" si="1271"/>
        <v>0</v>
      </c>
      <c r="Y664" s="8">
        <v>0.0</v>
      </c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</row>
    <row r="665" ht="22.5" customHeight="1">
      <c r="B665" s="6">
        <v>664.0</v>
      </c>
      <c r="C665" s="6">
        <v>13295.0</v>
      </c>
      <c r="D665" s="6">
        <v>1.23</v>
      </c>
      <c r="E665" s="6">
        <v>-0.19</v>
      </c>
      <c r="F665" s="6">
        <v>10.68</v>
      </c>
      <c r="G665" s="6">
        <v>-0.1</v>
      </c>
      <c r="H665" s="6">
        <v>0.0</v>
      </c>
      <c r="I665" s="6">
        <v>-0.01</v>
      </c>
      <c r="J665" s="6">
        <v>33.18</v>
      </c>
      <c r="K665" s="7">
        <f t="shared" ref="K665:P665" si="1272">abs(D665-D664)/200</f>
        <v>0</v>
      </c>
      <c r="L665" s="7">
        <f t="shared" si="1272"/>
        <v>0.00005</v>
      </c>
      <c r="M665" s="7">
        <f t="shared" si="1272"/>
        <v>0.00005</v>
      </c>
      <c r="N665" s="7">
        <f t="shared" si="1272"/>
        <v>0</v>
      </c>
      <c r="O665" s="7">
        <f t="shared" si="1272"/>
        <v>0</v>
      </c>
      <c r="P665" s="7">
        <f t="shared" si="1272"/>
        <v>0</v>
      </c>
      <c r="Q665" s="7">
        <f t="shared" si="7"/>
        <v>0</v>
      </c>
      <c r="R665" s="7">
        <f t="shared" si="8"/>
        <v>0.01011403275</v>
      </c>
      <c r="S665" s="7">
        <f t="shared" si="2"/>
        <v>0.9522741781</v>
      </c>
      <c r="T665" s="7">
        <f t="shared" si="3"/>
        <v>0.1004987562</v>
      </c>
      <c r="U665" s="7">
        <f t="shared" si="4"/>
        <v>0</v>
      </c>
      <c r="V665" s="7">
        <f t="shared" si="5"/>
        <v>0</v>
      </c>
      <c r="W665" s="7">
        <f t="shared" ref="W665:X665" si="1273">IF(AVERAGE(U605:U664) &gt; 0.25, 1, 0)</f>
        <v>0</v>
      </c>
      <c r="X665" s="7">
        <f t="shared" si="1273"/>
        <v>0</v>
      </c>
      <c r="Y665" s="8">
        <v>0.0</v>
      </c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</row>
    <row r="666" ht="22.5" customHeight="1">
      <c r="B666" s="6">
        <v>665.0</v>
      </c>
      <c r="C666" s="6">
        <v>13499.0</v>
      </c>
      <c r="D666" s="6">
        <v>1.23</v>
      </c>
      <c r="E666" s="6">
        <v>-0.2</v>
      </c>
      <c r="F666" s="6">
        <v>10.67</v>
      </c>
      <c r="G666" s="6">
        <v>-0.1</v>
      </c>
      <c r="H666" s="6">
        <v>0.0</v>
      </c>
      <c r="I666" s="6">
        <v>-0.01</v>
      </c>
      <c r="J666" s="6">
        <v>33.18</v>
      </c>
      <c r="K666" s="7">
        <f t="shared" ref="K666:P666" si="1274">abs(D666-D665)/200</f>
        <v>0</v>
      </c>
      <c r="L666" s="7">
        <f t="shared" si="1274"/>
        <v>0.00005</v>
      </c>
      <c r="M666" s="7">
        <f t="shared" si="1274"/>
        <v>0.00005</v>
      </c>
      <c r="N666" s="7">
        <f t="shared" si="1274"/>
        <v>0</v>
      </c>
      <c r="O666" s="7">
        <f t="shared" si="1274"/>
        <v>0</v>
      </c>
      <c r="P666" s="7">
        <f t="shared" si="1274"/>
        <v>0</v>
      </c>
      <c r="Q666" s="7">
        <f t="shared" si="7"/>
        <v>0</v>
      </c>
      <c r="R666" s="7">
        <f t="shared" si="8"/>
        <v>0.009751196927</v>
      </c>
      <c r="S666" s="7">
        <f t="shared" si="2"/>
        <v>0.9425229811</v>
      </c>
      <c r="T666" s="7">
        <f t="shared" si="3"/>
        <v>0.1004987562</v>
      </c>
      <c r="U666" s="7">
        <f t="shared" si="4"/>
        <v>0</v>
      </c>
      <c r="V666" s="7">
        <f t="shared" si="5"/>
        <v>0</v>
      </c>
      <c r="W666" s="7">
        <f t="shared" ref="W666:X666" si="1275">IF(AVERAGE(U606:U665) &gt; 0.25, 1, 0)</f>
        <v>0</v>
      </c>
      <c r="X666" s="7">
        <f t="shared" si="1275"/>
        <v>0</v>
      </c>
      <c r="Y666" s="8">
        <v>0.0</v>
      </c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</row>
    <row r="667" ht="22.5" customHeight="1">
      <c r="B667" s="6">
        <v>666.0</v>
      </c>
      <c r="C667" s="6">
        <v>13703.0</v>
      </c>
      <c r="D667" s="6">
        <v>1.23</v>
      </c>
      <c r="E667" s="6">
        <v>-0.21</v>
      </c>
      <c r="F667" s="6">
        <v>10.68</v>
      </c>
      <c r="G667" s="6">
        <v>-0.1</v>
      </c>
      <c r="H667" s="6">
        <v>0.0</v>
      </c>
      <c r="I667" s="6">
        <v>-0.01</v>
      </c>
      <c r="J667" s="6">
        <v>33.19</v>
      </c>
      <c r="K667" s="7">
        <f t="shared" ref="K667:P667" si="1276">abs(D667-D666)/200</f>
        <v>0</v>
      </c>
      <c r="L667" s="7">
        <f t="shared" si="1276"/>
        <v>0.00005</v>
      </c>
      <c r="M667" s="7">
        <f t="shared" si="1276"/>
        <v>0.00005</v>
      </c>
      <c r="N667" s="7">
        <f t="shared" si="1276"/>
        <v>0</v>
      </c>
      <c r="O667" s="7">
        <f t="shared" si="1276"/>
        <v>0</v>
      </c>
      <c r="P667" s="7">
        <f t="shared" si="1276"/>
        <v>0</v>
      </c>
      <c r="Q667" s="7">
        <f t="shared" si="7"/>
        <v>0</v>
      </c>
      <c r="R667" s="7">
        <f t="shared" si="8"/>
        <v>0.01012320481</v>
      </c>
      <c r="S667" s="7">
        <f t="shared" si="2"/>
        <v>0.9526461859</v>
      </c>
      <c r="T667" s="7">
        <f t="shared" si="3"/>
        <v>0.1004987562</v>
      </c>
      <c r="U667" s="7">
        <f t="shared" si="4"/>
        <v>0</v>
      </c>
      <c r="V667" s="7">
        <f t="shared" si="5"/>
        <v>0</v>
      </c>
      <c r="W667" s="7">
        <f t="shared" ref="W667:X667" si="1277">IF(AVERAGE(U607:U666) &gt; 0.25, 1, 0)</f>
        <v>0</v>
      </c>
      <c r="X667" s="7">
        <f t="shared" si="1277"/>
        <v>0</v>
      </c>
      <c r="Y667" s="8">
        <v>0.0</v>
      </c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</row>
    <row r="668" ht="22.5" customHeight="1">
      <c r="B668" s="6">
        <v>667.0</v>
      </c>
      <c r="C668" s="6">
        <v>13907.0</v>
      </c>
      <c r="D668" s="6">
        <v>1.24</v>
      </c>
      <c r="E668" s="6">
        <v>-0.2</v>
      </c>
      <c r="F668" s="6">
        <v>10.69</v>
      </c>
      <c r="G668" s="6">
        <v>-0.1</v>
      </c>
      <c r="H668" s="6">
        <v>0.0</v>
      </c>
      <c r="I668" s="6">
        <v>-0.01</v>
      </c>
      <c r="J668" s="6">
        <v>33.17</v>
      </c>
      <c r="K668" s="7">
        <f t="shared" ref="K668:P668" si="1278">abs(D668-D667)/200</f>
        <v>0.00005</v>
      </c>
      <c r="L668" s="7">
        <f t="shared" si="1278"/>
        <v>0.00005</v>
      </c>
      <c r="M668" s="7">
        <f t="shared" si="1278"/>
        <v>0.00005</v>
      </c>
      <c r="N668" s="7">
        <f t="shared" si="1278"/>
        <v>0</v>
      </c>
      <c r="O668" s="7">
        <f t="shared" si="1278"/>
        <v>0</v>
      </c>
      <c r="P668" s="7">
        <f t="shared" si="1278"/>
        <v>0</v>
      </c>
      <c r="Q668" s="7">
        <f t="shared" si="7"/>
        <v>0</v>
      </c>
      <c r="R668" s="7">
        <f t="shared" si="8"/>
        <v>0.01088947852</v>
      </c>
      <c r="S668" s="7">
        <f t="shared" si="2"/>
        <v>0.9635356645</v>
      </c>
      <c r="T668" s="7">
        <f t="shared" si="3"/>
        <v>0.1004987562</v>
      </c>
      <c r="U668" s="7">
        <f t="shared" si="4"/>
        <v>0</v>
      </c>
      <c r="V668" s="7">
        <f t="shared" si="5"/>
        <v>0</v>
      </c>
      <c r="W668" s="7">
        <f t="shared" ref="W668:X668" si="1279">IF(AVERAGE(U608:U667) &gt; 0.25, 1, 0)</f>
        <v>0</v>
      </c>
      <c r="X668" s="7">
        <f t="shared" si="1279"/>
        <v>0</v>
      </c>
      <c r="Y668" s="8">
        <v>0.0</v>
      </c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</row>
    <row r="669" ht="22.5" customHeight="1">
      <c r="B669" s="6">
        <v>668.0</v>
      </c>
      <c r="C669" s="6">
        <v>14111.0</v>
      </c>
      <c r="D669" s="6">
        <v>1.23</v>
      </c>
      <c r="E669" s="6">
        <v>-0.2</v>
      </c>
      <c r="F669" s="6">
        <v>10.68</v>
      </c>
      <c r="G669" s="6">
        <v>-0.1</v>
      </c>
      <c r="H669" s="6">
        <v>0.0</v>
      </c>
      <c r="I669" s="6">
        <v>-0.01</v>
      </c>
      <c r="J669" s="6">
        <v>33.17</v>
      </c>
      <c r="K669" s="7">
        <f t="shared" ref="K669:P669" si="1280">abs(D669-D668)/200</f>
        <v>0.00005</v>
      </c>
      <c r="L669" s="7">
        <f t="shared" si="1280"/>
        <v>0</v>
      </c>
      <c r="M669" s="7">
        <f t="shared" si="1280"/>
        <v>0.00005</v>
      </c>
      <c r="N669" s="7">
        <f t="shared" si="1280"/>
        <v>0</v>
      </c>
      <c r="O669" s="7">
        <f t="shared" si="1280"/>
        <v>0</v>
      </c>
      <c r="P669" s="7">
        <f t="shared" si="1280"/>
        <v>0</v>
      </c>
      <c r="Q669" s="7">
        <f t="shared" si="7"/>
        <v>0</v>
      </c>
      <c r="R669" s="7">
        <f t="shared" si="8"/>
        <v>0.01108013095</v>
      </c>
      <c r="S669" s="7">
        <f t="shared" si="2"/>
        <v>0.9524555335</v>
      </c>
      <c r="T669" s="7">
        <f t="shared" si="3"/>
        <v>0.1004987562</v>
      </c>
      <c r="U669" s="7">
        <f t="shared" si="4"/>
        <v>0</v>
      </c>
      <c r="V669" s="7">
        <f t="shared" si="5"/>
        <v>0</v>
      </c>
      <c r="W669" s="7">
        <f t="shared" ref="W669:X669" si="1281">IF(AVERAGE(U609:U668) &gt; 0.25, 1, 0)</f>
        <v>0</v>
      </c>
      <c r="X669" s="7">
        <f t="shared" si="1281"/>
        <v>0</v>
      </c>
      <c r="Y669" s="8">
        <v>0.0</v>
      </c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</row>
    <row r="670" ht="22.5" customHeight="1">
      <c r="B670" s="6">
        <v>669.0</v>
      </c>
      <c r="C670" s="6">
        <v>14315.0</v>
      </c>
      <c r="D670" s="6">
        <v>1.23</v>
      </c>
      <c r="E670" s="6">
        <v>-0.2</v>
      </c>
      <c r="F670" s="6">
        <v>10.68</v>
      </c>
      <c r="G670" s="6">
        <v>-0.1</v>
      </c>
      <c r="H670" s="6">
        <v>0.0</v>
      </c>
      <c r="I670" s="6">
        <v>-0.01</v>
      </c>
      <c r="J670" s="6">
        <v>33.19</v>
      </c>
      <c r="K670" s="7">
        <f t="shared" ref="K670:P670" si="1282">abs(D670-D669)/200</f>
        <v>0</v>
      </c>
      <c r="L670" s="7">
        <f t="shared" si="1282"/>
        <v>0</v>
      </c>
      <c r="M670" s="7">
        <f t="shared" si="1282"/>
        <v>0</v>
      </c>
      <c r="N670" s="7">
        <f t="shared" si="1282"/>
        <v>0</v>
      </c>
      <c r="O670" s="7">
        <f t="shared" si="1282"/>
        <v>0</v>
      </c>
      <c r="P670" s="7">
        <f t="shared" si="1282"/>
        <v>0</v>
      </c>
      <c r="Q670" s="7">
        <f t="shared" si="7"/>
        <v>0</v>
      </c>
      <c r="R670" s="7">
        <f t="shared" si="8"/>
        <v>0</v>
      </c>
      <c r="S670" s="7">
        <f t="shared" si="2"/>
        <v>0.9524555335</v>
      </c>
      <c r="T670" s="7">
        <f t="shared" si="3"/>
        <v>0.1004987562</v>
      </c>
      <c r="U670" s="7">
        <f t="shared" si="4"/>
        <v>0</v>
      </c>
      <c r="V670" s="7">
        <f t="shared" si="5"/>
        <v>0</v>
      </c>
      <c r="W670" s="7">
        <f t="shared" ref="W670:X670" si="1283">IF(AVERAGE(U610:U669) &gt; 0.25, 1, 0)</f>
        <v>0</v>
      </c>
      <c r="X670" s="7">
        <f t="shared" si="1283"/>
        <v>0</v>
      </c>
      <c r="Y670" s="8">
        <v>0.0</v>
      </c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</row>
    <row r="671" ht="22.5" customHeight="1">
      <c r="B671" s="6">
        <v>670.0</v>
      </c>
      <c r="C671" s="6">
        <v>14519.0</v>
      </c>
      <c r="D671" s="6">
        <v>1.24</v>
      </c>
      <c r="E671" s="6">
        <v>-0.2</v>
      </c>
      <c r="F671" s="6">
        <v>10.68</v>
      </c>
      <c r="G671" s="6">
        <v>-0.1</v>
      </c>
      <c r="H671" s="6">
        <v>0.0</v>
      </c>
      <c r="I671" s="6">
        <v>-0.01</v>
      </c>
      <c r="J671" s="6">
        <v>33.19</v>
      </c>
      <c r="K671" s="7">
        <f t="shared" ref="K671:P671" si="1284">abs(D671-D670)/200</f>
        <v>0.00005</v>
      </c>
      <c r="L671" s="7">
        <f t="shared" si="1284"/>
        <v>0</v>
      </c>
      <c r="M671" s="7">
        <f t="shared" si="1284"/>
        <v>0</v>
      </c>
      <c r="N671" s="7">
        <f t="shared" si="1284"/>
        <v>0</v>
      </c>
      <c r="O671" s="7">
        <f t="shared" si="1284"/>
        <v>0</v>
      </c>
      <c r="P671" s="7">
        <f t="shared" si="1284"/>
        <v>0</v>
      </c>
      <c r="Q671" s="7">
        <f t="shared" si="7"/>
        <v>0</v>
      </c>
      <c r="R671" s="7">
        <f t="shared" si="8"/>
        <v>0.001148513511</v>
      </c>
      <c r="S671" s="7">
        <f t="shared" si="2"/>
        <v>0.953604047</v>
      </c>
      <c r="T671" s="7">
        <f t="shared" si="3"/>
        <v>0.1004987562</v>
      </c>
      <c r="U671" s="7">
        <f t="shared" si="4"/>
        <v>0</v>
      </c>
      <c r="V671" s="7">
        <f t="shared" si="5"/>
        <v>0</v>
      </c>
      <c r="W671" s="7">
        <f t="shared" ref="W671:X671" si="1285">IF(AVERAGE(U611:U670) &gt; 0.25, 1, 0)</f>
        <v>0</v>
      </c>
      <c r="X671" s="7">
        <f t="shared" si="1285"/>
        <v>0</v>
      </c>
      <c r="Y671" s="8">
        <v>0.0</v>
      </c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</row>
    <row r="672" ht="22.5" customHeight="1">
      <c r="B672" s="6">
        <v>671.0</v>
      </c>
      <c r="C672" s="6">
        <v>14723.0</v>
      </c>
      <c r="D672" s="6">
        <v>1.23</v>
      </c>
      <c r="E672" s="6">
        <v>-0.2</v>
      </c>
      <c r="F672" s="6">
        <v>10.68</v>
      </c>
      <c r="G672" s="6">
        <v>-0.1</v>
      </c>
      <c r="H672" s="6">
        <v>0.0</v>
      </c>
      <c r="I672" s="6">
        <v>-0.01</v>
      </c>
      <c r="J672" s="6">
        <v>33.19</v>
      </c>
      <c r="K672" s="7">
        <f t="shared" ref="K672:P672" si="1286">abs(D672-D671)/200</f>
        <v>0.00005</v>
      </c>
      <c r="L672" s="7">
        <f t="shared" si="1286"/>
        <v>0</v>
      </c>
      <c r="M672" s="7">
        <f t="shared" si="1286"/>
        <v>0</v>
      </c>
      <c r="N672" s="7">
        <f t="shared" si="1286"/>
        <v>0</v>
      </c>
      <c r="O672" s="7">
        <f t="shared" si="1286"/>
        <v>0</v>
      </c>
      <c r="P672" s="7">
        <f t="shared" si="1286"/>
        <v>0</v>
      </c>
      <c r="Q672" s="7">
        <f t="shared" si="7"/>
        <v>0</v>
      </c>
      <c r="R672" s="7">
        <f t="shared" si="8"/>
        <v>0.001148513511</v>
      </c>
      <c r="S672" s="7">
        <f t="shared" si="2"/>
        <v>0.9524555335</v>
      </c>
      <c r="T672" s="7">
        <f t="shared" si="3"/>
        <v>0.1004987562</v>
      </c>
      <c r="U672" s="7">
        <f t="shared" si="4"/>
        <v>0</v>
      </c>
      <c r="V672" s="7">
        <f t="shared" si="5"/>
        <v>0</v>
      </c>
      <c r="W672" s="7">
        <f t="shared" ref="W672:X672" si="1287">IF(AVERAGE(U612:U671) &gt; 0.25, 1, 0)</f>
        <v>0</v>
      </c>
      <c r="X672" s="7">
        <f t="shared" si="1287"/>
        <v>0</v>
      </c>
      <c r="Y672" s="8">
        <v>0.0</v>
      </c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</row>
    <row r="673" ht="22.5" customHeight="1">
      <c r="B673" s="6">
        <v>672.0</v>
      </c>
      <c r="C673" s="6">
        <v>14927.0</v>
      </c>
      <c r="D673" s="6">
        <v>1.23</v>
      </c>
      <c r="E673" s="6">
        <v>-0.2</v>
      </c>
      <c r="F673" s="6">
        <v>10.69</v>
      </c>
      <c r="G673" s="6">
        <v>-0.1</v>
      </c>
      <c r="H673" s="6">
        <v>0.0</v>
      </c>
      <c r="I673" s="6">
        <v>-0.01</v>
      </c>
      <c r="J673" s="6">
        <v>33.17</v>
      </c>
      <c r="K673" s="7">
        <f t="shared" ref="K673:P673" si="1288">abs(D673-D672)/200</f>
        <v>0</v>
      </c>
      <c r="L673" s="7">
        <f t="shared" si="1288"/>
        <v>0</v>
      </c>
      <c r="M673" s="7">
        <f t="shared" si="1288"/>
        <v>0.00005</v>
      </c>
      <c r="N673" s="7">
        <f t="shared" si="1288"/>
        <v>0</v>
      </c>
      <c r="O673" s="7">
        <f t="shared" si="1288"/>
        <v>0</v>
      </c>
      <c r="P673" s="7">
        <f t="shared" si="1288"/>
        <v>0</v>
      </c>
      <c r="Q673" s="7">
        <f t="shared" si="7"/>
        <v>0</v>
      </c>
      <c r="R673" s="7">
        <f t="shared" si="8"/>
        <v>0.009932677297</v>
      </c>
      <c r="S673" s="7">
        <f t="shared" si="2"/>
        <v>0.9623882108</v>
      </c>
      <c r="T673" s="7">
        <f t="shared" si="3"/>
        <v>0.1004987562</v>
      </c>
      <c r="U673" s="7">
        <f t="shared" si="4"/>
        <v>0</v>
      </c>
      <c r="V673" s="7">
        <f t="shared" si="5"/>
        <v>0</v>
      </c>
      <c r="W673" s="7">
        <f t="shared" ref="W673:X673" si="1289">IF(AVERAGE(U613:U672) &gt; 0.25, 1, 0)</f>
        <v>0</v>
      </c>
      <c r="X673" s="7">
        <f t="shared" si="1289"/>
        <v>0</v>
      </c>
      <c r="Y673" s="8">
        <v>0.0</v>
      </c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</row>
    <row r="674" ht="22.5" customHeight="1">
      <c r="B674" s="6">
        <v>673.0</v>
      </c>
      <c r="C674" s="6">
        <v>15131.0</v>
      </c>
      <c r="D674" s="6">
        <v>1.23</v>
      </c>
      <c r="E674" s="6">
        <v>-0.2</v>
      </c>
      <c r="F674" s="6">
        <v>10.69</v>
      </c>
      <c r="G674" s="6">
        <v>-0.1</v>
      </c>
      <c r="H674" s="6">
        <v>0.0</v>
      </c>
      <c r="I674" s="6">
        <v>-0.01</v>
      </c>
      <c r="J674" s="6">
        <v>33.19</v>
      </c>
      <c r="K674" s="7">
        <f t="shared" ref="K674:P674" si="1290">abs(D674-D673)/200</f>
        <v>0</v>
      </c>
      <c r="L674" s="7">
        <f t="shared" si="1290"/>
        <v>0</v>
      </c>
      <c r="M674" s="7">
        <f t="shared" si="1290"/>
        <v>0</v>
      </c>
      <c r="N674" s="7">
        <f t="shared" si="1290"/>
        <v>0</v>
      </c>
      <c r="O674" s="7">
        <f t="shared" si="1290"/>
        <v>0</v>
      </c>
      <c r="P674" s="7">
        <f t="shared" si="1290"/>
        <v>0</v>
      </c>
      <c r="Q674" s="7">
        <f t="shared" si="7"/>
        <v>0</v>
      </c>
      <c r="R674" s="7">
        <f t="shared" si="8"/>
        <v>0</v>
      </c>
      <c r="S674" s="7">
        <f t="shared" si="2"/>
        <v>0.9623882108</v>
      </c>
      <c r="T674" s="7">
        <f t="shared" si="3"/>
        <v>0.1004987562</v>
      </c>
      <c r="U674" s="7">
        <f t="shared" si="4"/>
        <v>0</v>
      </c>
      <c r="V674" s="7">
        <f t="shared" si="5"/>
        <v>0</v>
      </c>
      <c r="W674" s="7">
        <f t="shared" ref="W674:X674" si="1291">IF(AVERAGE(U614:U673) &gt; 0.25, 1, 0)</f>
        <v>0</v>
      </c>
      <c r="X674" s="7">
        <f t="shared" si="1291"/>
        <v>0</v>
      </c>
      <c r="Y674" s="8">
        <v>0.0</v>
      </c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</row>
    <row r="675" ht="22.5" customHeight="1">
      <c r="B675" s="6">
        <v>674.0</v>
      </c>
      <c r="C675" s="6">
        <v>15335.0</v>
      </c>
      <c r="D675" s="6">
        <v>1.22</v>
      </c>
      <c r="E675" s="6">
        <v>-0.2</v>
      </c>
      <c r="F675" s="6">
        <v>10.68</v>
      </c>
      <c r="G675" s="6">
        <v>-0.1</v>
      </c>
      <c r="H675" s="6">
        <v>0.0</v>
      </c>
      <c r="I675" s="6">
        <v>-0.01</v>
      </c>
      <c r="J675" s="6">
        <v>33.19</v>
      </c>
      <c r="K675" s="7">
        <f t="shared" ref="K675:P675" si="1292">abs(D675-D674)/200</f>
        <v>0.00005</v>
      </c>
      <c r="L675" s="7">
        <f t="shared" si="1292"/>
        <v>0</v>
      </c>
      <c r="M675" s="7">
        <f t="shared" si="1292"/>
        <v>0.00005</v>
      </c>
      <c r="N675" s="7">
        <f t="shared" si="1292"/>
        <v>0</v>
      </c>
      <c r="O675" s="7">
        <f t="shared" si="1292"/>
        <v>0</v>
      </c>
      <c r="P675" s="7">
        <f t="shared" si="1292"/>
        <v>0</v>
      </c>
      <c r="Q675" s="7">
        <f t="shared" si="7"/>
        <v>0</v>
      </c>
      <c r="R675" s="7">
        <f t="shared" si="8"/>
        <v>0.01107201231</v>
      </c>
      <c r="S675" s="7">
        <f t="shared" si="2"/>
        <v>0.9513161985</v>
      </c>
      <c r="T675" s="7">
        <f t="shared" si="3"/>
        <v>0.1004987562</v>
      </c>
      <c r="U675" s="7">
        <f t="shared" si="4"/>
        <v>0</v>
      </c>
      <c r="V675" s="7">
        <f t="shared" si="5"/>
        <v>0</v>
      </c>
      <c r="W675" s="7">
        <f t="shared" ref="W675:X675" si="1293">IF(AVERAGE(U615:U674) &gt; 0.25, 1, 0)</f>
        <v>0</v>
      </c>
      <c r="X675" s="7">
        <f t="shared" si="1293"/>
        <v>0</v>
      </c>
      <c r="Y675" s="8">
        <v>0.0</v>
      </c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</row>
    <row r="676" ht="22.5" customHeight="1">
      <c r="B676" s="6">
        <v>675.0</v>
      </c>
      <c r="C676" s="6">
        <v>15539.0</v>
      </c>
      <c r="D676" s="6">
        <v>1.23</v>
      </c>
      <c r="E676" s="6">
        <v>-0.2</v>
      </c>
      <c r="F676" s="6">
        <v>10.68</v>
      </c>
      <c r="G676" s="6">
        <v>-0.1</v>
      </c>
      <c r="H676" s="6">
        <v>0.0</v>
      </c>
      <c r="I676" s="6">
        <v>-0.01</v>
      </c>
      <c r="J676" s="6">
        <v>33.19</v>
      </c>
      <c r="K676" s="7">
        <f t="shared" ref="K676:P676" si="1294">abs(D676-D675)/200</f>
        <v>0.00005</v>
      </c>
      <c r="L676" s="7">
        <f t="shared" si="1294"/>
        <v>0</v>
      </c>
      <c r="M676" s="7">
        <f t="shared" si="1294"/>
        <v>0</v>
      </c>
      <c r="N676" s="7">
        <f t="shared" si="1294"/>
        <v>0</v>
      </c>
      <c r="O676" s="7">
        <f t="shared" si="1294"/>
        <v>0</v>
      </c>
      <c r="P676" s="7">
        <f t="shared" si="1294"/>
        <v>0</v>
      </c>
      <c r="Q676" s="7">
        <f t="shared" si="7"/>
        <v>0</v>
      </c>
      <c r="R676" s="7">
        <f t="shared" si="8"/>
        <v>0.001139335011</v>
      </c>
      <c r="S676" s="7">
        <f t="shared" si="2"/>
        <v>0.9524555335</v>
      </c>
      <c r="T676" s="7">
        <f t="shared" si="3"/>
        <v>0.1004987562</v>
      </c>
      <c r="U676" s="7">
        <f t="shared" si="4"/>
        <v>0</v>
      </c>
      <c r="V676" s="7">
        <f t="shared" si="5"/>
        <v>0</v>
      </c>
      <c r="W676" s="7">
        <f t="shared" ref="W676:X676" si="1295">IF(AVERAGE(U616:U675) &gt; 0.25, 1, 0)</f>
        <v>0</v>
      </c>
      <c r="X676" s="7">
        <f t="shared" si="1295"/>
        <v>0</v>
      </c>
      <c r="Y676" s="8">
        <v>0.0</v>
      </c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</row>
    <row r="677" ht="22.5" customHeight="1">
      <c r="B677" s="6">
        <v>676.0</v>
      </c>
      <c r="C677" s="6">
        <v>15743.0</v>
      </c>
      <c r="D677" s="6">
        <v>1.24</v>
      </c>
      <c r="E677" s="6">
        <v>-0.2</v>
      </c>
      <c r="F677" s="6">
        <v>10.68</v>
      </c>
      <c r="G677" s="6">
        <v>-0.1</v>
      </c>
      <c r="H677" s="6">
        <v>0.0</v>
      </c>
      <c r="I677" s="6">
        <v>-0.01</v>
      </c>
      <c r="J677" s="6">
        <v>33.18</v>
      </c>
      <c r="K677" s="7">
        <f t="shared" ref="K677:P677" si="1296">abs(D677-D676)/200</f>
        <v>0.00005</v>
      </c>
      <c r="L677" s="7">
        <f t="shared" si="1296"/>
        <v>0</v>
      </c>
      <c r="M677" s="7">
        <f t="shared" si="1296"/>
        <v>0</v>
      </c>
      <c r="N677" s="7">
        <f t="shared" si="1296"/>
        <v>0</v>
      </c>
      <c r="O677" s="7">
        <f t="shared" si="1296"/>
        <v>0</v>
      </c>
      <c r="P677" s="7">
        <f t="shared" si="1296"/>
        <v>0</v>
      </c>
      <c r="Q677" s="7">
        <f t="shared" si="7"/>
        <v>0</v>
      </c>
      <c r="R677" s="7">
        <f t="shared" si="8"/>
        <v>0.001148513511</v>
      </c>
      <c r="S677" s="7">
        <f t="shared" si="2"/>
        <v>0.953604047</v>
      </c>
      <c r="T677" s="7">
        <f t="shared" si="3"/>
        <v>0.1004987562</v>
      </c>
      <c r="U677" s="7">
        <f t="shared" si="4"/>
        <v>0</v>
      </c>
      <c r="V677" s="7">
        <f t="shared" si="5"/>
        <v>0</v>
      </c>
      <c r="W677" s="7">
        <f t="shared" ref="W677:X677" si="1297">IF(AVERAGE(U617:U676) &gt; 0.25, 1, 0)</f>
        <v>0</v>
      </c>
      <c r="X677" s="7">
        <f t="shared" si="1297"/>
        <v>0</v>
      </c>
      <c r="Y677" s="8">
        <v>0.0</v>
      </c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</row>
    <row r="678" ht="22.5" customHeight="1">
      <c r="B678" s="6">
        <v>677.0</v>
      </c>
      <c r="C678" s="6">
        <v>15947.0</v>
      </c>
      <c r="D678" s="6">
        <v>1.24</v>
      </c>
      <c r="E678" s="6">
        <v>-0.2</v>
      </c>
      <c r="F678" s="6">
        <v>10.68</v>
      </c>
      <c r="G678" s="6">
        <v>-0.1</v>
      </c>
      <c r="H678" s="6">
        <v>0.0</v>
      </c>
      <c r="I678" s="6">
        <v>-0.01</v>
      </c>
      <c r="J678" s="6">
        <v>33.19</v>
      </c>
      <c r="K678" s="7">
        <f t="shared" ref="K678:P678" si="1298">abs(D678-D677)/200</f>
        <v>0</v>
      </c>
      <c r="L678" s="7">
        <f t="shared" si="1298"/>
        <v>0</v>
      </c>
      <c r="M678" s="7">
        <f t="shared" si="1298"/>
        <v>0</v>
      </c>
      <c r="N678" s="7">
        <f t="shared" si="1298"/>
        <v>0</v>
      </c>
      <c r="O678" s="7">
        <f t="shared" si="1298"/>
        <v>0</v>
      </c>
      <c r="P678" s="7">
        <f t="shared" si="1298"/>
        <v>0</v>
      </c>
      <c r="Q678" s="7">
        <f t="shared" si="7"/>
        <v>0</v>
      </c>
      <c r="R678" s="7">
        <f t="shared" si="8"/>
        <v>0</v>
      </c>
      <c r="S678" s="7">
        <f t="shared" si="2"/>
        <v>0.953604047</v>
      </c>
      <c r="T678" s="7">
        <f t="shared" si="3"/>
        <v>0.1004987562</v>
      </c>
      <c r="U678" s="7">
        <f t="shared" si="4"/>
        <v>0</v>
      </c>
      <c r="V678" s="7">
        <f t="shared" si="5"/>
        <v>0</v>
      </c>
      <c r="W678" s="7">
        <f t="shared" ref="W678:X678" si="1299">IF(AVERAGE(U618:U677) &gt; 0.25, 1, 0)</f>
        <v>0</v>
      </c>
      <c r="X678" s="7">
        <f t="shared" si="1299"/>
        <v>0</v>
      </c>
      <c r="Y678" s="8">
        <v>0.0</v>
      </c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</row>
    <row r="679" ht="22.5" customHeight="1">
      <c r="B679" s="6">
        <v>678.0</v>
      </c>
      <c r="C679" s="6">
        <v>16151.0</v>
      </c>
      <c r="D679" s="6">
        <v>1.23</v>
      </c>
      <c r="E679" s="6">
        <v>-0.19</v>
      </c>
      <c r="F679" s="6">
        <v>10.69</v>
      </c>
      <c r="G679" s="6">
        <v>-0.1</v>
      </c>
      <c r="H679" s="6">
        <v>0.0</v>
      </c>
      <c r="I679" s="6">
        <v>-0.01</v>
      </c>
      <c r="J679" s="6">
        <v>33.19</v>
      </c>
      <c r="K679" s="7">
        <f t="shared" ref="K679:P679" si="1300">abs(D679-D678)/200</f>
        <v>0.00005</v>
      </c>
      <c r="L679" s="7">
        <f t="shared" si="1300"/>
        <v>0.00005</v>
      </c>
      <c r="M679" s="7">
        <f t="shared" si="1300"/>
        <v>0.00005</v>
      </c>
      <c r="N679" s="7">
        <f t="shared" si="1300"/>
        <v>0</v>
      </c>
      <c r="O679" s="7">
        <f t="shared" si="1300"/>
        <v>0</v>
      </c>
      <c r="P679" s="7">
        <f t="shared" si="1300"/>
        <v>0</v>
      </c>
      <c r="Q679" s="7">
        <f t="shared" si="7"/>
        <v>0</v>
      </c>
      <c r="R679" s="7">
        <f t="shared" si="8"/>
        <v>0.008602975709</v>
      </c>
      <c r="S679" s="7">
        <f t="shared" si="2"/>
        <v>0.9622070227</v>
      </c>
      <c r="T679" s="7">
        <f t="shared" si="3"/>
        <v>0.1004987562</v>
      </c>
      <c r="U679" s="7">
        <f t="shared" si="4"/>
        <v>0</v>
      </c>
      <c r="V679" s="7">
        <f t="shared" si="5"/>
        <v>0</v>
      </c>
      <c r="W679" s="7">
        <f t="shared" ref="W679:X679" si="1301">IF(AVERAGE(U619:U678) &gt; 0.25, 1, 0)</f>
        <v>0</v>
      </c>
      <c r="X679" s="7">
        <f t="shared" si="1301"/>
        <v>0</v>
      </c>
      <c r="Y679" s="8">
        <v>0.0</v>
      </c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</row>
    <row r="680" ht="22.5" customHeight="1">
      <c r="B680" s="6">
        <v>679.0</v>
      </c>
      <c r="C680" s="6">
        <v>16355.0</v>
      </c>
      <c r="D680" s="6">
        <v>1.23</v>
      </c>
      <c r="E680" s="6">
        <v>-0.19</v>
      </c>
      <c r="F680" s="6">
        <v>10.69</v>
      </c>
      <c r="G680" s="6">
        <v>-0.1</v>
      </c>
      <c r="H680" s="6">
        <v>0.0</v>
      </c>
      <c r="I680" s="6">
        <v>-0.01</v>
      </c>
      <c r="J680" s="6">
        <v>33.19</v>
      </c>
      <c r="K680" s="7">
        <f t="shared" ref="K680:P680" si="1302">abs(D680-D679)/200</f>
        <v>0</v>
      </c>
      <c r="L680" s="7">
        <f t="shared" si="1302"/>
        <v>0</v>
      </c>
      <c r="M680" s="7">
        <f t="shared" si="1302"/>
        <v>0</v>
      </c>
      <c r="N680" s="7">
        <f t="shared" si="1302"/>
        <v>0</v>
      </c>
      <c r="O680" s="7">
        <f t="shared" si="1302"/>
        <v>0</v>
      </c>
      <c r="P680" s="7">
        <f t="shared" si="1302"/>
        <v>0</v>
      </c>
      <c r="Q680" s="7">
        <f t="shared" si="7"/>
        <v>0</v>
      </c>
      <c r="R680" s="7">
        <f t="shared" si="8"/>
        <v>0</v>
      </c>
      <c r="S680" s="7">
        <f t="shared" si="2"/>
        <v>0.9622070227</v>
      </c>
      <c r="T680" s="7">
        <f t="shared" si="3"/>
        <v>0.1004987562</v>
      </c>
      <c r="U680" s="7">
        <f t="shared" si="4"/>
        <v>0</v>
      </c>
      <c r="V680" s="7">
        <f t="shared" si="5"/>
        <v>0</v>
      </c>
      <c r="W680" s="7">
        <f t="shared" ref="W680:X680" si="1303">IF(AVERAGE(U620:U679) &gt; 0.25, 1, 0)</f>
        <v>0</v>
      </c>
      <c r="X680" s="7">
        <f t="shared" si="1303"/>
        <v>0</v>
      </c>
      <c r="Y680" s="8">
        <v>0.0</v>
      </c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</row>
    <row r="681" ht="22.5" customHeight="1">
      <c r="B681" s="6">
        <v>680.0</v>
      </c>
      <c r="C681" s="6">
        <v>16559.0</v>
      </c>
      <c r="D681" s="6">
        <v>1.24</v>
      </c>
      <c r="E681" s="6">
        <v>-0.2</v>
      </c>
      <c r="F681" s="6">
        <v>10.68</v>
      </c>
      <c r="G681" s="6">
        <v>-0.1</v>
      </c>
      <c r="H681" s="6">
        <v>0.0</v>
      </c>
      <c r="I681" s="6">
        <v>-0.01</v>
      </c>
      <c r="J681" s="6">
        <v>33.19</v>
      </c>
      <c r="K681" s="7">
        <f t="shared" ref="K681:P681" si="1304">abs(D681-D680)/200</f>
        <v>0.00005</v>
      </c>
      <c r="L681" s="7">
        <f t="shared" si="1304"/>
        <v>0.00005</v>
      </c>
      <c r="M681" s="7">
        <f t="shared" si="1304"/>
        <v>0.00005</v>
      </c>
      <c r="N681" s="7">
        <f t="shared" si="1304"/>
        <v>0</v>
      </c>
      <c r="O681" s="7">
        <f t="shared" si="1304"/>
        <v>0</v>
      </c>
      <c r="P681" s="7">
        <f t="shared" si="1304"/>
        <v>0</v>
      </c>
      <c r="Q681" s="7">
        <f t="shared" si="7"/>
        <v>0</v>
      </c>
      <c r="R681" s="7">
        <f t="shared" si="8"/>
        <v>0.008602975709</v>
      </c>
      <c r="S681" s="7">
        <f t="shared" si="2"/>
        <v>0.953604047</v>
      </c>
      <c r="T681" s="7">
        <f t="shared" si="3"/>
        <v>0.1004987562</v>
      </c>
      <c r="U681" s="7">
        <f t="shared" si="4"/>
        <v>0</v>
      </c>
      <c r="V681" s="7">
        <f t="shared" si="5"/>
        <v>0</v>
      </c>
      <c r="W681" s="7">
        <f t="shared" ref="W681:X681" si="1305">IF(AVERAGE(U621:U680) &gt; 0.25, 1, 0)</f>
        <v>0</v>
      </c>
      <c r="X681" s="7">
        <f t="shared" si="1305"/>
        <v>0</v>
      </c>
      <c r="Y681" s="8">
        <v>0.0</v>
      </c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</row>
    <row r="682" ht="22.5" customHeight="1">
      <c r="B682" s="6">
        <v>681.0</v>
      </c>
      <c r="C682" s="6">
        <v>16763.0</v>
      </c>
      <c r="D682" s="6">
        <v>1.24</v>
      </c>
      <c r="E682" s="6">
        <v>-0.2</v>
      </c>
      <c r="F682" s="6">
        <v>10.68</v>
      </c>
      <c r="G682" s="6">
        <v>-0.1</v>
      </c>
      <c r="H682" s="6">
        <v>0.0</v>
      </c>
      <c r="I682" s="6">
        <v>-0.01</v>
      </c>
      <c r="J682" s="6">
        <v>33.2</v>
      </c>
      <c r="K682" s="7">
        <f t="shared" ref="K682:P682" si="1306">abs(D682-D681)/200</f>
        <v>0</v>
      </c>
      <c r="L682" s="7">
        <f t="shared" si="1306"/>
        <v>0</v>
      </c>
      <c r="M682" s="7">
        <f t="shared" si="1306"/>
        <v>0</v>
      </c>
      <c r="N682" s="7">
        <f t="shared" si="1306"/>
        <v>0</v>
      </c>
      <c r="O682" s="7">
        <f t="shared" si="1306"/>
        <v>0</v>
      </c>
      <c r="P682" s="7">
        <f t="shared" si="1306"/>
        <v>0</v>
      </c>
      <c r="Q682" s="7">
        <f t="shared" si="7"/>
        <v>0</v>
      </c>
      <c r="R682" s="7">
        <f t="shared" si="8"/>
        <v>0</v>
      </c>
      <c r="S682" s="7">
        <f t="shared" si="2"/>
        <v>0.953604047</v>
      </c>
      <c r="T682" s="7">
        <f t="shared" si="3"/>
        <v>0.1004987562</v>
      </c>
      <c r="U682" s="7">
        <f t="shared" si="4"/>
        <v>0</v>
      </c>
      <c r="V682" s="7">
        <f t="shared" si="5"/>
        <v>0</v>
      </c>
      <c r="W682" s="7">
        <f t="shared" ref="W682:X682" si="1307">IF(AVERAGE(U622:U681) &gt; 0.25, 1, 0)</f>
        <v>0</v>
      </c>
      <c r="X682" s="7">
        <f t="shared" si="1307"/>
        <v>0</v>
      </c>
      <c r="Y682" s="8">
        <v>0.0</v>
      </c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</row>
    <row r="683" ht="22.5" customHeight="1">
      <c r="B683" s="6">
        <v>682.0</v>
      </c>
      <c r="C683" s="6">
        <v>16967.0</v>
      </c>
      <c r="D683" s="6">
        <v>1.22</v>
      </c>
      <c r="E683" s="6">
        <v>-0.2</v>
      </c>
      <c r="F683" s="6">
        <v>10.68</v>
      </c>
      <c r="G683" s="6">
        <v>-0.1</v>
      </c>
      <c r="H683" s="6">
        <v>0.0</v>
      </c>
      <c r="I683" s="6">
        <v>-0.01</v>
      </c>
      <c r="J683" s="6">
        <v>33.18</v>
      </c>
      <c r="K683" s="7">
        <f t="shared" ref="K683:P683" si="1308">abs(D683-D682)/200</f>
        <v>0.0001</v>
      </c>
      <c r="L683" s="7">
        <f t="shared" si="1308"/>
        <v>0</v>
      </c>
      <c r="M683" s="7">
        <f t="shared" si="1308"/>
        <v>0</v>
      </c>
      <c r="N683" s="7">
        <f t="shared" si="1308"/>
        <v>0</v>
      </c>
      <c r="O683" s="7">
        <f t="shared" si="1308"/>
        <v>0</v>
      </c>
      <c r="P683" s="7">
        <f t="shared" si="1308"/>
        <v>0</v>
      </c>
      <c r="Q683" s="7">
        <f t="shared" si="7"/>
        <v>0</v>
      </c>
      <c r="R683" s="7">
        <f t="shared" si="8"/>
        <v>0.002287848522</v>
      </c>
      <c r="S683" s="7">
        <f t="shared" si="2"/>
        <v>0.9513161985</v>
      </c>
      <c r="T683" s="7">
        <f t="shared" si="3"/>
        <v>0.1004987562</v>
      </c>
      <c r="U683" s="7">
        <f t="shared" si="4"/>
        <v>0</v>
      </c>
      <c r="V683" s="7">
        <f t="shared" si="5"/>
        <v>0</v>
      </c>
      <c r="W683" s="7">
        <f t="shared" ref="W683:X683" si="1309">IF(AVERAGE(U623:U682) &gt; 0.25, 1, 0)</f>
        <v>0</v>
      </c>
      <c r="X683" s="7">
        <f t="shared" si="1309"/>
        <v>0</v>
      </c>
      <c r="Y683" s="8">
        <v>0.0</v>
      </c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</row>
    <row r="684" ht="22.5" customHeight="1">
      <c r="B684" s="6">
        <v>683.0</v>
      </c>
      <c r="C684" s="6">
        <v>17171.0</v>
      </c>
      <c r="D684" s="6">
        <v>1.22</v>
      </c>
      <c r="E684" s="6">
        <v>-0.2</v>
      </c>
      <c r="F684" s="6">
        <v>10.68</v>
      </c>
      <c r="G684" s="6">
        <v>-0.1</v>
      </c>
      <c r="H684" s="6">
        <v>0.0</v>
      </c>
      <c r="I684" s="6">
        <v>-0.01</v>
      </c>
      <c r="J684" s="6">
        <v>33.19</v>
      </c>
      <c r="K684" s="7">
        <f t="shared" ref="K684:P684" si="1310">abs(D684-D683)/200</f>
        <v>0</v>
      </c>
      <c r="L684" s="7">
        <f t="shared" si="1310"/>
        <v>0</v>
      </c>
      <c r="M684" s="7">
        <f t="shared" si="1310"/>
        <v>0</v>
      </c>
      <c r="N684" s="7">
        <f t="shared" si="1310"/>
        <v>0</v>
      </c>
      <c r="O684" s="7">
        <f t="shared" si="1310"/>
        <v>0</v>
      </c>
      <c r="P684" s="7">
        <f t="shared" si="1310"/>
        <v>0</v>
      </c>
      <c r="Q684" s="7">
        <f t="shared" si="7"/>
        <v>0</v>
      </c>
      <c r="R684" s="7">
        <f t="shared" si="8"/>
        <v>0</v>
      </c>
      <c r="S684" s="7">
        <f t="shared" si="2"/>
        <v>0.9513161985</v>
      </c>
      <c r="T684" s="7">
        <f t="shared" si="3"/>
        <v>0.1004987562</v>
      </c>
      <c r="U684" s="7">
        <f t="shared" si="4"/>
        <v>0</v>
      </c>
      <c r="V684" s="7">
        <f t="shared" si="5"/>
        <v>0</v>
      </c>
      <c r="W684" s="7">
        <f t="shared" ref="W684:X684" si="1311">IF(AVERAGE(U624:U683) &gt; 0.25, 1, 0)</f>
        <v>0</v>
      </c>
      <c r="X684" s="7">
        <f t="shared" si="1311"/>
        <v>0</v>
      </c>
      <c r="Y684" s="8">
        <v>0.0</v>
      </c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</row>
    <row r="685" ht="22.5" customHeight="1">
      <c r="B685" s="6">
        <v>684.0</v>
      </c>
      <c r="C685" s="6">
        <v>17375.0</v>
      </c>
      <c r="D685" s="6">
        <v>1.24</v>
      </c>
      <c r="E685" s="6">
        <v>-0.2</v>
      </c>
      <c r="F685" s="6">
        <v>10.68</v>
      </c>
      <c r="G685" s="6">
        <v>-0.1</v>
      </c>
      <c r="H685" s="6">
        <v>0.0</v>
      </c>
      <c r="I685" s="6">
        <v>-0.01</v>
      </c>
      <c r="J685" s="6">
        <v>33.2</v>
      </c>
      <c r="K685" s="7">
        <f t="shared" ref="K685:P685" si="1312">abs(D685-D684)/200</f>
        <v>0.0001</v>
      </c>
      <c r="L685" s="7">
        <f t="shared" si="1312"/>
        <v>0</v>
      </c>
      <c r="M685" s="7">
        <f t="shared" si="1312"/>
        <v>0</v>
      </c>
      <c r="N685" s="7">
        <f t="shared" si="1312"/>
        <v>0</v>
      </c>
      <c r="O685" s="7">
        <f t="shared" si="1312"/>
        <v>0</v>
      </c>
      <c r="P685" s="7">
        <f t="shared" si="1312"/>
        <v>0</v>
      </c>
      <c r="Q685" s="7">
        <f t="shared" si="7"/>
        <v>0</v>
      </c>
      <c r="R685" s="7">
        <f t="shared" si="8"/>
        <v>0.002287848522</v>
      </c>
      <c r="S685" s="7">
        <f t="shared" si="2"/>
        <v>0.953604047</v>
      </c>
      <c r="T685" s="7">
        <f t="shared" si="3"/>
        <v>0.1004987562</v>
      </c>
      <c r="U685" s="7">
        <f t="shared" si="4"/>
        <v>0</v>
      </c>
      <c r="V685" s="7">
        <f t="shared" si="5"/>
        <v>0</v>
      </c>
      <c r="W685" s="7">
        <f t="shared" ref="W685:X685" si="1313">IF(AVERAGE(U625:U684) &gt; 0.25, 1, 0)</f>
        <v>0</v>
      </c>
      <c r="X685" s="7">
        <f t="shared" si="1313"/>
        <v>0</v>
      </c>
      <c r="Y685" s="8">
        <v>0.0</v>
      </c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</row>
    <row r="686" ht="22.5" customHeight="1">
      <c r="B686" s="6">
        <v>685.0</v>
      </c>
      <c r="C686" s="6">
        <v>17579.0</v>
      </c>
      <c r="D686" s="6">
        <v>1.23</v>
      </c>
      <c r="E686" s="6">
        <v>-0.19</v>
      </c>
      <c r="F686" s="6">
        <v>10.69</v>
      </c>
      <c r="G686" s="6">
        <v>-0.1</v>
      </c>
      <c r="H686" s="6">
        <v>0.0</v>
      </c>
      <c r="I686" s="6">
        <v>-0.01</v>
      </c>
      <c r="J686" s="6">
        <v>33.19</v>
      </c>
      <c r="K686" s="7">
        <f t="shared" ref="K686:P686" si="1314">abs(D686-D685)/200</f>
        <v>0.00005</v>
      </c>
      <c r="L686" s="7">
        <f t="shared" si="1314"/>
        <v>0.00005</v>
      </c>
      <c r="M686" s="7">
        <f t="shared" si="1314"/>
        <v>0.00005</v>
      </c>
      <c r="N686" s="7">
        <f t="shared" si="1314"/>
        <v>0</v>
      </c>
      <c r="O686" s="7">
        <f t="shared" si="1314"/>
        <v>0</v>
      </c>
      <c r="P686" s="7">
        <f t="shared" si="1314"/>
        <v>0</v>
      </c>
      <c r="Q686" s="7">
        <f t="shared" si="7"/>
        <v>0</v>
      </c>
      <c r="R686" s="7">
        <f t="shared" si="8"/>
        <v>0.008602975709</v>
      </c>
      <c r="S686" s="7">
        <f t="shared" si="2"/>
        <v>0.9622070227</v>
      </c>
      <c r="T686" s="7">
        <f t="shared" si="3"/>
        <v>0.1004987562</v>
      </c>
      <c r="U686" s="7">
        <f t="shared" si="4"/>
        <v>0</v>
      </c>
      <c r="V686" s="7">
        <f t="shared" si="5"/>
        <v>0</v>
      </c>
      <c r="W686" s="7">
        <f t="shared" ref="W686:X686" si="1315">IF(AVERAGE(U626:U685) &gt; 0.25, 1, 0)</f>
        <v>0</v>
      </c>
      <c r="X686" s="7">
        <f t="shared" si="1315"/>
        <v>0</v>
      </c>
      <c r="Y686" s="8">
        <v>0.0</v>
      </c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</row>
    <row r="687" ht="22.5" customHeight="1">
      <c r="B687" s="6">
        <v>686.0</v>
      </c>
      <c r="C687" s="6">
        <v>17783.0</v>
      </c>
      <c r="D687" s="6">
        <v>1.24</v>
      </c>
      <c r="E687" s="6">
        <v>-0.21</v>
      </c>
      <c r="F687" s="6">
        <v>10.67</v>
      </c>
      <c r="G687" s="6">
        <v>-0.1</v>
      </c>
      <c r="H687" s="6">
        <v>0.0</v>
      </c>
      <c r="I687" s="6">
        <v>-0.01</v>
      </c>
      <c r="J687" s="6">
        <v>33.19</v>
      </c>
      <c r="K687" s="7">
        <f t="shared" ref="K687:P687" si="1316">abs(D687-D686)/200</f>
        <v>0.00005</v>
      </c>
      <c r="L687" s="7">
        <f t="shared" si="1316"/>
        <v>0.0001</v>
      </c>
      <c r="M687" s="7">
        <f t="shared" si="1316"/>
        <v>0.0001</v>
      </c>
      <c r="N687" s="7">
        <f t="shared" si="1316"/>
        <v>0</v>
      </c>
      <c r="O687" s="7">
        <f t="shared" si="1316"/>
        <v>0</v>
      </c>
      <c r="P687" s="7">
        <f t="shared" si="1316"/>
        <v>0</v>
      </c>
      <c r="Q687" s="7">
        <f t="shared" si="7"/>
        <v>0</v>
      </c>
      <c r="R687" s="7">
        <f t="shared" si="8"/>
        <v>0.01834365799</v>
      </c>
      <c r="S687" s="7">
        <f t="shared" si="2"/>
        <v>0.9438633647</v>
      </c>
      <c r="T687" s="7">
        <f t="shared" si="3"/>
        <v>0.1004987562</v>
      </c>
      <c r="U687" s="7">
        <f t="shared" si="4"/>
        <v>0</v>
      </c>
      <c r="V687" s="7">
        <f t="shared" si="5"/>
        <v>0</v>
      </c>
      <c r="W687" s="7">
        <f t="shared" ref="W687:X687" si="1317">IF(AVERAGE(U627:U686) &gt; 0.25, 1, 0)</f>
        <v>0</v>
      </c>
      <c r="X687" s="7">
        <f t="shared" si="1317"/>
        <v>0</v>
      </c>
      <c r="Y687" s="8">
        <v>0.0</v>
      </c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</row>
    <row r="688" ht="22.5" customHeight="1">
      <c r="B688" s="6">
        <v>687.0</v>
      </c>
      <c r="C688" s="6">
        <v>17987.0</v>
      </c>
      <c r="D688" s="6">
        <v>1.24</v>
      </c>
      <c r="E688" s="6">
        <v>-0.2</v>
      </c>
      <c r="F688" s="6">
        <v>10.68</v>
      </c>
      <c r="G688" s="6">
        <v>-0.1</v>
      </c>
      <c r="H688" s="6">
        <v>0.0</v>
      </c>
      <c r="I688" s="6">
        <v>-0.01</v>
      </c>
      <c r="J688" s="6">
        <v>33.2</v>
      </c>
      <c r="K688" s="7">
        <f t="shared" ref="K688:P688" si="1318">abs(D688-D687)/200</f>
        <v>0</v>
      </c>
      <c r="L688" s="7">
        <f t="shared" si="1318"/>
        <v>0.00005</v>
      </c>
      <c r="M688" s="7">
        <f t="shared" si="1318"/>
        <v>0.00005</v>
      </c>
      <c r="N688" s="7">
        <f t="shared" si="1318"/>
        <v>0</v>
      </c>
      <c r="O688" s="7">
        <f t="shared" si="1318"/>
        <v>0</v>
      </c>
      <c r="P688" s="7">
        <f t="shared" si="1318"/>
        <v>0</v>
      </c>
      <c r="Q688" s="7">
        <f t="shared" si="7"/>
        <v>0</v>
      </c>
      <c r="R688" s="7">
        <f t="shared" si="8"/>
        <v>0.009740682285</v>
      </c>
      <c r="S688" s="7">
        <f t="shared" si="2"/>
        <v>0.953604047</v>
      </c>
      <c r="T688" s="7">
        <f t="shared" si="3"/>
        <v>0.1004987562</v>
      </c>
      <c r="U688" s="7">
        <f t="shared" si="4"/>
        <v>0</v>
      </c>
      <c r="V688" s="7">
        <f t="shared" si="5"/>
        <v>0</v>
      </c>
      <c r="W688" s="7">
        <f t="shared" ref="W688:X688" si="1319">IF(AVERAGE(U628:U687) &gt; 0.25, 1, 0)</f>
        <v>0</v>
      </c>
      <c r="X688" s="7">
        <f t="shared" si="1319"/>
        <v>0</v>
      </c>
      <c r="Y688" s="8">
        <v>0.0</v>
      </c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</row>
    <row r="689" ht="22.5" customHeight="1">
      <c r="B689" s="6">
        <v>688.0</v>
      </c>
      <c r="C689" s="6">
        <v>18191.0</v>
      </c>
      <c r="D689" s="6">
        <v>1.23</v>
      </c>
      <c r="E689" s="6">
        <v>-0.2</v>
      </c>
      <c r="F689" s="6">
        <v>10.69</v>
      </c>
      <c r="G689" s="6">
        <v>-0.1</v>
      </c>
      <c r="H689" s="6">
        <v>0.0</v>
      </c>
      <c r="I689" s="6">
        <v>-0.01</v>
      </c>
      <c r="J689" s="6">
        <v>33.21</v>
      </c>
      <c r="K689" s="7">
        <f t="shared" ref="K689:P689" si="1320">abs(D689-D688)/200</f>
        <v>0.00005</v>
      </c>
      <c r="L689" s="7">
        <f t="shared" si="1320"/>
        <v>0</v>
      </c>
      <c r="M689" s="7">
        <f t="shared" si="1320"/>
        <v>0.00005</v>
      </c>
      <c r="N689" s="7">
        <f t="shared" si="1320"/>
        <v>0</v>
      </c>
      <c r="O689" s="7">
        <f t="shared" si="1320"/>
        <v>0</v>
      </c>
      <c r="P689" s="7">
        <f t="shared" si="1320"/>
        <v>0</v>
      </c>
      <c r="Q689" s="7">
        <f t="shared" si="7"/>
        <v>0</v>
      </c>
      <c r="R689" s="7">
        <f t="shared" si="8"/>
        <v>0.008784163785</v>
      </c>
      <c r="S689" s="7">
        <f t="shared" si="2"/>
        <v>0.9623882108</v>
      </c>
      <c r="T689" s="7">
        <f t="shared" si="3"/>
        <v>0.1004987562</v>
      </c>
      <c r="U689" s="7">
        <f t="shared" si="4"/>
        <v>0</v>
      </c>
      <c r="V689" s="7">
        <f t="shared" si="5"/>
        <v>0</v>
      </c>
      <c r="W689" s="7">
        <f t="shared" ref="W689:X689" si="1321">IF(AVERAGE(U629:U688) &gt; 0.25, 1, 0)</f>
        <v>0</v>
      </c>
      <c r="X689" s="7">
        <f t="shared" si="1321"/>
        <v>0</v>
      </c>
      <c r="Y689" s="8">
        <v>0.0</v>
      </c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</row>
    <row r="690" ht="22.5" customHeight="1">
      <c r="B690" s="6">
        <v>689.0</v>
      </c>
      <c r="C690" s="6">
        <v>18395.0</v>
      </c>
      <c r="D690" s="6">
        <v>1.24</v>
      </c>
      <c r="E690" s="6">
        <v>-0.2</v>
      </c>
      <c r="F690" s="6">
        <v>10.67</v>
      </c>
      <c r="G690" s="6">
        <v>-0.1</v>
      </c>
      <c r="H690" s="6">
        <v>0.0</v>
      </c>
      <c r="I690" s="6">
        <v>-0.01</v>
      </c>
      <c r="J690" s="6">
        <v>33.2</v>
      </c>
      <c r="K690" s="7">
        <f t="shared" ref="K690:P690" si="1322">abs(D690-D689)/200</f>
        <v>0.00005</v>
      </c>
      <c r="L690" s="7">
        <f t="shared" si="1322"/>
        <v>0</v>
      </c>
      <c r="M690" s="7">
        <f t="shared" si="1322"/>
        <v>0.0001</v>
      </c>
      <c r="N690" s="7">
        <f t="shared" si="1322"/>
        <v>0</v>
      </c>
      <c r="O690" s="7">
        <f t="shared" si="1322"/>
        <v>0</v>
      </c>
      <c r="P690" s="7">
        <f t="shared" si="1322"/>
        <v>0</v>
      </c>
      <c r="Q690" s="7">
        <f t="shared" si="7"/>
        <v>0</v>
      </c>
      <c r="R690" s="7">
        <f t="shared" si="8"/>
        <v>0.01871565436</v>
      </c>
      <c r="S690" s="7">
        <f t="shared" si="2"/>
        <v>0.9436725564</v>
      </c>
      <c r="T690" s="7">
        <f t="shared" si="3"/>
        <v>0.1004987562</v>
      </c>
      <c r="U690" s="7">
        <f t="shared" si="4"/>
        <v>0</v>
      </c>
      <c r="V690" s="7">
        <f t="shared" si="5"/>
        <v>0</v>
      </c>
      <c r="W690" s="7">
        <f t="shared" ref="W690:X690" si="1323">IF(AVERAGE(U630:U689) &gt; 0.25, 1, 0)</f>
        <v>0</v>
      </c>
      <c r="X690" s="7">
        <f t="shared" si="1323"/>
        <v>0</v>
      </c>
      <c r="Y690" s="8">
        <v>0.0</v>
      </c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</row>
    <row r="691" ht="22.5" customHeight="1">
      <c r="B691" s="6">
        <v>690.0</v>
      </c>
      <c r="C691" s="6">
        <v>18599.0</v>
      </c>
      <c r="D691" s="6">
        <v>1.23</v>
      </c>
      <c r="E691" s="6">
        <v>-0.19</v>
      </c>
      <c r="F691" s="6">
        <v>10.67</v>
      </c>
      <c r="G691" s="6">
        <v>-0.1</v>
      </c>
      <c r="H691" s="6">
        <v>0.0</v>
      </c>
      <c r="I691" s="6">
        <v>-0.01</v>
      </c>
      <c r="J691" s="6">
        <v>33.2</v>
      </c>
      <c r="K691" s="7">
        <f t="shared" ref="K691:P691" si="1324">abs(D691-D690)/200</f>
        <v>0.00005</v>
      </c>
      <c r="L691" s="7">
        <f t="shared" si="1324"/>
        <v>0.00005</v>
      </c>
      <c r="M691" s="7">
        <f t="shared" si="1324"/>
        <v>0</v>
      </c>
      <c r="N691" s="7">
        <f t="shared" si="1324"/>
        <v>0</v>
      </c>
      <c r="O691" s="7">
        <f t="shared" si="1324"/>
        <v>0</v>
      </c>
      <c r="P691" s="7">
        <f t="shared" si="1324"/>
        <v>0</v>
      </c>
      <c r="Q691" s="7">
        <f t="shared" si="7"/>
        <v>0</v>
      </c>
      <c r="R691" s="7">
        <f t="shared" si="8"/>
        <v>0.001331098452</v>
      </c>
      <c r="S691" s="7">
        <f t="shared" si="2"/>
        <v>0.942341458</v>
      </c>
      <c r="T691" s="7">
        <f t="shared" si="3"/>
        <v>0.1004987562</v>
      </c>
      <c r="U691" s="7">
        <f t="shared" si="4"/>
        <v>0</v>
      </c>
      <c r="V691" s="7">
        <f t="shared" si="5"/>
        <v>0</v>
      </c>
      <c r="W691" s="7">
        <f t="shared" ref="W691:X691" si="1325">IF(AVERAGE(U631:U690) &gt; 0.25, 1, 0)</f>
        <v>0</v>
      </c>
      <c r="X691" s="7">
        <f t="shared" si="1325"/>
        <v>0</v>
      </c>
      <c r="Y691" s="8">
        <v>0.0</v>
      </c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</row>
    <row r="692" ht="22.5" customHeight="1">
      <c r="B692" s="6">
        <v>691.0</v>
      </c>
      <c r="C692" s="6">
        <v>18803.0</v>
      </c>
      <c r="D692" s="6">
        <v>1.23</v>
      </c>
      <c r="E692" s="6">
        <v>-0.2</v>
      </c>
      <c r="F692" s="6">
        <v>10.69</v>
      </c>
      <c r="G692" s="6">
        <v>-0.1</v>
      </c>
      <c r="H692" s="6">
        <v>0.0</v>
      </c>
      <c r="I692" s="6">
        <v>-0.01</v>
      </c>
      <c r="J692" s="6">
        <v>33.19</v>
      </c>
      <c r="K692" s="7">
        <f t="shared" ref="K692:P692" si="1326">abs(D692-D691)/200</f>
        <v>0</v>
      </c>
      <c r="L692" s="7">
        <f t="shared" si="1326"/>
        <v>0.00005</v>
      </c>
      <c r="M692" s="7">
        <f t="shared" si="1326"/>
        <v>0.0001</v>
      </c>
      <c r="N692" s="7">
        <f t="shared" si="1326"/>
        <v>0</v>
      </c>
      <c r="O692" s="7">
        <f t="shared" si="1326"/>
        <v>0</v>
      </c>
      <c r="P692" s="7">
        <f t="shared" si="1326"/>
        <v>0</v>
      </c>
      <c r="Q692" s="7">
        <f t="shared" si="7"/>
        <v>0</v>
      </c>
      <c r="R692" s="7">
        <f t="shared" si="8"/>
        <v>0.02004675281</v>
      </c>
      <c r="S692" s="7">
        <f t="shared" si="2"/>
        <v>0.9623882108</v>
      </c>
      <c r="T692" s="7">
        <f t="shared" si="3"/>
        <v>0.1004987562</v>
      </c>
      <c r="U692" s="7">
        <f t="shared" si="4"/>
        <v>0</v>
      </c>
      <c r="V692" s="7">
        <f t="shared" si="5"/>
        <v>0</v>
      </c>
      <c r="W692" s="7">
        <f t="shared" ref="W692:X692" si="1327">IF(AVERAGE(U632:U691) &gt; 0.25, 1, 0)</f>
        <v>0</v>
      </c>
      <c r="X692" s="7">
        <f t="shared" si="1327"/>
        <v>0</v>
      </c>
      <c r="Y692" s="8">
        <v>0.0</v>
      </c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</row>
    <row r="693" ht="22.5" customHeight="1">
      <c r="B693" s="6">
        <v>692.0</v>
      </c>
      <c r="C693" s="6">
        <v>19007.0</v>
      </c>
      <c r="D693" s="6">
        <v>1.22</v>
      </c>
      <c r="E693" s="6">
        <v>-0.19</v>
      </c>
      <c r="F693" s="6">
        <v>10.68</v>
      </c>
      <c r="G693" s="6">
        <v>-0.1</v>
      </c>
      <c r="H693" s="6">
        <v>0.0</v>
      </c>
      <c r="I693" s="6">
        <v>-0.01</v>
      </c>
      <c r="J693" s="6">
        <v>33.19</v>
      </c>
      <c r="K693" s="7">
        <f t="shared" ref="K693:P693" si="1328">abs(D693-D692)/200</f>
        <v>0.00005</v>
      </c>
      <c r="L693" s="7">
        <f t="shared" si="1328"/>
        <v>0.00005</v>
      </c>
      <c r="M693" s="7">
        <f t="shared" si="1328"/>
        <v>0.00005</v>
      </c>
      <c r="N693" s="7">
        <f t="shared" si="1328"/>
        <v>0</v>
      </c>
      <c r="O693" s="7">
        <f t="shared" si="1328"/>
        <v>0</v>
      </c>
      <c r="P693" s="7">
        <f t="shared" si="1328"/>
        <v>0</v>
      </c>
      <c r="Q693" s="7">
        <f t="shared" si="7"/>
        <v>0</v>
      </c>
      <c r="R693" s="7">
        <f t="shared" si="8"/>
        <v>0.01125338698</v>
      </c>
      <c r="S693" s="7">
        <f t="shared" si="2"/>
        <v>0.9511348238</v>
      </c>
      <c r="T693" s="7">
        <f t="shared" si="3"/>
        <v>0.1004987562</v>
      </c>
      <c r="U693" s="7">
        <f t="shared" si="4"/>
        <v>0</v>
      </c>
      <c r="V693" s="7">
        <f t="shared" si="5"/>
        <v>0</v>
      </c>
      <c r="W693" s="7">
        <f t="shared" ref="W693:X693" si="1329">IF(AVERAGE(U633:U692) &gt; 0.25, 1, 0)</f>
        <v>0</v>
      </c>
      <c r="X693" s="7">
        <f t="shared" si="1329"/>
        <v>0</v>
      </c>
      <c r="Y693" s="8">
        <v>0.0</v>
      </c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</row>
    <row r="694" ht="22.5" customHeight="1">
      <c r="B694" s="6">
        <v>693.0</v>
      </c>
      <c r="C694" s="6">
        <v>19211.0</v>
      </c>
      <c r="D694" s="6">
        <v>1.24</v>
      </c>
      <c r="E694" s="6">
        <v>-0.2</v>
      </c>
      <c r="F694" s="6">
        <v>10.68</v>
      </c>
      <c r="G694" s="6">
        <v>-0.1</v>
      </c>
      <c r="H694" s="6">
        <v>0.0</v>
      </c>
      <c r="I694" s="6">
        <v>-0.01</v>
      </c>
      <c r="J694" s="6">
        <v>33.19</v>
      </c>
      <c r="K694" s="7">
        <f t="shared" ref="K694:P694" si="1330">abs(D694-D693)/200</f>
        <v>0.0001</v>
      </c>
      <c r="L694" s="7">
        <f t="shared" si="1330"/>
        <v>0.00005</v>
      </c>
      <c r="M694" s="7">
        <f t="shared" si="1330"/>
        <v>0</v>
      </c>
      <c r="N694" s="7">
        <f t="shared" si="1330"/>
        <v>0</v>
      </c>
      <c r="O694" s="7">
        <f t="shared" si="1330"/>
        <v>0</v>
      </c>
      <c r="P694" s="7">
        <f t="shared" si="1330"/>
        <v>0</v>
      </c>
      <c r="Q694" s="7">
        <f t="shared" si="7"/>
        <v>0</v>
      </c>
      <c r="R694" s="7">
        <f t="shared" si="8"/>
        <v>0.002469223194</v>
      </c>
      <c r="S694" s="7">
        <f t="shared" si="2"/>
        <v>0.953604047</v>
      </c>
      <c r="T694" s="7">
        <f t="shared" si="3"/>
        <v>0.1004987562</v>
      </c>
      <c r="U694" s="7">
        <f t="shared" si="4"/>
        <v>0</v>
      </c>
      <c r="V694" s="7">
        <f t="shared" si="5"/>
        <v>0</v>
      </c>
      <c r="W694" s="7">
        <f t="shared" ref="W694:X694" si="1331">IF(AVERAGE(U634:U693) &gt; 0.25, 1, 0)</f>
        <v>0</v>
      </c>
      <c r="X694" s="7">
        <f t="shared" si="1331"/>
        <v>0</v>
      </c>
      <c r="Y694" s="8">
        <v>0.0</v>
      </c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</row>
    <row r="695" ht="22.5" customHeight="1">
      <c r="B695" s="6">
        <v>694.0</v>
      </c>
      <c r="C695" s="6">
        <v>19415.0</v>
      </c>
      <c r="D695" s="6">
        <v>1.23</v>
      </c>
      <c r="E695" s="6">
        <v>-0.2</v>
      </c>
      <c r="F695" s="6">
        <v>10.68</v>
      </c>
      <c r="G695" s="6">
        <v>-0.1</v>
      </c>
      <c r="H695" s="6">
        <v>0.0</v>
      </c>
      <c r="I695" s="6">
        <v>-0.01</v>
      </c>
      <c r="J695" s="6">
        <v>33.19</v>
      </c>
      <c r="K695" s="7">
        <f t="shared" ref="K695:P695" si="1332">abs(D695-D694)/200</f>
        <v>0.00005</v>
      </c>
      <c r="L695" s="7">
        <f t="shared" si="1332"/>
        <v>0</v>
      </c>
      <c r="M695" s="7">
        <f t="shared" si="1332"/>
        <v>0</v>
      </c>
      <c r="N695" s="7">
        <f t="shared" si="1332"/>
        <v>0</v>
      </c>
      <c r="O695" s="7">
        <f t="shared" si="1332"/>
        <v>0</v>
      </c>
      <c r="P695" s="7">
        <f t="shared" si="1332"/>
        <v>0</v>
      </c>
      <c r="Q695" s="7">
        <f t="shared" si="7"/>
        <v>0</v>
      </c>
      <c r="R695" s="7">
        <f t="shared" si="8"/>
        <v>0.001148513511</v>
      </c>
      <c r="S695" s="7">
        <f t="shared" si="2"/>
        <v>0.9524555335</v>
      </c>
      <c r="T695" s="7">
        <f t="shared" si="3"/>
        <v>0.1004987562</v>
      </c>
      <c r="U695" s="7">
        <f t="shared" si="4"/>
        <v>0</v>
      </c>
      <c r="V695" s="7">
        <f t="shared" si="5"/>
        <v>0</v>
      </c>
      <c r="W695" s="7">
        <f t="shared" ref="W695:X695" si="1333">IF(AVERAGE(U635:U694) &gt; 0.25, 1, 0)</f>
        <v>0</v>
      </c>
      <c r="X695" s="7">
        <f t="shared" si="1333"/>
        <v>0</v>
      </c>
      <c r="Y695" s="8">
        <v>0.0</v>
      </c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</row>
    <row r="696" ht="22.5" customHeight="1">
      <c r="B696" s="6">
        <v>695.0</v>
      </c>
      <c r="C696" s="6">
        <v>19619.0</v>
      </c>
      <c r="D696" s="6">
        <v>1.23</v>
      </c>
      <c r="E696" s="6">
        <v>-0.2</v>
      </c>
      <c r="F696" s="6">
        <v>10.67</v>
      </c>
      <c r="G696" s="6">
        <v>-0.1</v>
      </c>
      <c r="H696" s="6">
        <v>0.0</v>
      </c>
      <c r="I696" s="6">
        <v>-0.01</v>
      </c>
      <c r="J696" s="6">
        <v>33.2</v>
      </c>
      <c r="K696" s="7">
        <f t="shared" ref="K696:P696" si="1334">abs(D696-D695)/200</f>
        <v>0</v>
      </c>
      <c r="L696" s="7">
        <f t="shared" si="1334"/>
        <v>0</v>
      </c>
      <c r="M696" s="7">
        <f t="shared" si="1334"/>
        <v>0.00005</v>
      </c>
      <c r="N696" s="7">
        <f t="shared" si="1334"/>
        <v>0</v>
      </c>
      <c r="O696" s="7">
        <f t="shared" si="1334"/>
        <v>0</v>
      </c>
      <c r="P696" s="7">
        <f t="shared" si="1334"/>
        <v>0</v>
      </c>
      <c r="Q696" s="7">
        <f t="shared" si="7"/>
        <v>0</v>
      </c>
      <c r="R696" s="7">
        <f t="shared" si="8"/>
        <v>0.00993255238</v>
      </c>
      <c r="S696" s="7">
        <f t="shared" si="2"/>
        <v>0.9425229811</v>
      </c>
      <c r="T696" s="7">
        <f t="shared" si="3"/>
        <v>0.1004987562</v>
      </c>
      <c r="U696" s="7">
        <f t="shared" si="4"/>
        <v>0</v>
      </c>
      <c r="V696" s="7">
        <f t="shared" si="5"/>
        <v>0</v>
      </c>
      <c r="W696" s="7">
        <f t="shared" ref="W696:X696" si="1335">IF(AVERAGE(U636:U695) &gt; 0.25, 1, 0)</f>
        <v>0</v>
      </c>
      <c r="X696" s="7">
        <f t="shared" si="1335"/>
        <v>0</v>
      </c>
      <c r="Y696" s="8">
        <v>0.0</v>
      </c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</row>
    <row r="697" ht="22.5" customHeight="1">
      <c r="B697" s="6">
        <v>696.0</v>
      </c>
      <c r="C697" s="6">
        <v>19823.0</v>
      </c>
      <c r="D697" s="6">
        <v>1.23</v>
      </c>
      <c r="E697" s="6">
        <v>-0.2</v>
      </c>
      <c r="F697" s="6">
        <v>10.69</v>
      </c>
      <c r="G697" s="6">
        <v>-0.1</v>
      </c>
      <c r="H697" s="6">
        <v>0.0</v>
      </c>
      <c r="I697" s="6">
        <v>-0.01</v>
      </c>
      <c r="J697" s="6">
        <v>33.18</v>
      </c>
      <c r="K697" s="7">
        <f t="shared" ref="K697:P697" si="1336">abs(D697-D696)/200</f>
        <v>0</v>
      </c>
      <c r="L697" s="7">
        <f t="shared" si="1336"/>
        <v>0</v>
      </c>
      <c r="M697" s="7">
        <f t="shared" si="1336"/>
        <v>0.0001</v>
      </c>
      <c r="N697" s="7">
        <f t="shared" si="1336"/>
        <v>0</v>
      </c>
      <c r="O697" s="7">
        <f t="shared" si="1336"/>
        <v>0</v>
      </c>
      <c r="P697" s="7">
        <f t="shared" si="1336"/>
        <v>0</v>
      </c>
      <c r="Q697" s="7">
        <f t="shared" si="7"/>
        <v>0</v>
      </c>
      <c r="R697" s="7">
        <f t="shared" si="8"/>
        <v>0.01986522968</v>
      </c>
      <c r="S697" s="7">
        <f t="shared" si="2"/>
        <v>0.9623882108</v>
      </c>
      <c r="T697" s="7">
        <f t="shared" si="3"/>
        <v>0.1004987562</v>
      </c>
      <c r="U697" s="7">
        <f t="shared" si="4"/>
        <v>0</v>
      </c>
      <c r="V697" s="7">
        <f t="shared" si="5"/>
        <v>0</v>
      </c>
      <c r="W697" s="7">
        <f t="shared" ref="W697:X697" si="1337">IF(AVERAGE(U637:U696) &gt; 0.25, 1, 0)</f>
        <v>0</v>
      </c>
      <c r="X697" s="7">
        <f t="shared" si="1337"/>
        <v>0</v>
      </c>
      <c r="Y697" s="8">
        <v>0.0</v>
      </c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</row>
    <row r="698" ht="22.5" customHeight="1">
      <c r="B698" s="6">
        <v>697.0</v>
      </c>
      <c r="C698" s="6">
        <v>20027.0</v>
      </c>
      <c r="D698" s="6">
        <v>1.23</v>
      </c>
      <c r="E698" s="6">
        <v>-0.2</v>
      </c>
      <c r="F698" s="6">
        <v>10.68</v>
      </c>
      <c r="G698" s="6">
        <v>-0.1</v>
      </c>
      <c r="H698" s="6">
        <v>0.0</v>
      </c>
      <c r="I698" s="6">
        <v>-0.01</v>
      </c>
      <c r="J698" s="6">
        <v>33.19</v>
      </c>
      <c r="K698" s="7">
        <f t="shared" ref="K698:P698" si="1338">abs(D698-D697)/200</f>
        <v>0</v>
      </c>
      <c r="L698" s="7">
        <f t="shared" si="1338"/>
        <v>0</v>
      </c>
      <c r="M698" s="7">
        <f t="shared" si="1338"/>
        <v>0.00005</v>
      </c>
      <c r="N698" s="7">
        <f t="shared" si="1338"/>
        <v>0</v>
      </c>
      <c r="O698" s="7">
        <f t="shared" si="1338"/>
        <v>0</v>
      </c>
      <c r="P698" s="7">
        <f t="shared" si="1338"/>
        <v>0</v>
      </c>
      <c r="Q698" s="7">
        <f t="shared" si="7"/>
        <v>0</v>
      </c>
      <c r="R698" s="7">
        <f t="shared" si="8"/>
        <v>0.009932677297</v>
      </c>
      <c r="S698" s="7">
        <f t="shared" si="2"/>
        <v>0.9524555335</v>
      </c>
      <c r="T698" s="7">
        <f t="shared" si="3"/>
        <v>0.1004987562</v>
      </c>
      <c r="U698" s="7">
        <f t="shared" si="4"/>
        <v>0</v>
      </c>
      <c r="V698" s="7">
        <f t="shared" si="5"/>
        <v>0</v>
      </c>
      <c r="W698" s="7">
        <f t="shared" ref="W698:X698" si="1339">IF(AVERAGE(U638:U697) &gt; 0.25, 1, 0)</f>
        <v>0</v>
      </c>
      <c r="X698" s="7">
        <f t="shared" si="1339"/>
        <v>0</v>
      </c>
      <c r="Y698" s="8">
        <v>0.0</v>
      </c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</row>
    <row r="699" ht="22.5" customHeight="1">
      <c r="B699" s="6">
        <v>698.0</v>
      </c>
      <c r="C699" s="6">
        <v>20231.0</v>
      </c>
      <c r="D699" s="6">
        <v>1.24</v>
      </c>
      <c r="E699" s="6">
        <v>-0.2</v>
      </c>
      <c r="F699" s="6">
        <v>10.67</v>
      </c>
      <c r="G699" s="6">
        <v>-0.1</v>
      </c>
      <c r="H699" s="6">
        <v>0.0</v>
      </c>
      <c r="I699" s="6">
        <v>-0.01</v>
      </c>
      <c r="J699" s="6">
        <v>33.2</v>
      </c>
      <c r="K699" s="7">
        <f t="shared" ref="K699:P699" si="1340">abs(D699-D698)/200</f>
        <v>0.00005</v>
      </c>
      <c r="L699" s="7">
        <f t="shared" si="1340"/>
        <v>0</v>
      </c>
      <c r="M699" s="7">
        <f t="shared" si="1340"/>
        <v>0.00005</v>
      </c>
      <c r="N699" s="7">
        <f t="shared" si="1340"/>
        <v>0</v>
      </c>
      <c r="O699" s="7">
        <f t="shared" si="1340"/>
        <v>0</v>
      </c>
      <c r="P699" s="7">
        <f t="shared" si="1340"/>
        <v>0</v>
      </c>
      <c r="Q699" s="7">
        <f t="shared" si="7"/>
        <v>0</v>
      </c>
      <c r="R699" s="7">
        <f t="shared" si="8"/>
        <v>0.008782977065</v>
      </c>
      <c r="S699" s="7">
        <f t="shared" si="2"/>
        <v>0.9436725564</v>
      </c>
      <c r="T699" s="7">
        <f t="shared" si="3"/>
        <v>0.1004987562</v>
      </c>
      <c r="U699" s="7">
        <f t="shared" si="4"/>
        <v>0</v>
      </c>
      <c r="V699" s="7">
        <f t="shared" si="5"/>
        <v>0</v>
      </c>
      <c r="W699" s="7">
        <f t="shared" ref="W699:X699" si="1341">IF(AVERAGE(U639:U698) &gt; 0.25, 1, 0)</f>
        <v>0</v>
      </c>
      <c r="X699" s="7">
        <f t="shared" si="1341"/>
        <v>0</v>
      </c>
      <c r="Y699" s="8">
        <v>0.0</v>
      </c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</row>
    <row r="700" ht="22.5" customHeight="1">
      <c r="B700" s="6">
        <v>699.0</v>
      </c>
      <c r="C700" s="6">
        <v>20435.0</v>
      </c>
      <c r="D700" s="6">
        <v>1.23</v>
      </c>
      <c r="E700" s="6">
        <v>-0.19</v>
      </c>
      <c r="F700" s="6">
        <v>10.68</v>
      </c>
      <c r="G700" s="6">
        <v>-0.1</v>
      </c>
      <c r="H700" s="6">
        <v>0.0</v>
      </c>
      <c r="I700" s="6">
        <v>-0.01</v>
      </c>
      <c r="J700" s="6">
        <v>33.2</v>
      </c>
      <c r="K700" s="7">
        <f t="shared" ref="K700:P700" si="1342">abs(D700-D699)/200</f>
        <v>0.00005</v>
      </c>
      <c r="L700" s="7">
        <f t="shared" si="1342"/>
        <v>0.00005</v>
      </c>
      <c r="M700" s="7">
        <f t="shared" si="1342"/>
        <v>0.00005</v>
      </c>
      <c r="N700" s="7">
        <f t="shared" si="1342"/>
        <v>0</v>
      </c>
      <c r="O700" s="7">
        <f t="shared" si="1342"/>
        <v>0</v>
      </c>
      <c r="P700" s="7">
        <f t="shared" si="1342"/>
        <v>0</v>
      </c>
      <c r="Q700" s="7">
        <f t="shared" si="7"/>
        <v>0</v>
      </c>
      <c r="R700" s="7">
        <f t="shared" si="8"/>
        <v>0.008601621612</v>
      </c>
      <c r="S700" s="7">
        <f t="shared" si="2"/>
        <v>0.9522741781</v>
      </c>
      <c r="T700" s="7">
        <f t="shared" si="3"/>
        <v>0.1004987562</v>
      </c>
      <c r="U700" s="7">
        <f t="shared" si="4"/>
        <v>0</v>
      </c>
      <c r="V700" s="7">
        <f t="shared" si="5"/>
        <v>0</v>
      </c>
      <c r="W700" s="7">
        <f t="shared" ref="W700:X700" si="1343">IF(AVERAGE(U640:U699) &gt; 0.25, 1, 0)</f>
        <v>0</v>
      </c>
      <c r="X700" s="7">
        <f t="shared" si="1343"/>
        <v>0</v>
      </c>
      <c r="Y700" s="8">
        <v>0.0</v>
      </c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</row>
    <row r="701" ht="22.5" customHeight="1">
      <c r="B701" s="6">
        <v>700.0</v>
      </c>
      <c r="C701" s="6">
        <v>20639.0</v>
      </c>
      <c r="D701" s="6">
        <v>1.23</v>
      </c>
      <c r="E701" s="6">
        <v>-0.2</v>
      </c>
      <c r="F701" s="6">
        <v>10.68</v>
      </c>
      <c r="G701" s="6">
        <v>-0.1</v>
      </c>
      <c r="H701" s="6">
        <v>0.0</v>
      </c>
      <c r="I701" s="6">
        <v>-0.01</v>
      </c>
      <c r="J701" s="6">
        <v>33.2</v>
      </c>
      <c r="K701" s="7">
        <f t="shared" ref="K701:P701" si="1344">abs(D701-D700)/200</f>
        <v>0</v>
      </c>
      <c r="L701" s="7">
        <f t="shared" si="1344"/>
        <v>0.00005</v>
      </c>
      <c r="M701" s="7">
        <f t="shared" si="1344"/>
        <v>0</v>
      </c>
      <c r="N701" s="7">
        <f t="shared" si="1344"/>
        <v>0</v>
      </c>
      <c r="O701" s="7">
        <f t="shared" si="1344"/>
        <v>0</v>
      </c>
      <c r="P701" s="7">
        <f t="shared" si="1344"/>
        <v>0</v>
      </c>
      <c r="Q701" s="7">
        <f t="shared" si="7"/>
        <v>0</v>
      </c>
      <c r="R701" s="7">
        <f t="shared" si="8"/>
        <v>0.0001813554531</v>
      </c>
      <c r="S701" s="7">
        <f t="shared" si="2"/>
        <v>0.9524555335</v>
      </c>
      <c r="T701" s="7">
        <f t="shared" si="3"/>
        <v>0.1004987562</v>
      </c>
      <c r="U701" s="7">
        <f t="shared" si="4"/>
        <v>0</v>
      </c>
      <c r="V701" s="7">
        <f t="shared" si="5"/>
        <v>0</v>
      </c>
      <c r="W701" s="7">
        <f t="shared" ref="W701:X701" si="1345">IF(AVERAGE(U641:U700) &gt; 0.25, 1, 0)</f>
        <v>0</v>
      </c>
      <c r="X701" s="7">
        <f t="shared" si="1345"/>
        <v>0</v>
      </c>
      <c r="Y701" s="8">
        <v>0.0</v>
      </c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</row>
    <row r="702" ht="22.5" customHeight="1">
      <c r="B702" s="6">
        <v>701.0</v>
      </c>
      <c r="C702" s="6">
        <v>20843.0</v>
      </c>
      <c r="D702" s="6">
        <v>1.23</v>
      </c>
      <c r="E702" s="6">
        <v>-0.2</v>
      </c>
      <c r="F702" s="6">
        <v>10.68</v>
      </c>
      <c r="G702" s="6">
        <v>-0.1</v>
      </c>
      <c r="H702" s="6">
        <v>0.0</v>
      </c>
      <c r="I702" s="6">
        <v>-0.01</v>
      </c>
      <c r="J702" s="6">
        <v>33.2</v>
      </c>
      <c r="K702" s="7">
        <f t="shared" ref="K702:P702" si="1346">abs(D702-D701)/200</f>
        <v>0</v>
      </c>
      <c r="L702" s="7">
        <f t="shared" si="1346"/>
        <v>0</v>
      </c>
      <c r="M702" s="7">
        <f t="shared" si="1346"/>
        <v>0</v>
      </c>
      <c r="N702" s="7">
        <f t="shared" si="1346"/>
        <v>0</v>
      </c>
      <c r="O702" s="7">
        <f t="shared" si="1346"/>
        <v>0</v>
      </c>
      <c r="P702" s="7">
        <f t="shared" si="1346"/>
        <v>0</v>
      </c>
      <c r="Q702" s="7">
        <f t="shared" si="7"/>
        <v>0</v>
      </c>
      <c r="R702" s="7">
        <f t="shared" si="8"/>
        <v>0</v>
      </c>
      <c r="S702" s="7">
        <f t="shared" si="2"/>
        <v>0.9524555335</v>
      </c>
      <c r="T702" s="7">
        <f t="shared" si="3"/>
        <v>0.1004987562</v>
      </c>
      <c r="U702" s="7">
        <f t="shared" si="4"/>
        <v>0</v>
      </c>
      <c r="V702" s="7">
        <f t="shared" si="5"/>
        <v>0</v>
      </c>
      <c r="W702" s="7">
        <f t="shared" ref="W702:X702" si="1347">IF(AVERAGE(U642:U701) &gt; 0.25, 1, 0)</f>
        <v>0</v>
      </c>
      <c r="X702" s="7">
        <f t="shared" si="1347"/>
        <v>0</v>
      </c>
      <c r="Y702" s="8">
        <v>0.0</v>
      </c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</row>
    <row r="703" ht="22.5" customHeight="1">
      <c r="B703" s="6">
        <v>702.0</v>
      </c>
      <c r="C703" s="6">
        <v>21047.0</v>
      </c>
      <c r="D703" s="6">
        <v>1.23</v>
      </c>
      <c r="E703" s="6">
        <v>-0.2</v>
      </c>
      <c r="F703" s="6">
        <v>10.68</v>
      </c>
      <c r="G703" s="6">
        <v>-0.1</v>
      </c>
      <c r="H703" s="6">
        <v>0.0</v>
      </c>
      <c r="I703" s="6">
        <v>-0.01</v>
      </c>
      <c r="J703" s="6">
        <v>33.19</v>
      </c>
      <c r="K703" s="7">
        <f t="shared" ref="K703:P703" si="1348">abs(D703-D702)/200</f>
        <v>0</v>
      </c>
      <c r="L703" s="7">
        <f t="shared" si="1348"/>
        <v>0</v>
      </c>
      <c r="M703" s="7">
        <f t="shared" si="1348"/>
        <v>0</v>
      </c>
      <c r="N703" s="7">
        <f t="shared" si="1348"/>
        <v>0</v>
      </c>
      <c r="O703" s="7">
        <f t="shared" si="1348"/>
        <v>0</v>
      </c>
      <c r="P703" s="7">
        <f t="shared" si="1348"/>
        <v>0</v>
      </c>
      <c r="Q703" s="7">
        <f t="shared" si="7"/>
        <v>0</v>
      </c>
      <c r="R703" s="7">
        <f t="shared" si="8"/>
        <v>0</v>
      </c>
      <c r="S703" s="7">
        <f t="shared" si="2"/>
        <v>0.9524555335</v>
      </c>
      <c r="T703" s="7">
        <f t="shared" si="3"/>
        <v>0.1004987562</v>
      </c>
      <c r="U703" s="7">
        <f t="shared" si="4"/>
        <v>0</v>
      </c>
      <c r="V703" s="7">
        <f t="shared" si="5"/>
        <v>0</v>
      </c>
      <c r="W703" s="7">
        <f t="shared" ref="W703:X703" si="1349">IF(AVERAGE(U643:U702) &gt; 0.25, 1, 0)</f>
        <v>0</v>
      </c>
      <c r="X703" s="7">
        <f t="shared" si="1349"/>
        <v>0</v>
      </c>
      <c r="Y703" s="8">
        <v>0.0</v>
      </c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</row>
    <row r="704" ht="22.5" customHeight="1">
      <c r="B704" s="6">
        <v>703.0</v>
      </c>
      <c r="C704" s="6">
        <v>21251.0</v>
      </c>
      <c r="D704" s="6">
        <v>1.23</v>
      </c>
      <c r="E704" s="6">
        <v>-0.2</v>
      </c>
      <c r="F704" s="6">
        <v>10.67</v>
      </c>
      <c r="G704" s="6">
        <v>-0.1</v>
      </c>
      <c r="H704" s="6">
        <v>0.0</v>
      </c>
      <c r="I704" s="6">
        <v>-0.01</v>
      </c>
      <c r="J704" s="6">
        <v>33.19</v>
      </c>
      <c r="K704" s="7">
        <f t="shared" ref="K704:P704" si="1350">abs(D704-D703)/200</f>
        <v>0</v>
      </c>
      <c r="L704" s="7">
        <f t="shared" si="1350"/>
        <v>0</v>
      </c>
      <c r="M704" s="7">
        <f t="shared" si="1350"/>
        <v>0.00005</v>
      </c>
      <c r="N704" s="7">
        <f t="shared" si="1350"/>
        <v>0</v>
      </c>
      <c r="O704" s="7">
        <f t="shared" si="1350"/>
        <v>0</v>
      </c>
      <c r="P704" s="7">
        <f t="shared" si="1350"/>
        <v>0</v>
      </c>
      <c r="Q704" s="7">
        <f t="shared" si="7"/>
        <v>0</v>
      </c>
      <c r="R704" s="7">
        <f t="shared" si="8"/>
        <v>0.00993255238</v>
      </c>
      <c r="S704" s="7">
        <f t="shared" si="2"/>
        <v>0.9425229811</v>
      </c>
      <c r="T704" s="7">
        <f t="shared" si="3"/>
        <v>0.1004987562</v>
      </c>
      <c r="U704" s="7">
        <f t="shared" si="4"/>
        <v>0</v>
      </c>
      <c r="V704" s="7">
        <f t="shared" si="5"/>
        <v>0</v>
      </c>
      <c r="W704" s="7">
        <f t="shared" ref="W704:X704" si="1351">IF(AVERAGE(U644:U703) &gt; 0.25, 1, 0)</f>
        <v>0</v>
      </c>
      <c r="X704" s="7">
        <f t="shared" si="1351"/>
        <v>0</v>
      </c>
      <c r="Y704" s="8">
        <v>0.0</v>
      </c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</row>
    <row r="705" ht="22.5" customHeight="1">
      <c r="B705" s="6">
        <v>704.0</v>
      </c>
      <c r="C705" s="6">
        <v>21455.0</v>
      </c>
      <c r="D705" s="6">
        <v>1.24</v>
      </c>
      <c r="E705" s="6">
        <v>-0.2</v>
      </c>
      <c r="F705" s="6">
        <v>10.67</v>
      </c>
      <c r="G705" s="6">
        <v>-0.1</v>
      </c>
      <c r="H705" s="6">
        <v>0.0</v>
      </c>
      <c r="I705" s="6">
        <v>-0.01</v>
      </c>
      <c r="J705" s="6">
        <v>33.2</v>
      </c>
      <c r="K705" s="7">
        <f t="shared" ref="K705:P705" si="1352">abs(D705-D704)/200</f>
        <v>0.00005</v>
      </c>
      <c r="L705" s="7">
        <f t="shared" si="1352"/>
        <v>0</v>
      </c>
      <c r="M705" s="7">
        <f t="shared" si="1352"/>
        <v>0</v>
      </c>
      <c r="N705" s="7">
        <f t="shared" si="1352"/>
        <v>0</v>
      </c>
      <c r="O705" s="7">
        <f t="shared" si="1352"/>
        <v>0</v>
      </c>
      <c r="P705" s="7">
        <f t="shared" si="1352"/>
        <v>0</v>
      </c>
      <c r="Q705" s="7">
        <f t="shared" si="7"/>
        <v>0</v>
      </c>
      <c r="R705" s="7">
        <f t="shared" si="8"/>
        <v>0.001149575315</v>
      </c>
      <c r="S705" s="7">
        <f t="shared" si="2"/>
        <v>0.9436725564</v>
      </c>
      <c r="T705" s="7">
        <f t="shared" si="3"/>
        <v>0.1004987562</v>
      </c>
      <c r="U705" s="7">
        <f t="shared" si="4"/>
        <v>0</v>
      </c>
      <c r="V705" s="7">
        <f t="shared" si="5"/>
        <v>0</v>
      </c>
      <c r="W705" s="7">
        <f t="shared" ref="W705:X705" si="1353">IF(AVERAGE(U645:U704) &gt; 0.25, 1, 0)</f>
        <v>0</v>
      </c>
      <c r="X705" s="7">
        <f t="shared" si="1353"/>
        <v>0</v>
      </c>
      <c r="Y705" s="8">
        <v>0.0</v>
      </c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</row>
    <row r="706" ht="22.5" customHeight="1">
      <c r="B706" s="6">
        <v>705.0</v>
      </c>
      <c r="C706" s="6">
        <v>21659.0</v>
      </c>
      <c r="D706" s="6">
        <v>1.23</v>
      </c>
      <c r="E706" s="6">
        <v>-0.21</v>
      </c>
      <c r="F706" s="6">
        <v>10.68</v>
      </c>
      <c r="G706" s="6">
        <v>-0.1</v>
      </c>
      <c r="H706" s="6">
        <v>0.0</v>
      </c>
      <c r="I706" s="6">
        <v>-0.01</v>
      </c>
      <c r="J706" s="6">
        <v>33.21</v>
      </c>
      <c r="K706" s="7">
        <f t="shared" ref="K706:P706" si="1354">abs(D706-D705)/200</f>
        <v>0.00005</v>
      </c>
      <c r="L706" s="7">
        <f t="shared" si="1354"/>
        <v>0.00005</v>
      </c>
      <c r="M706" s="7">
        <f t="shared" si="1354"/>
        <v>0.00005</v>
      </c>
      <c r="N706" s="7">
        <f t="shared" si="1354"/>
        <v>0</v>
      </c>
      <c r="O706" s="7">
        <f t="shared" si="1354"/>
        <v>0</v>
      </c>
      <c r="P706" s="7">
        <f t="shared" si="1354"/>
        <v>0</v>
      </c>
      <c r="Q706" s="7">
        <f t="shared" si="7"/>
        <v>0</v>
      </c>
      <c r="R706" s="7">
        <f t="shared" si="8"/>
        <v>0.0089736295</v>
      </c>
      <c r="S706" s="7">
        <f t="shared" si="2"/>
        <v>0.9526461859</v>
      </c>
      <c r="T706" s="7">
        <f t="shared" si="3"/>
        <v>0.1004987562</v>
      </c>
      <c r="U706" s="7">
        <f t="shared" si="4"/>
        <v>0</v>
      </c>
      <c r="V706" s="7">
        <f t="shared" si="5"/>
        <v>0</v>
      </c>
      <c r="W706" s="7">
        <f t="shared" ref="W706:X706" si="1355">IF(AVERAGE(U646:U705) &gt; 0.25, 1, 0)</f>
        <v>0</v>
      </c>
      <c r="X706" s="7">
        <f t="shared" si="1355"/>
        <v>0</v>
      </c>
      <c r="Y706" s="8">
        <v>0.0</v>
      </c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</row>
    <row r="707" ht="22.5" customHeight="1">
      <c r="B707" s="6">
        <v>706.0</v>
      </c>
      <c r="C707" s="6">
        <v>21863.0</v>
      </c>
      <c r="D707" s="6">
        <v>1.24</v>
      </c>
      <c r="E707" s="6">
        <v>-0.2</v>
      </c>
      <c r="F707" s="6">
        <v>10.68</v>
      </c>
      <c r="G707" s="6">
        <v>-0.1</v>
      </c>
      <c r="H707" s="6">
        <v>0.0</v>
      </c>
      <c r="I707" s="6">
        <v>-0.01</v>
      </c>
      <c r="J707" s="6">
        <v>33.2</v>
      </c>
      <c r="K707" s="7">
        <f t="shared" ref="K707:P707" si="1356">abs(D707-D706)/200</f>
        <v>0.00005</v>
      </c>
      <c r="L707" s="7">
        <f t="shared" si="1356"/>
        <v>0.00005</v>
      </c>
      <c r="M707" s="7">
        <f t="shared" si="1356"/>
        <v>0</v>
      </c>
      <c r="N707" s="7">
        <f t="shared" si="1356"/>
        <v>0</v>
      </c>
      <c r="O707" s="7">
        <f t="shared" si="1356"/>
        <v>0</v>
      </c>
      <c r="P707" s="7">
        <f t="shared" si="1356"/>
        <v>0</v>
      </c>
      <c r="Q707" s="7">
        <f t="shared" si="7"/>
        <v>0</v>
      </c>
      <c r="R707" s="7">
        <f t="shared" si="8"/>
        <v>0.0009578610765</v>
      </c>
      <c r="S707" s="7">
        <f t="shared" si="2"/>
        <v>0.953604047</v>
      </c>
      <c r="T707" s="7">
        <f t="shared" si="3"/>
        <v>0.1004987562</v>
      </c>
      <c r="U707" s="7">
        <f t="shared" si="4"/>
        <v>0</v>
      </c>
      <c r="V707" s="7">
        <f t="shared" si="5"/>
        <v>0</v>
      </c>
      <c r="W707" s="7">
        <f t="shared" ref="W707:X707" si="1357">IF(AVERAGE(U647:U706) &gt; 0.25, 1, 0)</f>
        <v>0</v>
      </c>
      <c r="X707" s="7">
        <f t="shared" si="1357"/>
        <v>0</v>
      </c>
      <c r="Y707" s="8">
        <v>0.0</v>
      </c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</row>
    <row r="708" ht="22.5" customHeight="1">
      <c r="B708" s="6">
        <v>707.0</v>
      </c>
      <c r="C708" s="6">
        <v>22067.0</v>
      </c>
      <c r="D708" s="6">
        <v>1.24</v>
      </c>
      <c r="E708" s="6">
        <v>-0.2</v>
      </c>
      <c r="F708" s="6">
        <v>10.67</v>
      </c>
      <c r="G708" s="6">
        <v>-0.1</v>
      </c>
      <c r="H708" s="6">
        <v>0.0</v>
      </c>
      <c r="I708" s="6">
        <v>-0.01</v>
      </c>
      <c r="J708" s="6">
        <v>33.2</v>
      </c>
      <c r="K708" s="7">
        <f t="shared" ref="K708:P708" si="1358">abs(D708-D707)/200</f>
        <v>0</v>
      </c>
      <c r="L708" s="7">
        <f t="shared" si="1358"/>
        <v>0</v>
      </c>
      <c r="M708" s="7">
        <f t="shared" si="1358"/>
        <v>0.00005</v>
      </c>
      <c r="N708" s="7">
        <f t="shared" si="1358"/>
        <v>0</v>
      </c>
      <c r="O708" s="7">
        <f t="shared" si="1358"/>
        <v>0</v>
      </c>
      <c r="P708" s="7">
        <f t="shared" si="1358"/>
        <v>0</v>
      </c>
      <c r="Q708" s="7">
        <f t="shared" si="7"/>
        <v>0</v>
      </c>
      <c r="R708" s="7">
        <f t="shared" si="8"/>
        <v>0.009931490576</v>
      </c>
      <c r="S708" s="7">
        <f t="shared" si="2"/>
        <v>0.9436725564</v>
      </c>
      <c r="T708" s="7">
        <f t="shared" si="3"/>
        <v>0.1004987562</v>
      </c>
      <c r="U708" s="7">
        <f t="shared" si="4"/>
        <v>0</v>
      </c>
      <c r="V708" s="7">
        <f t="shared" si="5"/>
        <v>0</v>
      </c>
      <c r="W708" s="7">
        <f t="shared" ref="W708:X708" si="1359">IF(AVERAGE(U648:U707) &gt; 0.25, 1, 0)</f>
        <v>0</v>
      </c>
      <c r="X708" s="7">
        <f t="shared" si="1359"/>
        <v>0</v>
      </c>
      <c r="Y708" s="8">
        <v>0.0</v>
      </c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</row>
    <row r="709" ht="22.5" customHeight="1">
      <c r="B709" s="6">
        <v>708.0</v>
      </c>
      <c r="C709" s="6">
        <v>22271.0</v>
      </c>
      <c r="D709" s="6">
        <v>1.22</v>
      </c>
      <c r="E709" s="6">
        <v>-0.2</v>
      </c>
      <c r="F709" s="6">
        <v>10.68</v>
      </c>
      <c r="G709" s="6">
        <v>-0.1</v>
      </c>
      <c r="H709" s="6">
        <v>0.0</v>
      </c>
      <c r="I709" s="6">
        <v>-0.01</v>
      </c>
      <c r="J709" s="6">
        <v>33.19</v>
      </c>
      <c r="K709" s="7">
        <f t="shared" ref="K709:P709" si="1360">abs(D709-D708)/200</f>
        <v>0.0001</v>
      </c>
      <c r="L709" s="7">
        <f t="shared" si="1360"/>
        <v>0</v>
      </c>
      <c r="M709" s="7">
        <f t="shared" si="1360"/>
        <v>0.00005</v>
      </c>
      <c r="N709" s="7">
        <f t="shared" si="1360"/>
        <v>0</v>
      </c>
      <c r="O709" s="7">
        <f t="shared" si="1360"/>
        <v>0</v>
      </c>
      <c r="P709" s="7">
        <f t="shared" si="1360"/>
        <v>0</v>
      </c>
      <c r="Q709" s="7">
        <f t="shared" si="7"/>
        <v>0</v>
      </c>
      <c r="R709" s="7">
        <f t="shared" si="8"/>
        <v>0.007643642054</v>
      </c>
      <c r="S709" s="7">
        <f t="shared" si="2"/>
        <v>0.9513161985</v>
      </c>
      <c r="T709" s="7">
        <f t="shared" si="3"/>
        <v>0.1004987562</v>
      </c>
      <c r="U709" s="7">
        <f t="shared" si="4"/>
        <v>0</v>
      </c>
      <c r="V709" s="7">
        <f t="shared" si="5"/>
        <v>0</v>
      </c>
      <c r="W709" s="7">
        <f t="shared" ref="W709:X709" si="1361">IF(AVERAGE(U649:U708) &gt; 0.25, 1, 0)</f>
        <v>0</v>
      </c>
      <c r="X709" s="7">
        <f t="shared" si="1361"/>
        <v>0</v>
      </c>
      <c r="Y709" s="8">
        <v>0.0</v>
      </c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</row>
    <row r="710" ht="22.5" customHeight="1">
      <c r="B710" s="6">
        <v>709.0</v>
      </c>
      <c r="C710" s="6">
        <v>22475.0</v>
      </c>
      <c r="D710" s="6">
        <v>1.23</v>
      </c>
      <c r="E710" s="6">
        <v>-0.2</v>
      </c>
      <c r="F710" s="6">
        <v>10.69</v>
      </c>
      <c r="G710" s="6">
        <v>-0.1</v>
      </c>
      <c r="H710" s="6">
        <v>0.0</v>
      </c>
      <c r="I710" s="6">
        <v>-0.01</v>
      </c>
      <c r="J710" s="6">
        <v>33.21</v>
      </c>
      <c r="K710" s="7">
        <f t="shared" ref="K710:P710" si="1362">abs(D710-D709)/200</f>
        <v>0.00005</v>
      </c>
      <c r="L710" s="7">
        <f t="shared" si="1362"/>
        <v>0</v>
      </c>
      <c r="M710" s="7">
        <f t="shared" si="1362"/>
        <v>0.00005</v>
      </c>
      <c r="N710" s="7">
        <f t="shared" si="1362"/>
        <v>0</v>
      </c>
      <c r="O710" s="7">
        <f t="shared" si="1362"/>
        <v>0</v>
      </c>
      <c r="P710" s="7">
        <f t="shared" si="1362"/>
        <v>0</v>
      </c>
      <c r="Q710" s="7">
        <f t="shared" si="7"/>
        <v>0</v>
      </c>
      <c r="R710" s="7">
        <f t="shared" si="8"/>
        <v>0.01107201231</v>
      </c>
      <c r="S710" s="7">
        <f t="shared" si="2"/>
        <v>0.9623882108</v>
      </c>
      <c r="T710" s="7">
        <f t="shared" si="3"/>
        <v>0.1004987562</v>
      </c>
      <c r="U710" s="7">
        <f t="shared" si="4"/>
        <v>0</v>
      </c>
      <c r="V710" s="7">
        <f t="shared" si="5"/>
        <v>0</v>
      </c>
      <c r="W710" s="7">
        <f t="shared" ref="W710:X710" si="1363">IF(AVERAGE(U650:U709) &gt; 0.25, 1, 0)</f>
        <v>0</v>
      </c>
      <c r="X710" s="7">
        <f t="shared" si="1363"/>
        <v>0</v>
      </c>
      <c r="Y710" s="8">
        <v>0.0</v>
      </c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</row>
    <row r="711" ht="22.5" customHeight="1">
      <c r="B711" s="6">
        <v>710.0</v>
      </c>
      <c r="C711" s="6">
        <v>22679.0</v>
      </c>
      <c r="D711" s="6">
        <v>1.24</v>
      </c>
      <c r="E711" s="6">
        <v>-0.2</v>
      </c>
      <c r="F711" s="6">
        <v>10.69</v>
      </c>
      <c r="G711" s="6">
        <v>-0.1</v>
      </c>
      <c r="H711" s="6">
        <v>0.0</v>
      </c>
      <c r="I711" s="6">
        <v>-0.01</v>
      </c>
      <c r="J711" s="6">
        <v>33.2</v>
      </c>
      <c r="K711" s="7">
        <f t="shared" ref="K711:P711" si="1364">abs(D711-D710)/200</f>
        <v>0.00005</v>
      </c>
      <c r="L711" s="7">
        <f t="shared" si="1364"/>
        <v>0</v>
      </c>
      <c r="M711" s="7">
        <f t="shared" si="1364"/>
        <v>0</v>
      </c>
      <c r="N711" s="7">
        <f t="shared" si="1364"/>
        <v>0</v>
      </c>
      <c r="O711" s="7">
        <f t="shared" si="1364"/>
        <v>0</v>
      </c>
      <c r="P711" s="7">
        <f t="shared" si="1364"/>
        <v>0</v>
      </c>
      <c r="Q711" s="7">
        <f t="shared" si="7"/>
        <v>0</v>
      </c>
      <c r="R711" s="7">
        <f t="shared" si="8"/>
        <v>0.001147453654</v>
      </c>
      <c r="S711" s="7">
        <f t="shared" si="2"/>
        <v>0.9635356645</v>
      </c>
      <c r="T711" s="7">
        <f t="shared" si="3"/>
        <v>0.1004987562</v>
      </c>
      <c r="U711" s="7">
        <f t="shared" si="4"/>
        <v>0</v>
      </c>
      <c r="V711" s="7">
        <f t="shared" si="5"/>
        <v>0</v>
      </c>
      <c r="W711" s="7">
        <f t="shared" ref="W711:X711" si="1365">IF(AVERAGE(U651:U710) &gt; 0.25, 1, 0)</f>
        <v>0</v>
      </c>
      <c r="X711" s="7">
        <f t="shared" si="1365"/>
        <v>0</v>
      </c>
      <c r="Y711" s="8">
        <v>0.0</v>
      </c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</row>
    <row r="712" ht="22.5" customHeight="1">
      <c r="B712" s="6">
        <v>711.0</v>
      </c>
      <c r="C712" s="6">
        <v>22883.0</v>
      </c>
      <c r="D712" s="6">
        <v>1.23</v>
      </c>
      <c r="E712" s="6">
        <v>-0.2</v>
      </c>
      <c r="F712" s="6">
        <v>10.68</v>
      </c>
      <c r="G712" s="6">
        <v>-0.1</v>
      </c>
      <c r="H712" s="6">
        <v>0.0</v>
      </c>
      <c r="I712" s="6">
        <v>-0.01</v>
      </c>
      <c r="J712" s="6">
        <v>33.21</v>
      </c>
      <c r="K712" s="7">
        <f t="shared" ref="K712:P712" si="1366">abs(D712-D711)/200</f>
        <v>0.00005</v>
      </c>
      <c r="L712" s="7">
        <f t="shared" si="1366"/>
        <v>0</v>
      </c>
      <c r="M712" s="7">
        <f t="shared" si="1366"/>
        <v>0.00005</v>
      </c>
      <c r="N712" s="7">
        <f t="shared" si="1366"/>
        <v>0</v>
      </c>
      <c r="O712" s="7">
        <f t="shared" si="1366"/>
        <v>0</v>
      </c>
      <c r="P712" s="7">
        <f t="shared" si="1366"/>
        <v>0</v>
      </c>
      <c r="Q712" s="7">
        <f t="shared" si="7"/>
        <v>0</v>
      </c>
      <c r="R712" s="7">
        <f t="shared" si="8"/>
        <v>0.01108013095</v>
      </c>
      <c r="S712" s="7">
        <f t="shared" si="2"/>
        <v>0.9524555335</v>
      </c>
      <c r="T712" s="7">
        <f t="shared" si="3"/>
        <v>0.1004987562</v>
      </c>
      <c r="U712" s="7">
        <f t="shared" si="4"/>
        <v>0</v>
      </c>
      <c r="V712" s="7">
        <f t="shared" si="5"/>
        <v>0</v>
      </c>
      <c r="W712" s="7">
        <f t="shared" ref="W712:X712" si="1367">IF(AVERAGE(U652:U711) &gt; 0.25, 1, 0)</f>
        <v>0</v>
      </c>
      <c r="X712" s="7">
        <f t="shared" si="1367"/>
        <v>0</v>
      </c>
      <c r="Y712" s="8">
        <v>0.0</v>
      </c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</row>
    <row r="713" ht="22.5" customHeight="1">
      <c r="B713" s="6">
        <v>712.0</v>
      </c>
      <c r="C713" s="6">
        <v>23087.0</v>
      </c>
      <c r="D713" s="6">
        <v>1.23</v>
      </c>
      <c r="E713" s="6">
        <v>-0.2</v>
      </c>
      <c r="F713" s="6">
        <v>10.68</v>
      </c>
      <c r="G713" s="6">
        <v>-0.1</v>
      </c>
      <c r="H713" s="6">
        <v>0.0</v>
      </c>
      <c r="I713" s="6">
        <v>-0.01</v>
      </c>
      <c r="J713" s="6">
        <v>33.21</v>
      </c>
      <c r="K713" s="7">
        <f t="shared" ref="K713:P713" si="1368">abs(D713-D712)/200</f>
        <v>0</v>
      </c>
      <c r="L713" s="7">
        <f t="shared" si="1368"/>
        <v>0</v>
      </c>
      <c r="M713" s="7">
        <f t="shared" si="1368"/>
        <v>0</v>
      </c>
      <c r="N713" s="7">
        <f t="shared" si="1368"/>
        <v>0</v>
      </c>
      <c r="O713" s="7">
        <f t="shared" si="1368"/>
        <v>0</v>
      </c>
      <c r="P713" s="7">
        <f t="shared" si="1368"/>
        <v>0</v>
      </c>
      <c r="Q713" s="7">
        <f t="shared" si="7"/>
        <v>0</v>
      </c>
      <c r="R713" s="7">
        <f t="shared" si="8"/>
        <v>0</v>
      </c>
      <c r="S713" s="7">
        <f t="shared" si="2"/>
        <v>0.9524555335</v>
      </c>
      <c r="T713" s="7">
        <f t="shared" si="3"/>
        <v>0.1004987562</v>
      </c>
      <c r="U713" s="7">
        <f t="shared" si="4"/>
        <v>0</v>
      </c>
      <c r="V713" s="7">
        <f t="shared" si="5"/>
        <v>0</v>
      </c>
      <c r="W713" s="7">
        <f t="shared" ref="W713:X713" si="1369">IF(AVERAGE(U653:U712) &gt; 0.25, 1, 0)</f>
        <v>0</v>
      </c>
      <c r="X713" s="7">
        <f t="shared" si="1369"/>
        <v>0</v>
      </c>
      <c r="Y713" s="8">
        <v>0.0</v>
      </c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</row>
    <row r="714" ht="22.5" customHeight="1">
      <c r="B714" s="6">
        <v>713.0</v>
      </c>
      <c r="C714" s="6">
        <v>23291.0</v>
      </c>
      <c r="D714" s="6">
        <v>1.24</v>
      </c>
      <c r="E714" s="6">
        <v>-0.2</v>
      </c>
      <c r="F714" s="6">
        <v>10.66</v>
      </c>
      <c r="G714" s="6">
        <v>-0.1</v>
      </c>
      <c r="H714" s="6">
        <v>0.0</v>
      </c>
      <c r="I714" s="6">
        <v>-0.01</v>
      </c>
      <c r="J714" s="6">
        <v>33.2</v>
      </c>
      <c r="K714" s="7">
        <f t="shared" ref="K714:P714" si="1370">abs(D714-D713)/200</f>
        <v>0.00005</v>
      </c>
      <c r="L714" s="7">
        <f t="shared" si="1370"/>
        <v>0</v>
      </c>
      <c r="M714" s="7">
        <f t="shared" si="1370"/>
        <v>0.0001</v>
      </c>
      <c r="N714" s="7">
        <f t="shared" si="1370"/>
        <v>0</v>
      </c>
      <c r="O714" s="7">
        <f t="shared" si="1370"/>
        <v>0</v>
      </c>
      <c r="P714" s="7">
        <f t="shared" si="1370"/>
        <v>0</v>
      </c>
      <c r="Q714" s="7">
        <f t="shared" si="7"/>
        <v>0</v>
      </c>
      <c r="R714" s="7">
        <f t="shared" si="8"/>
        <v>0.01871434043</v>
      </c>
      <c r="S714" s="7">
        <f t="shared" si="2"/>
        <v>0.9337411931</v>
      </c>
      <c r="T714" s="7">
        <f t="shared" si="3"/>
        <v>0.1004987562</v>
      </c>
      <c r="U714" s="7">
        <f t="shared" si="4"/>
        <v>0</v>
      </c>
      <c r="V714" s="7">
        <f t="shared" si="5"/>
        <v>0</v>
      </c>
      <c r="W714" s="7">
        <f t="shared" ref="W714:X714" si="1371">IF(AVERAGE(U654:U713) &gt; 0.25, 1, 0)</f>
        <v>0</v>
      </c>
      <c r="X714" s="7">
        <f t="shared" si="1371"/>
        <v>0</v>
      </c>
      <c r="Y714" s="8">
        <v>0.0</v>
      </c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</row>
    <row r="715" ht="22.5" customHeight="1">
      <c r="B715" s="6">
        <v>714.0</v>
      </c>
      <c r="C715" s="6">
        <v>23495.0</v>
      </c>
      <c r="D715" s="6">
        <v>1.24</v>
      </c>
      <c r="E715" s="6">
        <v>-0.2</v>
      </c>
      <c r="F715" s="6">
        <v>10.69</v>
      </c>
      <c r="G715" s="6">
        <v>-0.1</v>
      </c>
      <c r="H715" s="6">
        <v>0.0</v>
      </c>
      <c r="I715" s="6">
        <v>-0.01</v>
      </c>
      <c r="J715" s="6">
        <v>33.2</v>
      </c>
      <c r="K715" s="7">
        <f t="shared" ref="K715:P715" si="1372">abs(D715-D714)/200</f>
        <v>0</v>
      </c>
      <c r="L715" s="7">
        <f t="shared" si="1372"/>
        <v>0</v>
      </c>
      <c r="M715" s="7">
        <f t="shared" si="1372"/>
        <v>0.00015</v>
      </c>
      <c r="N715" s="7">
        <f t="shared" si="1372"/>
        <v>0</v>
      </c>
      <c r="O715" s="7">
        <f t="shared" si="1372"/>
        <v>0</v>
      </c>
      <c r="P715" s="7">
        <f t="shared" si="1372"/>
        <v>0</v>
      </c>
      <c r="Q715" s="7">
        <f t="shared" si="7"/>
        <v>0</v>
      </c>
      <c r="R715" s="7">
        <f t="shared" si="8"/>
        <v>0.02979447138</v>
      </c>
      <c r="S715" s="7">
        <f t="shared" si="2"/>
        <v>0.9635356645</v>
      </c>
      <c r="T715" s="7">
        <f t="shared" si="3"/>
        <v>0.1004987562</v>
      </c>
      <c r="U715" s="7">
        <f t="shared" si="4"/>
        <v>0</v>
      </c>
      <c r="V715" s="7">
        <f t="shared" si="5"/>
        <v>0</v>
      </c>
      <c r="W715" s="7">
        <f t="shared" ref="W715:X715" si="1373">IF(AVERAGE(U655:U714) &gt; 0.25, 1, 0)</f>
        <v>0</v>
      </c>
      <c r="X715" s="7">
        <f t="shared" si="1373"/>
        <v>0</v>
      </c>
      <c r="Y715" s="8">
        <v>0.0</v>
      </c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</row>
    <row r="716" ht="22.5" customHeight="1">
      <c r="B716" s="6">
        <v>715.0</v>
      </c>
      <c r="C716" s="6">
        <v>23699.0</v>
      </c>
      <c r="D716" s="6">
        <v>1.23</v>
      </c>
      <c r="E716" s="6">
        <v>-0.2</v>
      </c>
      <c r="F716" s="6">
        <v>10.68</v>
      </c>
      <c r="G716" s="6">
        <v>-0.1</v>
      </c>
      <c r="H716" s="6">
        <v>0.0</v>
      </c>
      <c r="I716" s="6">
        <v>-0.01</v>
      </c>
      <c r="J716" s="6">
        <v>33.21</v>
      </c>
      <c r="K716" s="7">
        <f t="shared" ref="K716:P716" si="1374">abs(D716-D715)/200</f>
        <v>0.00005</v>
      </c>
      <c r="L716" s="7">
        <f t="shared" si="1374"/>
        <v>0</v>
      </c>
      <c r="M716" s="7">
        <f t="shared" si="1374"/>
        <v>0.00005</v>
      </c>
      <c r="N716" s="7">
        <f t="shared" si="1374"/>
        <v>0</v>
      </c>
      <c r="O716" s="7">
        <f t="shared" si="1374"/>
        <v>0</v>
      </c>
      <c r="P716" s="7">
        <f t="shared" si="1374"/>
        <v>0</v>
      </c>
      <c r="Q716" s="7">
        <f t="shared" si="7"/>
        <v>0</v>
      </c>
      <c r="R716" s="7">
        <f t="shared" si="8"/>
        <v>0.01108013095</v>
      </c>
      <c r="S716" s="7">
        <f t="shared" si="2"/>
        <v>0.9524555335</v>
      </c>
      <c r="T716" s="7">
        <f t="shared" si="3"/>
        <v>0.1004987562</v>
      </c>
      <c r="U716" s="7">
        <f t="shared" si="4"/>
        <v>0</v>
      </c>
      <c r="V716" s="7">
        <f t="shared" si="5"/>
        <v>0</v>
      </c>
      <c r="W716" s="7">
        <f t="shared" ref="W716:X716" si="1375">IF(AVERAGE(U656:U715) &gt; 0.25, 1, 0)</f>
        <v>0</v>
      </c>
      <c r="X716" s="7">
        <f t="shared" si="1375"/>
        <v>0</v>
      </c>
      <c r="Y716" s="8">
        <v>0.0</v>
      </c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</row>
    <row r="717" ht="22.5" customHeight="1">
      <c r="B717" s="6">
        <v>716.0</v>
      </c>
      <c r="C717" s="6">
        <v>23903.0</v>
      </c>
      <c r="D717" s="6">
        <v>1.23</v>
      </c>
      <c r="E717" s="6">
        <v>-0.2</v>
      </c>
      <c r="F717" s="6">
        <v>10.68</v>
      </c>
      <c r="G717" s="6">
        <v>-0.1</v>
      </c>
      <c r="H717" s="6">
        <v>0.0</v>
      </c>
      <c r="I717" s="6">
        <v>-0.01</v>
      </c>
      <c r="J717" s="6">
        <v>33.21</v>
      </c>
      <c r="K717" s="7">
        <f t="shared" ref="K717:P717" si="1376">abs(D717-D716)/200</f>
        <v>0</v>
      </c>
      <c r="L717" s="7">
        <f t="shared" si="1376"/>
        <v>0</v>
      </c>
      <c r="M717" s="7">
        <f t="shared" si="1376"/>
        <v>0</v>
      </c>
      <c r="N717" s="7">
        <f t="shared" si="1376"/>
        <v>0</v>
      </c>
      <c r="O717" s="7">
        <f t="shared" si="1376"/>
        <v>0</v>
      </c>
      <c r="P717" s="7">
        <f t="shared" si="1376"/>
        <v>0</v>
      </c>
      <c r="Q717" s="7">
        <f t="shared" si="7"/>
        <v>0</v>
      </c>
      <c r="R717" s="7">
        <f t="shared" si="8"/>
        <v>0</v>
      </c>
      <c r="S717" s="7">
        <f t="shared" si="2"/>
        <v>0.9524555335</v>
      </c>
      <c r="T717" s="7">
        <f t="shared" si="3"/>
        <v>0.1004987562</v>
      </c>
      <c r="U717" s="7">
        <f t="shared" si="4"/>
        <v>0</v>
      </c>
      <c r="V717" s="7">
        <f t="shared" si="5"/>
        <v>0</v>
      </c>
      <c r="W717" s="7">
        <f t="shared" ref="W717:X717" si="1377">IF(AVERAGE(U657:U716) &gt; 0.25, 1, 0)</f>
        <v>0</v>
      </c>
      <c r="X717" s="7">
        <f t="shared" si="1377"/>
        <v>0</v>
      </c>
      <c r="Y717" s="8">
        <v>0.0</v>
      </c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</row>
    <row r="718" ht="22.5" customHeight="1">
      <c r="B718" s="6">
        <v>717.0</v>
      </c>
      <c r="C718" s="6">
        <v>24107.0</v>
      </c>
      <c r="D718" s="6">
        <v>1.24</v>
      </c>
      <c r="E718" s="6">
        <v>-0.2</v>
      </c>
      <c r="F718" s="6">
        <v>10.69</v>
      </c>
      <c r="G718" s="6">
        <v>-0.1</v>
      </c>
      <c r="H718" s="6">
        <v>0.0</v>
      </c>
      <c r="I718" s="6">
        <v>-0.01</v>
      </c>
      <c r="J718" s="6">
        <v>33.21</v>
      </c>
      <c r="K718" s="7">
        <f t="shared" ref="K718:P718" si="1378">abs(D718-D717)/200</f>
        <v>0.00005</v>
      </c>
      <c r="L718" s="7">
        <f t="shared" si="1378"/>
        <v>0</v>
      </c>
      <c r="M718" s="7">
        <f t="shared" si="1378"/>
        <v>0.00005</v>
      </c>
      <c r="N718" s="7">
        <f t="shared" si="1378"/>
        <v>0</v>
      </c>
      <c r="O718" s="7">
        <f t="shared" si="1378"/>
        <v>0</v>
      </c>
      <c r="P718" s="7">
        <f t="shared" si="1378"/>
        <v>0</v>
      </c>
      <c r="Q718" s="7">
        <f t="shared" si="7"/>
        <v>0</v>
      </c>
      <c r="R718" s="7">
        <f t="shared" si="8"/>
        <v>0.01108013095</v>
      </c>
      <c r="S718" s="7">
        <f t="shared" si="2"/>
        <v>0.9635356645</v>
      </c>
      <c r="T718" s="7">
        <f t="shared" si="3"/>
        <v>0.1004987562</v>
      </c>
      <c r="U718" s="7">
        <f t="shared" si="4"/>
        <v>0</v>
      </c>
      <c r="V718" s="7">
        <f t="shared" si="5"/>
        <v>0</v>
      </c>
      <c r="W718" s="7">
        <f t="shared" ref="W718:X718" si="1379">IF(AVERAGE(U658:U717) &gt; 0.25, 1, 0)</f>
        <v>0</v>
      </c>
      <c r="X718" s="7">
        <f t="shared" si="1379"/>
        <v>0</v>
      </c>
      <c r="Y718" s="8">
        <v>0.0</v>
      </c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</row>
    <row r="719" ht="22.5" customHeight="1">
      <c r="B719" s="6">
        <v>718.0</v>
      </c>
      <c r="C719" s="6">
        <v>24311.0</v>
      </c>
      <c r="D719" s="6">
        <v>1.23</v>
      </c>
      <c r="E719" s="6">
        <v>-0.21</v>
      </c>
      <c r="F719" s="6">
        <v>10.68</v>
      </c>
      <c r="G719" s="6">
        <v>-0.1</v>
      </c>
      <c r="H719" s="6">
        <v>0.0</v>
      </c>
      <c r="I719" s="6">
        <v>-0.01</v>
      </c>
      <c r="J719" s="6">
        <v>33.21</v>
      </c>
      <c r="K719" s="7">
        <f t="shared" ref="K719:P719" si="1380">abs(D719-D718)/200</f>
        <v>0.00005</v>
      </c>
      <c r="L719" s="7">
        <f t="shared" si="1380"/>
        <v>0.00005</v>
      </c>
      <c r="M719" s="7">
        <f t="shared" si="1380"/>
        <v>0.00005</v>
      </c>
      <c r="N719" s="7">
        <f t="shared" si="1380"/>
        <v>0</v>
      </c>
      <c r="O719" s="7">
        <f t="shared" si="1380"/>
        <v>0</v>
      </c>
      <c r="P719" s="7">
        <f t="shared" si="1380"/>
        <v>0</v>
      </c>
      <c r="Q719" s="7">
        <f t="shared" si="7"/>
        <v>0</v>
      </c>
      <c r="R719" s="7">
        <f t="shared" si="8"/>
        <v>0.01088947852</v>
      </c>
      <c r="S719" s="7">
        <f t="shared" si="2"/>
        <v>0.9526461859</v>
      </c>
      <c r="T719" s="7">
        <f t="shared" si="3"/>
        <v>0.1004987562</v>
      </c>
      <c r="U719" s="7">
        <f t="shared" si="4"/>
        <v>0</v>
      </c>
      <c r="V719" s="7">
        <f t="shared" si="5"/>
        <v>0</v>
      </c>
      <c r="W719" s="7">
        <f t="shared" ref="W719:X719" si="1381">IF(AVERAGE(U659:U718) &gt; 0.25, 1, 0)</f>
        <v>0</v>
      </c>
      <c r="X719" s="7">
        <f t="shared" si="1381"/>
        <v>0</v>
      </c>
      <c r="Y719" s="8">
        <v>0.0</v>
      </c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</row>
    <row r="720" ht="22.5" customHeight="1">
      <c r="B720" s="6">
        <v>719.0</v>
      </c>
      <c r="C720" s="6">
        <v>24515.0</v>
      </c>
      <c r="D720" s="6">
        <v>1.24</v>
      </c>
      <c r="E720" s="6">
        <v>-0.2</v>
      </c>
      <c r="F720" s="6">
        <v>10.69</v>
      </c>
      <c r="G720" s="6">
        <v>-0.1</v>
      </c>
      <c r="H720" s="6">
        <v>0.0</v>
      </c>
      <c r="I720" s="6">
        <v>-0.01</v>
      </c>
      <c r="J720" s="6">
        <v>33.19</v>
      </c>
      <c r="K720" s="7">
        <f t="shared" ref="K720:P720" si="1382">abs(D720-D719)/200</f>
        <v>0.00005</v>
      </c>
      <c r="L720" s="7">
        <f t="shared" si="1382"/>
        <v>0.00005</v>
      </c>
      <c r="M720" s="7">
        <f t="shared" si="1382"/>
        <v>0.00005</v>
      </c>
      <c r="N720" s="7">
        <f t="shared" si="1382"/>
        <v>0</v>
      </c>
      <c r="O720" s="7">
        <f t="shared" si="1382"/>
        <v>0</v>
      </c>
      <c r="P720" s="7">
        <f t="shared" si="1382"/>
        <v>0</v>
      </c>
      <c r="Q720" s="7">
        <f t="shared" si="7"/>
        <v>0</v>
      </c>
      <c r="R720" s="7">
        <f t="shared" si="8"/>
        <v>0.01088947852</v>
      </c>
      <c r="S720" s="7">
        <f t="shared" si="2"/>
        <v>0.9635356645</v>
      </c>
      <c r="T720" s="7">
        <f t="shared" si="3"/>
        <v>0.1004987562</v>
      </c>
      <c r="U720" s="7">
        <f t="shared" si="4"/>
        <v>0</v>
      </c>
      <c r="V720" s="7">
        <f t="shared" si="5"/>
        <v>0</v>
      </c>
      <c r="W720" s="7">
        <f t="shared" ref="W720:X720" si="1383">IF(AVERAGE(U660:U719) &gt; 0.25, 1, 0)</f>
        <v>0</v>
      </c>
      <c r="X720" s="7">
        <f t="shared" si="1383"/>
        <v>0</v>
      </c>
      <c r="Y720" s="8">
        <v>0.0</v>
      </c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</row>
    <row r="721" ht="22.5" customHeight="1">
      <c r="B721" s="6">
        <v>720.0</v>
      </c>
      <c r="C721" s="6">
        <v>24719.0</v>
      </c>
      <c r="D721" s="6">
        <v>1.23</v>
      </c>
      <c r="E721" s="6">
        <v>-0.2</v>
      </c>
      <c r="F721" s="6">
        <v>10.68</v>
      </c>
      <c r="G721" s="6">
        <v>-0.1</v>
      </c>
      <c r="H721" s="6">
        <v>0.0</v>
      </c>
      <c r="I721" s="6">
        <v>-0.01</v>
      </c>
      <c r="J721" s="6">
        <v>33.2</v>
      </c>
      <c r="K721" s="7">
        <f t="shared" ref="K721:P721" si="1384">abs(D721-D720)/200</f>
        <v>0.00005</v>
      </c>
      <c r="L721" s="7">
        <f t="shared" si="1384"/>
        <v>0</v>
      </c>
      <c r="M721" s="7">
        <f t="shared" si="1384"/>
        <v>0.00005</v>
      </c>
      <c r="N721" s="7">
        <f t="shared" si="1384"/>
        <v>0</v>
      </c>
      <c r="O721" s="7">
        <f t="shared" si="1384"/>
        <v>0</v>
      </c>
      <c r="P721" s="7">
        <f t="shared" si="1384"/>
        <v>0</v>
      </c>
      <c r="Q721" s="7">
        <f t="shared" si="7"/>
        <v>0</v>
      </c>
      <c r="R721" s="7">
        <f t="shared" si="8"/>
        <v>0.01108013095</v>
      </c>
      <c r="S721" s="7">
        <f t="shared" si="2"/>
        <v>0.9524555335</v>
      </c>
      <c r="T721" s="7">
        <f t="shared" si="3"/>
        <v>0.1004987562</v>
      </c>
      <c r="U721" s="7">
        <f t="shared" si="4"/>
        <v>0</v>
      </c>
      <c r="V721" s="7">
        <f t="shared" si="5"/>
        <v>0</v>
      </c>
      <c r="W721" s="7">
        <f t="shared" ref="W721:X721" si="1385">IF(AVERAGE(U661:U720) &gt; 0.25, 1, 0)</f>
        <v>0</v>
      </c>
      <c r="X721" s="7">
        <f t="shared" si="1385"/>
        <v>0</v>
      </c>
      <c r="Y721" s="8">
        <v>0.0</v>
      </c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</row>
    <row r="722" ht="22.5" customHeight="1">
      <c r="B722" s="6">
        <v>721.0</v>
      </c>
      <c r="C722" s="6">
        <v>24923.0</v>
      </c>
      <c r="D722" s="6">
        <v>1.23</v>
      </c>
      <c r="E722" s="6">
        <v>-0.2</v>
      </c>
      <c r="F722" s="6">
        <v>10.68</v>
      </c>
      <c r="G722" s="6">
        <v>-0.1</v>
      </c>
      <c r="H722" s="6">
        <v>0.0</v>
      </c>
      <c r="I722" s="6">
        <v>-0.01</v>
      </c>
      <c r="J722" s="6">
        <v>33.19</v>
      </c>
      <c r="K722" s="7">
        <f t="shared" ref="K722:P722" si="1386">abs(D722-D721)/200</f>
        <v>0</v>
      </c>
      <c r="L722" s="7">
        <f t="shared" si="1386"/>
        <v>0</v>
      </c>
      <c r="M722" s="7">
        <f t="shared" si="1386"/>
        <v>0</v>
      </c>
      <c r="N722" s="7">
        <f t="shared" si="1386"/>
        <v>0</v>
      </c>
      <c r="O722" s="7">
        <f t="shared" si="1386"/>
        <v>0</v>
      </c>
      <c r="P722" s="7">
        <f t="shared" si="1386"/>
        <v>0</v>
      </c>
      <c r="Q722" s="7">
        <f t="shared" si="7"/>
        <v>0</v>
      </c>
      <c r="R722" s="7">
        <f t="shared" si="8"/>
        <v>0</v>
      </c>
      <c r="S722" s="7">
        <f t="shared" si="2"/>
        <v>0.9524555335</v>
      </c>
      <c r="T722" s="7">
        <f t="shared" si="3"/>
        <v>0.1004987562</v>
      </c>
      <c r="U722" s="7">
        <f t="shared" si="4"/>
        <v>0</v>
      </c>
      <c r="V722" s="7">
        <f t="shared" si="5"/>
        <v>0</v>
      </c>
      <c r="W722" s="7">
        <f t="shared" ref="W722:X722" si="1387">IF(AVERAGE(U662:U721) &gt; 0.25, 1, 0)</f>
        <v>0</v>
      </c>
      <c r="X722" s="7">
        <f t="shared" si="1387"/>
        <v>0</v>
      </c>
      <c r="Y722" s="8">
        <v>0.0</v>
      </c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</row>
    <row r="723" ht="22.5" customHeight="1">
      <c r="B723" s="6">
        <v>722.0</v>
      </c>
      <c r="C723" s="6">
        <v>25127.0</v>
      </c>
      <c r="D723" s="6">
        <v>1.24</v>
      </c>
      <c r="E723" s="6">
        <v>-0.2</v>
      </c>
      <c r="F723" s="6">
        <v>10.69</v>
      </c>
      <c r="G723" s="6">
        <v>-0.1</v>
      </c>
      <c r="H723" s="6">
        <v>0.0</v>
      </c>
      <c r="I723" s="6">
        <v>-0.01</v>
      </c>
      <c r="J723" s="6">
        <v>33.2</v>
      </c>
      <c r="K723" s="7">
        <f t="shared" ref="K723:P723" si="1388">abs(D723-D722)/200</f>
        <v>0.00005</v>
      </c>
      <c r="L723" s="7">
        <f t="shared" si="1388"/>
        <v>0</v>
      </c>
      <c r="M723" s="7">
        <f t="shared" si="1388"/>
        <v>0.00005</v>
      </c>
      <c r="N723" s="7">
        <f t="shared" si="1388"/>
        <v>0</v>
      </c>
      <c r="O723" s="7">
        <f t="shared" si="1388"/>
        <v>0</v>
      </c>
      <c r="P723" s="7">
        <f t="shared" si="1388"/>
        <v>0</v>
      </c>
      <c r="Q723" s="7">
        <f t="shared" si="7"/>
        <v>0</v>
      </c>
      <c r="R723" s="7">
        <f t="shared" si="8"/>
        <v>0.01108013095</v>
      </c>
      <c r="S723" s="7">
        <f t="shared" si="2"/>
        <v>0.9635356645</v>
      </c>
      <c r="T723" s="7">
        <f t="shared" si="3"/>
        <v>0.1004987562</v>
      </c>
      <c r="U723" s="7">
        <f t="shared" si="4"/>
        <v>0</v>
      </c>
      <c r="V723" s="7">
        <f t="shared" si="5"/>
        <v>0</v>
      </c>
      <c r="W723" s="7">
        <f t="shared" ref="W723:X723" si="1389">IF(AVERAGE(U663:U722) &gt; 0.25, 1, 0)</f>
        <v>0</v>
      </c>
      <c r="X723" s="7">
        <f t="shared" si="1389"/>
        <v>0</v>
      </c>
      <c r="Y723" s="8">
        <v>0.0</v>
      </c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</row>
    <row r="724" ht="22.5" customHeight="1">
      <c r="B724" s="6">
        <v>723.0</v>
      </c>
      <c r="C724" s="6">
        <v>25331.0</v>
      </c>
      <c r="D724" s="6">
        <v>1.23</v>
      </c>
      <c r="E724" s="6">
        <v>-0.2</v>
      </c>
      <c r="F724" s="6">
        <v>10.68</v>
      </c>
      <c r="G724" s="6">
        <v>-0.1</v>
      </c>
      <c r="H724" s="6">
        <v>0.0</v>
      </c>
      <c r="I724" s="6">
        <v>-0.01</v>
      </c>
      <c r="J724" s="6">
        <v>33.19</v>
      </c>
      <c r="K724" s="7">
        <f t="shared" ref="K724:P724" si="1390">abs(D724-D723)/200</f>
        <v>0.00005</v>
      </c>
      <c r="L724" s="7">
        <f t="shared" si="1390"/>
        <v>0</v>
      </c>
      <c r="M724" s="7">
        <f t="shared" si="1390"/>
        <v>0.00005</v>
      </c>
      <c r="N724" s="7">
        <f t="shared" si="1390"/>
        <v>0</v>
      </c>
      <c r="O724" s="7">
        <f t="shared" si="1390"/>
        <v>0</v>
      </c>
      <c r="P724" s="7">
        <f t="shared" si="1390"/>
        <v>0</v>
      </c>
      <c r="Q724" s="7">
        <f t="shared" si="7"/>
        <v>0</v>
      </c>
      <c r="R724" s="7">
        <f t="shared" si="8"/>
        <v>0.01108013095</v>
      </c>
      <c r="S724" s="7">
        <f t="shared" si="2"/>
        <v>0.9524555335</v>
      </c>
      <c r="T724" s="7">
        <f t="shared" si="3"/>
        <v>0.1004987562</v>
      </c>
      <c r="U724" s="7">
        <f t="shared" si="4"/>
        <v>0</v>
      </c>
      <c r="V724" s="7">
        <f t="shared" si="5"/>
        <v>0</v>
      </c>
      <c r="W724" s="7">
        <f t="shared" ref="W724:X724" si="1391">IF(AVERAGE(U664:U723) &gt; 0.25, 1, 0)</f>
        <v>0</v>
      </c>
      <c r="X724" s="7">
        <f t="shared" si="1391"/>
        <v>0</v>
      </c>
      <c r="Y724" s="8">
        <v>0.0</v>
      </c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</row>
    <row r="725" ht="22.5" customHeight="1">
      <c r="B725" s="6">
        <v>724.0</v>
      </c>
      <c r="C725" s="6">
        <v>25535.0</v>
      </c>
      <c r="D725" s="6">
        <v>1.23</v>
      </c>
      <c r="E725" s="6">
        <v>-0.19</v>
      </c>
      <c r="F725" s="6">
        <v>10.67</v>
      </c>
      <c r="G725" s="6">
        <v>-0.1</v>
      </c>
      <c r="H725" s="6">
        <v>0.0</v>
      </c>
      <c r="I725" s="6">
        <v>-0.01</v>
      </c>
      <c r="J725" s="6">
        <v>33.2</v>
      </c>
      <c r="K725" s="7">
        <f t="shared" ref="K725:P725" si="1392">abs(D725-D724)/200</f>
        <v>0</v>
      </c>
      <c r="L725" s="7">
        <f t="shared" si="1392"/>
        <v>0.00005</v>
      </c>
      <c r="M725" s="7">
        <f t="shared" si="1392"/>
        <v>0.00005</v>
      </c>
      <c r="N725" s="7">
        <f t="shared" si="1392"/>
        <v>0</v>
      </c>
      <c r="O725" s="7">
        <f t="shared" si="1392"/>
        <v>0</v>
      </c>
      <c r="P725" s="7">
        <f t="shared" si="1392"/>
        <v>0</v>
      </c>
      <c r="Q725" s="7">
        <f t="shared" si="7"/>
        <v>0</v>
      </c>
      <c r="R725" s="7">
        <f t="shared" si="8"/>
        <v>0.01011407552</v>
      </c>
      <c r="S725" s="7">
        <f t="shared" si="2"/>
        <v>0.942341458</v>
      </c>
      <c r="T725" s="7">
        <f t="shared" si="3"/>
        <v>0.1004987562</v>
      </c>
      <c r="U725" s="7">
        <f t="shared" si="4"/>
        <v>0</v>
      </c>
      <c r="V725" s="7">
        <f t="shared" si="5"/>
        <v>0</v>
      </c>
      <c r="W725" s="7">
        <f t="shared" ref="W725:X725" si="1393">IF(AVERAGE(U665:U724) &gt; 0.25, 1, 0)</f>
        <v>0</v>
      </c>
      <c r="X725" s="7">
        <f t="shared" si="1393"/>
        <v>0</v>
      </c>
      <c r="Y725" s="8">
        <v>0.0</v>
      </c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</row>
    <row r="726" ht="22.5" customHeight="1">
      <c r="B726" s="6">
        <v>725.0</v>
      </c>
      <c r="C726" s="6">
        <v>25739.0</v>
      </c>
      <c r="D726" s="6">
        <v>1.24</v>
      </c>
      <c r="E726" s="6">
        <v>-0.19</v>
      </c>
      <c r="F726" s="6">
        <v>10.68</v>
      </c>
      <c r="G726" s="6">
        <v>-0.1</v>
      </c>
      <c r="H726" s="6">
        <v>0.0</v>
      </c>
      <c r="I726" s="6">
        <v>-0.01</v>
      </c>
      <c r="J726" s="6">
        <v>33.19</v>
      </c>
      <c r="K726" s="7">
        <f t="shared" ref="K726:P726" si="1394">abs(D726-D725)/200</f>
        <v>0.00005</v>
      </c>
      <c r="L726" s="7">
        <f t="shared" si="1394"/>
        <v>0</v>
      </c>
      <c r="M726" s="7">
        <f t="shared" si="1394"/>
        <v>0.00005</v>
      </c>
      <c r="N726" s="7">
        <f t="shared" si="1394"/>
        <v>0</v>
      </c>
      <c r="O726" s="7">
        <f t="shared" si="1394"/>
        <v>0</v>
      </c>
      <c r="P726" s="7">
        <f t="shared" si="1394"/>
        <v>0</v>
      </c>
      <c r="Q726" s="7">
        <f t="shared" si="7"/>
        <v>0</v>
      </c>
      <c r="R726" s="7">
        <f t="shared" si="8"/>
        <v>0.01108125294</v>
      </c>
      <c r="S726" s="7">
        <f t="shared" si="2"/>
        <v>0.9534227109</v>
      </c>
      <c r="T726" s="7">
        <f t="shared" si="3"/>
        <v>0.1004987562</v>
      </c>
      <c r="U726" s="7">
        <f t="shared" si="4"/>
        <v>0</v>
      </c>
      <c r="V726" s="7">
        <f t="shared" si="5"/>
        <v>0</v>
      </c>
      <c r="W726" s="7">
        <f t="shared" ref="W726:X726" si="1395">IF(AVERAGE(U666:U725) &gt; 0.25, 1, 0)</f>
        <v>0</v>
      </c>
      <c r="X726" s="7">
        <f t="shared" si="1395"/>
        <v>0</v>
      </c>
      <c r="Y726" s="8">
        <v>0.0</v>
      </c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</row>
    <row r="727" ht="22.5" customHeight="1">
      <c r="B727" s="6">
        <v>726.0</v>
      </c>
      <c r="C727" s="6">
        <v>25943.0</v>
      </c>
      <c r="D727" s="6">
        <v>1.23</v>
      </c>
      <c r="E727" s="6">
        <v>-0.19</v>
      </c>
      <c r="F727" s="6">
        <v>10.69</v>
      </c>
      <c r="G727" s="6">
        <v>-0.1</v>
      </c>
      <c r="H727" s="6">
        <v>0.0</v>
      </c>
      <c r="I727" s="6">
        <v>-0.01</v>
      </c>
      <c r="J727" s="6">
        <v>33.19</v>
      </c>
      <c r="K727" s="7">
        <f t="shared" ref="K727:P727" si="1396">abs(D727-D726)/200</f>
        <v>0.00005</v>
      </c>
      <c r="L727" s="7">
        <f t="shared" si="1396"/>
        <v>0</v>
      </c>
      <c r="M727" s="7">
        <f t="shared" si="1396"/>
        <v>0.00005</v>
      </c>
      <c r="N727" s="7">
        <f t="shared" si="1396"/>
        <v>0</v>
      </c>
      <c r="O727" s="7">
        <f t="shared" si="1396"/>
        <v>0</v>
      </c>
      <c r="P727" s="7">
        <f t="shared" si="1396"/>
        <v>0</v>
      </c>
      <c r="Q727" s="7">
        <f t="shared" si="7"/>
        <v>0</v>
      </c>
      <c r="R727" s="7">
        <f t="shared" si="8"/>
        <v>0.008784311793</v>
      </c>
      <c r="S727" s="7">
        <f t="shared" si="2"/>
        <v>0.9622070227</v>
      </c>
      <c r="T727" s="7">
        <f t="shared" si="3"/>
        <v>0.1004987562</v>
      </c>
      <c r="U727" s="7">
        <f t="shared" si="4"/>
        <v>0</v>
      </c>
      <c r="V727" s="7">
        <f t="shared" si="5"/>
        <v>0</v>
      </c>
      <c r="W727" s="7">
        <f t="shared" ref="W727:X727" si="1397">IF(AVERAGE(U667:U726) &gt; 0.25, 1, 0)</f>
        <v>0</v>
      </c>
      <c r="X727" s="7">
        <f t="shared" si="1397"/>
        <v>0</v>
      </c>
      <c r="Y727" s="8">
        <v>0.0</v>
      </c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</row>
    <row r="728" ht="22.5" customHeight="1">
      <c r="B728" s="6">
        <v>727.0</v>
      </c>
      <c r="C728" s="6">
        <v>26147.0</v>
      </c>
      <c r="D728" s="6">
        <v>1.23</v>
      </c>
      <c r="E728" s="6">
        <v>-0.19</v>
      </c>
      <c r="F728" s="6">
        <v>10.68</v>
      </c>
      <c r="G728" s="6">
        <v>-0.1</v>
      </c>
      <c r="H728" s="6">
        <v>0.0</v>
      </c>
      <c r="I728" s="6">
        <v>-0.01</v>
      </c>
      <c r="J728" s="6">
        <v>33.19</v>
      </c>
      <c r="K728" s="7">
        <f t="shared" ref="K728:P728" si="1398">abs(D728-D727)/200</f>
        <v>0</v>
      </c>
      <c r="L728" s="7">
        <f t="shared" si="1398"/>
        <v>0</v>
      </c>
      <c r="M728" s="7">
        <f t="shared" si="1398"/>
        <v>0.00005</v>
      </c>
      <c r="N728" s="7">
        <f t="shared" si="1398"/>
        <v>0</v>
      </c>
      <c r="O728" s="7">
        <f t="shared" si="1398"/>
        <v>0</v>
      </c>
      <c r="P728" s="7">
        <f t="shared" si="1398"/>
        <v>0</v>
      </c>
      <c r="Q728" s="7">
        <f t="shared" si="7"/>
        <v>0</v>
      </c>
      <c r="R728" s="7">
        <f t="shared" si="8"/>
        <v>0.009932844674</v>
      </c>
      <c r="S728" s="7">
        <f t="shared" si="2"/>
        <v>0.9522741781</v>
      </c>
      <c r="T728" s="7">
        <f t="shared" si="3"/>
        <v>0.1004987562</v>
      </c>
      <c r="U728" s="7">
        <f t="shared" si="4"/>
        <v>0</v>
      </c>
      <c r="V728" s="7">
        <f t="shared" si="5"/>
        <v>0</v>
      </c>
      <c r="W728" s="7">
        <f t="shared" ref="W728:X728" si="1399">IF(AVERAGE(U668:U727) &gt; 0.25, 1, 0)</f>
        <v>0</v>
      </c>
      <c r="X728" s="7">
        <f t="shared" si="1399"/>
        <v>0</v>
      </c>
      <c r="Y728" s="8">
        <v>0.0</v>
      </c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</row>
    <row r="729" ht="22.5" customHeight="1">
      <c r="B729" s="6">
        <v>728.0</v>
      </c>
      <c r="C729" s="6">
        <v>26351.0</v>
      </c>
      <c r="D729" s="6">
        <v>1.23</v>
      </c>
      <c r="E729" s="6">
        <v>-0.2</v>
      </c>
      <c r="F729" s="6">
        <v>10.69</v>
      </c>
      <c r="G729" s="6">
        <v>-0.1</v>
      </c>
      <c r="H729" s="6">
        <v>0.0</v>
      </c>
      <c r="I729" s="6">
        <v>-0.01</v>
      </c>
      <c r="J729" s="6">
        <v>33.19</v>
      </c>
      <c r="K729" s="7">
        <f t="shared" ref="K729:P729" si="1400">abs(D729-D728)/200</f>
        <v>0</v>
      </c>
      <c r="L729" s="7">
        <f t="shared" si="1400"/>
        <v>0.00005</v>
      </c>
      <c r="M729" s="7">
        <f t="shared" si="1400"/>
        <v>0.00005</v>
      </c>
      <c r="N729" s="7">
        <f t="shared" si="1400"/>
        <v>0</v>
      </c>
      <c r="O729" s="7">
        <f t="shared" si="1400"/>
        <v>0</v>
      </c>
      <c r="P729" s="7">
        <f t="shared" si="1400"/>
        <v>0</v>
      </c>
      <c r="Q729" s="7">
        <f t="shared" si="7"/>
        <v>0</v>
      </c>
      <c r="R729" s="7">
        <f t="shared" si="8"/>
        <v>0.01011403275</v>
      </c>
      <c r="S729" s="7">
        <f t="shared" si="2"/>
        <v>0.9623882108</v>
      </c>
      <c r="T729" s="7">
        <f t="shared" si="3"/>
        <v>0.1004987562</v>
      </c>
      <c r="U729" s="7">
        <f t="shared" si="4"/>
        <v>0</v>
      </c>
      <c r="V729" s="7">
        <f t="shared" si="5"/>
        <v>0</v>
      </c>
      <c r="W729" s="7">
        <f t="shared" ref="W729:X729" si="1401">IF(AVERAGE(U669:U728) &gt; 0.25, 1, 0)</f>
        <v>0</v>
      </c>
      <c r="X729" s="7">
        <f t="shared" si="1401"/>
        <v>0</v>
      </c>
      <c r="Y729" s="8">
        <v>0.0</v>
      </c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</row>
    <row r="730" ht="22.5" customHeight="1">
      <c r="B730" s="6">
        <v>729.0</v>
      </c>
      <c r="C730" s="6">
        <v>26555.0</v>
      </c>
      <c r="D730" s="6">
        <v>1.23</v>
      </c>
      <c r="E730" s="6">
        <v>-0.21</v>
      </c>
      <c r="F730" s="6">
        <v>10.68</v>
      </c>
      <c r="G730" s="6">
        <v>-0.1</v>
      </c>
      <c r="H730" s="6">
        <v>0.0</v>
      </c>
      <c r="I730" s="6">
        <v>-0.01</v>
      </c>
      <c r="J730" s="6">
        <v>33.18</v>
      </c>
      <c r="K730" s="7">
        <f t="shared" ref="K730:P730" si="1402">abs(D730-D729)/200</f>
        <v>0</v>
      </c>
      <c r="L730" s="7">
        <f t="shared" si="1402"/>
        <v>0.00005</v>
      </c>
      <c r="M730" s="7">
        <f t="shared" si="1402"/>
        <v>0.00005</v>
      </c>
      <c r="N730" s="7">
        <f t="shared" si="1402"/>
        <v>0</v>
      </c>
      <c r="O730" s="7">
        <f t="shared" si="1402"/>
        <v>0</v>
      </c>
      <c r="P730" s="7">
        <f t="shared" si="1402"/>
        <v>0</v>
      </c>
      <c r="Q730" s="7">
        <f t="shared" si="7"/>
        <v>0</v>
      </c>
      <c r="R730" s="7">
        <f t="shared" si="8"/>
        <v>0.009742024862</v>
      </c>
      <c r="S730" s="7">
        <f t="shared" si="2"/>
        <v>0.9526461859</v>
      </c>
      <c r="T730" s="7">
        <f t="shared" si="3"/>
        <v>0.1004987562</v>
      </c>
      <c r="U730" s="7">
        <f t="shared" si="4"/>
        <v>0</v>
      </c>
      <c r="V730" s="7">
        <f t="shared" si="5"/>
        <v>0</v>
      </c>
      <c r="W730" s="7">
        <f t="shared" ref="W730:X730" si="1403">IF(AVERAGE(U670:U729) &gt; 0.25, 1, 0)</f>
        <v>0</v>
      </c>
      <c r="X730" s="7">
        <f t="shared" si="1403"/>
        <v>0</v>
      </c>
      <c r="Y730" s="8">
        <v>0.0</v>
      </c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</row>
    <row r="731" ht="22.5" customHeight="1">
      <c r="B731" s="6">
        <v>730.0</v>
      </c>
      <c r="C731" s="6">
        <v>26759.0</v>
      </c>
      <c r="D731" s="6">
        <v>1.22</v>
      </c>
      <c r="E731" s="6">
        <v>-0.21</v>
      </c>
      <c r="F731" s="6">
        <v>10.68</v>
      </c>
      <c r="G731" s="6">
        <v>-0.1</v>
      </c>
      <c r="H731" s="6">
        <v>0.0</v>
      </c>
      <c r="I731" s="6">
        <v>-0.01</v>
      </c>
      <c r="J731" s="6">
        <v>33.19</v>
      </c>
      <c r="K731" s="7">
        <f t="shared" ref="K731:P731" si="1404">abs(D731-D730)/200</f>
        <v>0.00005</v>
      </c>
      <c r="L731" s="7">
        <f t="shared" si="1404"/>
        <v>0</v>
      </c>
      <c r="M731" s="7">
        <f t="shared" si="1404"/>
        <v>0</v>
      </c>
      <c r="N731" s="7">
        <f t="shared" si="1404"/>
        <v>0</v>
      </c>
      <c r="O731" s="7">
        <f t="shared" si="1404"/>
        <v>0</v>
      </c>
      <c r="P731" s="7">
        <f t="shared" si="1404"/>
        <v>0</v>
      </c>
      <c r="Q731" s="7">
        <f t="shared" si="7"/>
        <v>0</v>
      </c>
      <c r="R731" s="7">
        <f t="shared" si="8"/>
        <v>0.001139314807</v>
      </c>
      <c r="S731" s="7">
        <f t="shared" si="2"/>
        <v>0.9515068711</v>
      </c>
      <c r="T731" s="7">
        <f t="shared" si="3"/>
        <v>0.1004987562</v>
      </c>
      <c r="U731" s="7">
        <f t="shared" si="4"/>
        <v>0</v>
      </c>
      <c r="V731" s="7">
        <f t="shared" si="5"/>
        <v>0</v>
      </c>
      <c r="W731" s="7">
        <f t="shared" ref="W731:X731" si="1405">IF(AVERAGE(U671:U730) &gt; 0.25, 1, 0)</f>
        <v>0</v>
      </c>
      <c r="X731" s="7">
        <f t="shared" si="1405"/>
        <v>0</v>
      </c>
      <c r="Y731" s="8">
        <v>0.0</v>
      </c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</row>
    <row r="732" ht="22.5" customHeight="1">
      <c r="B732" s="6">
        <v>731.0</v>
      </c>
      <c r="C732" s="6">
        <v>26963.0</v>
      </c>
      <c r="D732" s="6">
        <v>1.23</v>
      </c>
      <c r="E732" s="6">
        <v>-0.2</v>
      </c>
      <c r="F732" s="6">
        <v>10.69</v>
      </c>
      <c r="G732" s="6">
        <v>-0.1</v>
      </c>
      <c r="H732" s="6">
        <v>0.0</v>
      </c>
      <c r="I732" s="6">
        <v>-0.01</v>
      </c>
      <c r="J732" s="6">
        <v>33.2</v>
      </c>
      <c r="K732" s="7">
        <f t="shared" ref="K732:P732" si="1406">abs(D732-D731)/200</f>
        <v>0.00005</v>
      </c>
      <c r="L732" s="7">
        <f t="shared" si="1406"/>
        <v>0.00005</v>
      </c>
      <c r="M732" s="7">
        <f t="shared" si="1406"/>
        <v>0.00005</v>
      </c>
      <c r="N732" s="7">
        <f t="shared" si="1406"/>
        <v>0</v>
      </c>
      <c r="O732" s="7">
        <f t="shared" si="1406"/>
        <v>0</v>
      </c>
      <c r="P732" s="7">
        <f t="shared" si="1406"/>
        <v>0</v>
      </c>
      <c r="Q732" s="7">
        <f t="shared" si="7"/>
        <v>0</v>
      </c>
      <c r="R732" s="7">
        <f t="shared" si="8"/>
        <v>0.01088133967</v>
      </c>
      <c r="S732" s="7">
        <f t="shared" si="2"/>
        <v>0.9623882108</v>
      </c>
      <c r="T732" s="7">
        <f t="shared" si="3"/>
        <v>0.1004987562</v>
      </c>
      <c r="U732" s="7">
        <f t="shared" si="4"/>
        <v>0</v>
      </c>
      <c r="V732" s="7">
        <f t="shared" si="5"/>
        <v>0</v>
      </c>
      <c r="W732" s="7">
        <f t="shared" ref="W732:X732" si="1407">IF(AVERAGE(U672:U731) &gt; 0.25, 1, 0)</f>
        <v>0</v>
      </c>
      <c r="X732" s="7">
        <f t="shared" si="1407"/>
        <v>0</v>
      </c>
      <c r="Y732" s="8">
        <v>0.0</v>
      </c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</row>
    <row r="733" ht="22.5" customHeight="1">
      <c r="B733" s="6">
        <v>732.0</v>
      </c>
      <c r="C733" s="6">
        <v>27167.0</v>
      </c>
      <c r="D733" s="6">
        <v>1.23</v>
      </c>
      <c r="E733" s="6">
        <v>-0.2</v>
      </c>
      <c r="F733" s="6">
        <v>10.68</v>
      </c>
      <c r="G733" s="6">
        <v>-0.1</v>
      </c>
      <c r="H733" s="6">
        <v>0.0</v>
      </c>
      <c r="I733" s="6">
        <v>-0.01</v>
      </c>
      <c r="J733" s="6">
        <v>33.19</v>
      </c>
      <c r="K733" s="7">
        <f t="shared" ref="K733:P733" si="1408">abs(D733-D732)/200</f>
        <v>0</v>
      </c>
      <c r="L733" s="7">
        <f t="shared" si="1408"/>
        <v>0</v>
      </c>
      <c r="M733" s="7">
        <f t="shared" si="1408"/>
        <v>0.00005</v>
      </c>
      <c r="N733" s="7">
        <f t="shared" si="1408"/>
        <v>0</v>
      </c>
      <c r="O733" s="7">
        <f t="shared" si="1408"/>
        <v>0</v>
      </c>
      <c r="P733" s="7">
        <f t="shared" si="1408"/>
        <v>0</v>
      </c>
      <c r="Q733" s="7">
        <f t="shared" si="7"/>
        <v>0</v>
      </c>
      <c r="R733" s="7">
        <f t="shared" si="8"/>
        <v>0.009932677297</v>
      </c>
      <c r="S733" s="7">
        <f t="shared" si="2"/>
        <v>0.9524555335</v>
      </c>
      <c r="T733" s="7">
        <f t="shared" si="3"/>
        <v>0.1004987562</v>
      </c>
      <c r="U733" s="7">
        <f t="shared" si="4"/>
        <v>0</v>
      </c>
      <c r="V733" s="7">
        <f t="shared" si="5"/>
        <v>0</v>
      </c>
      <c r="W733" s="7">
        <f t="shared" ref="W733:X733" si="1409">IF(AVERAGE(U673:U732) &gt; 0.25, 1, 0)</f>
        <v>0</v>
      </c>
      <c r="X733" s="7">
        <f t="shared" si="1409"/>
        <v>0</v>
      </c>
      <c r="Y733" s="8">
        <v>0.0</v>
      </c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</row>
    <row r="734" ht="22.5" customHeight="1">
      <c r="B734" s="6">
        <v>733.0</v>
      </c>
      <c r="C734" s="6">
        <v>27371.0</v>
      </c>
      <c r="D734" s="6">
        <v>1.23</v>
      </c>
      <c r="E734" s="6">
        <v>-0.2</v>
      </c>
      <c r="F734" s="6">
        <v>10.67</v>
      </c>
      <c r="G734" s="6">
        <v>-0.1</v>
      </c>
      <c r="H734" s="6">
        <v>0.0</v>
      </c>
      <c r="I734" s="6">
        <v>-0.01</v>
      </c>
      <c r="J734" s="6">
        <v>33.19</v>
      </c>
      <c r="K734" s="7">
        <f t="shared" ref="K734:P734" si="1410">abs(D734-D733)/200</f>
        <v>0</v>
      </c>
      <c r="L734" s="7">
        <f t="shared" si="1410"/>
        <v>0</v>
      </c>
      <c r="M734" s="7">
        <f t="shared" si="1410"/>
        <v>0.00005</v>
      </c>
      <c r="N734" s="7">
        <f t="shared" si="1410"/>
        <v>0</v>
      </c>
      <c r="O734" s="7">
        <f t="shared" si="1410"/>
        <v>0</v>
      </c>
      <c r="P734" s="7">
        <f t="shared" si="1410"/>
        <v>0</v>
      </c>
      <c r="Q734" s="7">
        <f t="shared" si="7"/>
        <v>0</v>
      </c>
      <c r="R734" s="7">
        <f t="shared" si="8"/>
        <v>0.00993255238</v>
      </c>
      <c r="S734" s="7">
        <f t="shared" si="2"/>
        <v>0.9425229811</v>
      </c>
      <c r="T734" s="7">
        <f t="shared" si="3"/>
        <v>0.1004987562</v>
      </c>
      <c r="U734" s="7">
        <f t="shared" si="4"/>
        <v>0</v>
      </c>
      <c r="V734" s="7">
        <f t="shared" si="5"/>
        <v>0</v>
      </c>
      <c r="W734" s="7">
        <f t="shared" ref="W734:X734" si="1411">IF(AVERAGE(U674:U733) &gt; 0.25, 1, 0)</f>
        <v>0</v>
      </c>
      <c r="X734" s="7">
        <f t="shared" si="1411"/>
        <v>0</v>
      </c>
      <c r="Y734" s="8">
        <v>0.0</v>
      </c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</row>
    <row r="735" ht="22.5" customHeight="1">
      <c r="B735" s="6">
        <v>734.0</v>
      </c>
      <c r="C735" s="6">
        <v>27575.0</v>
      </c>
      <c r="D735" s="6">
        <v>1.23</v>
      </c>
      <c r="E735" s="6">
        <v>-0.2</v>
      </c>
      <c r="F735" s="6">
        <v>10.69</v>
      </c>
      <c r="G735" s="6">
        <v>-0.1</v>
      </c>
      <c r="H735" s="6">
        <v>0.0</v>
      </c>
      <c r="I735" s="6">
        <v>-0.01</v>
      </c>
      <c r="J735" s="6">
        <v>33.19</v>
      </c>
      <c r="K735" s="7">
        <f t="shared" ref="K735:P735" si="1412">abs(D735-D734)/200</f>
        <v>0</v>
      </c>
      <c r="L735" s="7">
        <f t="shared" si="1412"/>
        <v>0</v>
      </c>
      <c r="M735" s="7">
        <f t="shared" si="1412"/>
        <v>0.0001</v>
      </c>
      <c r="N735" s="7">
        <f t="shared" si="1412"/>
        <v>0</v>
      </c>
      <c r="O735" s="7">
        <f t="shared" si="1412"/>
        <v>0</v>
      </c>
      <c r="P735" s="7">
        <f t="shared" si="1412"/>
        <v>0</v>
      </c>
      <c r="Q735" s="7">
        <f t="shared" si="7"/>
        <v>0</v>
      </c>
      <c r="R735" s="7">
        <f t="shared" si="8"/>
        <v>0.01986522968</v>
      </c>
      <c r="S735" s="7">
        <f t="shared" si="2"/>
        <v>0.9623882108</v>
      </c>
      <c r="T735" s="7">
        <f t="shared" si="3"/>
        <v>0.1004987562</v>
      </c>
      <c r="U735" s="7">
        <f t="shared" si="4"/>
        <v>0</v>
      </c>
      <c r="V735" s="7">
        <f t="shared" si="5"/>
        <v>0</v>
      </c>
      <c r="W735" s="7">
        <f t="shared" ref="W735:X735" si="1413">IF(AVERAGE(U675:U734) &gt; 0.25, 1, 0)</f>
        <v>0</v>
      </c>
      <c r="X735" s="7">
        <f t="shared" si="1413"/>
        <v>0</v>
      </c>
      <c r="Y735" s="8">
        <v>0.0</v>
      </c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</row>
    <row r="736" ht="22.5" customHeight="1">
      <c r="B736" s="6">
        <v>735.0</v>
      </c>
      <c r="C736" s="6">
        <v>27779.0</v>
      </c>
      <c r="D736" s="6">
        <v>1.24</v>
      </c>
      <c r="E736" s="6">
        <v>-0.19</v>
      </c>
      <c r="F736" s="6">
        <v>10.67</v>
      </c>
      <c r="G736" s="6">
        <v>-0.1</v>
      </c>
      <c r="H736" s="6">
        <v>0.0</v>
      </c>
      <c r="I736" s="6">
        <v>-0.01</v>
      </c>
      <c r="J736" s="6">
        <v>33.19</v>
      </c>
      <c r="K736" s="7">
        <f t="shared" ref="K736:P736" si="1414">abs(D736-D735)/200</f>
        <v>0.00005</v>
      </c>
      <c r="L736" s="7">
        <f t="shared" si="1414"/>
        <v>0.00005</v>
      </c>
      <c r="M736" s="7">
        <f t="shared" si="1414"/>
        <v>0.0001</v>
      </c>
      <c r="N736" s="7">
        <f t="shared" si="1414"/>
        <v>0</v>
      </c>
      <c r="O736" s="7">
        <f t="shared" si="1414"/>
        <v>0</v>
      </c>
      <c r="P736" s="7">
        <f t="shared" si="1414"/>
        <v>0</v>
      </c>
      <c r="Q736" s="7">
        <f t="shared" si="7"/>
        <v>0</v>
      </c>
      <c r="R736" s="7">
        <f t="shared" si="8"/>
        <v>0.01889715808</v>
      </c>
      <c r="S736" s="7">
        <f t="shared" si="2"/>
        <v>0.9434910527</v>
      </c>
      <c r="T736" s="7">
        <f t="shared" si="3"/>
        <v>0.1004987562</v>
      </c>
      <c r="U736" s="7">
        <f t="shared" si="4"/>
        <v>0</v>
      </c>
      <c r="V736" s="7">
        <f t="shared" si="5"/>
        <v>0</v>
      </c>
      <c r="W736" s="7">
        <f t="shared" ref="W736:X736" si="1415">IF(AVERAGE(U676:U735) &gt; 0.25, 1, 0)</f>
        <v>0</v>
      </c>
      <c r="X736" s="7">
        <f t="shared" si="1415"/>
        <v>0</v>
      </c>
      <c r="Y736" s="8">
        <v>0.0</v>
      </c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</row>
    <row r="737" ht="22.5" customHeight="1">
      <c r="B737" s="6">
        <v>736.0</v>
      </c>
      <c r="C737" s="6">
        <v>27983.0</v>
      </c>
      <c r="D737" s="6">
        <v>1.24</v>
      </c>
      <c r="E737" s="6">
        <v>-0.2</v>
      </c>
      <c r="F737" s="6">
        <v>10.67</v>
      </c>
      <c r="G737" s="6">
        <v>-0.1</v>
      </c>
      <c r="H737" s="6">
        <v>0.0</v>
      </c>
      <c r="I737" s="6">
        <v>-0.01</v>
      </c>
      <c r="J737" s="6">
        <v>33.21</v>
      </c>
      <c r="K737" s="7">
        <f t="shared" ref="K737:P737" si="1416">abs(D737-D736)/200</f>
        <v>0</v>
      </c>
      <c r="L737" s="7">
        <f t="shared" si="1416"/>
        <v>0.00005</v>
      </c>
      <c r="M737" s="7">
        <f t="shared" si="1416"/>
        <v>0</v>
      </c>
      <c r="N737" s="7">
        <f t="shared" si="1416"/>
        <v>0</v>
      </c>
      <c r="O737" s="7">
        <f t="shared" si="1416"/>
        <v>0</v>
      </c>
      <c r="P737" s="7">
        <f t="shared" si="1416"/>
        <v>0</v>
      </c>
      <c r="Q737" s="7">
        <f t="shared" si="7"/>
        <v>0</v>
      </c>
      <c r="R737" s="7">
        <f t="shared" si="8"/>
        <v>0.0001815037141</v>
      </c>
      <c r="S737" s="7">
        <f t="shared" si="2"/>
        <v>0.9436725564</v>
      </c>
      <c r="T737" s="7">
        <f t="shared" si="3"/>
        <v>0.1004987562</v>
      </c>
      <c r="U737" s="7">
        <f t="shared" si="4"/>
        <v>0</v>
      </c>
      <c r="V737" s="7">
        <f t="shared" si="5"/>
        <v>0</v>
      </c>
      <c r="W737" s="7">
        <f t="shared" ref="W737:X737" si="1417">IF(AVERAGE(U677:U736) &gt; 0.25, 1, 0)</f>
        <v>0</v>
      </c>
      <c r="X737" s="7">
        <f t="shared" si="1417"/>
        <v>0</v>
      </c>
      <c r="Y737" s="8">
        <v>0.0</v>
      </c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</row>
    <row r="738" ht="22.5" customHeight="1">
      <c r="B738" s="6">
        <v>737.0</v>
      </c>
      <c r="C738" s="6">
        <v>28187.0</v>
      </c>
      <c r="D738" s="6">
        <v>1.24</v>
      </c>
      <c r="E738" s="6">
        <v>-0.2</v>
      </c>
      <c r="F738" s="6">
        <v>10.68</v>
      </c>
      <c r="G738" s="6">
        <v>-0.1</v>
      </c>
      <c r="H738" s="6">
        <v>0.0</v>
      </c>
      <c r="I738" s="6">
        <v>-0.01</v>
      </c>
      <c r="J738" s="6">
        <v>33.19</v>
      </c>
      <c r="K738" s="7">
        <f t="shared" ref="K738:P738" si="1418">abs(D738-D737)/200</f>
        <v>0</v>
      </c>
      <c r="L738" s="7">
        <f t="shared" si="1418"/>
        <v>0</v>
      </c>
      <c r="M738" s="7">
        <f t="shared" si="1418"/>
        <v>0.00005</v>
      </c>
      <c r="N738" s="7">
        <f t="shared" si="1418"/>
        <v>0</v>
      </c>
      <c r="O738" s="7">
        <f t="shared" si="1418"/>
        <v>0</v>
      </c>
      <c r="P738" s="7">
        <f t="shared" si="1418"/>
        <v>0</v>
      </c>
      <c r="Q738" s="7">
        <f t="shared" si="7"/>
        <v>0</v>
      </c>
      <c r="R738" s="7">
        <f t="shared" si="8"/>
        <v>0.009931490576</v>
      </c>
      <c r="S738" s="7">
        <f t="shared" si="2"/>
        <v>0.953604047</v>
      </c>
      <c r="T738" s="7">
        <f t="shared" si="3"/>
        <v>0.1004987562</v>
      </c>
      <c r="U738" s="7">
        <f t="shared" si="4"/>
        <v>0</v>
      </c>
      <c r="V738" s="7">
        <f t="shared" si="5"/>
        <v>0</v>
      </c>
      <c r="W738" s="7">
        <f t="shared" ref="W738:X738" si="1419">IF(AVERAGE(U678:U737) &gt; 0.25, 1, 0)</f>
        <v>0</v>
      </c>
      <c r="X738" s="7">
        <f t="shared" si="1419"/>
        <v>0</v>
      </c>
      <c r="Y738" s="8">
        <v>0.0</v>
      </c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</row>
    <row r="739" ht="22.5" customHeight="1">
      <c r="B739" s="6">
        <v>738.0</v>
      </c>
      <c r="C739" s="6">
        <v>28391.0</v>
      </c>
      <c r="D739" s="6">
        <v>1.23</v>
      </c>
      <c r="E739" s="6">
        <v>-0.2</v>
      </c>
      <c r="F739" s="6">
        <v>10.69</v>
      </c>
      <c r="G739" s="6">
        <v>-0.1</v>
      </c>
      <c r="H739" s="6">
        <v>0.0</v>
      </c>
      <c r="I739" s="6">
        <v>-0.01</v>
      </c>
      <c r="J739" s="6">
        <v>33.19</v>
      </c>
      <c r="K739" s="7">
        <f t="shared" ref="K739:P739" si="1420">abs(D739-D738)/200</f>
        <v>0.00005</v>
      </c>
      <c r="L739" s="7">
        <f t="shared" si="1420"/>
        <v>0</v>
      </c>
      <c r="M739" s="7">
        <f t="shared" si="1420"/>
        <v>0.00005</v>
      </c>
      <c r="N739" s="7">
        <f t="shared" si="1420"/>
        <v>0</v>
      </c>
      <c r="O739" s="7">
        <f t="shared" si="1420"/>
        <v>0</v>
      </c>
      <c r="P739" s="7">
        <f t="shared" si="1420"/>
        <v>0</v>
      </c>
      <c r="Q739" s="7">
        <f t="shared" si="7"/>
        <v>0</v>
      </c>
      <c r="R739" s="7">
        <f t="shared" si="8"/>
        <v>0.008784163785</v>
      </c>
      <c r="S739" s="7">
        <f t="shared" si="2"/>
        <v>0.9623882108</v>
      </c>
      <c r="T739" s="7">
        <f t="shared" si="3"/>
        <v>0.1004987562</v>
      </c>
      <c r="U739" s="7">
        <f t="shared" si="4"/>
        <v>0</v>
      </c>
      <c r="V739" s="7">
        <f t="shared" si="5"/>
        <v>0</v>
      </c>
      <c r="W739" s="7">
        <f t="shared" ref="W739:X739" si="1421">IF(AVERAGE(U679:U738) &gt; 0.25, 1, 0)</f>
        <v>0</v>
      </c>
      <c r="X739" s="7">
        <f t="shared" si="1421"/>
        <v>0</v>
      </c>
      <c r="Y739" s="8">
        <v>0.0</v>
      </c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</row>
    <row r="740" ht="22.5" customHeight="1">
      <c r="B740" s="6">
        <v>739.0</v>
      </c>
      <c r="C740" s="6">
        <v>28595.0</v>
      </c>
      <c r="D740" s="6">
        <v>1.23</v>
      </c>
      <c r="E740" s="6">
        <v>-0.21</v>
      </c>
      <c r="F740" s="6">
        <v>10.69</v>
      </c>
      <c r="G740" s="6">
        <v>-0.1</v>
      </c>
      <c r="H740" s="6">
        <v>0.0</v>
      </c>
      <c r="I740" s="6">
        <v>-0.01</v>
      </c>
      <c r="J740" s="6">
        <v>33.19</v>
      </c>
      <c r="K740" s="7">
        <f t="shared" ref="K740:P740" si="1422">abs(D740-D739)/200</f>
        <v>0</v>
      </c>
      <c r="L740" s="7">
        <f t="shared" si="1422"/>
        <v>0.00005</v>
      </c>
      <c r="M740" s="7">
        <f t="shared" si="1422"/>
        <v>0</v>
      </c>
      <c r="N740" s="7">
        <f t="shared" si="1422"/>
        <v>0</v>
      </c>
      <c r="O740" s="7">
        <f t="shared" si="1422"/>
        <v>0</v>
      </c>
      <c r="P740" s="7">
        <f t="shared" si="1422"/>
        <v>0</v>
      </c>
      <c r="Q740" s="7">
        <f t="shared" si="7"/>
        <v>0</v>
      </c>
      <c r="R740" s="7">
        <f t="shared" si="8"/>
        <v>0.0001904764834</v>
      </c>
      <c r="S740" s="7">
        <f t="shared" si="2"/>
        <v>0.9625786873</v>
      </c>
      <c r="T740" s="7">
        <f t="shared" si="3"/>
        <v>0.1004987562</v>
      </c>
      <c r="U740" s="7">
        <f t="shared" si="4"/>
        <v>0</v>
      </c>
      <c r="V740" s="7">
        <f t="shared" si="5"/>
        <v>0</v>
      </c>
      <c r="W740" s="7">
        <f t="shared" ref="W740:X740" si="1423">IF(AVERAGE(U680:U739) &gt; 0.25, 1, 0)</f>
        <v>0</v>
      </c>
      <c r="X740" s="7">
        <f t="shared" si="1423"/>
        <v>0</v>
      </c>
      <c r="Y740" s="8">
        <v>0.0</v>
      </c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</row>
    <row r="741" ht="22.5" customHeight="1">
      <c r="B741" s="6">
        <v>740.0</v>
      </c>
      <c r="C741" s="6">
        <v>28799.0</v>
      </c>
      <c r="D741" s="6">
        <v>1.24</v>
      </c>
      <c r="E741" s="6">
        <v>-0.21</v>
      </c>
      <c r="F741" s="6">
        <v>10.69</v>
      </c>
      <c r="G741" s="6">
        <v>-0.1</v>
      </c>
      <c r="H741" s="6">
        <v>0.0</v>
      </c>
      <c r="I741" s="6">
        <v>-0.01</v>
      </c>
      <c r="J741" s="6">
        <v>33.21</v>
      </c>
      <c r="K741" s="7">
        <f t="shared" ref="K741:P741" si="1424">abs(D741-D740)/200</f>
        <v>0.00005</v>
      </c>
      <c r="L741" s="7">
        <f t="shared" si="1424"/>
        <v>0</v>
      </c>
      <c r="M741" s="7">
        <f t="shared" si="1424"/>
        <v>0</v>
      </c>
      <c r="N741" s="7">
        <f t="shared" si="1424"/>
        <v>0</v>
      </c>
      <c r="O741" s="7">
        <f t="shared" si="1424"/>
        <v>0</v>
      </c>
      <c r="P741" s="7">
        <f t="shared" si="1424"/>
        <v>0</v>
      </c>
      <c r="Q741" s="7">
        <f t="shared" si="7"/>
        <v>0</v>
      </c>
      <c r="R741" s="7">
        <f t="shared" si="8"/>
        <v>0.001147433348</v>
      </c>
      <c r="S741" s="7">
        <f t="shared" si="2"/>
        <v>0.9637261206</v>
      </c>
      <c r="T741" s="7">
        <f t="shared" si="3"/>
        <v>0.1004987562</v>
      </c>
      <c r="U741" s="7">
        <f t="shared" si="4"/>
        <v>0</v>
      </c>
      <c r="V741" s="7">
        <f t="shared" si="5"/>
        <v>0</v>
      </c>
      <c r="W741" s="7">
        <f t="shared" ref="W741:X741" si="1425">IF(AVERAGE(U681:U740) &gt; 0.25, 1, 0)</f>
        <v>0</v>
      </c>
      <c r="X741" s="7">
        <f t="shared" si="1425"/>
        <v>0</v>
      </c>
      <c r="Y741" s="8">
        <v>0.0</v>
      </c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</row>
    <row r="742" ht="22.5" customHeight="1">
      <c r="B742" s="6">
        <v>741.0</v>
      </c>
      <c r="C742" s="6">
        <v>29003.0</v>
      </c>
      <c r="D742" s="6">
        <v>1.24</v>
      </c>
      <c r="E742" s="6">
        <v>-0.2</v>
      </c>
      <c r="F742" s="6">
        <v>10.69</v>
      </c>
      <c r="G742" s="6">
        <v>-0.1</v>
      </c>
      <c r="H742" s="6">
        <v>0.0</v>
      </c>
      <c r="I742" s="6">
        <v>-0.01</v>
      </c>
      <c r="J742" s="6">
        <v>33.2</v>
      </c>
      <c r="K742" s="7">
        <f t="shared" ref="K742:P742" si="1426">abs(D742-D741)/200</f>
        <v>0</v>
      </c>
      <c r="L742" s="7">
        <f t="shared" si="1426"/>
        <v>0.00005</v>
      </c>
      <c r="M742" s="7">
        <f t="shared" si="1426"/>
        <v>0</v>
      </c>
      <c r="N742" s="7">
        <f t="shared" si="1426"/>
        <v>0</v>
      </c>
      <c r="O742" s="7">
        <f t="shared" si="1426"/>
        <v>0</v>
      </c>
      <c r="P742" s="7">
        <f t="shared" si="1426"/>
        <v>0</v>
      </c>
      <c r="Q742" s="7">
        <f t="shared" si="7"/>
        <v>0</v>
      </c>
      <c r="R742" s="7">
        <f t="shared" si="8"/>
        <v>0.0001904561779</v>
      </c>
      <c r="S742" s="7">
        <f t="shared" si="2"/>
        <v>0.9635356645</v>
      </c>
      <c r="T742" s="7">
        <f t="shared" si="3"/>
        <v>0.1004987562</v>
      </c>
      <c r="U742" s="7">
        <f t="shared" si="4"/>
        <v>0</v>
      </c>
      <c r="V742" s="7">
        <f t="shared" si="5"/>
        <v>0</v>
      </c>
      <c r="W742" s="7">
        <f t="shared" ref="W742:X742" si="1427">IF(AVERAGE(U682:U741) &gt; 0.25, 1, 0)</f>
        <v>0</v>
      </c>
      <c r="X742" s="7">
        <f t="shared" si="1427"/>
        <v>0</v>
      </c>
      <c r="Y742" s="8">
        <v>0.0</v>
      </c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</row>
    <row r="743" ht="22.5" customHeight="1">
      <c r="B743" s="6">
        <v>742.0</v>
      </c>
      <c r="C743" s="6">
        <v>29207.0</v>
      </c>
      <c r="D743" s="6">
        <v>1.23</v>
      </c>
      <c r="E743" s="6">
        <v>-0.2</v>
      </c>
      <c r="F743" s="6">
        <v>10.68</v>
      </c>
      <c r="G743" s="6">
        <v>-0.1</v>
      </c>
      <c r="H743" s="6">
        <v>0.0</v>
      </c>
      <c r="I743" s="6">
        <v>-0.01</v>
      </c>
      <c r="J743" s="6">
        <v>33.19</v>
      </c>
      <c r="K743" s="7">
        <f t="shared" ref="K743:P743" si="1428">abs(D743-D742)/200</f>
        <v>0.00005</v>
      </c>
      <c r="L743" s="7">
        <f t="shared" si="1428"/>
        <v>0</v>
      </c>
      <c r="M743" s="7">
        <f t="shared" si="1428"/>
        <v>0.00005</v>
      </c>
      <c r="N743" s="7">
        <f t="shared" si="1428"/>
        <v>0</v>
      </c>
      <c r="O743" s="7">
        <f t="shared" si="1428"/>
        <v>0</v>
      </c>
      <c r="P743" s="7">
        <f t="shared" si="1428"/>
        <v>0</v>
      </c>
      <c r="Q743" s="7">
        <f t="shared" si="7"/>
        <v>0</v>
      </c>
      <c r="R743" s="7">
        <f t="shared" si="8"/>
        <v>0.01108013095</v>
      </c>
      <c r="S743" s="7">
        <f t="shared" si="2"/>
        <v>0.9524555335</v>
      </c>
      <c r="T743" s="7">
        <f t="shared" si="3"/>
        <v>0.1004987562</v>
      </c>
      <c r="U743" s="7">
        <f t="shared" si="4"/>
        <v>0</v>
      </c>
      <c r="V743" s="7">
        <f t="shared" si="5"/>
        <v>0</v>
      </c>
      <c r="W743" s="7">
        <f t="shared" ref="W743:X743" si="1429">IF(AVERAGE(U683:U742) &gt; 0.25, 1, 0)</f>
        <v>0</v>
      </c>
      <c r="X743" s="7">
        <f t="shared" si="1429"/>
        <v>0</v>
      </c>
      <c r="Y743" s="8">
        <v>0.0</v>
      </c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</row>
    <row r="744" ht="22.5" customHeight="1">
      <c r="B744" s="6">
        <v>743.0</v>
      </c>
      <c r="C744" s="6">
        <v>29411.0</v>
      </c>
      <c r="D744" s="6">
        <v>1.23</v>
      </c>
      <c r="E744" s="6">
        <v>-0.2</v>
      </c>
      <c r="F744" s="6">
        <v>10.68</v>
      </c>
      <c r="G744" s="6">
        <v>-0.1</v>
      </c>
      <c r="H744" s="6">
        <v>0.0</v>
      </c>
      <c r="I744" s="6">
        <v>-0.01</v>
      </c>
      <c r="J744" s="6">
        <v>33.2</v>
      </c>
      <c r="K744" s="7">
        <f t="shared" ref="K744:P744" si="1430">abs(D744-D743)/200</f>
        <v>0</v>
      </c>
      <c r="L744" s="7">
        <f t="shared" si="1430"/>
        <v>0</v>
      </c>
      <c r="M744" s="7">
        <f t="shared" si="1430"/>
        <v>0</v>
      </c>
      <c r="N744" s="7">
        <f t="shared" si="1430"/>
        <v>0</v>
      </c>
      <c r="O744" s="7">
        <f t="shared" si="1430"/>
        <v>0</v>
      </c>
      <c r="P744" s="7">
        <f t="shared" si="1430"/>
        <v>0</v>
      </c>
      <c r="Q744" s="7">
        <f t="shared" si="7"/>
        <v>0</v>
      </c>
      <c r="R744" s="7">
        <f t="shared" si="8"/>
        <v>0</v>
      </c>
      <c r="S744" s="7">
        <f t="shared" si="2"/>
        <v>0.9524555335</v>
      </c>
      <c r="T744" s="7">
        <f t="shared" si="3"/>
        <v>0.1004987562</v>
      </c>
      <c r="U744" s="7">
        <f t="shared" si="4"/>
        <v>0</v>
      </c>
      <c r="V744" s="7">
        <f t="shared" si="5"/>
        <v>0</v>
      </c>
      <c r="W744" s="7">
        <f t="shared" ref="W744:X744" si="1431">IF(AVERAGE(U684:U743) &gt; 0.25, 1, 0)</f>
        <v>0</v>
      </c>
      <c r="X744" s="7">
        <f t="shared" si="1431"/>
        <v>0</v>
      </c>
      <c r="Y744" s="8">
        <v>0.0</v>
      </c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</row>
    <row r="745" ht="22.5" customHeight="1">
      <c r="B745" s="6">
        <v>744.0</v>
      </c>
      <c r="C745" s="6">
        <v>29615.0</v>
      </c>
      <c r="D745" s="6">
        <v>1.23</v>
      </c>
      <c r="E745" s="6">
        <v>-0.2</v>
      </c>
      <c r="F745" s="6">
        <v>10.68</v>
      </c>
      <c r="G745" s="6">
        <v>-0.1</v>
      </c>
      <c r="H745" s="6">
        <v>0.0</v>
      </c>
      <c r="I745" s="6">
        <v>-0.01</v>
      </c>
      <c r="J745" s="6">
        <v>33.2</v>
      </c>
      <c r="K745" s="7">
        <f t="shared" ref="K745:P745" si="1432">abs(D745-D744)/200</f>
        <v>0</v>
      </c>
      <c r="L745" s="7">
        <f t="shared" si="1432"/>
        <v>0</v>
      </c>
      <c r="M745" s="7">
        <f t="shared" si="1432"/>
        <v>0</v>
      </c>
      <c r="N745" s="7">
        <f t="shared" si="1432"/>
        <v>0</v>
      </c>
      <c r="O745" s="7">
        <f t="shared" si="1432"/>
        <v>0</v>
      </c>
      <c r="P745" s="7">
        <f t="shared" si="1432"/>
        <v>0</v>
      </c>
      <c r="Q745" s="7">
        <f t="shared" si="7"/>
        <v>0</v>
      </c>
      <c r="R745" s="7">
        <f t="shared" si="8"/>
        <v>0</v>
      </c>
      <c r="S745" s="7">
        <f t="shared" si="2"/>
        <v>0.9524555335</v>
      </c>
      <c r="T745" s="7">
        <f t="shared" si="3"/>
        <v>0.1004987562</v>
      </c>
      <c r="U745" s="7">
        <f t="shared" si="4"/>
        <v>0</v>
      </c>
      <c r="V745" s="7">
        <f t="shared" si="5"/>
        <v>0</v>
      </c>
      <c r="W745" s="7">
        <f t="shared" ref="W745:X745" si="1433">IF(AVERAGE(U685:U744) &gt; 0.25, 1, 0)</f>
        <v>0</v>
      </c>
      <c r="X745" s="7">
        <f t="shared" si="1433"/>
        <v>0</v>
      </c>
      <c r="Y745" s="8">
        <v>0.0</v>
      </c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</row>
    <row r="746" ht="22.5" customHeight="1">
      <c r="B746" s="6">
        <v>745.0</v>
      </c>
      <c r="C746" s="6">
        <v>29819.0</v>
      </c>
      <c r="D746" s="6">
        <v>1.24</v>
      </c>
      <c r="E746" s="6">
        <v>-0.21</v>
      </c>
      <c r="F746" s="6">
        <v>10.67</v>
      </c>
      <c r="G746" s="6">
        <v>-0.1</v>
      </c>
      <c r="H746" s="6">
        <v>0.0</v>
      </c>
      <c r="I746" s="6">
        <v>-0.01</v>
      </c>
      <c r="J746" s="6">
        <v>33.2</v>
      </c>
      <c r="K746" s="7">
        <f t="shared" ref="K746:P746" si="1434">abs(D746-D745)/200</f>
        <v>0.00005</v>
      </c>
      <c r="L746" s="7">
        <f t="shared" si="1434"/>
        <v>0.00005</v>
      </c>
      <c r="M746" s="7">
        <f t="shared" si="1434"/>
        <v>0.00005</v>
      </c>
      <c r="N746" s="7">
        <f t="shared" si="1434"/>
        <v>0</v>
      </c>
      <c r="O746" s="7">
        <f t="shared" si="1434"/>
        <v>0</v>
      </c>
      <c r="P746" s="7">
        <f t="shared" si="1434"/>
        <v>0</v>
      </c>
      <c r="Q746" s="7">
        <f t="shared" si="7"/>
        <v>0</v>
      </c>
      <c r="R746" s="7">
        <f t="shared" si="8"/>
        <v>0.008592168774</v>
      </c>
      <c r="S746" s="7">
        <f t="shared" si="2"/>
        <v>0.9438633647</v>
      </c>
      <c r="T746" s="7">
        <f t="shared" si="3"/>
        <v>0.1004987562</v>
      </c>
      <c r="U746" s="7">
        <f t="shared" si="4"/>
        <v>0</v>
      </c>
      <c r="V746" s="7">
        <f t="shared" si="5"/>
        <v>0</v>
      </c>
      <c r="W746" s="7">
        <f t="shared" ref="W746:X746" si="1435">IF(AVERAGE(U686:U745) &gt; 0.25, 1, 0)</f>
        <v>0</v>
      </c>
      <c r="X746" s="7">
        <f t="shared" si="1435"/>
        <v>0</v>
      </c>
      <c r="Y746" s="8">
        <v>0.0</v>
      </c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</row>
    <row r="747" ht="22.5" customHeight="1">
      <c r="B747" s="6">
        <v>746.0</v>
      </c>
      <c r="C747" s="6">
        <v>30023.0</v>
      </c>
      <c r="D747" s="6">
        <v>1.23</v>
      </c>
      <c r="E747" s="6">
        <v>-0.2</v>
      </c>
      <c r="F747" s="6">
        <v>10.68</v>
      </c>
      <c r="G747" s="6">
        <v>-0.1</v>
      </c>
      <c r="H747" s="6">
        <v>0.0</v>
      </c>
      <c r="I747" s="6">
        <v>-0.01</v>
      </c>
      <c r="J747" s="6">
        <v>33.2</v>
      </c>
      <c r="K747" s="7">
        <f t="shared" ref="K747:P747" si="1436">abs(D747-D746)/200</f>
        <v>0.00005</v>
      </c>
      <c r="L747" s="7">
        <f t="shared" si="1436"/>
        <v>0.00005</v>
      </c>
      <c r="M747" s="7">
        <f t="shared" si="1436"/>
        <v>0.00005</v>
      </c>
      <c r="N747" s="7">
        <f t="shared" si="1436"/>
        <v>0</v>
      </c>
      <c r="O747" s="7">
        <f t="shared" si="1436"/>
        <v>0</v>
      </c>
      <c r="P747" s="7">
        <f t="shared" si="1436"/>
        <v>0</v>
      </c>
      <c r="Q747" s="7">
        <f t="shared" si="7"/>
        <v>0</v>
      </c>
      <c r="R747" s="7">
        <f t="shared" si="8"/>
        <v>0.008592168774</v>
      </c>
      <c r="S747" s="7">
        <f t="shared" si="2"/>
        <v>0.9524555335</v>
      </c>
      <c r="T747" s="7">
        <f t="shared" si="3"/>
        <v>0.1004987562</v>
      </c>
      <c r="U747" s="7">
        <f t="shared" si="4"/>
        <v>0</v>
      </c>
      <c r="V747" s="7">
        <f t="shared" si="5"/>
        <v>0</v>
      </c>
      <c r="W747" s="7">
        <f t="shared" ref="W747:X747" si="1437">IF(AVERAGE(U687:U746) &gt; 0.25, 1, 0)</f>
        <v>0</v>
      </c>
      <c r="X747" s="7">
        <f t="shared" si="1437"/>
        <v>0</v>
      </c>
      <c r="Y747" s="8">
        <v>0.0</v>
      </c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</row>
    <row r="748" ht="22.5" customHeight="1">
      <c r="B748" s="6">
        <v>747.0</v>
      </c>
      <c r="C748" s="6">
        <v>30227.0</v>
      </c>
      <c r="D748" s="6">
        <v>1.24</v>
      </c>
      <c r="E748" s="6">
        <v>-0.2</v>
      </c>
      <c r="F748" s="6">
        <v>10.68</v>
      </c>
      <c r="G748" s="6">
        <v>-0.1</v>
      </c>
      <c r="H748" s="6">
        <v>0.0</v>
      </c>
      <c r="I748" s="6">
        <v>-0.01</v>
      </c>
      <c r="J748" s="6">
        <v>33.19</v>
      </c>
      <c r="K748" s="7">
        <f t="shared" ref="K748:P748" si="1438">abs(D748-D747)/200</f>
        <v>0.00005</v>
      </c>
      <c r="L748" s="7">
        <f t="shared" si="1438"/>
        <v>0</v>
      </c>
      <c r="M748" s="7">
        <f t="shared" si="1438"/>
        <v>0</v>
      </c>
      <c r="N748" s="7">
        <f t="shared" si="1438"/>
        <v>0</v>
      </c>
      <c r="O748" s="7">
        <f t="shared" si="1438"/>
        <v>0</v>
      </c>
      <c r="P748" s="7">
        <f t="shared" si="1438"/>
        <v>0</v>
      </c>
      <c r="Q748" s="7">
        <f t="shared" si="7"/>
        <v>0</v>
      </c>
      <c r="R748" s="7">
        <f t="shared" si="8"/>
        <v>0.001148513511</v>
      </c>
      <c r="S748" s="7">
        <f t="shared" si="2"/>
        <v>0.953604047</v>
      </c>
      <c r="T748" s="7">
        <f t="shared" si="3"/>
        <v>0.1004987562</v>
      </c>
      <c r="U748" s="7">
        <f t="shared" si="4"/>
        <v>0</v>
      </c>
      <c r="V748" s="7">
        <f t="shared" si="5"/>
        <v>0</v>
      </c>
      <c r="W748" s="7">
        <f t="shared" ref="W748:X748" si="1439">IF(AVERAGE(U688:U747) &gt; 0.25, 1, 0)</f>
        <v>0</v>
      </c>
      <c r="X748" s="7">
        <f t="shared" si="1439"/>
        <v>0</v>
      </c>
      <c r="Y748" s="8">
        <v>0.0</v>
      </c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</row>
    <row r="749" ht="22.5" customHeight="1">
      <c r="B749" s="6">
        <v>748.0</v>
      </c>
      <c r="C749" s="6">
        <v>30431.0</v>
      </c>
      <c r="D749" s="6">
        <v>1.22</v>
      </c>
      <c r="E749" s="6">
        <v>-0.2</v>
      </c>
      <c r="F749" s="6">
        <v>10.69</v>
      </c>
      <c r="G749" s="6">
        <v>-0.1</v>
      </c>
      <c r="H749" s="6">
        <v>0.0</v>
      </c>
      <c r="I749" s="6">
        <v>-0.01</v>
      </c>
      <c r="J749" s="6">
        <v>33.2</v>
      </c>
      <c r="K749" s="7">
        <f t="shared" ref="K749:P749" si="1440">abs(D749-D748)/200</f>
        <v>0.0001</v>
      </c>
      <c r="L749" s="7">
        <f t="shared" si="1440"/>
        <v>0</v>
      </c>
      <c r="M749" s="7">
        <f t="shared" si="1440"/>
        <v>0.00005</v>
      </c>
      <c r="N749" s="7">
        <f t="shared" si="1440"/>
        <v>0</v>
      </c>
      <c r="O749" s="7">
        <f t="shared" si="1440"/>
        <v>0</v>
      </c>
      <c r="P749" s="7">
        <f t="shared" si="1440"/>
        <v>0</v>
      </c>
      <c r="Q749" s="7">
        <f t="shared" si="7"/>
        <v>0</v>
      </c>
      <c r="R749" s="7">
        <f t="shared" si="8"/>
        <v>0.007645880386</v>
      </c>
      <c r="S749" s="7">
        <f t="shared" si="2"/>
        <v>0.9612499274</v>
      </c>
      <c r="T749" s="7">
        <f t="shared" si="3"/>
        <v>0.1004987562</v>
      </c>
      <c r="U749" s="7">
        <f t="shared" si="4"/>
        <v>0</v>
      </c>
      <c r="V749" s="7">
        <f t="shared" si="5"/>
        <v>0</v>
      </c>
      <c r="W749" s="7">
        <f t="shared" ref="W749:X749" si="1441">IF(AVERAGE(U689:U748) &gt; 0.25, 1, 0)</f>
        <v>0</v>
      </c>
      <c r="X749" s="7">
        <f t="shared" si="1441"/>
        <v>0</v>
      </c>
      <c r="Y749" s="8">
        <v>0.0</v>
      </c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</row>
    <row r="750" ht="22.5" customHeight="1">
      <c r="B750" s="6">
        <v>749.0</v>
      </c>
      <c r="C750" s="6">
        <v>30635.0</v>
      </c>
      <c r="D750" s="6">
        <v>1.23</v>
      </c>
      <c r="E750" s="6">
        <v>-0.2</v>
      </c>
      <c r="F750" s="6">
        <v>10.68</v>
      </c>
      <c r="G750" s="6">
        <v>-0.1</v>
      </c>
      <c r="H750" s="6">
        <v>0.0</v>
      </c>
      <c r="I750" s="6">
        <v>-0.01</v>
      </c>
      <c r="J750" s="6">
        <v>33.19</v>
      </c>
      <c r="K750" s="7">
        <f t="shared" ref="K750:P750" si="1442">abs(D750-D749)/200</f>
        <v>0.00005</v>
      </c>
      <c r="L750" s="7">
        <f t="shared" si="1442"/>
        <v>0</v>
      </c>
      <c r="M750" s="7">
        <f t="shared" si="1442"/>
        <v>0.00005</v>
      </c>
      <c r="N750" s="7">
        <f t="shared" si="1442"/>
        <v>0</v>
      </c>
      <c r="O750" s="7">
        <f t="shared" si="1442"/>
        <v>0</v>
      </c>
      <c r="P750" s="7">
        <f t="shared" si="1442"/>
        <v>0</v>
      </c>
      <c r="Q750" s="7">
        <f t="shared" si="7"/>
        <v>0</v>
      </c>
      <c r="R750" s="7">
        <f t="shared" si="8"/>
        <v>0.008794393897</v>
      </c>
      <c r="S750" s="7">
        <f t="shared" si="2"/>
        <v>0.9524555335</v>
      </c>
      <c r="T750" s="7">
        <f t="shared" si="3"/>
        <v>0.1004987562</v>
      </c>
      <c r="U750" s="7">
        <f t="shared" si="4"/>
        <v>0</v>
      </c>
      <c r="V750" s="7">
        <f t="shared" si="5"/>
        <v>0</v>
      </c>
      <c r="W750" s="7">
        <f t="shared" ref="W750:X750" si="1443">IF(AVERAGE(U690:U749) &gt; 0.25, 1, 0)</f>
        <v>0</v>
      </c>
      <c r="X750" s="7">
        <f t="shared" si="1443"/>
        <v>0</v>
      </c>
      <c r="Y750" s="8">
        <v>0.0</v>
      </c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</row>
    <row r="751" ht="22.5" customHeight="1">
      <c r="B751" s="6">
        <v>750.0</v>
      </c>
      <c r="C751" s="6">
        <v>30839.0</v>
      </c>
      <c r="D751" s="6">
        <v>1.23</v>
      </c>
      <c r="E751" s="6">
        <v>-0.19</v>
      </c>
      <c r="F751" s="6">
        <v>10.68</v>
      </c>
      <c r="G751" s="6">
        <v>-0.1</v>
      </c>
      <c r="H751" s="6">
        <v>0.0</v>
      </c>
      <c r="I751" s="6">
        <v>-0.01</v>
      </c>
      <c r="J751" s="6">
        <v>33.19</v>
      </c>
      <c r="K751" s="7">
        <f t="shared" ref="K751:P751" si="1444">abs(D751-D750)/200</f>
        <v>0</v>
      </c>
      <c r="L751" s="7">
        <f t="shared" si="1444"/>
        <v>0.00005</v>
      </c>
      <c r="M751" s="7">
        <f t="shared" si="1444"/>
        <v>0</v>
      </c>
      <c r="N751" s="7">
        <f t="shared" si="1444"/>
        <v>0</v>
      </c>
      <c r="O751" s="7">
        <f t="shared" si="1444"/>
        <v>0</v>
      </c>
      <c r="P751" s="7">
        <f t="shared" si="1444"/>
        <v>0</v>
      </c>
      <c r="Q751" s="7">
        <f t="shared" si="7"/>
        <v>0</v>
      </c>
      <c r="R751" s="7">
        <f t="shared" si="8"/>
        <v>0.0001813554531</v>
      </c>
      <c r="S751" s="7">
        <f t="shared" si="2"/>
        <v>0.9522741781</v>
      </c>
      <c r="T751" s="7">
        <f t="shared" si="3"/>
        <v>0.1004987562</v>
      </c>
      <c r="U751" s="7">
        <f t="shared" si="4"/>
        <v>0</v>
      </c>
      <c r="V751" s="7">
        <f t="shared" si="5"/>
        <v>0</v>
      </c>
      <c r="W751" s="7">
        <f t="shared" ref="W751:X751" si="1445">IF(AVERAGE(U691:U750) &gt; 0.25, 1, 0)</f>
        <v>0</v>
      </c>
      <c r="X751" s="7">
        <f t="shared" si="1445"/>
        <v>0</v>
      </c>
      <c r="Y751" s="8">
        <v>0.0</v>
      </c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</row>
    <row r="752" ht="22.5" customHeight="1">
      <c r="B752" s="6">
        <v>751.0</v>
      </c>
      <c r="C752" s="6">
        <v>31043.0</v>
      </c>
      <c r="D752" s="6">
        <v>1.24</v>
      </c>
      <c r="E752" s="6">
        <v>-0.19</v>
      </c>
      <c r="F752" s="6">
        <v>10.69</v>
      </c>
      <c r="G752" s="6">
        <v>-0.1</v>
      </c>
      <c r="H752" s="6">
        <v>0.0</v>
      </c>
      <c r="I752" s="6">
        <v>-0.01</v>
      </c>
      <c r="J752" s="6">
        <v>33.19</v>
      </c>
      <c r="K752" s="7">
        <f t="shared" ref="K752:P752" si="1446">abs(D752-D751)/200</f>
        <v>0.00005</v>
      </c>
      <c r="L752" s="7">
        <f t="shared" si="1446"/>
        <v>0</v>
      </c>
      <c r="M752" s="7">
        <f t="shared" si="1446"/>
        <v>0.00005</v>
      </c>
      <c r="N752" s="7">
        <f t="shared" si="1446"/>
        <v>0</v>
      </c>
      <c r="O752" s="7">
        <f t="shared" si="1446"/>
        <v>0</v>
      </c>
      <c r="P752" s="7">
        <f t="shared" si="1446"/>
        <v>0</v>
      </c>
      <c r="Q752" s="7">
        <f t="shared" si="7"/>
        <v>0</v>
      </c>
      <c r="R752" s="7">
        <f t="shared" si="8"/>
        <v>0.01108031764</v>
      </c>
      <c r="S752" s="7">
        <f t="shared" si="2"/>
        <v>0.9633544957</v>
      </c>
      <c r="T752" s="7">
        <f t="shared" si="3"/>
        <v>0.1004987562</v>
      </c>
      <c r="U752" s="7">
        <f t="shared" si="4"/>
        <v>0</v>
      </c>
      <c r="V752" s="7">
        <f t="shared" si="5"/>
        <v>0</v>
      </c>
      <c r="W752" s="7">
        <f t="shared" ref="W752:X752" si="1447">IF(AVERAGE(U692:U751) &gt; 0.25, 1, 0)</f>
        <v>0</v>
      </c>
      <c r="X752" s="7">
        <f t="shared" si="1447"/>
        <v>0</v>
      </c>
      <c r="Y752" s="8">
        <v>0.0</v>
      </c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</row>
    <row r="753" ht="22.5" customHeight="1">
      <c r="B753" s="6">
        <v>752.0</v>
      </c>
      <c r="C753" s="6">
        <v>31247.0</v>
      </c>
      <c r="D753" s="6">
        <v>1.23</v>
      </c>
      <c r="E753" s="6">
        <v>-0.2</v>
      </c>
      <c r="F753" s="6">
        <v>10.68</v>
      </c>
      <c r="G753" s="6">
        <v>-0.1</v>
      </c>
      <c r="H753" s="6">
        <v>0.0</v>
      </c>
      <c r="I753" s="6">
        <v>-0.01</v>
      </c>
      <c r="J753" s="6">
        <v>33.2</v>
      </c>
      <c r="K753" s="7">
        <f t="shared" ref="K753:P753" si="1448">abs(D753-D752)/200</f>
        <v>0.00005</v>
      </c>
      <c r="L753" s="7">
        <f t="shared" si="1448"/>
        <v>0.00005</v>
      </c>
      <c r="M753" s="7">
        <f t="shared" si="1448"/>
        <v>0.00005</v>
      </c>
      <c r="N753" s="7">
        <f t="shared" si="1448"/>
        <v>0</v>
      </c>
      <c r="O753" s="7">
        <f t="shared" si="1448"/>
        <v>0</v>
      </c>
      <c r="P753" s="7">
        <f t="shared" si="1448"/>
        <v>0</v>
      </c>
      <c r="Q753" s="7">
        <f t="shared" si="7"/>
        <v>0</v>
      </c>
      <c r="R753" s="7">
        <f t="shared" si="8"/>
        <v>0.01089896219</v>
      </c>
      <c r="S753" s="7">
        <f t="shared" si="2"/>
        <v>0.9524555335</v>
      </c>
      <c r="T753" s="7">
        <f t="shared" si="3"/>
        <v>0.1004987562</v>
      </c>
      <c r="U753" s="7">
        <f t="shared" si="4"/>
        <v>0</v>
      </c>
      <c r="V753" s="7">
        <f t="shared" si="5"/>
        <v>0</v>
      </c>
      <c r="W753" s="7">
        <f t="shared" ref="W753:X753" si="1449">IF(AVERAGE(U693:U752) &gt; 0.25, 1, 0)</f>
        <v>0</v>
      </c>
      <c r="X753" s="7">
        <f t="shared" si="1449"/>
        <v>0</v>
      </c>
      <c r="Y753" s="8">
        <v>0.0</v>
      </c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</row>
    <row r="754" ht="22.5" customHeight="1">
      <c r="B754" s="6">
        <v>753.0</v>
      </c>
      <c r="C754" s="6">
        <v>31451.0</v>
      </c>
      <c r="D754" s="6">
        <v>1.23</v>
      </c>
      <c r="E754" s="6">
        <v>-0.2</v>
      </c>
      <c r="F754" s="6">
        <v>10.68</v>
      </c>
      <c r="G754" s="6">
        <v>-0.1</v>
      </c>
      <c r="H754" s="6">
        <v>0.0</v>
      </c>
      <c r="I754" s="6">
        <v>-0.01</v>
      </c>
      <c r="J754" s="6">
        <v>33.2</v>
      </c>
      <c r="K754" s="7">
        <f t="shared" ref="K754:P754" si="1450">abs(D754-D753)/200</f>
        <v>0</v>
      </c>
      <c r="L754" s="7">
        <f t="shared" si="1450"/>
        <v>0</v>
      </c>
      <c r="M754" s="7">
        <f t="shared" si="1450"/>
        <v>0</v>
      </c>
      <c r="N754" s="7">
        <f t="shared" si="1450"/>
        <v>0</v>
      </c>
      <c r="O754" s="7">
        <f t="shared" si="1450"/>
        <v>0</v>
      </c>
      <c r="P754" s="7">
        <f t="shared" si="1450"/>
        <v>0</v>
      </c>
      <c r="Q754" s="7">
        <f t="shared" si="7"/>
        <v>0</v>
      </c>
      <c r="R754" s="7">
        <f t="shared" si="8"/>
        <v>0</v>
      </c>
      <c r="S754" s="7">
        <f t="shared" si="2"/>
        <v>0.9524555335</v>
      </c>
      <c r="T754" s="7">
        <f t="shared" si="3"/>
        <v>0.1004987562</v>
      </c>
      <c r="U754" s="7">
        <f t="shared" si="4"/>
        <v>0</v>
      </c>
      <c r="V754" s="7">
        <f t="shared" si="5"/>
        <v>0</v>
      </c>
      <c r="W754" s="7">
        <f t="shared" ref="W754:X754" si="1451">IF(AVERAGE(U694:U753) &gt; 0.25, 1, 0)</f>
        <v>0</v>
      </c>
      <c r="X754" s="7">
        <f t="shared" si="1451"/>
        <v>0</v>
      </c>
      <c r="Y754" s="8">
        <v>0.0</v>
      </c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</row>
    <row r="755" ht="22.5" customHeight="1">
      <c r="B755" s="6">
        <v>754.0</v>
      </c>
      <c r="C755" s="6">
        <v>31655.0</v>
      </c>
      <c r="D755" s="6">
        <v>1.23</v>
      </c>
      <c r="E755" s="6">
        <v>-0.21</v>
      </c>
      <c r="F755" s="6">
        <v>10.68</v>
      </c>
      <c r="G755" s="6">
        <v>-0.1</v>
      </c>
      <c r="H755" s="6">
        <v>0.0</v>
      </c>
      <c r="I755" s="6">
        <v>-0.01</v>
      </c>
      <c r="J755" s="6">
        <v>33.19</v>
      </c>
      <c r="K755" s="7">
        <f t="shared" ref="K755:P755" si="1452">abs(D755-D754)/200</f>
        <v>0</v>
      </c>
      <c r="L755" s="7">
        <f t="shared" si="1452"/>
        <v>0.00005</v>
      </c>
      <c r="M755" s="7">
        <f t="shared" si="1452"/>
        <v>0</v>
      </c>
      <c r="N755" s="7">
        <f t="shared" si="1452"/>
        <v>0</v>
      </c>
      <c r="O755" s="7">
        <f t="shared" si="1452"/>
        <v>0</v>
      </c>
      <c r="P755" s="7">
        <f t="shared" si="1452"/>
        <v>0</v>
      </c>
      <c r="Q755" s="7">
        <f t="shared" si="7"/>
        <v>0</v>
      </c>
      <c r="R755" s="7">
        <f t="shared" si="8"/>
        <v>0.0001906524346</v>
      </c>
      <c r="S755" s="7">
        <f t="shared" si="2"/>
        <v>0.9526461859</v>
      </c>
      <c r="T755" s="7">
        <f t="shared" si="3"/>
        <v>0.1004987562</v>
      </c>
      <c r="U755" s="7">
        <f t="shared" si="4"/>
        <v>0</v>
      </c>
      <c r="V755" s="7">
        <f t="shared" si="5"/>
        <v>0</v>
      </c>
      <c r="W755" s="7">
        <f t="shared" ref="W755:X755" si="1453">IF(AVERAGE(U695:U754) &gt; 0.25, 1, 0)</f>
        <v>0</v>
      </c>
      <c r="X755" s="7">
        <f t="shared" si="1453"/>
        <v>0</v>
      </c>
      <c r="Y755" s="8">
        <v>0.0</v>
      </c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</row>
    <row r="756" ht="22.5" customHeight="1">
      <c r="B756" s="6">
        <v>755.0</v>
      </c>
      <c r="C756" s="6">
        <v>31859.0</v>
      </c>
      <c r="D756" s="6">
        <v>1.23</v>
      </c>
      <c r="E756" s="6">
        <v>-0.2</v>
      </c>
      <c r="F756" s="6">
        <v>10.69</v>
      </c>
      <c r="G756" s="6">
        <v>-0.1</v>
      </c>
      <c r="H756" s="6">
        <v>0.0</v>
      </c>
      <c r="I756" s="6">
        <v>-0.01</v>
      </c>
      <c r="J756" s="6">
        <v>33.2</v>
      </c>
      <c r="K756" s="7">
        <f t="shared" ref="K756:P756" si="1454">abs(D756-D755)/200</f>
        <v>0</v>
      </c>
      <c r="L756" s="7">
        <f t="shared" si="1454"/>
        <v>0.00005</v>
      </c>
      <c r="M756" s="7">
        <f t="shared" si="1454"/>
        <v>0.00005</v>
      </c>
      <c r="N756" s="7">
        <f t="shared" si="1454"/>
        <v>0</v>
      </c>
      <c r="O756" s="7">
        <f t="shared" si="1454"/>
        <v>0</v>
      </c>
      <c r="P756" s="7">
        <f t="shared" si="1454"/>
        <v>0</v>
      </c>
      <c r="Q756" s="7">
        <f t="shared" si="7"/>
        <v>0</v>
      </c>
      <c r="R756" s="7">
        <f t="shared" si="8"/>
        <v>0.009742024862</v>
      </c>
      <c r="S756" s="7">
        <f t="shared" si="2"/>
        <v>0.9623882108</v>
      </c>
      <c r="T756" s="7">
        <f t="shared" si="3"/>
        <v>0.1004987562</v>
      </c>
      <c r="U756" s="7">
        <f t="shared" si="4"/>
        <v>0</v>
      </c>
      <c r="V756" s="7">
        <f t="shared" si="5"/>
        <v>0</v>
      </c>
      <c r="W756" s="7">
        <f t="shared" ref="W756:X756" si="1455">IF(AVERAGE(U696:U755) &gt; 0.25, 1, 0)</f>
        <v>0</v>
      </c>
      <c r="X756" s="7">
        <f t="shared" si="1455"/>
        <v>0</v>
      </c>
      <c r="Y756" s="8">
        <v>0.0</v>
      </c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</row>
    <row r="757" ht="22.5" customHeight="1">
      <c r="B757" s="6">
        <v>756.0</v>
      </c>
      <c r="C757" s="6">
        <v>32063.0</v>
      </c>
      <c r="D757" s="6">
        <v>1.23</v>
      </c>
      <c r="E757" s="6">
        <v>-0.2</v>
      </c>
      <c r="F757" s="6">
        <v>10.68</v>
      </c>
      <c r="G757" s="6">
        <v>-0.1</v>
      </c>
      <c r="H757" s="6">
        <v>0.0</v>
      </c>
      <c r="I757" s="6">
        <v>-0.01</v>
      </c>
      <c r="J757" s="6">
        <v>33.21</v>
      </c>
      <c r="K757" s="7">
        <f t="shared" ref="K757:P757" si="1456">abs(D757-D756)/200</f>
        <v>0</v>
      </c>
      <c r="L757" s="7">
        <f t="shared" si="1456"/>
        <v>0</v>
      </c>
      <c r="M757" s="7">
        <f t="shared" si="1456"/>
        <v>0.00005</v>
      </c>
      <c r="N757" s="7">
        <f t="shared" si="1456"/>
        <v>0</v>
      </c>
      <c r="O757" s="7">
        <f t="shared" si="1456"/>
        <v>0</v>
      </c>
      <c r="P757" s="7">
        <f t="shared" si="1456"/>
        <v>0</v>
      </c>
      <c r="Q757" s="7">
        <f t="shared" si="7"/>
        <v>0</v>
      </c>
      <c r="R757" s="7">
        <f t="shared" si="8"/>
        <v>0.009932677297</v>
      </c>
      <c r="S757" s="7">
        <f t="shared" si="2"/>
        <v>0.9524555335</v>
      </c>
      <c r="T757" s="7">
        <f t="shared" si="3"/>
        <v>0.1004987562</v>
      </c>
      <c r="U757" s="7">
        <f t="shared" si="4"/>
        <v>0</v>
      </c>
      <c r="V757" s="7">
        <f t="shared" si="5"/>
        <v>0</v>
      </c>
      <c r="W757" s="7">
        <f t="shared" ref="W757:X757" si="1457">IF(AVERAGE(U697:U756) &gt; 0.25, 1, 0)</f>
        <v>0</v>
      </c>
      <c r="X757" s="7">
        <f t="shared" si="1457"/>
        <v>0</v>
      </c>
      <c r="Y757" s="8">
        <v>0.0</v>
      </c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</row>
    <row r="758" ht="22.5" customHeight="1">
      <c r="B758" s="6">
        <v>757.0</v>
      </c>
      <c r="C758" s="6">
        <v>32267.0</v>
      </c>
      <c r="D758" s="6">
        <v>1.23</v>
      </c>
      <c r="E758" s="6">
        <v>-0.2</v>
      </c>
      <c r="F758" s="6">
        <v>10.68</v>
      </c>
      <c r="G758" s="6">
        <v>-0.1</v>
      </c>
      <c r="H758" s="6">
        <v>0.0</v>
      </c>
      <c r="I758" s="6">
        <v>-0.01</v>
      </c>
      <c r="J758" s="6">
        <v>33.21</v>
      </c>
      <c r="K758" s="7">
        <f t="shared" ref="K758:P758" si="1458">abs(D758-D757)/200</f>
        <v>0</v>
      </c>
      <c r="L758" s="7">
        <f t="shared" si="1458"/>
        <v>0</v>
      </c>
      <c r="M758" s="7">
        <f t="shared" si="1458"/>
        <v>0</v>
      </c>
      <c r="N758" s="7">
        <f t="shared" si="1458"/>
        <v>0</v>
      </c>
      <c r="O758" s="7">
        <f t="shared" si="1458"/>
        <v>0</v>
      </c>
      <c r="P758" s="7">
        <f t="shared" si="1458"/>
        <v>0</v>
      </c>
      <c r="Q758" s="7">
        <f t="shared" si="7"/>
        <v>0</v>
      </c>
      <c r="R758" s="7">
        <f t="shared" si="8"/>
        <v>0</v>
      </c>
      <c r="S758" s="7">
        <f t="shared" si="2"/>
        <v>0.9524555335</v>
      </c>
      <c r="T758" s="7">
        <f t="shared" si="3"/>
        <v>0.1004987562</v>
      </c>
      <c r="U758" s="7">
        <f t="shared" si="4"/>
        <v>0</v>
      </c>
      <c r="V758" s="7">
        <f t="shared" si="5"/>
        <v>0</v>
      </c>
      <c r="W758" s="7">
        <f t="shared" ref="W758:X758" si="1459">IF(AVERAGE(U698:U757) &gt; 0.25, 1, 0)</f>
        <v>0</v>
      </c>
      <c r="X758" s="7">
        <f t="shared" si="1459"/>
        <v>0</v>
      </c>
      <c r="Y758" s="8">
        <v>0.0</v>
      </c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</row>
    <row r="759" ht="22.5" customHeight="1">
      <c r="B759" s="6">
        <v>758.0</v>
      </c>
      <c r="C759" s="6">
        <v>32471.0</v>
      </c>
      <c r="D759" s="6">
        <v>1.24</v>
      </c>
      <c r="E759" s="6">
        <v>-0.2</v>
      </c>
      <c r="F759" s="6">
        <v>10.67</v>
      </c>
      <c r="G759" s="6">
        <v>-0.1</v>
      </c>
      <c r="H759" s="6">
        <v>0.0</v>
      </c>
      <c r="I759" s="6">
        <v>-0.01</v>
      </c>
      <c r="J759" s="6">
        <v>33.19</v>
      </c>
      <c r="K759" s="7">
        <f t="shared" ref="K759:P759" si="1460">abs(D759-D758)/200</f>
        <v>0.00005</v>
      </c>
      <c r="L759" s="7">
        <f t="shared" si="1460"/>
        <v>0</v>
      </c>
      <c r="M759" s="7">
        <f t="shared" si="1460"/>
        <v>0.00005</v>
      </c>
      <c r="N759" s="7">
        <f t="shared" si="1460"/>
        <v>0</v>
      </c>
      <c r="O759" s="7">
        <f t="shared" si="1460"/>
        <v>0</v>
      </c>
      <c r="P759" s="7">
        <f t="shared" si="1460"/>
        <v>0</v>
      </c>
      <c r="Q759" s="7">
        <f t="shared" si="7"/>
        <v>0</v>
      </c>
      <c r="R759" s="7">
        <f t="shared" si="8"/>
        <v>0.008782977065</v>
      </c>
      <c r="S759" s="7">
        <f t="shared" si="2"/>
        <v>0.9436725564</v>
      </c>
      <c r="T759" s="7">
        <f t="shared" si="3"/>
        <v>0.1004987562</v>
      </c>
      <c r="U759" s="7">
        <f t="shared" si="4"/>
        <v>0</v>
      </c>
      <c r="V759" s="7">
        <f t="shared" si="5"/>
        <v>0</v>
      </c>
      <c r="W759" s="7">
        <f t="shared" ref="W759:X759" si="1461">IF(AVERAGE(U699:U758) &gt; 0.25, 1, 0)</f>
        <v>0</v>
      </c>
      <c r="X759" s="7">
        <f t="shared" si="1461"/>
        <v>0</v>
      </c>
      <c r="Y759" s="8">
        <v>0.0</v>
      </c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</row>
    <row r="760" ht="22.5" customHeight="1">
      <c r="B760" s="6">
        <v>759.0</v>
      </c>
      <c r="C760" s="6">
        <v>32675.0</v>
      </c>
      <c r="D760" s="6">
        <v>1.23</v>
      </c>
      <c r="E760" s="6">
        <v>-0.2</v>
      </c>
      <c r="F760" s="6">
        <v>10.68</v>
      </c>
      <c r="G760" s="6">
        <v>-0.1</v>
      </c>
      <c r="H760" s="6">
        <v>0.0</v>
      </c>
      <c r="I760" s="6">
        <v>-0.01</v>
      </c>
      <c r="J760" s="6">
        <v>33.21</v>
      </c>
      <c r="K760" s="7">
        <f t="shared" ref="K760:P760" si="1462">abs(D760-D759)/200</f>
        <v>0.00005</v>
      </c>
      <c r="L760" s="7">
        <f t="shared" si="1462"/>
        <v>0</v>
      </c>
      <c r="M760" s="7">
        <f t="shared" si="1462"/>
        <v>0.00005</v>
      </c>
      <c r="N760" s="7">
        <f t="shared" si="1462"/>
        <v>0</v>
      </c>
      <c r="O760" s="7">
        <f t="shared" si="1462"/>
        <v>0</v>
      </c>
      <c r="P760" s="7">
        <f t="shared" si="1462"/>
        <v>0</v>
      </c>
      <c r="Q760" s="7">
        <f t="shared" si="7"/>
        <v>0</v>
      </c>
      <c r="R760" s="7">
        <f t="shared" si="8"/>
        <v>0.008782977065</v>
      </c>
      <c r="S760" s="7">
        <f t="shared" si="2"/>
        <v>0.9524555335</v>
      </c>
      <c r="T760" s="7">
        <f t="shared" si="3"/>
        <v>0.1004987562</v>
      </c>
      <c r="U760" s="7">
        <f t="shared" si="4"/>
        <v>0</v>
      </c>
      <c r="V760" s="7">
        <f t="shared" si="5"/>
        <v>0</v>
      </c>
      <c r="W760" s="7">
        <f t="shared" ref="W760:X760" si="1463">IF(AVERAGE(U700:U759) &gt; 0.25, 1, 0)</f>
        <v>0</v>
      </c>
      <c r="X760" s="7">
        <f t="shared" si="1463"/>
        <v>0</v>
      </c>
      <c r="Y760" s="8">
        <v>0.0</v>
      </c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</row>
    <row r="761" ht="22.5" customHeight="1">
      <c r="B761" s="6">
        <v>760.0</v>
      </c>
      <c r="C761" s="6">
        <v>32879.0</v>
      </c>
      <c r="D761" s="6">
        <v>1.24</v>
      </c>
      <c r="E761" s="6">
        <v>-0.2</v>
      </c>
      <c r="F761" s="6">
        <v>10.68</v>
      </c>
      <c r="G761" s="6">
        <v>-0.1</v>
      </c>
      <c r="H761" s="6">
        <v>0.0</v>
      </c>
      <c r="I761" s="6">
        <v>-0.01</v>
      </c>
      <c r="J761" s="6">
        <v>33.21</v>
      </c>
      <c r="K761" s="7">
        <f t="shared" ref="K761:P761" si="1464">abs(D761-D760)/200</f>
        <v>0.00005</v>
      </c>
      <c r="L761" s="7">
        <f t="shared" si="1464"/>
        <v>0</v>
      </c>
      <c r="M761" s="7">
        <f t="shared" si="1464"/>
        <v>0</v>
      </c>
      <c r="N761" s="7">
        <f t="shared" si="1464"/>
        <v>0</v>
      </c>
      <c r="O761" s="7">
        <f t="shared" si="1464"/>
        <v>0</v>
      </c>
      <c r="P761" s="7">
        <f t="shared" si="1464"/>
        <v>0</v>
      </c>
      <c r="Q761" s="7">
        <f t="shared" si="7"/>
        <v>0</v>
      </c>
      <c r="R761" s="7">
        <f t="shared" si="8"/>
        <v>0.001148513511</v>
      </c>
      <c r="S761" s="7">
        <f t="shared" si="2"/>
        <v>0.953604047</v>
      </c>
      <c r="T761" s="7">
        <f t="shared" si="3"/>
        <v>0.1004987562</v>
      </c>
      <c r="U761" s="7">
        <f t="shared" si="4"/>
        <v>0</v>
      </c>
      <c r="V761" s="7">
        <f t="shared" si="5"/>
        <v>0</v>
      </c>
      <c r="W761" s="7">
        <f t="shared" ref="W761:X761" si="1465">IF(AVERAGE(U701:U760) &gt; 0.25, 1, 0)</f>
        <v>0</v>
      </c>
      <c r="X761" s="7">
        <f t="shared" si="1465"/>
        <v>0</v>
      </c>
      <c r="Y761" s="8">
        <v>0.0</v>
      </c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</row>
    <row r="762" ht="22.5" customHeight="1">
      <c r="B762" s="6">
        <v>761.0</v>
      </c>
      <c r="C762" s="6">
        <v>33083.0</v>
      </c>
      <c r="D762" s="6">
        <v>1.23</v>
      </c>
      <c r="E762" s="6">
        <v>-0.2</v>
      </c>
      <c r="F762" s="6">
        <v>10.68</v>
      </c>
      <c r="G762" s="6">
        <v>-0.1</v>
      </c>
      <c r="H762" s="6">
        <v>0.0</v>
      </c>
      <c r="I762" s="6">
        <v>-0.01</v>
      </c>
      <c r="J762" s="6">
        <v>33.19</v>
      </c>
      <c r="K762" s="7">
        <f t="shared" ref="K762:P762" si="1466">abs(D762-D761)/200</f>
        <v>0.00005</v>
      </c>
      <c r="L762" s="7">
        <f t="shared" si="1466"/>
        <v>0</v>
      </c>
      <c r="M762" s="7">
        <f t="shared" si="1466"/>
        <v>0</v>
      </c>
      <c r="N762" s="7">
        <f t="shared" si="1466"/>
        <v>0</v>
      </c>
      <c r="O762" s="7">
        <f t="shared" si="1466"/>
        <v>0</v>
      </c>
      <c r="P762" s="7">
        <f t="shared" si="1466"/>
        <v>0</v>
      </c>
      <c r="Q762" s="7">
        <f t="shared" si="7"/>
        <v>0</v>
      </c>
      <c r="R762" s="7">
        <f t="shared" si="8"/>
        <v>0.001148513511</v>
      </c>
      <c r="S762" s="7">
        <f t="shared" si="2"/>
        <v>0.9524555335</v>
      </c>
      <c r="T762" s="7">
        <f t="shared" si="3"/>
        <v>0.1004987562</v>
      </c>
      <c r="U762" s="7">
        <f t="shared" si="4"/>
        <v>0</v>
      </c>
      <c r="V762" s="7">
        <f t="shared" si="5"/>
        <v>0</v>
      </c>
      <c r="W762" s="7">
        <f t="shared" ref="W762:X762" si="1467">IF(AVERAGE(U702:U761) &gt; 0.25, 1, 0)</f>
        <v>0</v>
      </c>
      <c r="X762" s="7">
        <f t="shared" si="1467"/>
        <v>0</v>
      </c>
      <c r="Y762" s="8">
        <v>0.0</v>
      </c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</row>
    <row r="763" ht="22.5" customHeight="1">
      <c r="B763" s="6">
        <v>762.0</v>
      </c>
      <c r="C763" s="6">
        <v>33287.0</v>
      </c>
      <c r="D763" s="6">
        <v>1.23</v>
      </c>
      <c r="E763" s="6">
        <v>-0.2</v>
      </c>
      <c r="F763" s="6">
        <v>10.67</v>
      </c>
      <c r="G763" s="6">
        <v>-0.1</v>
      </c>
      <c r="H763" s="6">
        <v>0.0</v>
      </c>
      <c r="I763" s="6">
        <v>-0.01</v>
      </c>
      <c r="J763" s="6">
        <v>33.2</v>
      </c>
      <c r="K763" s="7">
        <f t="shared" ref="K763:P763" si="1468">abs(D763-D762)/200</f>
        <v>0</v>
      </c>
      <c r="L763" s="7">
        <f t="shared" si="1468"/>
        <v>0</v>
      </c>
      <c r="M763" s="7">
        <f t="shared" si="1468"/>
        <v>0.00005</v>
      </c>
      <c r="N763" s="7">
        <f t="shared" si="1468"/>
        <v>0</v>
      </c>
      <c r="O763" s="7">
        <f t="shared" si="1468"/>
        <v>0</v>
      </c>
      <c r="P763" s="7">
        <f t="shared" si="1468"/>
        <v>0</v>
      </c>
      <c r="Q763" s="7">
        <f t="shared" si="7"/>
        <v>0</v>
      </c>
      <c r="R763" s="7">
        <f t="shared" si="8"/>
        <v>0.00993255238</v>
      </c>
      <c r="S763" s="7">
        <f t="shared" si="2"/>
        <v>0.9425229811</v>
      </c>
      <c r="T763" s="7">
        <f t="shared" si="3"/>
        <v>0.1004987562</v>
      </c>
      <c r="U763" s="7">
        <f t="shared" si="4"/>
        <v>0</v>
      </c>
      <c r="V763" s="7">
        <f t="shared" si="5"/>
        <v>0</v>
      </c>
      <c r="W763" s="7">
        <f t="shared" ref="W763:X763" si="1469">IF(AVERAGE(U703:U762) &gt; 0.25, 1, 0)</f>
        <v>0</v>
      </c>
      <c r="X763" s="7">
        <f t="shared" si="1469"/>
        <v>0</v>
      </c>
      <c r="Y763" s="8">
        <v>0.0</v>
      </c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</row>
    <row r="764" ht="22.5" customHeight="1">
      <c r="B764" s="6">
        <v>763.0</v>
      </c>
      <c r="C764" s="6">
        <v>33491.0</v>
      </c>
      <c r="D764" s="6">
        <v>1.23</v>
      </c>
      <c r="E764" s="6">
        <v>-0.21</v>
      </c>
      <c r="F764" s="6">
        <v>10.68</v>
      </c>
      <c r="G764" s="6">
        <v>-0.1</v>
      </c>
      <c r="H764" s="6">
        <v>0.0</v>
      </c>
      <c r="I764" s="6">
        <v>-0.01</v>
      </c>
      <c r="J764" s="6">
        <v>33.19</v>
      </c>
      <c r="K764" s="7">
        <f t="shared" ref="K764:P764" si="1470">abs(D764-D763)/200</f>
        <v>0</v>
      </c>
      <c r="L764" s="7">
        <f t="shared" si="1470"/>
        <v>0.00005</v>
      </c>
      <c r="M764" s="7">
        <f t="shared" si="1470"/>
        <v>0.00005</v>
      </c>
      <c r="N764" s="7">
        <f t="shared" si="1470"/>
        <v>0</v>
      </c>
      <c r="O764" s="7">
        <f t="shared" si="1470"/>
        <v>0</v>
      </c>
      <c r="P764" s="7">
        <f t="shared" si="1470"/>
        <v>0</v>
      </c>
      <c r="Q764" s="7">
        <f t="shared" si="7"/>
        <v>0</v>
      </c>
      <c r="R764" s="7">
        <f t="shared" si="8"/>
        <v>0.01012320481</v>
      </c>
      <c r="S764" s="7">
        <f t="shared" si="2"/>
        <v>0.9526461859</v>
      </c>
      <c r="T764" s="7">
        <f t="shared" si="3"/>
        <v>0.1004987562</v>
      </c>
      <c r="U764" s="7">
        <f t="shared" si="4"/>
        <v>0</v>
      </c>
      <c r="V764" s="7">
        <f t="shared" si="5"/>
        <v>0</v>
      </c>
      <c r="W764" s="7">
        <f t="shared" ref="W764:X764" si="1471">IF(AVERAGE(U704:U763) &gt; 0.25, 1, 0)</f>
        <v>0</v>
      </c>
      <c r="X764" s="7">
        <f t="shared" si="1471"/>
        <v>0</v>
      </c>
      <c r="Y764" s="8">
        <v>0.0</v>
      </c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</row>
    <row r="765" ht="22.5" customHeight="1">
      <c r="B765" s="6">
        <v>764.0</v>
      </c>
      <c r="C765" s="6">
        <v>33695.0</v>
      </c>
      <c r="D765" s="6">
        <v>1.23</v>
      </c>
      <c r="E765" s="6">
        <v>-0.21</v>
      </c>
      <c r="F765" s="6">
        <v>10.68</v>
      </c>
      <c r="G765" s="6">
        <v>-0.1</v>
      </c>
      <c r="H765" s="6">
        <v>0.0</v>
      </c>
      <c r="I765" s="6">
        <v>-0.01</v>
      </c>
      <c r="J765" s="6">
        <v>33.19</v>
      </c>
      <c r="K765" s="7">
        <f t="shared" ref="K765:P765" si="1472">abs(D765-D764)/200</f>
        <v>0</v>
      </c>
      <c r="L765" s="7">
        <f t="shared" si="1472"/>
        <v>0</v>
      </c>
      <c r="M765" s="7">
        <f t="shared" si="1472"/>
        <v>0</v>
      </c>
      <c r="N765" s="7">
        <f t="shared" si="1472"/>
        <v>0</v>
      </c>
      <c r="O765" s="7">
        <f t="shared" si="1472"/>
        <v>0</v>
      </c>
      <c r="P765" s="7">
        <f t="shared" si="1472"/>
        <v>0</v>
      </c>
      <c r="Q765" s="7">
        <f t="shared" si="7"/>
        <v>0</v>
      </c>
      <c r="R765" s="7">
        <f t="shared" si="8"/>
        <v>0</v>
      </c>
      <c r="S765" s="7">
        <f t="shared" si="2"/>
        <v>0.9526461859</v>
      </c>
      <c r="T765" s="7">
        <f t="shared" si="3"/>
        <v>0.1004987562</v>
      </c>
      <c r="U765" s="7">
        <f t="shared" si="4"/>
        <v>0</v>
      </c>
      <c r="V765" s="7">
        <f t="shared" si="5"/>
        <v>0</v>
      </c>
      <c r="W765" s="7">
        <f t="shared" ref="W765:X765" si="1473">IF(AVERAGE(U705:U764) &gt; 0.25, 1, 0)</f>
        <v>0</v>
      </c>
      <c r="X765" s="7">
        <f t="shared" si="1473"/>
        <v>0</v>
      </c>
      <c r="Y765" s="8">
        <v>0.0</v>
      </c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</row>
    <row r="766" ht="22.5" customHeight="1">
      <c r="B766" s="6">
        <v>765.0</v>
      </c>
      <c r="C766" s="6">
        <v>33899.0</v>
      </c>
      <c r="D766" s="6">
        <v>1.24</v>
      </c>
      <c r="E766" s="6">
        <v>-0.2</v>
      </c>
      <c r="F766" s="6">
        <v>10.68</v>
      </c>
      <c r="G766" s="6">
        <v>-0.1</v>
      </c>
      <c r="H766" s="6">
        <v>0.0</v>
      </c>
      <c r="I766" s="6">
        <v>-0.01</v>
      </c>
      <c r="J766" s="6">
        <v>33.19</v>
      </c>
      <c r="K766" s="7">
        <f t="shared" ref="K766:P766" si="1474">abs(D766-D765)/200</f>
        <v>0.00005</v>
      </c>
      <c r="L766" s="7">
        <f t="shared" si="1474"/>
        <v>0.00005</v>
      </c>
      <c r="M766" s="7">
        <f t="shared" si="1474"/>
        <v>0</v>
      </c>
      <c r="N766" s="7">
        <f t="shared" si="1474"/>
        <v>0</v>
      </c>
      <c r="O766" s="7">
        <f t="shared" si="1474"/>
        <v>0</v>
      </c>
      <c r="P766" s="7">
        <f t="shared" si="1474"/>
        <v>0</v>
      </c>
      <c r="Q766" s="7">
        <f t="shared" si="7"/>
        <v>0</v>
      </c>
      <c r="R766" s="7">
        <f t="shared" si="8"/>
        <v>0.0009578610765</v>
      </c>
      <c r="S766" s="7">
        <f t="shared" si="2"/>
        <v>0.953604047</v>
      </c>
      <c r="T766" s="7">
        <f t="shared" si="3"/>
        <v>0.1004987562</v>
      </c>
      <c r="U766" s="7">
        <f t="shared" si="4"/>
        <v>0</v>
      </c>
      <c r="V766" s="7">
        <f t="shared" si="5"/>
        <v>0</v>
      </c>
      <c r="W766" s="7">
        <f t="shared" ref="W766:X766" si="1475">IF(AVERAGE(U706:U765) &gt; 0.25, 1, 0)</f>
        <v>0</v>
      </c>
      <c r="X766" s="7">
        <f t="shared" si="1475"/>
        <v>0</v>
      </c>
      <c r="Y766" s="8">
        <v>0.0</v>
      </c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</row>
    <row r="767" ht="22.5" customHeight="1">
      <c r="B767" s="6">
        <v>766.0</v>
      </c>
      <c r="C767" s="6">
        <v>35735.0</v>
      </c>
      <c r="D767" s="6">
        <v>1.24</v>
      </c>
      <c r="E767" s="6">
        <v>-0.21</v>
      </c>
      <c r="F767" s="6">
        <v>10.68</v>
      </c>
      <c r="G767" s="6">
        <v>-0.1</v>
      </c>
      <c r="H767" s="6">
        <v>0.0</v>
      </c>
      <c r="I767" s="6">
        <v>-0.01</v>
      </c>
      <c r="J767" s="6">
        <v>33.18</v>
      </c>
      <c r="K767" s="7">
        <f t="shared" ref="K767:P767" si="1476">abs(D767-D766)/200</f>
        <v>0</v>
      </c>
      <c r="L767" s="7">
        <f t="shared" si="1476"/>
        <v>0.00005</v>
      </c>
      <c r="M767" s="7">
        <f t="shared" si="1476"/>
        <v>0</v>
      </c>
      <c r="N767" s="7">
        <f t="shared" si="1476"/>
        <v>0</v>
      </c>
      <c r="O767" s="7">
        <f t="shared" si="1476"/>
        <v>0</v>
      </c>
      <c r="P767" s="7">
        <f t="shared" si="1476"/>
        <v>0</v>
      </c>
      <c r="Q767" s="7">
        <f t="shared" si="7"/>
        <v>0</v>
      </c>
      <c r="R767" s="7">
        <f t="shared" si="8"/>
        <v>0.0001906320728</v>
      </c>
      <c r="S767" s="7">
        <f t="shared" si="2"/>
        <v>0.9537946791</v>
      </c>
      <c r="T767" s="7">
        <f t="shared" si="3"/>
        <v>0.1004987562</v>
      </c>
      <c r="U767" s="7">
        <f t="shared" si="4"/>
        <v>0</v>
      </c>
      <c r="V767" s="7">
        <f t="shared" si="5"/>
        <v>0</v>
      </c>
      <c r="W767" s="7">
        <f t="shared" ref="W767:X767" si="1477">IF(AVERAGE(U707:U766) &gt; 0.25, 1, 0)</f>
        <v>0</v>
      </c>
      <c r="X767" s="7">
        <f t="shared" si="1477"/>
        <v>0</v>
      </c>
      <c r="Y767" s="8">
        <v>0.0</v>
      </c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</row>
    <row r="768" ht="22.5" customHeight="1">
      <c r="B768" s="6">
        <v>767.0</v>
      </c>
      <c r="C768" s="6">
        <v>35939.0</v>
      </c>
      <c r="D768" s="6">
        <v>1.23</v>
      </c>
      <c r="E768" s="6">
        <v>-0.2</v>
      </c>
      <c r="F768" s="6">
        <v>10.68</v>
      </c>
      <c r="G768" s="6">
        <v>-0.1</v>
      </c>
      <c r="H768" s="6">
        <v>0.0</v>
      </c>
      <c r="I768" s="6">
        <v>-0.01</v>
      </c>
      <c r="J768" s="6">
        <v>33.19</v>
      </c>
      <c r="K768" s="7">
        <f t="shared" ref="K768:P768" si="1478">abs(D768-D767)/200</f>
        <v>0.00005</v>
      </c>
      <c r="L768" s="7">
        <f t="shared" si="1478"/>
        <v>0.00005</v>
      </c>
      <c r="M768" s="7">
        <f t="shared" si="1478"/>
        <v>0</v>
      </c>
      <c r="N768" s="7">
        <f t="shared" si="1478"/>
        <v>0</v>
      </c>
      <c r="O768" s="7">
        <f t="shared" si="1478"/>
        <v>0</v>
      </c>
      <c r="P768" s="7">
        <f t="shared" si="1478"/>
        <v>0</v>
      </c>
      <c r="Q768" s="7">
        <f t="shared" si="7"/>
        <v>0</v>
      </c>
      <c r="R768" s="7">
        <f t="shared" si="8"/>
        <v>0.001339145584</v>
      </c>
      <c r="S768" s="7">
        <f t="shared" si="2"/>
        <v>0.9524555335</v>
      </c>
      <c r="T768" s="7">
        <f t="shared" si="3"/>
        <v>0.1004987562</v>
      </c>
      <c r="U768" s="7">
        <f t="shared" si="4"/>
        <v>0</v>
      </c>
      <c r="V768" s="7">
        <f t="shared" si="5"/>
        <v>0</v>
      </c>
      <c r="W768" s="7">
        <f t="shared" ref="W768:X768" si="1479">IF(AVERAGE(U708:U767) &gt; 0.25, 1, 0)</f>
        <v>0</v>
      </c>
      <c r="X768" s="7">
        <f t="shared" si="1479"/>
        <v>0</v>
      </c>
      <c r="Y768" s="8">
        <v>0.0</v>
      </c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</row>
    <row r="769" ht="22.5" customHeight="1">
      <c r="B769" s="6">
        <v>768.0</v>
      </c>
      <c r="C769" s="6">
        <v>36143.0</v>
      </c>
      <c r="D769" s="6">
        <v>1.24</v>
      </c>
      <c r="E769" s="6">
        <v>-0.2</v>
      </c>
      <c r="F769" s="6">
        <v>10.68</v>
      </c>
      <c r="G769" s="6">
        <v>-0.1</v>
      </c>
      <c r="H769" s="6">
        <v>0.0</v>
      </c>
      <c r="I769" s="6">
        <v>-0.01</v>
      </c>
      <c r="J769" s="6">
        <v>33.19</v>
      </c>
      <c r="K769" s="7">
        <f t="shared" ref="K769:P769" si="1480">abs(D769-D768)/200</f>
        <v>0.00005</v>
      </c>
      <c r="L769" s="7">
        <f t="shared" si="1480"/>
        <v>0</v>
      </c>
      <c r="M769" s="7">
        <f t="shared" si="1480"/>
        <v>0</v>
      </c>
      <c r="N769" s="7">
        <f t="shared" si="1480"/>
        <v>0</v>
      </c>
      <c r="O769" s="7">
        <f t="shared" si="1480"/>
        <v>0</v>
      </c>
      <c r="P769" s="7">
        <f t="shared" si="1480"/>
        <v>0</v>
      </c>
      <c r="Q769" s="7">
        <f t="shared" si="7"/>
        <v>0</v>
      </c>
      <c r="R769" s="7">
        <f t="shared" si="8"/>
        <v>0.001148513511</v>
      </c>
      <c r="S769" s="7">
        <f t="shared" si="2"/>
        <v>0.953604047</v>
      </c>
      <c r="T769" s="7">
        <f t="shared" si="3"/>
        <v>0.1004987562</v>
      </c>
      <c r="U769" s="7">
        <f t="shared" si="4"/>
        <v>0</v>
      </c>
      <c r="V769" s="7">
        <f t="shared" si="5"/>
        <v>0</v>
      </c>
      <c r="W769" s="7">
        <f t="shared" ref="W769:X769" si="1481">IF(AVERAGE(U709:U768) &gt; 0.25, 1, 0)</f>
        <v>0</v>
      </c>
      <c r="X769" s="7">
        <f t="shared" si="1481"/>
        <v>0</v>
      </c>
      <c r="Y769" s="8">
        <v>0.0</v>
      </c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</row>
    <row r="770" ht="22.5" customHeight="1">
      <c r="B770" s="6">
        <v>769.0</v>
      </c>
      <c r="C770" s="6">
        <v>36347.0</v>
      </c>
      <c r="D770" s="6">
        <v>1.23</v>
      </c>
      <c r="E770" s="6">
        <v>-0.21</v>
      </c>
      <c r="F770" s="6">
        <v>10.68</v>
      </c>
      <c r="G770" s="6">
        <v>-0.1</v>
      </c>
      <c r="H770" s="6">
        <v>0.0</v>
      </c>
      <c r="I770" s="6">
        <v>-0.01</v>
      </c>
      <c r="J770" s="6">
        <v>33.2</v>
      </c>
      <c r="K770" s="7">
        <f t="shared" ref="K770:P770" si="1482">abs(D770-D769)/200</f>
        <v>0.00005</v>
      </c>
      <c r="L770" s="7">
        <f t="shared" si="1482"/>
        <v>0.00005</v>
      </c>
      <c r="M770" s="7">
        <f t="shared" si="1482"/>
        <v>0</v>
      </c>
      <c r="N770" s="7">
        <f t="shared" si="1482"/>
        <v>0</v>
      </c>
      <c r="O770" s="7">
        <f t="shared" si="1482"/>
        <v>0</v>
      </c>
      <c r="P770" s="7">
        <f t="shared" si="1482"/>
        <v>0</v>
      </c>
      <c r="Q770" s="7">
        <f t="shared" si="7"/>
        <v>0</v>
      </c>
      <c r="R770" s="7">
        <f t="shared" si="8"/>
        <v>0.0009578610765</v>
      </c>
      <c r="S770" s="7">
        <f t="shared" si="2"/>
        <v>0.9526461859</v>
      </c>
      <c r="T770" s="7">
        <f t="shared" si="3"/>
        <v>0.1004987562</v>
      </c>
      <c r="U770" s="7">
        <f t="shared" si="4"/>
        <v>0</v>
      </c>
      <c r="V770" s="7">
        <f t="shared" si="5"/>
        <v>0</v>
      </c>
      <c r="W770" s="7">
        <f t="shared" ref="W770:X770" si="1483">IF(AVERAGE(U710:U769) &gt; 0.25, 1, 0)</f>
        <v>0</v>
      </c>
      <c r="X770" s="7">
        <f t="shared" si="1483"/>
        <v>0</v>
      </c>
      <c r="Y770" s="8">
        <v>0.0</v>
      </c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</row>
    <row r="771" ht="22.5" customHeight="1">
      <c r="B771" s="6">
        <v>770.0</v>
      </c>
      <c r="C771" s="6">
        <v>36551.0</v>
      </c>
      <c r="D771" s="6">
        <v>1.24</v>
      </c>
      <c r="E771" s="6">
        <v>-0.21</v>
      </c>
      <c r="F771" s="6">
        <v>10.68</v>
      </c>
      <c r="G771" s="6">
        <v>-0.1</v>
      </c>
      <c r="H771" s="6">
        <v>0.0</v>
      </c>
      <c r="I771" s="6">
        <v>-0.01</v>
      </c>
      <c r="J771" s="6">
        <v>33.19</v>
      </c>
      <c r="K771" s="7">
        <f t="shared" ref="K771:P771" si="1484">abs(D771-D770)/200</f>
        <v>0.00005</v>
      </c>
      <c r="L771" s="7">
        <f t="shared" si="1484"/>
        <v>0</v>
      </c>
      <c r="M771" s="7">
        <f t="shared" si="1484"/>
        <v>0</v>
      </c>
      <c r="N771" s="7">
        <f t="shared" si="1484"/>
        <v>0</v>
      </c>
      <c r="O771" s="7">
        <f t="shared" si="1484"/>
        <v>0</v>
      </c>
      <c r="P771" s="7">
        <f t="shared" si="1484"/>
        <v>0</v>
      </c>
      <c r="Q771" s="7">
        <f t="shared" si="7"/>
        <v>0</v>
      </c>
      <c r="R771" s="7">
        <f t="shared" si="8"/>
        <v>0.001148493149</v>
      </c>
      <c r="S771" s="7">
        <f t="shared" si="2"/>
        <v>0.9537946791</v>
      </c>
      <c r="T771" s="7">
        <f t="shared" si="3"/>
        <v>0.1004987562</v>
      </c>
      <c r="U771" s="7">
        <f t="shared" si="4"/>
        <v>0</v>
      </c>
      <c r="V771" s="7">
        <f t="shared" si="5"/>
        <v>0</v>
      </c>
      <c r="W771" s="7">
        <f t="shared" ref="W771:X771" si="1485">IF(AVERAGE(U711:U770) &gt; 0.25, 1, 0)</f>
        <v>0</v>
      </c>
      <c r="X771" s="7">
        <f t="shared" si="1485"/>
        <v>0</v>
      </c>
      <c r="Y771" s="8">
        <v>0.0</v>
      </c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</row>
    <row r="772" ht="22.5" customHeight="1">
      <c r="B772" s="6">
        <v>771.0</v>
      </c>
      <c r="C772" s="6">
        <v>36755.0</v>
      </c>
      <c r="D772" s="6">
        <v>1.24</v>
      </c>
      <c r="E772" s="6">
        <v>-0.21</v>
      </c>
      <c r="F772" s="6">
        <v>10.68</v>
      </c>
      <c r="G772" s="6">
        <v>-0.1</v>
      </c>
      <c r="H772" s="6">
        <v>0.0</v>
      </c>
      <c r="I772" s="6">
        <v>-0.01</v>
      </c>
      <c r="J772" s="6">
        <v>33.2</v>
      </c>
      <c r="K772" s="7">
        <f t="shared" ref="K772:P772" si="1486">abs(D772-D771)/200</f>
        <v>0</v>
      </c>
      <c r="L772" s="7">
        <f t="shared" si="1486"/>
        <v>0</v>
      </c>
      <c r="M772" s="7">
        <f t="shared" si="1486"/>
        <v>0</v>
      </c>
      <c r="N772" s="7">
        <f t="shared" si="1486"/>
        <v>0</v>
      </c>
      <c r="O772" s="7">
        <f t="shared" si="1486"/>
        <v>0</v>
      </c>
      <c r="P772" s="7">
        <f t="shared" si="1486"/>
        <v>0</v>
      </c>
      <c r="Q772" s="7">
        <f t="shared" si="7"/>
        <v>0</v>
      </c>
      <c r="R772" s="7">
        <f t="shared" si="8"/>
        <v>0</v>
      </c>
      <c r="S772" s="7">
        <f t="shared" si="2"/>
        <v>0.9537946791</v>
      </c>
      <c r="T772" s="7">
        <f t="shared" si="3"/>
        <v>0.1004987562</v>
      </c>
      <c r="U772" s="7">
        <f t="shared" si="4"/>
        <v>0</v>
      </c>
      <c r="V772" s="7">
        <f t="shared" si="5"/>
        <v>0</v>
      </c>
      <c r="W772" s="7">
        <f t="shared" ref="W772:X772" si="1487">IF(AVERAGE(U712:U771) &gt; 0.25, 1, 0)</f>
        <v>0</v>
      </c>
      <c r="X772" s="7">
        <f t="shared" si="1487"/>
        <v>0</v>
      </c>
      <c r="Y772" s="8">
        <v>0.0</v>
      </c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</row>
    <row r="773" ht="22.5" customHeight="1">
      <c r="B773" s="6">
        <v>772.0</v>
      </c>
      <c r="C773" s="6">
        <v>36959.0</v>
      </c>
      <c r="D773" s="6">
        <v>1.24</v>
      </c>
      <c r="E773" s="6">
        <v>-0.21</v>
      </c>
      <c r="F773" s="6">
        <v>10.69</v>
      </c>
      <c r="G773" s="6">
        <v>-0.1</v>
      </c>
      <c r="H773" s="6">
        <v>0.0</v>
      </c>
      <c r="I773" s="6">
        <v>-0.01</v>
      </c>
      <c r="J773" s="6">
        <v>33.2</v>
      </c>
      <c r="K773" s="7">
        <f t="shared" ref="K773:P773" si="1488">abs(D773-D772)/200</f>
        <v>0</v>
      </c>
      <c r="L773" s="7">
        <f t="shared" si="1488"/>
        <v>0</v>
      </c>
      <c r="M773" s="7">
        <f t="shared" si="1488"/>
        <v>0.00005</v>
      </c>
      <c r="N773" s="7">
        <f t="shared" si="1488"/>
        <v>0</v>
      </c>
      <c r="O773" s="7">
        <f t="shared" si="1488"/>
        <v>0</v>
      </c>
      <c r="P773" s="7">
        <f t="shared" si="1488"/>
        <v>0</v>
      </c>
      <c r="Q773" s="7">
        <f t="shared" si="7"/>
        <v>0</v>
      </c>
      <c r="R773" s="7">
        <f t="shared" si="8"/>
        <v>0.009931441544</v>
      </c>
      <c r="S773" s="7">
        <f t="shared" si="2"/>
        <v>0.9637261206</v>
      </c>
      <c r="T773" s="7">
        <f t="shared" si="3"/>
        <v>0.1004987562</v>
      </c>
      <c r="U773" s="7">
        <f t="shared" si="4"/>
        <v>0</v>
      </c>
      <c r="V773" s="7">
        <f t="shared" si="5"/>
        <v>0</v>
      </c>
      <c r="W773" s="7">
        <f t="shared" ref="W773:X773" si="1489">IF(AVERAGE(U713:U772) &gt; 0.25, 1, 0)</f>
        <v>0</v>
      </c>
      <c r="X773" s="7">
        <f t="shared" si="1489"/>
        <v>0</v>
      </c>
      <c r="Y773" s="8">
        <v>0.0</v>
      </c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</row>
    <row r="774" ht="22.5" customHeight="1">
      <c r="B774" s="6">
        <v>773.0</v>
      </c>
      <c r="C774" s="6">
        <v>37163.0</v>
      </c>
      <c r="D774" s="6">
        <v>1.24</v>
      </c>
      <c r="E774" s="6">
        <v>-0.21</v>
      </c>
      <c r="F774" s="6">
        <v>10.69</v>
      </c>
      <c r="G774" s="6">
        <v>-0.1</v>
      </c>
      <c r="H774" s="6">
        <v>0.0</v>
      </c>
      <c r="I774" s="6">
        <v>-0.01</v>
      </c>
      <c r="J774" s="6">
        <v>33.19</v>
      </c>
      <c r="K774" s="7">
        <f t="shared" ref="K774:P774" si="1490">abs(D774-D773)/200</f>
        <v>0</v>
      </c>
      <c r="L774" s="7">
        <f t="shared" si="1490"/>
        <v>0</v>
      </c>
      <c r="M774" s="7">
        <f t="shared" si="1490"/>
        <v>0</v>
      </c>
      <c r="N774" s="7">
        <f t="shared" si="1490"/>
        <v>0</v>
      </c>
      <c r="O774" s="7">
        <f t="shared" si="1490"/>
        <v>0</v>
      </c>
      <c r="P774" s="7">
        <f t="shared" si="1490"/>
        <v>0</v>
      </c>
      <c r="Q774" s="7">
        <f t="shared" si="7"/>
        <v>0</v>
      </c>
      <c r="R774" s="7">
        <f t="shared" si="8"/>
        <v>0</v>
      </c>
      <c r="S774" s="7">
        <f t="shared" si="2"/>
        <v>0.9637261206</v>
      </c>
      <c r="T774" s="7">
        <f t="shared" si="3"/>
        <v>0.1004987562</v>
      </c>
      <c r="U774" s="7">
        <f t="shared" si="4"/>
        <v>0</v>
      </c>
      <c r="V774" s="7">
        <f t="shared" si="5"/>
        <v>0</v>
      </c>
      <c r="W774" s="7">
        <f t="shared" ref="W774:X774" si="1491">IF(AVERAGE(U714:U773) &gt; 0.25, 1, 0)</f>
        <v>0</v>
      </c>
      <c r="X774" s="7">
        <f t="shared" si="1491"/>
        <v>0</v>
      </c>
      <c r="Y774" s="8">
        <v>0.0</v>
      </c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</row>
    <row r="775" ht="22.5" customHeight="1">
      <c r="B775" s="6">
        <v>774.0</v>
      </c>
      <c r="C775" s="6">
        <v>37367.0</v>
      </c>
      <c r="D775" s="6">
        <v>1.23</v>
      </c>
      <c r="E775" s="6">
        <v>-0.2</v>
      </c>
      <c r="F775" s="6">
        <v>10.68</v>
      </c>
      <c r="G775" s="6">
        <v>-0.1</v>
      </c>
      <c r="H775" s="6">
        <v>0.0</v>
      </c>
      <c r="I775" s="6">
        <v>-0.01</v>
      </c>
      <c r="J775" s="6">
        <v>33.19</v>
      </c>
      <c r="K775" s="7">
        <f t="shared" ref="K775:P775" si="1492">abs(D775-D774)/200</f>
        <v>0.00005</v>
      </c>
      <c r="L775" s="7">
        <f t="shared" si="1492"/>
        <v>0.00005</v>
      </c>
      <c r="M775" s="7">
        <f t="shared" si="1492"/>
        <v>0.00005</v>
      </c>
      <c r="N775" s="7">
        <f t="shared" si="1492"/>
        <v>0</v>
      </c>
      <c r="O775" s="7">
        <f t="shared" si="1492"/>
        <v>0</v>
      </c>
      <c r="P775" s="7">
        <f t="shared" si="1492"/>
        <v>0</v>
      </c>
      <c r="Q775" s="7">
        <f t="shared" si="7"/>
        <v>0</v>
      </c>
      <c r="R775" s="7">
        <f t="shared" si="8"/>
        <v>0.01127058713</v>
      </c>
      <c r="S775" s="7">
        <f t="shared" si="2"/>
        <v>0.9524555335</v>
      </c>
      <c r="T775" s="7">
        <f t="shared" si="3"/>
        <v>0.1004987562</v>
      </c>
      <c r="U775" s="7">
        <f t="shared" si="4"/>
        <v>0</v>
      </c>
      <c r="V775" s="7">
        <f t="shared" si="5"/>
        <v>0</v>
      </c>
      <c r="W775" s="7">
        <f t="shared" ref="W775:X775" si="1493">IF(AVERAGE(U715:U774) &gt; 0.25, 1, 0)</f>
        <v>0</v>
      </c>
      <c r="X775" s="7">
        <f t="shared" si="1493"/>
        <v>0</v>
      </c>
      <c r="Y775" s="8">
        <v>0.0</v>
      </c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</row>
    <row r="776" ht="22.5" customHeight="1">
      <c r="B776" s="6">
        <v>775.0</v>
      </c>
      <c r="C776" s="6">
        <v>37571.0</v>
      </c>
      <c r="D776" s="6">
        <v>1.24</v>
      </c>
      <c r="E776" s="6">
        <v>-0.21</v>
      </c>
      <c r="F776" s="6">
        <v>10.69</v>
      </c>
      <c r="G776" s="6">
        <v>-0.1</v>
      </c>
      <c r="H776" s="6">
        <v>0.0</v>
      </c>
      <c r="I776" s="6">
        <v>-0.01</v>
      </c>
      <c r="J776" s="6">
        <v>33.19</v>
      </c>
      <c r="K776" s="7">
        <f t="shared" ref="K776:P776" si="1494">abs(D776-D775)/200</f>
        <v>0.00005</v>
      </c>
      <c r="L776" s="7">
        <f t="shared" si="1494"/>
        <v>0.00005</v>
      </c>
      <c r="M776" s="7">
        <f t="shared" si="1494"/>
        <v>0.00005</v>
      </c>
      <c r="N776" s="7">
        <f t="shared" si="1494"/>
        <v>0</v>
      </c>
      <c r="O776" s="7">
        <f t="shared" si="1494"/>
        <v>0</v>
      </c>
      <c r="P776" s="7">
        <f t="shared" si="1494"/>
        <v>0</v>
      </c>
      <c r="Q776" s="7">
        <f t="shared" si="7"/>
        <v>0</v>
      </c>
      <c r="R776" s="7">
        <f t="shared" si="8"/>
        <v>0.01127058713</v>
      </c>
      <c r="S776" s="7">
        <f t="shared" si="2"/>
        <v>0.9637261206</v>
      </c>
      <c r="T776" s="7">
        <f t="shared" si="3"/>
        <v>0.1004987562</v>
      </c>
      <c r="U776" s="7">
        <f t="shared" si="4"/>
        <v>0</v>
      </c>
      <c r="V776" s="7">
        <f t="shared" si="5"/>
        <v>0</v>
      </c>
      <c r="W776" s="7">
        <f t="shared" ref="W776:X776" si="1495">IF(AVERAGE(U716:U775) &gt; 0.25, 1, 0)</f>
        <v>0</v>
      </c>
      <c r="X776" s="7">
        <f t="shared" si="1495"/>
        <v>0</v>
      </c>
      <c r="Y776" s="8">
        <v>0.0</v>
      </c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</row>
    <row r="777" ht="22.5" customHeight="1">
      <c r="B777" s="6">
        <v>776.0</v>
      </c>
      <c r="C777" s="6">
        <v>37775.0</v>
      </c>
      <c r="D777" s="6">
        <v>1.24</v>
      </c>
      <c r="E777" s="6">
        <v>-0.2</v>
      </c>
      <c r="F777" s="6">
        <v>10.69</v>
      </c>
      <c r="G777" s="6">
        <v>-0.1</v>
      </c>
      <c r="H777" s="6">
        <v>0.0</v>
      </c>
      <c r="I777" s="6">
        <v>-0.01</v>
      </c>
      <c r="J777" s="6">
        <v>33.2</v>
      </c>
      <c r="K777" s="7">
        <f t="shared" ref="K777:P777" si="1496">abs(D777-D776)/200</f>
        <v>0</v>
      </c>
      <c r="L777" s="7">
        <f t="shared" si="1496"/>
        <v>0.00005</v>
      </c>
      <c r="M777" s="7">
        <f t="shared" si="1496"/>
        <v>0</v>
      </c>
      <c r="N777" s="7">
        <f t="shared" si="1496"/>
        <v>0</v>
      </c>
      <c r="O777" s="7">
        <f t="shared" si="1496"/>
        <v>0</v>
      </c>
      <c r="P777" s="7">
        <f t="shared" si="1496"/>
        <v>0</v>
      </c>
      <c r="Q777" s="7">
        <f t="shared" si="7"/>
        <v>0</v>
      </c>
      <c r="R777" s="7">
        <f t="shared" si="8"/>
        <v>0.0001904561779</v>
      </c>
      <c r="S777" s="7">
        <f t="shared" si="2"/>
        <v>0.9635356645</v>
      </c>
      <c r="T777" s="7">
        <f t="shared" si="3"/>
        <v>0.1004987562</v>
      </c>
      <c r="U777" s="7">
        <f t="shared" si="4"/>
        <v>0</v>
      </c>
      <c r="V777" s="7">
        <f t="shared" si="5"/>
        <v>0</v>
      </c>
      <c r="W777" s="7">
        <f t="shared" ref="W777:X777" si="1497">IF(AVERAGE(U717:U776) &gt; 0.25, 1, 0)</f>
        <v>0</v>
      </c>
      <c r="X777" s="7">
        <f t="shared" si="1497"/>
        <v>0</v>
      </c>
      <c r="Y777" s="8">
        <v>0.0</v>
      </c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</row>
    <row r="778" ht="22.5" customHeight="1">
      <c r="B778" s="6">
        <v>777.0</v>
      </c>
      <c r="C778" s="6">
        <v>37979.0</v>
      </c>
      <c r="D778" s="6">
        <v>1.22</v>
      </c>
      <c r="E778" s="6">
        <v>-0.2</v>
      </c>
      <c r="F778" s="6">
        <v>10.69</v>
      </c>
      <c r="G778" s="6">
        <v>-0.1</v>
      </c>
      <c r="H778" s="6">
        <v>0.0</v>
      </c>
      <c r="I778" s="6">
        <v>-0.01</v>
      </c>
      <c r="J778" s="6">
        <v>33.2</v>
      </c>
      <c r="K778" s="7">
        <f t="shared" ref="K778:P778" si="1498">abs(D778-D777)/200</f>
        <v>0.0001</v>
      </c>
      <c r="L778" s="7">
        <f t="shared" si="1498"/>
        <v>0</v>
      </c>
      <c r="M778" s="7">
        <f t="shared" si="1498"/>
        <v>0</v>
      </c>
      <c r="N778" s="7">
        <f t="shared" si="1498"/>
        <v>0</v>
      </c>
      <c r="O778" s="7">
        <f t="shared" si="1498"/>
        <v>0</v>
      </c>
      <c r="P778" s="7">
        <f t="shared" si="1498"/>
        <v>0</v>
      </c>
      <c r="Q778" s="7">
        <f t="shared" si="7"/>
        <v>0</v>
      </c>
      <c r="R778" s="7">
        <f t="shared" si="8"/>
        <v>0.002285737054</v>
      </c>
      <c r="S778" s="7">
        <f t="shared" si="2"/>
        <v>0.9612499274</v>
      </c>
      <c r="T778" s="7">
        <f t="shared" si="3"/>
        <v>0.1004987562</v>
      </c>
      <c r="U778" s="7">
        <f t="shared" si="4"/>
        <v>0</v>
      </c>
      <c r="V778" s="7">
        <f t="shared" si="5"/>
        <v>0</v>
      </c>
      <c r="W778" s="7">
        <f t="shared" ref="W778:X778" si="1499">IF(AVERAGE(U718:U777) &gt; 0.25, 1, 0)</f>
        <v>0</v>
      </c>
      <c r="X778" s="7">
        <f t="shared" si="1499"/>
        <v>0</v>
      </c>
      <c r="Y778" s="8">
        <v>0.0</v>
      </c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</row>
    <row r="779" ht="22.5" customHeight="1">
      <c r="B779" s="6">
        <v>778.0</v>
      </c>
      <c r="C779" s="6">
        <v>38183.0</v>
      </c>
      <c r="D779" s="6">
        <v>1.23</v>
      </c>
      <c r="E779" s="6">
        <v>-0.2</v>
      </c>
      <c r="F779" s="6">
        <v>10.67</v>
      </c>
      <c r="G779" s="6">
        <v>-0.1</v>
      </c>
      <c r="H779" s="6">
        <v>0.0</v>
      </c>
      <c r="I779" s="6">
        <v>-0.01</v>
      </c>
      <c r="J779" s="6">
        <v>33.2</v>
      </c>
      <c r="K779" s="7">
        <f t="shared" ref="K779:P779" si="1500">abs(D779-D778)/200</f>
        <v>0.00005</v>
      </c>
      <c r="L779" s="7">
        <f t="shared" si="1500"/>
        <v>0</v>
      </c>
      <c r="M779" s="7">
        <f t="shared" si="1500"/>
        <v>0.0001</v>
      </c>
      <c r="N779" s="7">
        <f t="shared" si="1500"/>
        <v>0</v>
      </c>
      <c r="O779" s="7">
        <f t="shared" si="1500"/>
        <v>0</v>
      </c>
      <c r="P779" s="7">
        <f t="shared" si="1500"/>
        <v>0</v>
      </c>
      <c r="Q779" s="7">
        <f t="shared" si="7"/>
        <v>0</v>
      </c>
      <c r="R779" s="7">
        <f t="shared" si="8"/>
        <v>0.01872694628</v>
      </c>
      <c r="S779" s="7">
        <f t="shared" si="2"/>
        <v>0.9425229811</v>
      </c>
      <c r="T779" s="7">
        <f t="shared" si="3"/>
        <v>0.1004987562</v>
      </c>
      <c r="U779" s="7">
        <f t="shared" si="4"/>
        <v>0</v>
      </c>
      <c r="V779" s="7">
        <f t="shared" si="5"/>
        <v>0</v>
      </c>
      <c r="W779" s="7">
        <f t="shared" ref="W779:X779" si="1501">IF(AVERAGE(U719:U778) &gt; 0.25, 1, 0)</f>
        <v>0</v>
      </c>
      <c r="X779" s="7">
        <f t="shared" si="1501"/>
        <v>0</v>
      </c>
      <c r="Y779" s="8">
        <v>0.0</v>
      </c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</row>
    <row r="780" ht="22.5" customHeight="1">
      <c r="B780" s="6">
        <v>779.0</v>
      </c>
      <c r="C780" s="6">
        <v>38387.0</v>
      </c>
      <c r="D780" s="6">
        <v>1.23</v>
      </c>
      <c r="E780" s="6">
        <v>-0.21</v>
      </c>
      <c r="F780" s="6">
        <v>10.67</v>
      </c>
      <c r="G780" s="6">
        <v>-0.1</v>
      </c>
      <c r="H780" s="6">
        <v>0.0</v>
      </c>
      <c r="I780" s="6">
        <v>-0.01</v>
      </c>
      <c r="J780" s="6">
        <v>33.21</v>
      </c>
      <c r="K780" s="7">
        <f t="shared" ref="K780:P780" si="1502">abs(D780-D779)/200</f>
        <v>0</v>
      </c>
      <c r="L780" s="7">
        <f t="shared" si="1502"/>
        <v>0.00005</v>
      </c>
      <c r="M780" s="7">
        <f t="shared" si="1502"/>
        <v>0</v>
      </c>
      <c r="N780" s="7">
        <f t="shared" si="1502"/>
        <v>0</v>
      </c>
      <c r="O780" s="7">
        <f t="shared" si="1502"/>
        <v>0</v>
      </c>
      <c r="P780" s="7">
        <f t="shared" si="1502"/>
        <v>0</v>
      </c>
      <c r="Q780" s="7">
        <f t="shared" si="7"/>
        <v>0</v>
      </c>
      <c r="R780" s="7">
        <f t="shared" si="8"/>
        <v>0.000190828709</v>
      </c>
      <c r="S780" s="7">
        <f t="shared" si="2"/>
        <v>0.9427138098</v>
      </c>
      <c r="T780" s="7">
        <f t="shared" si="3"/>
        <v>0.1004987562</v>
      </c>
      <c r="U780" s="7">
        <f t="shared" si="4"/>
        <v>0</v>
      </c>
      <c r="V780" s="7">
        <f t="shared" si="5"/>
        <v>0</v>
      </c>
      <c r="W780" s="7">
        <f t="shared" ref="W780:X780" si="1503">IF(AVERAGE(U720:U779) &gt; 0.25, 1, 0)</f>
        <v>0</v>
      </c>
      <c r="X780" s="7">
        <f t="shared" si="1503"/>
        <v>0</v>
      </c>
      <c r="Y780" s="8">
        <v>0.0</v>
      </c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</row>
    <row r="781" ht="22.5" customHeight="1">
      <c r="B781" s="6">
        <v>780.0</v>
      </c>
      <c r="C781" s="6">
        <v>38591.0</v>
      </c>
      <c r="D781" s="6">
        <v>1.23</v>
      </c>
      <c r="E781" s="6">
        <v>-0.2</v>
      </c>
      <c r="F781" s="6">
        <v>10.68</v>
      </c>
      <c r="G781" s="6">
        <v>-0.1</v>
      </c>
      <c r="H781" s="6">
        <v>0.0</v>
      </c>
      <c r="I781" s="6">
        <v>-0.01</v>
      </c>
      <c r="J781" s="6">
        <v>33.19</v>
      </c>
      <c r="K781" s="7">
        <f t="shared" ref="K781:P781" si="1504">abs(D781-D780)/200</f>
        <v>0</v>
      </c>
      <c r="L781" s="7">
        <f t="shared" si="1504"/>
        <v>0.00005</v>
      </c>
      <c r="M781" s="7">
        <f t="shared" si="1504"/>
        <v>0.00005</v>
      </c>
      <c r="N781" s="7">
        <f t="shared" si="1504"/>
        <v>0</v>
      </c>
      <c r="O781" s="7">
        <f t="shared" si="1504"/>
        <v>0</v>
      </c>
      <c r="P781" s="7">
        <f t="shared" si="1504"/>
        <v>0</v>
      </c>
      <c r="Q781" s="7">
        <f t="shared" si="7"/>
        <v>0</v>
      </c>
      <c r="R781" s="7">
        <f t="shared" si="8"/>
        <v>0.009741723671</v>
      </c>
      <c r="S781" s="7">
        <f t="shared" si="2"/>
        <v>0.9524555335</v>
      </c>
      <c r="T781" s="7">
        <f t="shared" si="3"/>
        <v>0.1004987562</v>
      </c>
      <c r="U781" s="7">
        <f t="shared" si="4"/>
        <v>0</v>
      </c>
      <c r="V781" s="7">
        <f t="shared" si="5"/>
        <v>0</v>
      </c>
      <c r="W781" s="7">
        <f t="shared" ref="W781:X781" si="1505">IF(AVERAGE(U721:U780) &gt; 0.25, 1, 0)</f>
        <v>0</v>
      </c>
      <c r="X781" s="7">
        <f t="shared" si="1505"/>
        <v>0</v>
      </c>
      <c r="Y781" s="8">
        <v>0.0</v>
      </c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</row>
    <row r="782" ht="22.5" customHeight="1">
      <c r="B782" s="6">
        <v>781.0</v>
      </c>
      <c r="C782" s="6">
        <v>38795.0</v>
      </c>
      <c r="D782" s="6">
        <v>1.24</v>
      </c>
      <c r="E782" s="6">
        <v>-0.2</v>
      </c>
      <c r="F782" s="6">
        <v>10.67</v>
      </c>
      <c r="G782" s="6">
        <v>-0.1</v>
      </c>
      <c r="H782" s="6">
        <v>0.0</v>
      </c>
      <c r="I782" s="6">
        <v>-0.01</v>
      </c>
      <c r="J782" s="6">
        <v>33.19</v>
      </c>
      <c r="K782" s="7">
        <f t="shared" ref="K782:P782" si="1506">abs(D782-D781)/200</f>
        <v>0.00005</v>
      </c>
      <c r="L782" s="7">
        <f t="shared" si="1506"/>
        <v>0</v>
      </c>
      <c r="M782" s="7">
        <f t="shared" si="1506"/>
        <v>0.00005</v>
      </c>
      <c r="N782" s="7">
        <f t="shared" si="1506"/>
        <v>0</v>
      </c>
      <c r="O782" s="7">
        <f t="shared" si="1506"/>
        <v>0</v>
      </c>
      <c r="P782" s="7">
        <f t="shared" si="1506"/>
        <v>0</v>
      </c>
      <c r="Q782" s="7">
        <f t="shared" si="7"/>
        <v>0</v>
      </c>
      <c r="R782" s="7">
        <f t="shared" si="8"/>
        <v>0.008782977065</v>
      </c>
      <c r="S782" s="7">
        <f t="shared" si="2"/>
        <v>0.9436725564</v>
      </c>
      <c r="T782" s="7">
        <f t="shared" si="3"/>
        <v>0.1004987562</v>
      </c>
      <c r="U782" s="7">
        <f t="shared" si="4"/>
        <v>0</v>
      </c>
      <c r="V782" s="7">
        <f t="shared" si="5"/>
        <v>0</v>
      </c>
      <c r="W782" s="7">
        <f t="shared" ref="W782:X782" si="1507">IF(AVERAGE(U722:U781) &gt; 0.25, 1, 0)</f>
        <v>0</v>
      </c>
      <c r="X782" s="7">
        <f t="shared" si="1507"/>
        <v>0</v>
      </c>
      <c r="Y782" s="8">
        <v>0.0</v>
      </c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</row>
    <row r="783" ht="22.5" customHeight="1">
      <c r="B783" s="6">
        <v>782.0</v>
      </c>
      <c r="C783" s="6">
        <v>38999.0</v>
      </c>
      <c r="D783" s="6">
        <v>1.23</v>
      </c>
      <c r="E783" s="6">
        <v>-0.2</v>
      </c>
      <c r="F783" s="6">
        <v>10.7</v>
      </c>
      <c r="G783" s="6">
        <v>-0.1</v>
      </c>
      <c r="H783" s="6">
        <v>0.0</v>
      </c>
      <c r="I783" s="6">
        <v>-0.01</v>
      </c>
      <c r="J783" s="6">
        <v>33.19</v>
      </c>
      <c r="K783" s="7">
        <f t="shared" ref="K783:P783" si="1508">abs(D783-D782)/200</f>
        <v>0.00005</v>
      </c>
      <c r="L783" s="7">
        <f t="shared" si="1508"/>
        <v>0</v>
      </c>
      <c r="M783" s="7">
        <f t="shared" si="1508"/>
        <v>0.00015</v>
      </c>
      <c r="N783" s="7">
        <f t="shared" si="1508"/>
        <v>0</v>
      </c>
      <c r="O783" s="7">
        <f t="shared" si="1508"/>
        <v>0</v>
      </c>
      <c r="P783" s="7">
        <f t="shared" si="1508"/>
        <v>0</v>
      </c>
      <c r="Q783" s="7">
        <f t="shared" si="7"/>
        <v>0</v>
      </c>
      <c r="R783" s="7">
        <f t="shared" si="8"/>
        <v>0.02864845623</v>
      </c>
      <c r="S783" s="7">
        <f t="shared" si="2"/>
        <v>0.9723210127</v>
      </c>
      <c r="T783" s="7">
        <f t="shared" si="3"/>
        <v>0.1004987562</v>
      </c>
      <c r="U783" s="7">
        <f t="shared" si="4"/>
        <v>0</v>
      </c>
      <c r="V783" s="7">
        <f t="shared" si="5"/>
        <v>0</v>
      </c>
      <c r="W783" s="7">
        <f t="shared" ref="W783:X783" si="1509">IF(AVERAGE(U723:U782) &gt; 0.25, 1, 0)</f>
        <v>0</v>
      </c>
      <c r="X783" s="7">
        <f t="shared" si="1509"/>
        <v>0</v>
      </c>
      <c r="Y783" s="8">
        <v>0.0</v>
      </c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</row>
    <row r="784" ht="22.5" customHeight="1">
      <c r="B784" s="6">
        <v>783.0</v>
      </c>
      <c r="C784" s="6">
        <v>39203.0</v>
      </c>
      <c r="D784" s="6">
        <v>1.23</v>
      </c>
      <c r="E784" s="6">
        <v>-0.2</v>
      </c>
      <c r="F784" s="6">
        <v>10.68</v>
      </c>
      <c r="G784" s="6">
        <v>-0.1</v>
      </c>
      <c r="H784" s="6">
        <v>0.0</v>
      </c>
      <c r="I784" s="6">
        <v>-0.01</v>
      </c>
      <c r="J784" s="6">
        <v>33.19</v>
      </c>
      <c r="K784" s="7">
        <f t="shared" ref="K784:P784" si="1510">abs(D784-D783)/200</f>
        <v>0</v>
      </c>
      <c r="L784" s="7">
        <f t="shared" si="1510"/>
        <v>0</v>
      </c>
      <c r="M784" s="7">
        <f t="shared" si="1510"/>
        <v>0.0001</v>
      </c>
      <c r="N784" s="7">
        <f t="shared" si="1510"/>
        <v>0</v>
      </c>
      <c r="O784" s="7">
        <f t="shared" si="1510"/>
        <v>0</v>
      </c>
      <c r="P784" s="7">
        <f t="shared" si="1510"/>
        <v>0</v>
      </c>
      <c r="Q784" s="7">
        <f t="shared" si="7"/>
        <v>0</v>
      </c>
      <c r="R784" s="7">
        <f t="shared" si="8"/>
        <v>0.01986547916</v>
      </c>
      <c r="S784" s="7">
        <f t="shared" si="2"/>
        <v>0.9524555335</v>
      </c>
      <c r="T784" s="7">
        <f t="shared" si="3"/>
        <v>0.1004987562</v>
      </c>
      <c r="U784" s="7">
        <f t="shared" si="4"/>
        <v>0</v>
      </c>
      <c r="V784" s="7">
        <f t="shared" si="5"/>
        <v>0</v>
      </c>
      <c r="W784" s="7">
        <f t="shared" ref="W784:X784" si="1511">IF(AVERAGE(U724:U783) &gt; 0.25, 1, 0)</f>
        <v>0</v>
      </c>
      <c r="X784" s="7">
        <f t="shared" si="1511"/>
        <v>0</v>
      </c>
      <c r="Y784" s="8">
        <v>0.0</v>
      </c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</row>
    <row r="785" ht="22.5" customHeight="1">
      <c r="B785" s="6">
        <v>784.0</v>
      </c>
      <c r="C785" s="6">
        <v>39407.0</v>
      </c>
      <c r="D785" s="6">
        <v>1.24</v>
      </c>
      <c r="E785" s="6">
        <v>-0.2</v>
      </c>
      <c r="F785" s="6">
        <v>10.67</v>
      </c>
      <c r="G785" s="6">
        <v>-0.1</v>
      </c>
      <c r="H785" s="6">
        <v>0.0</v>
      </c>
      <c r="I785" s="6">
        <v>-0.01</v>
      </c>
      <c r="J785" s="6">
        <v>33.21</v>
      </c>
      <c r="K785" s="7">
        <f t="shared" ref="K785:P785" si="1512">abs(D785-D784)/200</f>
        <v>0.00005</v>
      </c>
      <c r="L785" s="7">
        <f t="shared" si="1512"/>
        <v>0</v>
      </c>
      <c r="M785" s="7">
        <f t="shared" si="1512"/>
        <v>0.00005</v>
      </c>
      <c r="N785" s="7">
        <f t="shared" si="1512"/>
        <v>0</v>
      </c>
      <c r="O785" s="7">
        <f t="shared" si="1512"/>
        <v>0</v>
      </c>
      <c r="P785" s="7">
        <f t="shared" si="1512"/>
        <v>0</v>
      </c>
      <c r="Q785" s="7">
        <f t="shared" si="7"/>
        <v>0</v>
      </c>
      <c r="R785" s="7">
        <f t="shared" si="8"/>
        <v>0.008782977065</v>
      </c>
      <c r="S785" s="7">
        <f t="shared" si="2"/>
        <v>0.9436725564</v>
      </c>
      <c r="T785" s="7">
        <f t="shared" si="3"/>
        <v>0.1004987562</v>
      </c>
      <c r="U785" s="7">
        <f t="shared" si="4"/>
        <v>0</v>
      </c>
      <c r="V785" s="7">
        <f t="shared" si="5"/>
        <v>0</v>
      </c>
      <c r="W785" s="7">
        <f t="shared" ref="W785:X785" si="1513">IF(AVERAGE(U725:U784) &gt; 0.25, 1, 0)</f>
        <v>0</v>
      </c>
      <c r="X785" s="7">
        <f t="shared" si="1513"/>
        <v>0</v>
      </c>
      <c r="Y785" s="8">
        <v>0.0</v>
      </c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</row>
    <row r="786" ht="22.5" customHeight="1">
      <c r="B786" s="6">
        <v>785.0</v>
      </c>
      <c r="C786" s="6">
        <v>39611.0</v>
      </c>
      <c r="D786" s="6">
        <v>1.24</v>
      </c>
      <c r="E786" s="6">
        <v>-0.19</v>
      </c>
      <c r="F786" s="6">
        <v>10.68</v>
      </c>
      <c r="G786" s="6">
        <v>-0.1</v>
      </c>
      <c r="H786" s="6">
        <v>0.0</v>
      </c>
      <c r="I786" s="6">
        <v>-0.01</v>
      </c>
      <c r="J786" s="6">
        <v>33.2</v>
      </c>
      <c r="K786" s="7">
        <f t="shared" ref="K786:P786" si="1514">abs(D786-D785)/200</f>
        <v>0</v>
      </c>
      <c r="L786" s="7">
        <f t="shared" si="1514"/>
        <v>0.00005</v>
      </c>
      <c r="M786" s="7">
        <f t="shared" si="1514"/>
        <v>0.00005</v>
      </c>
      <c r="N786" s="7">
        <f t="shared" si="1514"/>
        <v>0</v>
      </c>
      <c r="O786" s="7">
        <f t="shared" si="1514"/>
        <v>0</v>
      </c>
      <c r="P786" s="7">
        <f t="shared" si="1514"/>
        <v>0</v>
      </c>
      <c r="Q786" s="7">
        <f t="shared" si="7"/>
        <v>0</v>
      </c>
      <c r="R786" s="7">
        <f t="shared" si="8"/>
        <v>0.009750154493</v>
      </c>
      <c r="S786" s="7">
        <f t="shared" si="2"/>
        <v>0.9534227109</v>
      </c>
      <c r="T786" s="7">
        <f t="shared" si="3"/>
        <v>0.1004987562</v>
      </c>
      <c r="U786" s="7">
        <f t="shared" si="4"/>
        <v>0</v>
      </c>
      <c r="V786" s="7">
        <f t="shared" si="5"/>
        <v>0</v>
      </c>
      <c r="W786" s="7">
        <f t="shared" ref="W786:X786" si="1515">IF(AVERAGE(U726:U785) &gt; 0.25, 1, 0)</f>
        <v>0</v>
      </c>
      <c r="X786" s="7">
        <f t="shared" si="1515"/>
        <v>0</v>
      </c>
      <c r="Y786" s="8">
        <v>0.0</v>
      </c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</row>
    <row r="787" ht="22.5" customHeight="1">
      <c r="B787" s="6">
        <v>786.0</v>
      </c>
      <c r="C787" s="6">
        <v>39815.0</v>
      </c>
      <c r="D787" s="6">
        <v>1.23</v>
      </c>
      <c r="E787" s="6">
        <v>-0.2</v>
      </c>
      <c r="F787" s="6">
        <v>10.67</v>
      </c>
      <c r="G787" s="6">
        <v>-0.1</v>
      </c>
      <c r="H787" s="6">
        <v>0.0</v>
      </c>
      <c r="I787" s="6">
        <v>-0.01</v>
      </c>
      <c r="J787" s="6">
        <v>33.19</v>
      </c>
      <c r="K787" s="7">
        <f t="shared" ref="K787:P787" si="1516">abs(D787-D786)/200</f>
        <v>0.00005</v>
      </c>
      <c r="L787" s="7">
        <f t="shared" si="1516"/>
        <v>0.00005</v>
      </c>
      <c r="M787" s="7">
        <f t="shared" si="1516"/>
        <v>0.00005</v>
      </c>
      <c r="N787" s="7">
        <f t="shared" si="1516"/>
        <v>0</v>
      </c>
      <c r="O787" s="7">
        <f t="shared" si="1516"/>
        <v>0</v>
      </c>
      <c r="P787" s="7">
        <f t="shared" si="1516"/>
        <v>0</v>
      </c>
      <c r="Q787" s="7">
        <f t="shared" si="7"/>
        <v>0</v>
      </c>
      <c r="R787" s="7">
        <f t="shared" si="8"/>
        <v>0.01089972981</v>
      </c>
      <c r="S787" s="7">
        <f t="shared" si="2"/>
        <v>0.9425229811</v>
      </c>
      <c r="T787" s="7">
        <f t="shared" si="3"/>
        <v>0.1004987562</v>
      </c>
      <c r="U787" s="7">
        <f t="shared" si="4"/>
        <v>0</v>
      </c>
      <c r="V787" s="7">
        <f t="shared" si="5"/>
        <v>0</v>
      </c>
      <c r="W787" s="7">
        <f t="shared" ref="W787:X787" si="1517">IF(AVERAGE(U727:U786) &gt; 0.25, 1, 0)</f>
        <v>0</v>
      </c>
      <c r="X787" s="7">
        <f t="shared" si="1517"/>
        <v>0</v>
      </c>
      <c r="Y787" s="8">
        <v>0.0</v>
      </c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</row>
    <row r="788" ht="22.5" customHeight="1">
      <c r="B788" s="6">
        <v>787.0</v>
      </c>
      <c r="C788" s="6">
        <v>40019.0</v>
      </c>
      <c r="D788" s="6">
        <v>1.23</v>
      </c>
      <c r="E788" s="6">
        <v>-0.2</v>
      </c>
      <c r="F788" s="6">
        <v>10.68</v>
      </c>
      <c r="G788" s="6">
        <v>-0.1</v>
      </c>
      <c r="H788" s="6">
        <v>0.0</v>
      </c>
      <c r="I788" s="6">
        <v>-0.01</v>
      </c>
      <c r="J788" s="6">
        <v>33.2</v>
      </c>
      <c r="K788" s="7">
        <f t="shared" ref="K788:P788" si="1518">abs(D788-D787)/200</f>
        <v>0</v>
      </c>
      <c r="L788" s="7">
        <f t="shared" si="1518"/>
        <v>0</v>
      </c>
      <c r="M788" s="7">
        <f t="shared" si="1518"/>
        <v>0.00005</v>
      </c>
      <c r="N788" s="7">
        <f t="shared" si="1518"/>
        <v>0</v>
      </c>
      <c r="O788" s="7">
        <f t="shared" si="1518"/>
        <v>0</v>
      </c>
      <c r="P788" s="7">
        <f t="shared" si="1518"/>
        <v>0</v>
      </c>
      <c r="Q788" s="7">
        <f t="shared" si="7"/>
        <v>0</v>
      </c>
      <c r="R788" s="7">
        <f t="shared" si="8"/>
        <v>0.00993255238</v>
      </c>
      <c r="S788" s="7">
        <f t="shared" si="2"/>
        <v>0.9524555335</v>
      </c>
      <c r="T788" s="7">
        <f t="shared" si="3"/>
        <v>0.1004987562</v>
      </c>
      <c r="U788" s="7">
        <f t="shared" si="4"/>
        <v>0</v>
      </c>
      <c r="V788" s="7">
        <f t="shared" si="5"/>
        <v>0</v>
      </c>
      <c r="W788" s="7">
        <f t="shared" ref="W788:X788" si="1519">IF(AVERAGE(U728:U787) &gt; 0.25, 1, 0)</f>
        <v>0</v>
      </c>
      <c r="X788" s="7">
        <f t="shared" si="1519"/>
        <v>0</v>
      </c>
      <c r="Y788" s="8">
        <v>0.0</v>
      </c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</row>
    <row r="789" ht="22.5" customHeight="1">
      <c r="B789" s="6">
        <v>788.0</v>
      </c>
      <c r="C789" s="6">
        <v>40223.0</v>
      </c>
      <c r="D789" s="6">
        <v>1.23</v>
      </c>
      <c r="E789" s="6">
        <v>-0.2</v>
      </c>
      <c r="F789" s="6">
        <v>10.68</v>
      </c>
      <c r="G789" s="6">
        <v>-0.1</v>
      </c>
      <c r="H789" s="6">
        <v>0.0</v>
      </c>
      <c r="I789" s="6">
        <v>-0.01</v>
      </c>
      <c r="J789" s="6">
        <v>33.19</v>
      </c>
      <c r="K789" s="7">
        <f t="shared" ref="K789:P789" si="1520">abs(D789-D788)/200</f>
        <v>0</v>
      </c>
      <c r="L789" s="7">
        <f t="shared" si="1520"/>
        <v>0</v>
      </c>
      <c r="M789" s="7">
        <f t="shared" si="1520"/>
        <v>0</v>
      </c>
      <c r="N789" s="7">
        <f t="shared" si="1520"/>
        <v>0</v>
      </c>
      <c r="O789" s="7">
        <f t="shared" si="1520"/>
        <v>0</v>
      </c>
      <c r="P789" s="7">
        <f t="shared" si="1520"/>
        <v>0</v>
      </c>
      <c r="Q789" s="7">
        <f t="shared" si="7"/>
        <v>0</v>
      </c>
      <c r="R789" s="7">
        <f t="shared" si="8"/>
        <v>0</v>
      </c>
      <c r="S789" s="7">
        <f t="shared" si="2"/>
        <v>0.9524555335</v>
      </c>
      <c r="T789" s="7">
        <f t="shared" si="3"/>
        <v>0.1004987562</v>
      </c>
      <c r="U789" s="7">
        <f t="shared" si="4"/>
        <v>0</v>
      </c>
      <c r="V789" s="7">
        <f t="shared" si="5"/>
        <v>0</v>
      </c>
      <c r="W789" s="7">
        <f t="shared" ref="W789:X789" si="1521">IF(AVERAGE(U729:U788) &gt; 0.25, 1, 0)</f>
        <v>0</v>
      </c>
      <c r="X789" s="7">
        <f t="shared" si="1521"/>
        <v>0</v>
      </c>
      <c r="Y789" s="8">
        <v>0.0</v>
      </c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</row>
    <row r="790" ht="22.5" customHeight="1">
      <c r="B790" s="6">
        <v>789.0</v>
      </c>
      <c r="C790" s="6">
        <v>40427.0</v>
      </c>
      <c r="D790" s="6">
        <v>1.24</v>
      </c>
      <c r="E790" s="6">
        <v>-0.19</v>
      </c>
      <c r="F790" s="6">
        <v>10.68</v>
      </c>
      <c r="G790" s="6">
        <v>-0.1</v>
      </c>
      <c r="H790" s="6">
        <v>0.0</v>
      </c>
      <c r="I790" s="6">
        <v>-0.01</v>
      </c>
      <c r="J790" s="6">
        <v>33.18</v>
      </c>
      <c r="K790" s="7">
        <f t="shared" ref="K790:P790" si="1522">abs(D790-D789)/200</f>
        <v>0.00005</v>
      </c>
      <c r="L790" s="7">
        <f t="shared" si="1522"/>
        <v>0.00005</v>
      </c>
      <c r="M790" s="7">
        <f t="shared" si="1522"/>
        <v>0</v>
      </c>
      <c r="N790" s="7">
        <f t="shared" si="1522"/>
        <v>0</v>
      </c>
      <c r="O790" s="7">
        <f t="shared" si="1522"/>
        <v>0</v>
      </c>
      <c r="P790" s="7">
        <f t="shared" si="1522"/>
        <v>0</v>
      </c>
      <c r="Q790" s="7">
        <f t="shared" si="7"/>
        <v>0</v>
      </c>
      <c r="R790" s="7">
        <f t="shared" si="8"/>
        <v>0.0009671774277</v>
      </c>
      <c r="S790" s="7">
        <f t="shared" si="2"/>
        <v>0.9534227109</v>
      </c>
      <c r="T790" s="7">
        <f t="shared" si="3"/>
        <v>0.1004987562</v>
      </c>
      <c r="U790" s="7">
        <f t="shared" si="4"/>
        <v>0</v>
      </c>
      <c r="V790" s="7">
        <f t="shared" si="5"/>
        <v>0</v>
      </c>
      <c r="W790" s="7">
        <f t="shared" ref="W790:X790" si="1523">IF(AVERAGE(U730:U789) &gt; 0.25, 1, 0)</f>
        <v>0</v>
      </c>
      <c r="X790" s="7">
        <f t="shared" si="1523"/>
        <v>0</v>
      </c>
      <c r="Y790" s="8">
        <v>0.0</v>
      </c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</row>
    <row r="791" ht="22.5" customHeight="1">
      <c r="B791" s="6">
        <v>790.0</v>
      </c>
      <c r="C791" s="6">
        <v>40631.0</v>
      </c>
      <c r="D791" s="6">
        <v>1.23</v>
      </c>
      <c r="E791" s="6">
        <v>-0.2</v>
      </c>
      <c r="F791" s="6">
        <v>10.68</v>
      </c>
      <c r="G791" s="6">
        <v>-0.1</v>
      </c>
      <c r="H791" s="6">
        <v>0.0</v>
      </c>
      <c r="I791" s="6">
        <v>-0.01</v>
      </c>
      <c r="J791" s="6">
        <v>33.2</v>
      </c>
      <c r="K791" s="7">
        <f t="shared" ref="K791:P791" si="1524">abs(D791-D790)/200</f>
        <v>0.00005</v>
      </c>
      <c r="L791" s="7">
        <f t="shared" si="1524"/>
        <v>0.00005</v>
      </c>
      <c r="M791" s="7">
        <f t="shared" si="1524"/>
        <v>0</v>
      </c>
      <c r="N791" s="7">
        <f t="shared" si="1524"/>
        <v>0</v>
      </c>
      <c r="O791" s="7">
        <f t="shared" si="1524"/>
        <v>0</v>
      </c>
      <c r="P791" s="7">
        <f t="shared" si="1524"/>
        <v>0</v>
      </c>
      <c r="Q791" s="7">
        <f t="shared" si="7"/>
        <v>0</v>
      </c>
      <c r="R791" s="7">
        <f t="shared" si="8"/>
        <v>0.0009671774277</v>
      </c>
      <c r="S791" s="7">
        <f t="shared" si="2"/>
        <v>0.9524555335</v>
      </c>
      <c r="T791" s="7">
        <f t="shared" si="3"/>
        <v>0.1004987562</v>
      </c>
      <c r="U791" s="7">
        <f t="shared" si="4"/>
        <v>0</v>
      </c>
      <c r="V791" s="7">
        <f t="shared" si="5"/>
        <v>0</v>
      </c>
      <c r="W791" s="7">
        <f t="shared" ref="W791:X791" si="1525">IF(AVERAGE(U731:U790) &gt; 0.25, 1, 0)</f>
        <v>0</v>
      </c>
      <c r="X791" s="7">
        <f t="shared" si="1525"/>
        <v>0</v>
      </c>
      <c r="Y791" s="8">
        <v>0.0</v>
      </c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</row>
    <row r="792" ht="22.5" customHeight="1">
      <c r="B792" s="6">
        <v>791.0</v>
      </c>
      <c r="C792" s="6">
        <v>40835.0</v>
      </c>
      <c r="D792" s="6">
        <v>1.23</v>
      </c>
      <c r="E792" s="6">
        <v>-0.2</v>
      </c>
      <c r="F792" s="6">
        <v>10.69</v>
      </c>
      <c r="G792" s="6">
        <v>-0.1</v>
      </c>
      <c r="H792" s="6">
        <v>0.0</v>
      </c>
      <c r="I792" s="6">
        <v>-0.01</v>
      </c>
      <c r="J792" s="6">
        <v>33.19</v>
      </c>
      <c r="K792" s="7">
        <f t="shared" ref="K792:P792" si="1526">abs(D792-D791)/200</f>
        <v>0</v>
      </c>
      <c r="L792" s="7">
        <f t="shared" si="1526"/>
        <v>0</v>
      </c>
      <c r="M792" s="7">
        <f t="shared" si="1526"/>
        <v>0.00005</v>
      </c>
      <c r="N792" s="7">
        <f t="shared" si="1526"/>
        <v>0</v>
      </c>
      <c r="O792" s="7">
        <f t="shared" si="1526"/>
        <v>0</v>
      </c>
      <c r="P792" s="7">
        <f t="shared" si="1526"/>
        <v>0</v>
      </c>
      <c r="Q792" s="7">
        <f t="shared" si="7"/>
        <v>0</v>
      </c>
      <c r="R792" s="7">
        <f t="shared" si="8"/>
        <v>0.009932677297</v>
      </c>
      <c r="S792" s="7">
        <f t="shared" si="2"/>
        <v>0.9623882108</v>
      </c>
      <c r="T792" s="7">
        <f t="shared" si="3"/>
        <v>0.1004987562</v>
      </c>
      <c r="U792" s="7">
        <f t="shared" si="4"/>
        <v>0</v>
      </c>
      <c r="V792" s="7">
        <f t="shared" si="5"/>
        <v>0</v>
      </c>
      <c r="W792" s="7">
        <f t="shared" ref="W792:X792" si="1527">IF(AVERAGE(U732:U791) &gt; 0.25, 1, 0)</f>
        <v>0</v>
      </c>
      <c r="X792" s="7">
        <f t="shared" si="1527"/>
        <v>0</v>
      </c>
      <c r="Y792" s="8">
        <v>0.0</v>
      </c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</row>
    <row r="793" ht="22.5" customHeight="1">
      <c r="B793" s="6">
        <v>792.0</v>
      </c>
      <c r="C793" s="6">
        <v>41039.0</v>
      </c>
      <c r="D793" s="6">
        <v>1.24</v>
      </c>
      <c r="E793" s="6">
        <v>-0.21</v>
      </c>
      <c r="F793" s="6">
        <v>10.69</v>
      </c>
      <c r="G793" s="6">
        <v>-0.1</v>
      </c>
      <c r="H793" s="6">
        <v>0.0</v>
      </c>
      <c r="I793" s="6">
        <v>-0.01</v>
      </c>
      <c r="J793" s="6">
        <v>33.19</v>
      </c>
      <c r="K793" s="7">
        <f t="shared" ref="K793:P793" si="1528">abs(D793-D792)/200</f>
        <v>0.00005</v>
      </c>
      <c r="L793" s="7">
        <f t="shared" si="1528"/>
        <v>0.00005</v>
      </c>
      <c r="M793" s="7">
        <f t="shared" si="1528"/>
        <v>0</v>
      </c>
      <c r="N793" s="7">
        <f t="shared" si="1528"/>
        <v>0</v>
      </c>
      <c r="O793" s="7">
        <f t="shared" si="1528"/>
        <v>0</v>
      </c>
      <c r="P793" s="7">
        <f t="shared" si="1528"/>
        <v>0</v>
      </c>
      <c r="Q793" s="7">
        <f t="shared" si="7"/>
        <v>0</v>
      </c>
      <c r="R793" s="7">
        <f t="shared" si="8"/>
        <v>0.001337909832</v>
      </c>
      <c r="S793" s="7">
        <f t="shared" si="2"/>
        <v>0.9637261206</v>
      </c>
      <c r="T793" s="7">
        <f t="shared" si="3"/>
        <v>0.1004987562</v>
      </c>
      <c r="U793" s="7">
        <f t="shared" si="4"/>
        <v>0</v>
      </c>
      <c r="V793" s="7">
        <f t="shared" si="5"/>
        <v>0</v>
      </c>
      <c r="W793" s="7">
        <f t="shared" ref="W793:X793" si="1529">IF(AVERAGE(U733:U792) &gt; 0.25, 1, 0)</f>
        <v>0</v>
      </c>
      <c r="X793" s="7">
        <f t="shared" si="1529"/>
        <v>0</v>
      </c>
      <c r="Y793" s="8">
        <v>0.0</v>
      </c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</row>
    <row r="794" ht="22.5" customHeight="1">
      <c r="B794" s="6">
        <v>793.0</v>
      </c>
      <c r="C794" s="6">
        <v>41243.0</v>
      </c>
      <c r="D794" s="6">
        <v>1.24</v>
      </c>
      <c r="E794" s="6">
        <v>-0.2</v>
      </c>
      <c r="F794" s="6">
        <v>10.67</v>
      </c>
      <c r="G794" s="6">
        <v>-0.1</v>
      </c>
      <c r="H794" s="6">
        <v>0.0</v>
      </c>
      <c r="I794" s="6">
        <v>-0.01</v>
      </c>
      <c r="J794" s="6">
        <v>33.19</v>
      </c>
      <c r="K794" s="7">
        <f t="shared" ref="K794:P794" si="1530">abs(D794-D793)/200</f>
        <v>0</v>
      </c>
      <c r="L794" s="7">
        <f t="shared" si="1530"/>
        <v>0.00005</v>
      </c>
      <c r="M794" s="7">
        <f t="shared" si="1530"/>
        <v>0.0001</v>
      </c>
      <c r="N794" s="7">
        <f t="shared" si="1530"/>
        <v>0</v>
      </c>
      <c r="O794" s="7">
        <f t="shared" si="1530"/>
        <v>0</v>
      </c>
      <c r="P794" s="7">
        <f t="shared" si="1530"/>
        <v>0</v>
      </c>
      <c r="Q794" s="7">
        <f t="shared" si="7"/>
        <v>0</v>
      </c>
      <c r="R794" s="7">
        <f t="shared" si="8"/>
        <v>0.02005356419</v>
      </c>
      <c r="S794" s="7">
        <f t="shared" si="2"/>
        <v>0.9436725564</v>
      </c>
      <c r="T794" s="7">
        <f t="shared" si="3"/>
        <v>0.1004987562</v>
      </c>
      <c r="U794" s="7">
        <f t="shared" si="4"/>
        <v>0</v>
      </c>
      <c r="V794" s="7">
        <f t="shared" si="5"/>
        <v>0</v>
      </c>
      <c r="W794" s="7">
        <f t="shared" ref="W794:X794" si="1531">IF(AVERAGE(U734:U793) &gt; 0.25, 1, 0)</f>
        <v>0</v>
      </c>
      <c r="X794" s="7">
        <f t="shared" si="1531"/>
        <v>0</v>
      </c>
      <c r="Y794" s="8">
        <v>0.0</v>
      </c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</row>
    <row r="795" ht="22.5" customHeight="1">
      <c r="B795" s="6">
        <v>794.0</v>
      </c>
      <c r="C795" s="6">
        <v>41447.0</v>
      </c>
      <c r="D795" s="6">
        <v>1.24</v>
      </c>
      <c r="E795" s="6">
        <v>-0.2</v>
      </c>
      <c r="F795" s="6">
        <v>10.69</v>
      </c>
      <c r="G795" s="6">
        <v>-0.1</v>
      </c>
      <c r="H795" s="6">
        <v>0.0</v>
      </c>
      <c r="I795" s="6">
        <v>-0.01</v>
      </c>
      <c r="J795" s="6">
        <v>33.2</v>
      </c>
      <c r="K795" s="7">
        <f t="shared" ref="K795:P795" si="1532">abs(D795-D794)/200</f>
        <v>0</v>
      </c>
      <c r="L795" s="7">
        <f t="shared" si="1532"/>
        <v>0</v>
      </c>
      <c r="M795" s="7">
        <f t="shared" si="1532"/>
        <v>0.0001</v>
      </c>
      <c r="N795" s="7">
        <f t="shared" si="1532"/>
        <v>0</v>
      </c>
      <c r="O795" s="7">
        <f t="shared" si="1532"/>
        <v>0</v>
      </c>
      <c r="P795" s="7">
        <f t="shared" si="1532"/>
        <v>0</v>
      </c>
      <c r="Q795" s="7">
        <f t="shared" si="7"/>
        <v>0</v>
      </c>
      <c r="R795" s="7">
        <f t="shared" si="8"/>
        <v>0.01986310802</v>
      </c>
      <c r="S795" s="7">
        <f t="shared" si="2"/>
        <v>0.9635356645</v>
      </c>
      <c r="T795" s="7">
        <f t="shared" si="3"/>
        <v>0.1004987562</v>
      </c>
      <c r="U795" s="7">
        <f t="shared" si="4"/>
        <v>0</v>
      </c>
      <c r="V795" s="7">
        <f t="shared" si="5"/>
        <v>0</v>
      </c>
      <c r="W795" s="7">
        <f t="shared" ref="W795:X795" si="1533">IF(AVERAGE(U735:U794) &gt; 0.25, 1, 0)</f>
        <v>0</v>
      </c>
      <c r="X795" s="7">
        <f t="shared" si="1533"/>
        <v>0</v>
      </c>
      <c r="Y795" s="8">
        <v>0.0</v>
      </c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</row>
    <row r="796" ht="22.5" customHeight="1">
      <c r="B796" s="6">
        <v>795.0</v>
      </c>
      <c r="C796" s="6">
        <v>41651.0</v>
      </c>
      <c r="D796" s="6">
        <v>1.23</v>
      </c>
      <c r="E796" s="6">
        <v>-0.19</v>
      </c>
      <c r="F796" s="6">
        <v>10.66</v>
      </c>
      <c r="G796" s="6">
        <v>-0.1</v>
      </c>
      <c r="H796" s="6">
        <v>0.0</v>
      </c>
      <c r="I796" s="6">
        <v>-0.01</v>
      </c>
      <c r="J796" s="6">
        <v>33.19</v>
      </c>
      <c r="K796" s="7">
        <f t="shared" ref="K796:P796" si="1534">abs(D796-D795)/200</f>
        <v>0.00005</v>
      </c>
      <c r="L796" s="7">
        <f t="shared" si="1534"/>
        <v>0.00005</v>
      </c>
      <c r="M796" s="7">
        <f t="shared" si="1534"/>
        <v>0.00015</v>
      </c>
      <c r="N796" s="7">
        <f t="shared" si="1534"/>
        <v>0</v>
      </c>
      <c r="O796" s="7">
        <f t="shared" si="1534"/>
        <v>0</v>
      </c>
      <c r="P796" s="7">
        <f t="shared" si="1534"/>
        <v>0</v>
      </c>
      <c r="Q796" s="7">
        <f t="shared" si="7"/>
        <v>0</v>
      </c>
      <c r="R796" s="7">
        <f t="shared" si="8"/>
        <v>0.03112680158</v>
      </c>
      <c r="S796" s="7">
        <f t="shared" si="2"/>
        <v>0.9324088629</v>
      </c>
      <c r="T796" s="7">
        <f t="shared" si="3"/>
        <v>0.1004987562</v>
      </c>
      <c r="U796" s="7">
        <f t="shared" si="4"/>
        <v>0</v>
      </c>
      <c r="V796" s="7">
        <f t="shared" si="5"/>
        <v>0</v>
      </c>
      <c r="W796" s="7">
        <f t="shared" ref="W796:X796" si="1535">IF(AVERAGE(U736:U795) &gt; 0.25, 1, 0)</f>
        <v>0</v>
      </c>
      <c r="X796" s="7">
        <f t="shared" si="1535"/>
        <v>0</v>
      </c>
      <c r="Y796" s="8">
        <v>0.0</v>
      </c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</row>
    <row r="797" ht="22.5" customHeight="1">
      <c r="B797" s="6">
        <v>796.0</v>
      </c>
      <c r="C797" s="6">
        <v>41855.0</v>
      </c>
      <c r="D797" s="6">
        <v>1.23</v>
      </c>
      <c r="E797" s="6">
        <v>-0.21</v>
      </c>
      <c r="F797" s="6">
        <v>10.68</v>
      </c>
      <c r="G797" s="6">
        <v>-0.1</v>
      </c>
      <c r="H797" s="6">
        <v>0.0</v>
      </c>
      <c r="I797" s="6">
        <v>-0.01</v>
      </c>
      <c r="J797" s="6">
        <v>33.2</v>
      </c>
      <c r="K797" s="7">
        <f t="shared" ref="K797:P797" si="1536">abs(D797-D796)/200</f>
        <v>0</v>
      </c>
      <c r="L797" s="7">
        <f t="shared" si="1536"/>
        <v>0.0001</v>
      </c>
      <c r="M797" s="7">
        <f t="shared" si="1536"/>
        <v>0.0001</v>
      </c>
      <c r="N797" s="7">
        <f t="shared" si="1536"/>
        <v>0</v>
      </c>
      <c r="O797" s="7">
        <f t="shared" si="1536"/>
        <v>0</v>
      </c>
      <c r="P797" s="7">
        <f t="shared" si="1536"/>
        <v>0</v>
      </c>
      <c r="Q797" s="7">
        <f t="shared" si="7"/>
        <v>0</v>
      </c>
      <c r="R797" s="7">
        <f t="shared" si="8"/>
        <v>0.02023732306</v>
      </c>
      <c r="S797" s="7">
        <f t="shared" si="2"/>
        <v>0.9526461859</v>
      </c>
      <c r="T797" s="7">
        <f t="shared" si="3"/>
        <v>0.1004987562</v>
      </c>
      <c r="U797" s="7">
        <f t="shared" si="4"/>
        <v>0</v>
      </c>
      <c r="V797" s="7">
        <f t="shared" si="5"/>
        <v>0</v>
      </c>
      <c r="W797" s="7">
        <f t="shared" ref="W797:X797" si="1537">IF(AVERAGE(U737:U796) &gt; 0.25, 1, 0)</f>
        <v>0</v>
      </c>
      <c r="X797" s="7">
        <f t="shared" si="1537"/>
        <v>0</v>
      </c>
      <c r="Y797" s="8">
        <v>0.0</v>
      </c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</row>
    <row r="798" ht="22.5" customHeight="1">
      <c r="B798" s="6">
        <v>797.0</v>
      </c>
      <c r="C798" s="6">
        <v>42059.0</v>
      </c>
      <c r="D798" s="6">
        <v>1.23</v>
      </c>
      <c r="E798" s="6">
        <v>-0.2</v>
      </c>
      <c r="F798" s="6">
        <v>10.69</v>
      </c>
      <c r="G798" s="6">
        <v>-0.1</v>
      </c>
      <c r="H798" s="6">
        <v>0.0</v>
      </c>
      <c r="I798" s="6">
        <v>-0.01</v>
      </c>
      <c r="J798" s="6">
        <v>33.2</v>
      </c>
      <c r="K798" s="7">
        <f t="shared" ref="K798:P798" si="1538">abs(D798-D797)/200</f>
        <v>0</v>
      </c>
      <c r="L798" s="7">
        <f t="shared" si="1538"/>
        <v>0.00005</v>
      </c>
      <c r="M798" s="7">
        <f t="shared" si="1538"/>
        <v>0.00005</v>
      </c>
      <c r="N798" s="7">
        <f t="shared" si="1538"/>
        <v>0</v>
      </c>
      <c r="O798" s="7">
        <f t="shared" si="1538"/>
        <v>0</v>
      </c>
      <c r="P798" s="7">
        <f t="shared" si="1538"/>
        <v>0</v>
      </c>
      <c r="Q798" s="7">
        <f t="shared" si="7"/>
        <v>0</v>
      </c>
      <c r="R798" s="7">
        <f t="shared" si="8"/>
        <v>0.009742024862</v>
      </c>
      <c r="S798" s="7">
        <f t="shared" si="2"/>
        <v>0.9623882108</v>
      </c>
      <c r="T798" s="7">
        <f t="shared" si="3"/>
        <v>0.1004987562</v>
      </c>
      <c r="U798" s="7">
        <f t="shared" si="4"/>
        <v>0</v>
      </c>
      <c r="V798" s="7">
        <f t="shared" si="5"/>
        <v>0</v>
      </c>
      <c r="W798" s="7">
        <f t="shared" ref="W798:X798" si="1539">IF(AVERAGE(U738:U797) &gt; 0.25, 1, 0)</f>
        <v>0</v>
      </c>
      <c r="X798" s="7">
        <f t="shared" si="1539"/>
        <v>0</v>
      </c>
      <c r="Y798" s="8">
        <v>0.0</v>
      </c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</row>
    <row r="799" ht="22.5" customHeight="1">
      <c r="B799" s="6">
        <v>798.0</v>
      </c>
      <c r="C799" s="6">
        <v>42263.0</v>
      </c>
      <c r="D799" s="6">
        <v>1.23</v>
      </c>
      <c r="E799" s="6">
        <v>-0.2</v>
      </c>
      <c r="F799" s="6">
        <v>10.68</v>
      </c>
      <c r="G799" s="6">
        <v>-0.1</v>
      </c>
      <c r="H799" s="6">
        <v>0.0</v>
      </c>
      <c r="I799" s="6">
        <v>-0.01</v>
      </c>
      <c r="J799" s="6">
        <v>33.19</v>
      </c>
      <c r="K799" s="7">
        <f t="shared" ref="K799:P799" si="1540">abs(D799-D798)/200</f>
        <v>0</v>
      </c>
      <c r="L799" s="7">
        <f t="shared" si="1540"/>
        <v>0</v>
      </c>
      <c r="M799" s="7">
        <f t="shared" si="1540"/>
        <v>0.00005</v>
      </c>
      <c r="N799" s="7">
        <f t="shared" si="1540"/>
        <v>0</v>
      </c>
      <c r="O799" s="7">
        <f t="shared" si="1540"/>
        <v>0</v>
      </c>
      <c r="P799" s="7">
        <f t="shared" si="1540"/>
        <v>0</v>
      </c>
      <c r="Q799" s="7">
        <f t="shared" si="7"/>
        <v>0</v>
      </c>
      <c r="R799" s="7">
        <f t="shared" si="8"/>
        <v>0.009932677297</v>
      </c>
      <c r="S799" s="7">
        <f t="shared" si="2"/>
        <v>0.9524555335</v>
      </c>
      <c r="T799" s="7">
        <f t="shared" si="3"/>
        <v>0.1004987562</v>
      </c>
      <c r="U799" s="7">
        <f t="shared" si="4"/>
        <v>0</v>
      </c>
      <c r="V799" s="7">
        <f t="shared" si="5"/>
        <v>0</v>
      </c>
      <c r="W799" s="7">
        <f t="shared" ref="W799:X799" si="1541">IF(AVERAGE(U739:U798) &gt; 0.25, 1, 0)</f>
        <v>0</v>
      </c>
      <c r="X799" s="7">
        <f t="shared" si="1541"/>
        <v>0</v>
      </c>
      <c r="Y799" s="8">
        <v>0.0</v>
      </c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</row>
    <row r="800" ht="22.5" customHeight="1">
      <c r="B800" s="6">
        <v>799.0</v>
      </c>
      <c r="C800" s="6">
        <v>42467.0</v>
      </c>
      <c r="D800" s="6">
        <v>1.23</v>
      </c>
      <c r="E800" s="6">
        <v>-0.2</v>
      </c>
      <c r="F800" s="6">
        <v>10.69</v>
      </c>
      <c r="G800" s="6">
        <v>-0.1</v>
      </c>
      <c r="H800" s="6">
        <v>0.0</v>
      </c>
      <c r="I800" s="6">
        <v>-0.01</v>
      </c>
      <c r="J800" s="6">
        <v>33.18</v>
      </c>
      <c r="K800" s="7">
        <f t="shared" ref="K800:P800" si="1542">abs(D800-D799)/200</f>
        <v>0</v>
      </c>
      <c r="L800" s="7">
        <f t="shared" si="1542"/>
        <v>0</v>
      </c>
      <c r="M800" s="7">
        <f t="shared" si="1542"/>
        <v>0.00005</v>
      </c>
      <c r="N800" s="7">
        <f t="shared" si="1542"/>
        <v>0</v>
      </c>
      <c r="O800" s="7">
        <f t="shared" si="1542"/>
        <v>0</v>
      </c>
      <c r="P800" s="7">
        <f t="shared" si="1542"/>
        <v>0</v>
      </c>
      <c r="Q800" s="7">
        <f t="shared" si="7"/>
        <v>0</v>
      </c>
      <c r="R800" s="7">
        <f t="shared" si="8"/>
        <v>0.009932677297</v>
      </c>
      <c r="S800" s="7">
        <f t="shared" si="2"/>
        <v>0.9623882108</v>
      </c>
      <c r="T800" s="7">
        <f t="shared" si="3"/>
        <v>0.1004987562</v>
      </c>
      <c r="U800" s="7">
        <f t="shared" si="4"/>
        <v>0</v>
      </c>
      <c r="V800" s="7">
        <f t="shared" si="5"/>
        <v>0</v>
      </c>
      <c r="W800" s="7">
        <f t="shared" ref="W800:X800" si="1543">IF(AVERAGE(U740:U799) &gt; 0.25, 1, 0)</f>
        <v>0</v>
      </c>
      <c r="X800" s="7">
        <f t="shared" si="1543"/>
        <v>0</v>
      </c>
      <c r="Y800" s="8">
        <v>0.0</v>
      </c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</row>
    <row r="801" ht="22.5" customHeight="1">
      <c r="B801" s="6">
        <v>800.0</v>
      </c>
      <c r="C801" s="6">
        <v>42671.0</v>
      </c>
      <c r="D801" s="6">
        <v>1.24</v>
      </c>
      <c r="E801" s="6">
        <v>-0.2</v>
      </c>
      <c r="F801" s="6">
        <v>10.69</v>
      </c>
      <c r="G801" s="6">
        <v>-0.1</v>
      </c>
      <c r="H801" s="6">
        <v>0.0</v>
      </c>
      <c r="I801" s="6">
        <v>-0.01</v>
      </c>
      <c r="J801" s="6">
        <v>33.19</v>
      </c>
      <c r="K801" s="7">
        <f t="shared" ref="K801:P801" si="1544">abs(D801-D800)/200</f>
        <v>0.00005</v>
      </c>
      <c r="L801" s="7">
        <f t="shared" si="1544"/>
        <v>0</v>
      </c>
      <c r="M801" s="7">
        <f t="shared" si="1544"/>
        <v>0</v>
      </c>
      <c r="N801" s="7">
        <f t="shared" si="1544"/>
        <v>0</v>
      </c>
      <c r="O801" s="7">
        <f t="shared" si="1544"/>
        <v>0</v>
      </c>
      <c r="P801" s="7">
        <f t="shared" si="1544"/>
        <v>0</v>
      </c>
      <c r="Q801" s="7">
        <f t="shared" si="7"/>
        <v>0</v>
      </c>
      <c r="R801" s="7">
        <f t="shared" si="8"/>
        <v>0.001147453654</v>
      </c>
      <c r="S801" s="7">
        <f t="shared" si="2"/>
        <v>0.9635356645</v>
      </c>
      <c r="T801" s="7">
        <f t="shared" si="3"/>
        <v>0.1004987562</v>
      </c>
      <c r="U801" s="7">
        <f t="shared" si="4"/>
        <v>0</v>
      </c>
      <c r="V801" s="7">
        <f t="shared" si="5"/>
        <v>0</v>
      </c>
      <c r="W801" s="7">
        <f t="shared" ref="W801:X801" si="1545">IF(AVERAGE(U741:U800) &gt; 0.25, 1, 0)</f>
        <v>0</v>
      </c>
      <c r="X801" s="7">
        <f t="shared" si="1545"/>
        <v>0</v>
      </c>
      <c r="Y801" s="8">
        <v>0.0</v>
      </c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</row>
    <row r="802" ht="22.5" customHeight="1">
      <c r="B802" s="6">
        <v>801.0</v>
      </c>
      <c r="C802" s="6">
        <v>42875.0</v>
      </c>
      <c r="D802" s="6">
        <v>1.23</v>
      </c>
      <c r="E802" s="6">
        <v>-0.21</v>
      </c>
      <c r="F802" s="6">
        <v>10.68</v>
      </c>
      <c r="G802" s="6">
        <v>-0.1</v>
      </c>
      <c r="H802" s="6">
        <v>0.0</v>
      </c>
      <c r="I802" s="6">
        <v>-0.01</v>
      </c>
      <c r="J802" s="6">
        <v>33.19</v>
      </c>
      <c r="K802" s="7">
        <f t="shared" ref="K802:P802" si="1546">abs(D802-D801)/200</f>
        <v>0.00005</v>
      </c>
      <c r="L802" s="7">
        <f t="shared" si="1546"/>
        <v>0.00005</v>
      </c>
      <c r="M802" s="7">
        <f t="shared" si="1546"/>
        <v>0.00005</v>
      </c>
      <c r="N802" s="7">
        <f t="shared" si="1546"/>
        <v>0</v>
      </c>
      <c r="O802" s="7">
        <f t="shared" si="1546"/>
        <v>0</v>
      </c>
      <c r="P802" s="7">
        <f t="shared" si="1546"/>
        <v>0</v>
      </c>
      <c r="Q802" s="7">
        <f t="shared" si="7"/>
        <v>0</v>
      </c>
      <c r="R802" s="7">
        <f t="shared" si="8"/>
        <v>0.01088947852</v>
      </c>
      <c r="S802" s="7">
        <f t="shared" si="2"/>
        <v>0.9526461859</v>
      </c>
      <c r="T802" s="7">
        <f t="shared" si="3"/>
        <v>0.1004987562</v>
      </c>
      <c r="U802" s="7">
        <f t="shared" si="4"/>
        <v>0</v>
      </c>
      <c r="V802" s="7">
        <f t="shared" si="5"/>
        <v>0</v>
      </c>
      <c r="W802" s="7">
        <f t="shared" ref="W802:X802" si="1547">IF(AVERAGE(U742:U801) &gt; 0.25, 1, 0)</f>
        <v>0</v>
      </c>
      <c r="X802" s="7">
        <f t="shared" si="1547"/>
        <v>0</v>
      </c>
      <c r="Y802" s="8">
        <v>0.0</v>
      </c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</row>
    <row r="803" ht="22.5" customHeight="1">
      <c r="B803" s="6">
        <v>802.0</v>
      </c>
      <c r="C803" s="6">
        <v>43079.0</v>
      </c>
      <c r="D803" s="6">
        <v>1.23</v>
      </c>
      <c r="E803" s="6">
        <v>-0.2</v>
      </c>
      <c r="F803" s="6">
        <v>10.68</v>
      </c>
      <c r="G803" s="6">
        <v>-0.1</v>
      </c>
      <c r="H803" s="6">
        <v>0.0</v>
      </c>
      <c r="I803" s="6">
        <v>-0.01</v>
      </c>
      <c r="J803" s="6">
        <v>33.19</v>
      </c>
      <c r="K803" s="7">
        <f t="shared" ref="K803:P803" si="1548">abs(D803-D802)/200</f>
        <v>0</v>
      </c>
      <c r="L803" s="7">
        <f t="shared" si="1548"/>
        <v>0.00005</v>
      </c>
      <c r="M803" s="7">
        <f t="shared" si="1548"/>
        <v>0</v>
      </c>
      <c r="N803" s="7">
        <f t="shared" si="1548"/>
        <v>0</v>
      </c>
      <c r="O803" s="7">
        <f t="shared" si="1548"/>
        <v>0</v>
      </c>
      <c r="P803" s="7">
        <f t="shared" si="1548"/>
        <v>0</v>
      </c>
      <c r="Q803" s="7">
        <f t="shared" si="7"/>
        <v>0</v>
      </c>
      <c r="R803" s="7">
        <f t="shared" si="8"/>
        <v>0.0001906524346</v>
      </c>
      <c r="S803" s="7">
        <f t="shared" si="2"/>
        <v>0.9524555335</v>
      </c>
      <c r="T803" s="7">
        <f t="shared" si="3"/>
        <v>0.1004987562</v>
      </c>
      <c r="U803" s="7">
        <f t="shared" si="4"/>
        <v>0</v>
      </c>
      <c r="V803" s="7">
        <f t="shared" si="5"/>
        <v>0</v>
      </c>
      <c r="W803" s="7">
        <f t="shared" ref="W803:X803" si="1549">IF(AVERAGE(U743:U802) &gt; 0.25, 1, 0)</f>
        <v>0</v>
      </c>
      <c r="X803" s="7">
        <f t="shared" si="1549"/>
        <v>0</v>
      </c>
      <c r="Y803" s="8">
        <v>0.0</v>
      </c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</row>
    <row r="804" ht="22.5" customHeight="1">
      <c r="B804" s="6">
        <v>803.0</v>
      </c>
      <c r="C804" s="6">
        <v>43283.0</v>
      </c>
      <c r="D804" s="6">
        <v>1.23</v>
      </c>
      <c r="E804" s="6">
        <v>-0.21</v>
      </c>
      <c r="F804" s="6">
        <v>10.68</v>
      </c>
      <c r="G804" s="6">
        <v>-0.1</v>
      </c>
      <c r="H804" s="6">
        <v>0.0</v>
      </c>
      <c r="I804" s="6">
        <v>-0.01</v>
      </c>
      <c r="J804" s="6">
        <v>33.17</v>
      </c>
      <c r="K804" s="7">
        <f t="shared" ref="K804:P804" si="1550">abs(D804-D803)/200</f>
        <v>0</v>
      </c>
      <c r="L804" s="7">
        <f t="shared" si="1550"/>
        <v>0.00005</v>
      </c>
      <c r="M804" s="7">
        <f t="shared" si="1550"/>
        <v>0</v>
      </c>
      <c r="N804" s="7">
        <f t="shared" si="1550"/>
        <v>0</v>
      </c>
      <c r="O804" s="7">
        <f t="shared" si="1550"/>
        <v>0</v>
      </c>
      <c r="P804" s="7">
        <f t="shared" si="1550"/>
        <v>0</v>
      </c>
      <c r="Q804" s="7">
        <f t="shared" si="7"/>
        <v>0</v>
      </c>
      <c r="R804" s="7">
        <f t="shared" si="8"/>
        <v>0.0001906524346</v>
      </c>
      <c r="S804" s="7">
        <f t="shared" si="2"/>
        <v>0.9526461859</v>
      </c>
      <c r="T804" s="7">
        <f t="shared" si="3"/>
        <v>0.1004987562</v>
      </c>
      <c r="U804" s="7">
        <f t="shared" si="4"/>
        <v>0</v>
      </c>
      <c r="V804" s="7">
        <f t="shared" si="5"/>
        <v>0</v>
      </c>
      <c r="W804" s="7">
        <f t="shared" ref="W804:X804" si="1551">IF(AVERAGE(U744:U803) &gt; 0.25, 1, 0)</f>
        <v>0</v>
      </c>
      <c r="X804" s="7">
        <f t="shared" si="1551"/>
        <v>0</v>
      </c>
      <c r="Y804" s="8">
        <v>0.0</v>
      </c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</row>
    <row r="805" ht="22.5" customHeight="1">
      <c r="B805" s="6">
        <v>804.0</v>
      </c>
      <c r="C805" s="6">
        <v>43487.0</v>
      </c>
      <c r="D805" s="6">
        <v>1.23</v>
      </c>
      <c r="E805" s="6">
        <v>-0.2</v>
      </c>
      <c r="F805" s="6">
        <v>10.67</v>
      </c>
      <c r="G805" s="6">
        <v>-0.1</v>
      </c>
      <c r="H805" s="6">
        <v>0.0</v>
      </c>
      <c r="I805" s="6">
        <v>-0.01</v>
      </c>
      <c r="J805" s="6">
        <v>33.19</v>
      </c>
      <c r="K805" s="7">
        <f t="shared" ref="K805:P805" si="1552">abs(D805-D804)/200</f>
        <v>0</v>
      </c>
      <c r="L805" s="7">
        <f t="shared" si="1552"/>
        <v>0.00005</v>
      </c>
      <c r="M805" s="7">
        <f t="shared" si="1552"/>
        <v>0.00005</v>
      </c>
      <c r="N805" s="7">
        <f t="shared" si="1552"/>
        <v>0</v>
      </c>
      <c r="O805" s="7">
        <f t="shared" si="1552"/>
        <v>0</v>
      </c>
      <c r="P805" s="7">
        <f t="shared" si="1552"/>
        <v>0</v>
      </c>
      <c r="Q805" s="7">
        <f t="shared" si="7"/>
        <v>0</v>
      </c>
      <c r="R805" s="7">
        <f t="shared" si="8"/>
        <v>0.01012320481</v>
      </c>
      <c r="S805" s="7">
        <f t="shared" si="2"/>
        <v>0.9425229811</v>
      </c>
      <c r="T805" s="7">
        <f t="shared" si="3"/>
        <v>0.1004987562</v>
      </c>
      <c r="U805" s="7">
        <f t="shared" si="4"/>
        <v>0</v>
      </c>
      <c r="V805" s="7">
        <f t="shared" si="5"/>
        <v>0</v>
      </c>
      <c r="W805" s="7">
        <f t="shared" ref="W805:X805" si="1553">IF(AVERAGE(U745:U804) &gt; 0.25, 1, 0)</f>
        <v>0</v>
      </c>
      <c r="X805" s="7">
        <f t="shared" si="1553"/>
        <v>0</v>
      </c>
      <c r="Y805" s="8">
        <v>0.0</v>
      </c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</row>
    <row r="806" ht="22.5" customHeight="1">
      <c r="B806" s="6">
        <v>805.0</v>
      </c>
      <c r="C806" s="6">
        <v>43691.0</v>
      </c>
      <c r="D806" s="6">
        <v>1.24</v>
      </c>
      <c r="E806" s="6">
        <v>-0.21</v>
      </c>
      <c r="F806" s="6">
        <v>10.69</v>
      </c>
      <c r="G806" s="6">
        <v>-0.1</v>
      </c>
      <c r="H806" s="6">
        <v>0.0</v>
      </c>
      <c r="I806" s="6">
        <v>-0.01</v>
      </c>
      <c r="J806" s="6">
        <v>33.19</v>
      </c>
      <c r="K806" s="7">
        <f t="shared" ref="K806:P806" si="1554">abs(D806-D805)/200</f>
        <v>0.00005</v>
      </c>
      <c r="L806" s="7">
        <f t="shared" si="1554"/>
        <v>0.00005</v>
      </c>
      <c r="M806" s="7">
        <f t="shared" si="1554"/>
        <v>0.0001</v>
      </c>
      <c r="N806" s="7">
        <f t="shared" si="1554"/>
        <v>0</v>
      </c>
      <c r="O806" s="7">
        <f t="shared" si="1554"/>
        <v>0</v>
      </c>
      <c r="P806" s="7">
        <f t="shared" si="1554"/>
        <v>0</v>
      </c>
      <c r="Q806" s="7">
        <f t="shared" si="7"/>
        <v>0</v>
      </c>
      <c r="R806" s="7">
        <f t="shared" si="8"/>
        <v>0.02120313951</v>
      </c>
      <c r="S806" s="7">
        <f t="shared" si="2"/>
        <v>0.9637261206</v>
      </c>
      <c r="T806" s="7">
        <f t="shared" si="3"/>
        <v>0.1004987562</v>
      </c>
      <c r="U806" s="7">
        <f t="shared" si="4"/>
        <v>0</v>
      </c>
      <c r="V806" s="7">
        <f t="shared" si="5"/>
        <v>0</v>
      </c>
      <c r="W806" s="7">
        <f t="shared" ref="W806:X806" si="1555">IF(AVERAGE(U746:U805) &gt; 0.25, 1, 0)</f>
        <v>0</v>
      </c>
      <c r="X806" s="7">
        <f t="shared" si="1555"/>
        <v>0</v>
      </c>
      <c r="Y806" s="8">
        <v>0.0</v>
      </c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</row>
    <row r="807" ht="22.5" customHeight="1">
      <c r="B807" s="6">
        <v>806.0</v>
      </c>
      <c r="C807" s="6">
        <v>43895.0</v>
      </c>
      <c r="D807" s="6">
        <v>1.23</v>
      </c>
      <c r="E807" s="6">
        <v>-0.19</v>
      </c>
      <c r="F807" s="6">
        <v>10.68</v>
      </c>
      <c r="G807" s="6">
        <v>-0.1</v>
      </c>
      <c r="H807" s="6">
        <v>0.0</v>
      </c>
      <c r="I807" s="6">
        <v>-0.01</v>
      </c>
      <c r="J807" s="6">
        <v>33.19</v>
      </c>
      <c r="K807" s="7">
        <f t="shared" ref="K807:P807" si="1556">abs(D807-D806)/200</f>
        <v>0.00005</v>
      </c>
      <c r="L807" s="7">
        <f t="shared" si="1556"/>
        <v>0.0001</v>
      </c>
      <c r="M807" s="7">
        <f t="shared" si="1556"/>
        <v>0.00005</v>
      </c>
      <c r="N807" s="7">
        <f t="shared" si="1556"/>
        <v>0</v>
      </c>
      <c r="O807" s="7">
        <f t="shared" si="1556"/>
        <v>0</v>
      </c>
      <c r="P807" s="7">
        <f t="shared" si="1556"/>
        <v>0</v>
      </c>
      <c r="Q807" s="7">
        <f t="shared" si="7"/>
        <v>0</v>
      </c>
      <c r="R807" s="7">
        <f t="shared" si="8"/>
        <v>0.01145194258</v>
      </c>
      <c r="S807" s="7">
        <f t="shared" si="2"/>
        <v>0.9522741781</v>
      </c>
      <c r="T807" s="7">
        <f t="shared" si="3"/>
        <v>0.1004987562</v>
      </c>
      <c r="U807" s="7">
        <f t="shared" si="4"/>
        <v>0</v>
      </c>
      <c r="V807" s="7">
        <f t="shared" si="5"/>
        <v>0</v>
      </c>
      <c r="W807" s="7">
        <f t="shared" ref="W807:X807" si="1557">IF(AVERAGE(U747:U806) &gt; 0.25, 1, 0)</f>
        <v>0</v>
      </c>
      <c r="X807" s="7">
        <f t="shared" si="1557"/>
        <v>0</v>
      </c>
      <c r="Y807" s="8">
        <v>0.0</v>
      </c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</row>
    <row r="808" ht="22.5" customHeight="1">
      <c r="B808" s="6">
        <v>807.0</v>
      </c>
      <c r="C808" s="6">
        <v>44099.0</v>
      </c>
      <c r="D808" s="6">
        <v>1.24</v>
      </c>
      <c r="E808" s="6">
        <v>-0.2</v>
      </c>
      <c r="F808" s="6">
        <v>10.7</v>
      </c>
      <c r="G808" s="6">
        <v>-0.1</v>
      </c>
      <c r="H808" s="6">
        <v>0.0</v>
      </c>
      <c r="I808" s="6">
        <v>-0.01</v>
      </c>
      <c r="J808" s="6">
        <v>33.19</v>
      </c>
      <c r="K808" s="7">
        <f t="shared" ref="K808:P808" si="1558">abs(D808-D807)/200</f>
        <v>0.00005</v>
      </c>
      <c r="L808" s="7">
        <f t="shared" si="1558"/>
        <v>0.00005</v>
      </c>
      <c r="M808" s="7">
        <f t="shared" si="1558"/>
        <v>0.0001</v>
      </c>
      <c r="N808" s="7">
        <f t="shared" si="1558"/>
        <v>0</v>
      </c>
      <c r="O808" s="7">
        <f t="shared" si="1558"/>
        <v>0</v>
      </c>
      <c r="P808" s="7">
        <f t="shared" si="1558"/>
        <v>0</v>
      </c>
      <c r="Q808" s="7">
        <f t="shared" si="7"/>
        <v>0</v>
      </c>
      <c r="R808" s="7">
        <f t="shared" si="8"/>
        <v>0.02119323035</v>
      </c>
      <c r="S808" s="7">
        <f t="shared" si="2"/>
        <v>0.9734674084</v>
      </c>
      <c r="T808" s="7">
        <f t="shared" si="3"/>
        <v>0.1004987562</v>
      </c>
      <c r="U808" s="7">
        <f t="shared" si="4"/>
        <v>0</v>
      </c>
      <c r="V808" s="7">
        <f t="shared" si="5"/>
        <v>0</v>
      </c>
      <c r="W808" s="7">
        <f t="shared" ref="W808:X808" si="1559">IF(AVERAGE(U748:U807) &gt; 0.25, 1, 0)</f>
        <v>0</v>
      </c>
      <c r="X808" s="7">
        <f t="shared" si="1559"/>
        <v>0</v>
      </c>
      <c r="Y808" s="8">
        <v>0.0</v>
      </c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</row>
    <row r="809" ht="22.5" customHeight="1">
      <c r="B809" s="6">
        <v>808.0</v>
      </c>
      <c r="C809" s="6">
        <v>44303.0</v>
      </c>
      <c r="D809" s="6">
        <v>1.24</v>
      </c>
      <c r="E809" s="6">
        <v>-0.2</v>
      </c>
      <c r="F809" s="6">
        <v>10.68</v>
      </c>
      <c r="G809" s="6">
        <v>-0.1</v>
      </c>
      <c r="H809" s="6">
        <v>0.0</v>
      </c>
      <c r="I809" s="6">
        <v>-0.01</v>
      </c>
      <c r="J809" s="6">
        <v>33.19</v>
      </c>
      <c r="K809" s="7">
        <f t="shared" ref="K809:P809" si="1560">abs(D809-D808)/200</f>
        <v>0</v>
      </c>
      <c r="L809" s="7">
        <f t="shared" si="1560"/>
        <v>0</v>
      </c>
      <c r="M809" s="7">
        <f t="shared" si="1560"/>
        <v>0.0001</v>
      </c>
      <c r="N809" s="7">
        <f t="shared" si="1560"/>
        <v>0</v>
      </c>
      <c r="O809" s="7">
        <f t="shared" si="1560"/>
        <v>0</v>
      </c>
      <c r="P809" s="7">
        <f t="shared" si="1560"/>
        <v>0</v>
      </c>
      <c r="Q809" s="7">
        <f t="shared" si="7"/>
        <v>0</v>
      </c>
      <c r="R809" s="7">
        <f t="shared" si="8"/>
        <v>0.01986336139</v>
      </c>
      <c r="S809" s="7">
        <f t="shared" si="2"/>
        <v>0.953604047</v>
      </c>
      <c r="T809" s="7">
        <f t="shared" si="3"/>
        <v>0.1004987562</v>
      </c>
      <c r="U809" s="7">
        <f t="shared" si="4"/>
        <v>0</v>
      </c>
      <c r="V809" s="7">
        <f t="shared" si="5"/>
        <v>0</v>
      </c>
      <c r="W809" s="7">
        <f t="shared" ref="W809:X809" si="1561">IF(AVERAGE(U749:U808) &gt; 0.25, 1, 0)</f>
        <v>0</v>
      </c>
      <c r="X809" s="7">
        <f t="shared" si="1561"/>
        <v>0</v>
      </c>
      <c r="Y809" s="8">
        <v>0.0</v>
      </c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</row>
    <row r="810" ht="22.5" customHeight="1">
      <c r="B810" s="6">
        <v>809.0</v>
      </c>
      <c r="C810" s="6">
        <v>44507.0</v>
      </c>
      <c r="D810" s="6">
        <v>1.23</v>
      </c>
      <c r="E810" s="6">
        <v>-0.21</v>
      </c>
      <c r="F810" s="6">
        <v>10.68</v>
      </c>
      <c r="G810" s="6">
        <v>-0.1</v>
      </c>
      <c r="H810" s="6">
        <v>0.0</v>
      </c>
      <c r="I810" s="6">
        <v>-0.01</v>
      </c>
      <c r="J810" s="6">
        <v>33.19</v>
      </c>
      <c r="K810" s="7">
        <f t="shared" ref="K810:P810" si="1562">abs(D810-D809)/200</f>
        <v>0.00005</v>
      </c>
      <c r="L810" s="7">
        <f t="shared" si="1562"/>
        <v>0.00005</v>
      </c>
      <c r="M810" s="7">
        <f t="shared" si="1562"/>
        <v>0</v>
      </c>
      <c r="N810" s="7">
        <f t="shared" si="1562"/>
        <v>0</v>
      </c>
      <c r="O810" s="7">
        <f t="shared" si="1562"/>
        <v>0</v>
      </c>
      <c r="P810" s="7">
        <f t="shared" si="1562"/>
        <v>0</v>
      </c>
      <c r="Q810" s="7">
        <f t="shared" si="7"/>
        <v>0</v>
      </c>
      <c r="R810" s="7">
        <f t="shared" si="8"/>
        <v>0.0009578610765</v>
      </c>
      <c r="S810" s="7">
        <f t="shared" si="2"/>
        <v>0.9526461859</v>
      </c>
      <c r="T810" s="7">
        <f t="shared" si="3"/>
        <v>0.1004987562</v>
      </c>
      <c r="U810" s="7">
        <f t="shared" si="4"/>
        <v>0</v>
      </c>
      <c r="V810" s="7">
        <f t="shared" si="5"/>
        <v>0</v>
      </c>
      <c r="W810" s="7">
        <f t="shared" ref="W810:X810" si="1563">IF(AVERAGE(U750:U809) &gt; 0.25, 1, 0)</f>
        <v>0</v>
      </c>
      <c r="X810" s="7">
        <f t="shared" si="1563"/>
        <v>0</v>
      </c>
      <c r="Y810" s="8">
        <v>0.0</v>
      </c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</row>
    <row r="811" ht="22.5" customHeight="1">
      <c r="B811" s="6">
        <v>810.0</v>
      </c>
      <c r="C811" s="6">
        <v>44711.0</v>
      </c>
      <c r="D811" s="6">
        <v>1.23</v>
      </c>
      <c r="E811" s="6">
        <v>-0.2</v>
      </c>
      <c r="F811" s="6">
        <v>10.69</v>
      </c>
      <c r="G811" s="6">
        <v>-0.1</v>
      </c>
      <c r="H811" s="6">
        <v>0.0</v>
      </c>
      <c r="I811" s="6">
        <v>-0.01</v>
      </c>
      <c r="J811" s="6">
        <v>33.18</v>
      </c>
      <c r="K811" s="7">
        <f t="shared" ref="K811:P811" si="1564">abs(D811-D810)/200</f>
        <v>0</v>
      </c>
      <c r="L811" s="7">
        <f t="shared" si="1564"/>
        <v>0.00005</v>
      </c>
      <c r="M811" s="7">
        <f t="shared" si="1564"/>
        <v>0.00005</v>
      </c>
      <c r="N811" s="7">
        <f t="shared" si="1564"/>
        <v>0</v>
      </c>
      <c r="O811" s="7">
        <f t="shared" si="1564"/>
        <v>0</v>
      </c>
      <c r="P811" s="7">
        <f t="shared" si="1564"/>
        <v>0</v>
      </c>
      <c r="Q811" s="7">
        <f t="shared" si="7"/>
        <v>0</v>
      </c>
      <c r="R811" s="7">
        <f t="shared" si="8"/>
        <v>0.009742024862</v>
      </c>
      <c r="S811" s="7">
        <f t="shared" si="2"/>
        <v>0.9623882108</v>
      </c>
      <c r="T811" s="7">
        <f t="shared" si="3"/>
        <v>0.1004987562</v>
      </c>
      <c r="U811" s="7">
        <f t="shared" si="4"/>
        <v>0</v>
      </c>
      <c r="V811" s="7">
        <f t="shared" si="5"/>
        <v>0</v>
      </c>
      <c r="W811" s="7">
        <f t="shared" ref="W811:X811" si="1565">IF(AVERAGE(U751:U810) &gt; 0.25, 1, 0)</f>
        <v>0</v>
      </c>
      <c r="X811" s="7">
        <f t="shared" si="1565"/>
        <v>0</v>
      </c>
      <c r="Y811" s="8">
        <v>0.0</v>
      </c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</row>
    <row r="812" ht="22.5" customHeight="1">
      <c r="B812" s="6">
        <v>811.0</v>
      </c>
      <c r="C812" s="6">
        <v>44915.0</v>
      </c>
      <c r="D812" s="6">
        <v>1.24</v>
      </c>
      <c r="E812" s="6">
        <v>-0.19</v>
      </c>
      <c r="F812" s="6">
        <v>10.68</v>
      </c>
      <c r="G812" s="6">
        <v>-0.1</v>
      </c>
      <c r="H812" s="6">
        <v>0.0</v>
      </c>
      <c r="I812" s="6">
        <v>-0.01</v>
      </c>
      <c r="J812" s="6">
        <v>33.19</v>
      </c>
      <c r="K812" s="7">
        <f t="shared" ref="K812:P812" si="1566">abs(D812-D811)/200</f>
        <v>0.00005</v>
      </c>
      <c r="L812" s="7">
        <f t="shared" si="1566"/>
        <v>0.00005</v>
      </c>
      <c r="M812" s="7">
        <f t="shared" si="1566"/>
        <v>0.00005</v>
      </c>
      <c r="N812" s="7">
        <f t="shared" si="1566"/>
        <v>0</v>
      </c>
      <c r="O812" s="7">
        <f t="shared" si="1566"/>
        <v>0</v>
      </c>
      <c r="P812" s="7">
        <f t="shared" si="1566"/>
        <v>0</v>
      </c>
      <c r="Q812" s="7">
        <f t="shared" si="7"/>
        <v>0</v>
      </c>
      <c r="R812" s="7">
        <f t="shared" si="8"/>
        <v>0.008965499869</v>
      </c>
      <c r="S812" s="7">
        <f t="shared" si="2"/>
        <v>0.9534227109</v>
      </c>
      <c r="T812" s="7">
        <f t="shared" si="3"/>
        <v>0.1004987562</v>
      </c>
      <c r="U812" s="7">
        <f t="shared" si="4"/>
        <v>0</v>
      </c>
      <c r="V812" s="7">
        <f t="shared" si="5"/>
        <v>0</v>
      </c>
      <c r="W812" s="7">
        <f t="shared" ref="W812:X812" si="1567">IF(AVERAGE(U752:U811) &gt; 0.25, 1, 0)</f>
        <v>0</v>
      </c>
      <c r="X812" s="7">
        <f t="shared" si="1567"/>
        <v>0</v>
      </c>
      <c r="Y812" s="8">
        <v>0.0</v>
      </c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</row>
    <row r="813" ht="22.5" customHeight="1">
      <c r="B813" s="6">
        <v>812.0</v>
      </c>
      <c r="C813" s="6">
        <v>45119.0</v>
      </c>
      <c r="D813" s="6">
        <v>1.23</v>
      </c>
      <c r="E813" s="6">
        <v>-0.2</v>
      </c>
      <c r="F813" s="6">
        <v>10.68</v>
      </c>
      <c r="G813" s="6">
        <v>-0.1</v>
      </c>
      <c r="H813" s="6">
        <v>0.0</v>
      </c>
      <c r="I813" s="6">
        <v>-0.01</v>
      </c>
      <c r="J813" s="6">
        <v>33.19</v>
      </c>
      <c r="K813" s="7">
        <f t="shared" ref="K813:P813" si="1568">abs(D813-D812)/200</f>
        <v>0.00005</v>
      </c>
      <c r="L813" s="7">
        <f t="shared" si="1568"/>
        <v>0.00005</v>
      </c>
      <c r="M813" s="7">
        <f t="shared" si="1568"/>
        <v>0</v>
      </c>
      <c r="N813" s="7">
        <f t="shared" si="1568"/>
        <v>0</v>
      </c>
      <c r="O813" s="7">
        <f t="shared" si="1568"/>
        <v>0</v>
      </c>
      <c r="P813" s="7">
        <f t="shared" si="1568"/>
        <v>0</v>
      </c>
      <c r="Q813" s="7">
        <f t="shared" si="7"/>
        <v>0</v>
      </c>
      <c r="R813" s="7">
        <f t="shared" si="8"/>
        <v>0.0009671774277</v>
      </c>
      <c r="S813" s="7">
        <f t="shared" si="2"/>
        <v>0.9524555335</v>
      </c>
      <c r="T813" s="7">
        <f t="shared" si="3"/>
        <v>0.1004987562</v>
      </c>
      <c r="U813" s="7">
        <f t="shared" si="4"/>
        <v>0</v>
      </c>
      <c r="V813" s="7">
        <f t="shared" si="5"/>
        <v>0</v>
      </c>
      <c r="W813" s="7">
        <f t="shared" ref="W813:X813" si="1569">IF(AVERAGE(U753:U812) &gt; 0.25, 1, 0)</f>
        <v>0</v>
      </c>
      <c r="X813" s="7">
        <f t="shared" si="1569"/>
        <v>0</v>
      </c>
      <c r="Y813" s="8">
        <v>0.0</v>
      </c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</row>
    <row r="814" ht="22.5" customHeight="1">
      <c r="B814" s="6">
        <v>813.0</v>
      </c>
      <c r="C814" s="6">
        <v>45323.0</v>
      </c>
      <c r="D814" s="6">
        <v>1.23</v>
      </c>
      <c r="E814" s="6">
        <v>-0.2</v>
      </c>
      <c r="F814" s="6">
        <v>10.68</v>
      </c>
      <c r="G814" s="6">
        <v>-0.1</v>
      </c>
      <c r="H814" s="6">
        <v>0.0</v>
      </c>
      <c r="I814" s="6">
        <v>-0.01</v>
      </c>
      <c r="J814" s="6">
        <v>33.19</v>
      </c>
      <c r="K814" s="7">
        <f t="shared" ref="K814:P814" si="1570">abs(D814-D813)/200</f>
        <v>0</v>
      </c>
      <c r="L814" s="7">
        <f t="shared" si="1570"/>
        <v>0</v>
      </c>
      <c r="M814" s="7">
        <f t="shared" si="1570"/>
        <v>0</v>
      </c>
      <c r="N814" s="7">
        <f t="shared" si="1570"/>
        <v>0</v>
      </c>
      <c r="O814" s="7">
        <f t="shared" si="1570"/>
        <v>0</v>
      </c>
      <c r="P814" s="7">
        <f t="shared" si="1570"/>
        <v>0</v>
      </c>
      <c r="Q814" s="7">
        <f t="shared" si="7"/>
        <v>0</v>
      </c>
      <c r="R814" s="7">
        <f t="shared" si="8"/>
        <v>0</v>
      </c>
      <c r="S814" s="7">
        <f t="shared" si="2"/>
        <v>0.9524555335</v>
      </c>
      <c r="T814" s="7">
        <f t="shared" si="3"/>
        <v>0.1004987562</v>
      </c>
      <c r="U814" s="7">
        <f t="shared" si="4"/>
        <v>0</v>
      </c>
      <c r="V814" s="7">
        <f t="shared" si="5"/>
        <v>0</v>
      </c>
      <c r="W814" s="7">
        <f t="shared" ref="W814:X814" si="1571">IF(AVERAGE(U754:U813) &gt; 0.25, 1, 0)</f>
        <v>0</v>
      </c>
      <c r="X814" s="7">
        <f t="shared" si="1571"/>
        <v>0</v>
      </c>
      <c r="Y814" s="8">
        <v>0.0</v>
      </c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</row>
    <row r="815" ht="22.5" customHeight="1">
      <c r="B815" s="6">
        <v>814.0</v>
      </c>
      <c r="C815" s="6">
        <v>45527.0</v>
      </c>
      <c r="D815" s="6">
        <v>1.24</v>
      </c>
      <c r="E815" s="6">
        <v>-0.21</v>
      </c>
      <c r="F815" s="6">
        <v>10.69</v>
      </c>
      <c r="G815" s="6">
        <v>-0.1</v>
      </c>
      <c r="H815" s="6">
        <v>0.0</v>
      </c>
      <c r="I815" s="6">
        <v>-0.01</v>
      </c>
      <c r="J815" s="6">
        <v>33.17</v>
      </c>
      <c r="K815" s="7">
        <f t="shared" ref="K815:P815" si="1572">abs(D815-D814)/200</f>
        <v>0.00005</v>
      </c>
      <c r="L815" s="7">
        <f t="shared" si="1572"/>
        <v>0.00005</v>
      </c>
      <c r="M815" s="7">
        <f t="shared" si="1572"/>
        <v>0.00005</v>
      </c>
      <c r="N815" s="7">
        <f t="shared" si="1572"/>
        <v>0</v>
      </c>
      <c r="O815" s="7">
        <f t="shared" si="1572"/>
        <v>0</v>
      </c>
      <c r="P815" s="7">
        <f t="shared" si="1572"/>
        <v>0</v>
      </c>
      <c r="Q815" s="7">
        <f t="shared" si="7"/>
        <v>0</v>
      </c>
      <c r="R815" s="7">
        <f t="shared" si="8"/>
        <v>0.01127058713</v>
      </c>
      <c r="S815" s="7">
        <f t="shared" si="2"/>
        <v>0.9637261206</v>
      </c>
      <c r="T815" s="7">
        <f t="shared" si="3"/>
        <v>0.1004987562</v>
      </c>
      <c r="U815" s="7">
        <f t="shared" si="4"/>
        <v>0</v>
      </c>
      <c r="V815" s="7">
        <f t="shared" si="5"/>
        <v>0</v>
      </c>
      <c r="W815" s="7">
        <f t="shared" ref="W815:X815" si="1573">IF(AVERAGE(U755:U814) &gt; 0.25, 1, 0)</f>
        <v>0</v>
      </c>
      <c r="X815" s="7">
        <f t="shared" si="1573"/>
        <v>0</v>
      </c>
      <c r="Y815" s="8">
        <v>0.0</v>
      </c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</row>
    <row r="816" ht="22.5" customHeight="1">
      <c r="B816" s="6">
        <v>815.0</v>
      </c>
      <c r="C816" s="6">
        <v>45731.0</v>
      </c>
      <c r="D816" s="6">
        <v>1.24</v>
      </c>
      <c r="E816" s="6">
        <v>-0.2</v>
      </c>
      <c r="F816" s="6">
        <v>10.69</v>
      </c>
      <c r="G816" s="6">
        <v>-0.1</v>
      </c>
      <c r="H816" s="6">
        <v>0.0</v>
      </c>
      <c r="I816" s="6">
        <v>-0.01</v>
      </c>
      <c r="J816" s="6">
        <v>33.18</v>
      </c>
      <c r="K816" s="7">
        <f t="shared" ref="K816:P816" si="1574">abs(D816-D815)/200</f>
        <v>0</v>
      </c>
      <c r="L816" s="7">
        <f t="shared" si="1574"/>
        <v>0.00005</v>
      </c>
      <c r="M816" s="7">
        <f t="shared" si="1574"/>
        <v>0</v>
      </c>
      <c r="N816" s="7">
        <f t="shared" si="1574"/>
        <v>0</v>
      </c>
      <c r="O816" s="7">
        <f t="shared" si="1574"/>
        <v>0</v>
      </c>
      <c r="P816" s="7">
        <f t="shared" si="1574"/>
        <v>0</v>
      </c>
      <c r="Q816" s="7">
        <f t="shared" si="7"/>
        <v>0</v>
      </c>
      <c r="R816" s="7">
        <f t="shared" si="8"/>
        <v>0.0001904561779</v>
      </c>
      <c r="S816" s="7">
        <f t="shared" si="2"/>
        <v>0.9635356645</v>
      </c>
      <c r="T816" s="7">
        <f t="shared" si="3"/>
        <v>0.1004987562</v>
      </c>
      <c r="U816" s="7">
        <f t="shared" si="4"/>
        <v>0</v>
      </c>
      <c r="V816" s="7">
        <f t="shared" si="5"/>
        <v>0</v>
      </c>
      <c r="W816" s="7">
        <f t="shared" ref="W816:X816" si="1575">IF(AVERAGE(U756:U815) &gt; 0.25, 1, 0)</f>
        <v>0</v>
      </c>
      <c r="X816" s="7">
        <f t="shared" si="1575"/>
        <v>0</v>
      </c>
      <c r="Y816" s="8">
        <v>0.0</v>
      </c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</row>
    <row r="817" ht="22.5" customHeight="1">
      <c r="B817" s="6">
        <v>816.0</v>
      </c>
      <c r="C817" s="6">
        <v>45935.0</v>
      </c>
      <c r="D817" s="6">
        <v>1.23</v>
      </c>
      <c r="E817" s="6">
        <v>-0.21</v>
      </c>
      <c r="F817" s="6">
        <v>10.68</v>
      </c>
      <c r="G817" s="6">
        <v>-0.1</v>
      </c>
      <c r="H817" s="6">
        <v>0.0</v>
      </c>
      <c r="I817" s="6">
        <v>-0.01</v>
      </c>
      <c r="J817" s="6">
        <v>33.19</v>
      </c>
      <c r="K817" s="7">
        <f t="shared" ref="K817:P817" si="1576">abs(D817-D816)/200</f>
        <v>0.00005</v>
      </c>
      <c r="L817" s="7">
        <f t="shared" si="1576"/>
        <v>0.00005</v>
      </c>
      <c r="M817" s="7">
        <f t="shared" si="1576"/>
        <v>0.00005</v>
      </c>
      <c r="N817" s="7">
        <f t="shared" si="1576"/>
        <v>0</v>
      </c>
      <c r="O817" s="7">
        <f t="shared" si="1576"/>
        <v>0</v>
      </c>
      <c r="P817" s="7">
        <f t="shared" si="1576"/>
        <v>0</v>
      </c>
      <c r="Q817" s="7">
        <f t="shared" si="7"/>
        <v>0</v>
      </c>
      <c r="R817" s="7">
        <f t="shared" si="8"/>
        <v>0.01088947852</v>
      </c>
      <c r="S817" s="7">
        <f t="shared" si="2"/>
        <v>0.9526461859</v>
      </c>
      <c r="T817" s="7">
        <f t="shared" si="3"/>
        <v>0.1004987562</v>
      </c>
      <c r="U817" s="7">
        <f t="shared" si="4"/>
        <v>0</v>
      </c>
      <c r="V817" s="7">
        <f t="shared" si="5"/>
        <v>0</v>
      </c>
      <c r="W817" s="7">
        <f t="shared" ref="W817:X817" si="1577">IF(AVERAGE(U757:U816) &gt; 0.25, 1, 0)</f>
        <v>0</v>
      </c>
      <c r="X817" s="7">
        <f t="shared" si="1577"/>
        <v>0</v>
      </c>
      <c r="Y817" s="8">
        <v>0.0</v>
      </c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</row>
    <row r="818" ht="22.5" customHeight="1">
      <c r="B818" s="6">
        <v>817.0</v>
      </c>
      <c r="C818" s="6">
        <v>46139.0</v>
      </c>
      <c r="D818" s="6">
        <v>1.23</v>
      </c>
      <c r="E818" s="6">
        <v>-0.19</v>
      </c>
      <c r="F818" s="6">
        <v>10.69</v>
      </c>
      <c r="G818" s="6">
        <v>-0.1</v>
      </c>
      <c r="H818" s="6">
        <v>0.0</v>
      </c>
      <c r="I818" s="6">
        <v>-0.01</v>
      </c>
      <c r="J818" s="6">
        <v>33.18</v>
      </c>
      <c r="K818" s="7">
        <f t="shared" ref="K818:P818" si="1578">abs(D818-D817)/200</f>
        <v>0</v>
      </c>
      <c r="L818" s="7">
        <f t="shared" si="1578"/>
        <v>0.0001</v>
      </c>
      <c r="M818" s="7">
        <f t="shared" si="1578"/>
        <v>0.00005</v>
      </c>
      <c r="N818" s="7">
        <f t="shared" si="1578"/>
        <v>0</v>
      </c>
      <c r="O818" s="7">
        <f t="shared" si="1578"/>
        <v>0</v>
      </c>
      <c r="P818" s="7">
        <f t="shared" si="1578"/>
        <v>0</v>
      </c>
      <c r="Q818" s="7">
        <f t="shared" si="7"/>
        <v>0</v>
      </c>
      <c r="R818" s="7">
        <f t="shared" si="8"/>
        <v>0.009560836786</v>
      </c>
      <c r="S818" s="7">
        <f t="shared" si="2"/>
        <v>0.9622070227</v>
      </c>
      <c r="T818" s="7">
        <f t="shared" si="3"/>
        <v>0.1004987562</v>
      </c>
      <c r="U818" s="7">
        <f t="shared" si="4"/>
        <v>0</v>
      </c>
      <c r="V818" s="7">
        <f t="shared" si="5"/>
        <v>0</v>
      </c>
      <c r="W818" s="7">
        <f t="shared" ref="W818:X818" si="1579">IF(AVERAGE(U758:U817) &gt; 0.25, 1, 0)</f>
        <v>0</v>
      </c>
      <c r="X818" s="7">
        <f t="shared" si="1579"/>
        <v>0</v>
      </c>
      <c r="Y818" s="8">
        <v>0.0</v>
      </c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</row>
    <row r="819" ht="22.5" customHeight="1">
      <c r="B819" s="6">
        <v>818.0</v>
      </c>
      <c r="C819" s="6">
        <v>46343.0</v>
      </c>
      <c r="D819" s="6">
        <v>1.24</v>
      </c>
      <c r="E819" s="6">
        <v>-0.2</v>
      </c>
      <c r="F819" s="6">
        <v>10.66</v>
      </c>
      <c r="G819" s="6">
        <v>-0.1</v>
      </c>
      <c r="H819" s="6">
        <v>0.0</v>
      </c>
      <c r="I819" s="6">
        <v>-0.01</v>
      </c>
      <c r="J819" s="6">
        <v>33.18</v>
      </c>
      <c r="K819" s="7">
        <f t="shared" ref="K819:P819" si="1580">abs(D819-D818)/200</f>
        <v>0.00005</v>
      </c>
      <c r="L819" s="7">
        <f t="shared" si="1580"/>
        <v>0.00005</v>
      </c>
      <c r="M819" s="7">
        <f t="shared" si="1580"/>
        <v>0.00015</v>
      </c>
      <c r="N819" s="7">
        <f t="shared" si="1580"/>
        <v>0</v>
      </c>
      <c r="O819" s="7">
        <f t="shared" si="1580"/>
        <v>0</v>
      </c>
      <c r="P819" s="7">
        <f t="shared" si="1580"/>
        <v>0</v>
      </c>
      <c r="Q819" s="7">
        <f t="shared" si="7"/>
        <v>0</v>
      </c>
      <c r="R819" s="7">
        <f t="shared" si="8"/>
        <v>0.02846582965</v>
      </c>
      <c r="S819" s="7">
        <f t="shared" si="2"/>
        <v>0.9337411931</v>
      </c>
      <c r="T819" s="7">
        <f t="shared" si="3"/>
        <v>0.1004987562</v>
      </c>
      <c r="U819" s="7">
        <f t="shared" si="4"/>
        <v>0</v>
      </c>
      <c r="V819" s="7">
        <f t="shared" si="5"/>
        <v>0</v>
      </c>
      <c r="W819" s="7">
        <f t="shared" ref="W819:X819" si="1581">IF(AVERAGE(U759:U818) &gt; 0.25, 1, 0)</f>
        <v>0</v>
      </c>
      <c r="X819" s="7">
        <f t="shared" si="1581"/>
        <v>0</v>
      </c>
      <c r="Y819" s="8">
        <v>0.0</v>
      </c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</row>
    <row r="820" ht="22.5" customHeight="1">
      <c r="B820" s="6">
        <v>819.0</v>
      </c>
      <c r="C820" s="6">
        <v>46547.0</v>
      </c>
      <c r="D820" s="6">
        <v>1.24</v>
      </c>
      <c r="E820" s="6">
        <v>-0.2</v>
      </c>
      <c r="F820" s="6">
        <v>10.69</v>
      </c>
      <c r="G820" s="6">
        <v>-0.1</v>
      </c>
      <c r="H820" s="6">
        <v>0.0</v>
      </c>
      <c r="I820" s="6">
        <v>-0.01</v>
      </c>
      <c r="J820" s="6">
        <v>33.18</v>
      </c>
      <c r="K820" s="7">
        <f t="shared" ref="K820:P820" si="1582">abs(D820-D819)/200</f>
        <v>0</v>
      </c>
      <c r="L820" s="7">
        <f t="shared" si="1582"/>
        <v>0</v>
      </c>
      <c r="M820" s="7">
        <f t="shared" si="1582"/>
        <v>0.00015</v>
      </c>
      <c r="N820" s="7">
        <f t="shared" si="1582"/>
        <v>0</v>
      </c>
      <c r="O820" s="7">
        <f t="shared" si="1582"/>
        <v>0</v>
      </c>
      <c r="P820" s="7">
        <f t="shared" si="1582"/>
        <v>0</v>
      </c>
      <c r="Q820" s="7">
        <f t="shared" si="7"/>
        <v>0</v>
      </c>
      <c r="R820" s="7">
        <f t="shared" si="8"/>
        <v>0.02979447138</v>
      </c>
      <c r="S820" s="7">
        <f t="shared" si="2"/>
        <v>0.9635356645</v>
      </c>
      <c r="T820" s="7">
        <f t="shared" si="3"/>
        <v>0.1004987562</v>
      </c>
      <c r="U820" s="7">
        <f t="shared" si="4"/>
        <v>0</v>
      </c>
      <c r="V820" s="7">
        <f t="shared" si="5"/>
        <v>0</v>
      </c>
      <c r="W820" s="7">
        <f t="shared" ref="W820:X820" si="1583">IF(AVERAGE(U760:U819) &gt; 0.25, 1, 0)</f>
        <v>0</v>
      </c>
      <c r="X820" s="7">
        <f t="shared" si="1583"/>
        <v>0</v>
      </c>
      <c r="Y820" s="8">
        <v>0.0</v>
      </c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</row>
    <row r="821" ht="22.5" customHeight="1">
      <c r="B821" s="6">
        <v>820.0</v>
      </c>
      <c r="C821" s="6">
        <v>46751.0</v>
      </c>
      <c r="D821" s="6">
        <v>1.24</v>
      </c>
      <c r="E821" s="6">
        <v>-0.2</v>
      </c>
      <c r="F821" s="6">
        <v>10.68</v>
      </c>
      <c r="G821" s="6">
        <v>-0.1</v>
      </c>
      <c r="H821" s="6">
        <v>0.0</v>
      </c>
      <c r="I821" s="6">
        <v>-0.01</v>
      </c>
      <c r="J821" s="6">
        <v>33.18</v>
      </c>
      <c r="K821" s="7">
        <f t="shared" ref="K821:P821" si="1584">abs(D821-D820)/200</f>
        <v>0</v>
      </c>
      <c r="L821" s="7">
        <f t="shared" si="1584"/>
        <v>0</v>
      </c>
      <c r="M821" s="7">
        <f t="shared" si="1584"/>
        <v>0.00005</v>
      </c>
      <c r="N821" s="7">
        <f t="shared" si="1584"/>
        <v>0</v>
      </c>
      <c r="O821" s="7">
        <f t="shared" si="1584"/>
        <v>0</v>
      </c>
      <c r="P821" s="7">
        <f t="shared" si="1584"/>
        <v>0</v>
      </c>
      <c r="Q821" s="7">
        <f t="shared" si="7"/>
        <v>0</v>
      </c>
      <c r="R821" s="7">
        <f t="shared" si="8"/>
        <v>0.009931617439</v>
      </c>
      <c r="S821" s="7">
        <f t="shared" si="2"/>
        <v>0.953604047</v>
      </c>
      <c r="T821" s="7">
        <f t="shared" si="3"/>
        <v>0.1004987562</v>
      </c>
      <c r="U821" s="7">
        <f t="shared" si="4"/>
        <v>0</v>
      </c>
      <c r="V821" s="7">
        <f t="shared" si="5"/>
        <v>0</v>
      </c>
      <c r="W821" s="7">
        <f t="shared" ref="W821:X821" si="1585">IF(AVERAGE(U761:U820) &gt; 0.25, 1, 0)</f>
        <v>0</v>
      </c>
      <c r="X821" s="7">
        <f t="shared" si="1585"/>
        <v>0</v>
      </c>
      <c r="Y821" s="8">
        <v>0.0</v>
      </c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</row>
    <row r="822" ht="22.5" customHeight="1">
      <c r="B822" s="6">
        <v>821.0</v>
      </c>
      <c r="C822" s="6">
        <v>46955.0</v>
      </c>
      <c r="D822" s="6">
        <v>1.24</v>
      </c>
      <c r="E822" s="6">
        <v>-0.19</v>
      </c>
      <c r="F822" s="6">
        <v>10.68</v>
      </c>
      <c r="G822" s="6">
        <v>-0.1</v>
      </c>
      <c r="H822" s="6">
        <v>0.0</v>
      </c>
      <c r="I822" s="6">
        <v>-0.01</v>
      </c>
      <c r="J822" s="6">
        <v>33.18</v>
      </c>
      <c r="K822" s="7">
        <f t="shared" ref="K822:P822" si="1586">abs(D822-D821)/200</f>
        <v>0</v>
      </c>
      <c r="L822" s="7">
        <f t="shared" si="1586"/>
        <v>0.00005</v>
      </c>
      <c r="M822" s="7">
        <f t="shared" si="1586"/>
        <v>0</v>
      </c>
      <c r="N822" s="7">
        <f t="shared" si="1586"/>
        <v>0</v>
      </c>
      <c r="O822" s="7">
        <f t="shared" si="1586"/>
        <v>0</v>
      </c>
      <c r="P822" s="7">
        <f t="shared" si="1586"/>
        <v>0</v>
      </c>
      <c r="Q822" s="7">
        <f t="shared" si="7"/>
        <v>0</v>
      </c>
      <c r="R822" s="7">
        <f t="shared" si="8"/>
        <v>0.0001813360835</v>
      </c>
      <c r="S822" s="7">
        <f t="shared" si="2"/>
        <v>0.9534227109</v>
      </c>
      <c r="T822" s="7">
        <f t="shared" si="3"/>
        <v>0.1004987562</v>
      </c>
      <c r="U822" s="7">
        <f t="shared" si="4"/>
        <v>0</v>
      </c>
      <c r="V822" s="7">
        <f t="shared" si="5"/>
        <v>0</v>
      </c>
      <c r="W822" s="7">
        <f t="shared" ref="W822:X822" si="1587">IF(AVERAGE(U762:U821) &gt; 0.25, 1, 0)</f>
        <v>0</v>
      </c>
      <c r="X822" s="7">
        <f t="shared" si="1587"/>
        <v>0</v>
      </c>
      <c r="Y822" s="8">
        <v>0.0</v>
      </c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</row>
    <row r="823" ht="22.5" customHeight="1">
      <c r="B823" s="6">
        <v>822.0</v>
      </c>
      <c r="C823" s="6">
        <v>47159.0</v>
      </c>
      <c r="D823" s="6">
        <v>1.23</v>
      </c>
      <c r="E823" s="6">
        <v>-0.21</v>
      </c>
      <c r="F823" s="6">
        <v>10.67</v>
      </c>
      <c r="G823" s="6">
        <v>-0.1</v>
      </c>
      <c r="H823" s="6">
        <v>0.0</v>
      </c>
      <c r="I823" s="6">
        <v>-0.01</v>
      </c>
      <c r="J823" s="6">
        <v>33.18</v>
      </c>
      <c r="K823" s="7">
        <f t="shared" ref="K823:P823" si="1588">abs(D823-D822)/200</f>
        <v>0.00005</v>
      </c>
      <c r="L823" s="7">
        <f t="shared" si="1588"/>
        <v>0.0001</v>
      </c>
      <c r="M823" s="7">
        <f t="shared" si="1588"/>
        <v>0.00005</v>
      </c>
      <c r="N823" s="7">
        <f t="shared" si="1588"/>
        <v>0</v>
      </c>
      <c r="O823" s="7">
        <f t="shared" si="1588"/>
        <v>0</v>
      </c>
      <c r="P823" s="7">
        <f t="shared" si="1588"/>
        <v>0</v>
      </c>
      <c r="Q823" s="7">
        <f t="shared" si="7"/>
        <v>0</v>
      </c>
      <c r="R823" s="7">
        <f t="shared" si="8"/>
        <v>0.0107089011</v>
      </c>
      <c r="S823" s="7">
        <f t="shared" si="2"/>
        <v>0.9427138098</v>
      </c>
      <c r="T823" s="7">
        <f t="shared" si="3"/>
        <v>0.1004987562</v>
      </c>
      <c r="U823" s="7">
        <f t="shared" si="4"/>
        <v>0</v>
      </c>
      <c r="V823" s="7">
        <f t="shared" si="5"/>
        <v>0</v>
      </c>
      <c r="W823" s="7">
        <f t="shared" ref="W823:X823" si="1589">IF(AVERAGE(U763:U822) &gt; 0.25, 1, 0)</f>
        <v>0</v>
      </c>
      <c r="X823" s="7">
        <f t="shared" si="1589"/>
        <v>0</v>
      </c>
      <c r="Y823" s="8">
        <v>0.0</v>
      </c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</row>
    <row r="824" ht="22.5" customHeight="1">
      <c r="B824" s="6">
        <v>823.0</v>
      </c>
      <c r="C824" s="6">
        <v>47363.0</v>
      </c>
      <c r="D824" s="6">
        <v>1.23</v>
      </c>
      <c r="E824" s="6">
        <v>-0.19</v>
      </c>
      <c r="F824" s="6">
        <v>10.68</v>
      </c>
      <c r="G824" s="6">
        <v>-0.1</v>
      </c>
      <c r="H824" s="6">
        <v>0.0</v>
      </c>
      <c r="I824" s="6">
        <v>-0.01</v>
      </c>
      <c r="J824" s="6">
        <v>33.18</v>
      </c>
      <c r="K824" s="7">
        <f t="shared" ref="K824:P824" si="1590">abs(D824-D823)/200</f>
        <v>0</v>
      </c>
      <c r="L824" s="7">
        <f t="shared" si="1590"/>
        <v>0.0001</v>
      </c>
      <c r="M824" s="7">
        <f t="shared" si="1590"/>
        <v>0.00005</v>
      </c>
      <c r="N824" s="7">
        <f t="shared" si="1590"/>
        <v>0</v>
      </c>
      <c r="O824" s="7">
        <f t="shared" si="1590"/>
        <v>0</v>
      </c>
      <c r="P824" s="7">
        <f t="shared" si="1590"/>
        <v>0</v>
      </c>
      <c r="Q824" s="7">
        <f t="shared" si="7"/>
        <v>0</v>
      </c>
      <c r="R824" s="7">
        <f t="shared" si="8"/>
        <v>0.009560368218</v>
      </c>
      <c r="S824" s="7">
        <f t="shared" si="2"/>
        <v>0.9522741781</v>
      </c>
      <c r="T824" s="7">
        <f t="shared" si="3"/>
        <v>0.1004987562</v>
      </c>
      <c r="U824" s="7">
        <f t="shared" si="4"/>
        <v>0</v>
      </c>
      <c r="V824" s="7">
        <f t="shared" si="5"/>
        <v>0</v>
      </c>
      <c r="W824" s="7">
        <f t="shared" ref="W824:X824" si="1591">IF(AVERAGE(U764:U823) &gt; 0.25, 1, 0)</f>
        <v>0</v>
      </c>
      <c r="X824" s="7">
        <f t="shared" si="1591"/>
        <v>0</v>
      </c>
      <c r="Y824" s="8">
        <v>0.0</v>
      </c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</row>
    <row r="825" ht="22.5" customHeight="1">
      <c r="B825" s="6">
        <v>824.0</v>
      </c>
      <c r="C825" s="6">
        <v>47567.0</v>
      </c>
      <c r="D825" s="6">
        <v>1.24</v>
      </c>
      <c r="E825" s="6">
        <v>-0.2</v>
      </c>
      <c r="F825" s="6">
        <v>10.68</v>
      </c>
      <c r="G825" s="6">
        <v>-0.1</v>
      </c>
      <c r="H825" s="6">
        <v>0.0</v>
      </c>
      <c r="I825" s="6">
        <v>-0.01</v>
      </c>
      <c r="J825" s="6">
        <v>33.19</v>
      </c>
      <c r="K825" s="7">
        <f t="shared" ref="K825:P825" si="1592">abs(D825-D824)/200</f>
        <v>0.00005</v>
      </c>
      <c r="L825" s="7">
        <f t="shared" si="1592"/>
        <v>0.00005</v>
      </c>
      <c r="M825" s="7">
        <f t="shared" si="1592"/>
        <v>0</v>
      </c>
      <c r="N825" s="7">
        <f t="shared" si="1592"/>
        <v>0</v>
      </c>
      <c r="O825" s="7">
        <f t="shared" si="1592"/>
        <v>0</v>
      </c>
      <c r="P825" s="7">
        <f t="shared" si="1592"/>
        <v>0</v>
      </c>
      <c r="Q825" s="7">
        <f t="shared" si="7"/>
        <v>0</v>
      </c>
      <c r="R825" s="7">
        <f t="shared" si="8"/>
        <v>0.001329868964</v>
      </c>
      <c r="S825" s="7">
        <f t="shared" si="2"/>
        <v>0.953604047</v>
      </c>
      <c r="T825" s="7">
        <f t="shared" si="3"/>
        <v>0.1004987562</v>
      </c>
      <c r="U825" s="7">
        <f t="shared" si="4"/>
        <v>0</v>
      </c>
      <c r="V825" s="7">
        <f t="shared" si="5"/>
        <v>0</v>
      </c>
      <c r="W825" s="7">
        <f t="shared" ref="W825:X825" si="1593">IF(AVERAGE(U765:U824) &gt; 0.25, 1, 0)</f>
        <v>0</v>
      </c>
      <c r="X825" s="7">
        <f t="shared" si="1593"/>
        <v>0</v>
      </c>
      <c r="Y825" s="8">
        <v>0.0</v>
      </c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</row>
    <row r="826" ht="22.5" customHeight="1">
      <c r="B826" s="6">
        <v>825.0</v>
      </c>
      <c r="C826" s="6">
        <v>47771.0</v>
      </c>
      <c r="D826" s="6">
        <v>1.23</v>
      </c>
      <c r="E826" s="6">
        <v>-0.2</v>
      </c>
      <c r="F826" s="6">
        <v>10.69</v>
      </c>
      <c r="G826" s="6">
        <v>-0.1</v>
      </c>
      <c r="H826" s="6">
        <v>0.0</v>
      </c>
      <c r="I826" s="6">
        <v>-0.01</v>
      </c>
      <c r="J826" s="6">
        <v>33.19</v>
      </c>
      <c r="K826" s="7">
        <f t="shared" ref="K826:P826" si="1594">abs(D826-D825)/200</f>
        <v>0.00005</v>
      </c>
      <c r="L826" s="7">
        <f t="shared" si="1594"/>
        <v>0</v>
      </c>
      <c r="M826" s="7">
        <f t="shared" si="1594"/>
        <v>0.00005</v>
      </c>
      <c r="N826" s="7">
        <f t="shared" si="1594"/>
        <v>0</v>
      </c>
      <c r="O826" s="7">
        <f t="shared" si="1594"/>
        <v>0</v>
      </c>
      <c r="P826" s="7">
        <f t="shared" si="1594"/>
        <v>0</v>
      </c>
      <c r="Q826" s="7">
        <f t="shared" si="7"/>
        <v>0</v>
      </c>
      <c r="R826" s="7">
        <f t="shared" si="8"/>
        <v>0.008784163785</v>
      </c>
      <c r="S826" s="7">
        <f t="shared" si="2"/>
        <v>0.9623882108</v>
      </c>
      <c r="T826" s="7">
        <f t="shared" si="3"/>
        <v>0.1004987562</v>
      </c>
      <c r="U826" s="7">
        <f t="shared" si="4"/>
        <v>0</v>
      </c>
      <c r="V826" s="7">
        <f t="shared" si="5"/>
        <v>0</v>
      </c>
      <c r="W826" s="7">
        <f t="shared" ref="W826:X826" si="1595">IF(AVERAGE(U766:U825) &gt; 0.25, 1, 0)</f>
        <v>0</v>
      </c>
      <c r="X826" s="7">
        <f t="shared" si="1595"/>
        <v>0</v>
      </c>
      <c r="Y826" s="8">
        <v>0.0</v>
      </c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</row>
    <row r="827" ht="22.5" customHeight="1">
      <c r="B827" s="6">
        <v>826.0</v>
      </c>
      <c r="C827" s="6">
        <v>47975.0</v>
      </c>
      <c r="D827" s="6">
        <v>1.24</v>
      </c>
      <c r="E827" s="6">
        <v>-0.19</v>
      </c>
      <c r="F827" s="6">
        <v>10.68</v>
      </c>
      <c r="G827" s="6">
        <v>-0.1</v>
      </c>
      <c r="H827" s="6">
        <v>0.0</v>
      </c>
      <c r="I827" s="6">
        <v>-0.01</v>
      </c>
      <c r="J827" s="6">
        <v>33.19</v>
      </c>
      <c r="K827" s="7">
        <f t="shared" ref="K827:P827" si="1596">abs(D827-D826)/200</f>
        <v>0.00005</v>
      </c>
      <c r="L827" s="7">
        <f t="shared" si="1596"/>
        <v>0.00005</v>
      </c>
      <c r="M827" s="7">
        <f t="shared" si="1596"/>
        <v>0.00005</v>
      </c>
      <c r="N827" s="7">
        <f t="shared" si="1596"/>
        <v>0</v>
      </c>
      <c r="O827" s="7">
        <f t="shared" si="1596"/>
        <v>0</v>
      </c>
      <c r="P827" s="7">
        <f t="shared" si="1596"/>
        <v>0</v>
      </c>
      <c r="Q827" s="7">
        <f t="shared" si="7"/>
        <v>0</v>
      </c>
      <c r="R827" s="7">
        <f t="shared" si="8"/>
        <v>0.008965499869</v>
      </c>
      <c r="S827" s="7">
        <f t="shared" si="2"/>
        <v>0.9534227109</v>
      </c>
      <c r="T827" s="7">
        <f t="shared" si="3"/>
        <v>0.1004987562</v>
      </c>
      <c r="U827" s="7">
        <f t="shared" si="4"/>
        <v>0</v>
      </c>
      <c r="V827" s="7">
        <f t="shared" si="5"/>
        <v>0</v>
      </c>
      <c r="W827" s="7">
        <f t="shared" ref="W827:X827" si="1597">IF(AVERAGE(U767:U826) &gt; 0.25, 1, 0)</f>
        <v>0</v>
      </c>
      <c r="X827" s="7">
        <f t="shared" si="1597"/>
        <v>0</v>
      </c>
      <c r="Y827" s="8">
        <v>0.0</v>
      </c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</row>
    <row r="828" ht="22.5" customHeight="1">
      <c r="B828" s="6">
        <v>827.0</v>
      </c>
      <c r="C828" s="6">
        <v>48179.0</v>
      </c>
      <c r="D828" s="6">
        <v>1.24</v>
      </c>
      <c r="E828" s="6">
        <v>-0.2</v>
      </c>
      <c r="F828" s="6">
        <v>10.67</v>
      </c>
      <c r="G828" s="6">
        <v>-0.1</v>
      </c>
      <c r="H828" s="6">
        <v>0.0</v>
      </c>
      <c r="I828" s="6">
        <v>-0.01</v>
      </c>
      <c r="J828" s="6">
        <v>33.18</v>
      </c>
      <c r="K828" s="7">
        <f t="shared" ref="K828:P828" si="1598">abs(D828-D827)/200</f>
        <v>0</v>
      </c>
      <c r="L828" s="7">
        <f t="shared" si="1598"/>
        <v>0.00005</v>
      </c>
      <c r="M828" s="7">
        <f t="shared" si="1598"/>
        <v>0.00005</v>
      </c>
      <c r="N828" s="7">
        <f t="shared" si="1598"/>
        <v>0</v>
      </c>
      <c r="O828" s="7">
        <f t="shared" si="1598"/>
        <v>0</v>
      </c>
      <c r="P828" s="7">
        <f t="shared" si="1598"/>
        <v>0</v>
      </c>
      <c r="Q828" s="7">
        <f t="shared" si="7"/>
        <v>0</v>
      </c>
      <c r="R828" s="7">
        <f t="shared" si="8"/>
        <v>0.009750154493</v>
      </c>
      <c r="S828" s="7">
        <f t="shared" si="2"/>
        <v>0.9436725564</v>
      </c>
      <c r="T828" s="7">
        <f t="shared" si="3"/>
        <v>0.1004987562</v>
      </c>
      <c r="U828" s="7">
        <f t="shared" si="4"/>
        <v>0</v>
      </c>
      <c r="V828" s="7">
        <f t="shared" si="5"/>
        <v>0</v>
      </c>
      <c r="W828" s="7">
        <f t="shared" ref="W828:X828" si="1599">IF(AVERAGE(U768:U827) &gt; 0.25, 1, 0)</f>
        <v>0</v>
      </c>
      <c r="X828" s="7">
        <f t="shared" si="1599"/>
        <v>0</v>
      </c>
      <c r="Y828" s="8">
        <v>0.0</v>
      </c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</row>
    <row r="829" ht="22.5" customHeight="1">
      <c r="B829" s="6">
        <v>828.0</v>
      </c>
      <c r="C829" s="6">
        <v>48383.0</v>
      </c>
      <c r="D829" s="6">
        <v>1.23</v>
      </c>
      <c r="E829" s="6">
        <v>-0.2</v>
      </c>
      <c r="F829" s="6">
        <v>10.68</v>
      </c>
      <c r="G829" s="6">
        <v>-0.1</v>
      </c>
      <c r="H829" s="6">
        <v>0.0</v>
      </c>
      <c r="I829" s="6">
        <v>-0.01</v>
      </c>
      <c r="J829" s="6">
        <v>33.17</v>
      </c>
      <c r="K829" s="7">
        <f t="shared" ref="K829:P829" si="1600">abs(D829-D828)/200</f>
        <v>0.00005</v>
      </c>
      <c r="L829" s="7">
        <f t="shared" si="1600"/>
        <v>0</v>
      </c>
      <c r="M829" s="7">
        <f t="shared" si="1600"/>
        <v>0.00005</v>
      </c>
      <c r="N829" s="7">
        <f t="shared" si="1600"/>
        <v>0</v>
      </c>
      <c r="O829" s="7">
        <f t="shared" si="1600"/>
        <v>0</v>
      </c>
      <c r="P829" s="7">
        <f t="shared" si="1600"/>
        <v>0</v>
      </c>
      <c r="Q829" s="7">
        <f t="shared" si="7"/>
        <v>0</v>
      </c>
      <c r="R829" s="7">
        <f t="shared" si="8"/>
        <v>0.008782977065</v>
      </c>
      <c r="S829" s="7">
        <f t="shared" si="2"/>
        <v>0.9524555335</v>
      </c>
      <c r="T829" s="7">
        <f t="shared" si="3"/>
        <v>0.1004987562</v>
      </c>
      <c r="U829" s="7">
        <f t="shared" si="4"/>
        <v>0</v>
      </c>
      <c r="V829" s="7">
        <f t="shared" si="5"/>
        <v>0</v>
      </c>
      <c r="W829" s="7">
        <f t="shared" ref="W829:X829" si="1601">IF(AVERAGE(U769:U828) &gt; 0.25, 1, 0)</f>
        <v>0</v>
      </c>
      <c r="X829" s="7">
        <f t="shared" si="1601"/>
        <v>0</v>
      </c>
      <c r="Y829" s="8">
        <v>0.0</v>
      </c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</row>
    <row r="830" ht="22.5" customHeight="1">
      <c r="B830" s="6">
        <v>829.0</v>
      </c>
      <c r="C830" s="6">
        <v>48587.0</v>
      </c>
      <c r="D830" s="6">
        <v>1.24</v>
      </c>
      <c r="E830" s="6">
        <v>-0.2</v>
      </c>
      <c r="F830" s="6">
        <v>10.68</v>
      </c>
      <c r="G830" s="6">
        <v>-0.1</v>
      </c>
      <c r="H830" s="6">
        <v>0.0</v>
      </c>
      <c r="I830" s="6">
        <v>-0.01</v>
      </c>
      <c r="J830" s="6">
        <v>33.18</v>
      </c>
      <c r="K830" s="7">
        <f t="shared" ref="K830:P830" si="1602">abs(D830-D829)/200</f>
        <v>0.00005</v>
      </c>
      <c r="L830" s="7">
        <f t="shared" si="1602"/>
        <v>0</v>
      </c>
      <c r="M830" s="7">
        <f t="shared" si="1602"/>
        <v>0</v>
      </c>
      <c r="N830" s="7">
        <f t="shared" si="1602"/>
        <v>0</v>
      </c>
      <c r="O830" s="7">
        <f t="shared" si="1602"/>
        <v>0</v>
      </c>
      <c r="P830" s="7">
        <f t="shared" si="1602"/>
        <v>0</v>
      </c>
      <c r="Q830" s="7">
        <f t="shared" si="7"/>
        <v>0</v>
      </c>
      <c r="R830" s="7">
        <f t="shared" si="8"/>
        <v>0.001148513511</v>
      </c>
      <c r="S830" s="7">
        <f t="shared" si="2"/>
        <v>0.953604047</v>
      </c>
      <c r="T830" s="7">
        <f t="shared" si="3"/>
        <v>0.1004987562</v>
      </c>
      <c r="U830" s="7">
        <f t="shared" si="4"/>
        <v>0</v>
      </c>
      <c r="V830" s="7">
        <f t="shared" si="5"/>
        <v>0</v>
      </c>
      <c r="W830" s="7">
        <f t="shared" ref="W830:X830" si="1603">IF(AVERAGE(U770:U829) &gt; 0.25, 1, 0)</f>
        <v>0</v>
      </c>
      <c r="X830" s="7">
        <f t="shared" si="1603"/>
        <v>0</v>
      </c>
      <c r="Y830" s="8">
        <v>0.0</v>
      </c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</row>
    <row r="831" ht="22.5" customHeight="1">
      <c r="B831" s="6">
        <v>830.0</v>
      </c>
      <c r="C831" s="6">
        <v>48791.0</v>
      </c>
      <c r="D831" s="6">
        <v>1.23</v>
      </c>
      <c r="E831" s="6">
        <v>-0.2</v>
      </c>
      <c r="F831" s="6">
        <v>10.69</v>
      </c>
      <c r="G831" s="6">
        <v>-0.1</v>
      </c>
      <c r="H831" s="6">
        <v>0.0</v>
      </c>
      <c r="I831" s="6">
        <v>-0.01</v>
      </c>
      <c r="J831" s="6">
        <v>33.17</v>
      </c>
      <c r="K831" s="7">
        <f t="shared" ref="K831:P831" si="1604">abs(D831-D830)/200</f>
        <v>0.00005</v>
      </c>
      <c r="L831" s="7">
        <f t="shared" si="1604"/>
        <v>0</v>
      </c>
      <c r="M831" s="7">
        <f t="shared" si="1604"/>
        <v>0.00005</v>
      </c>
      <c r="N831" s="7">
        <f t="shared" si="1604"/>
        <v>0</v>
      </c>
      <c r="O831" s="7">
        <f t="shared" si="1604"/>
        <v>0</v>
      </c>
      <c r="P831" s="7">
        <f t="shared" si="1604"/>
        <v>0</v>
      </c>
      <c r="Q831" s="7">
        <f t="shared" si="7"/>
        <v>0</v>
      </c>
      <c r="R831" s="7">
        <f t="shared" si="8"/>
        <v>0.008784163785</v>
      </c>
      <c r="S831" s="7">
        <f t="shared" si="2"/>
        <v>0.9623882108</v>
      </c>
      <c r="T831" s="7">
        <f t="shared" si="3"/>
        <v>0.1004987562</v>
      </c>
      <c r="U831" s="7">
        <f t="shared" si="4"/>
        <v>0</v>
      </c>
      <c r="V831" s="7">
        <f t="shared" si="5"/>
        <v>0</v>
      </c>
      <c r="W831" s="7">
        <f t="shared" ref="W831:X831" si="1605">IF(AVERAGE(U771:U830) &gt; 0.25, 1, 0)</f>
        <v>0</v>
      </c>
      <c r="X831" s="7">
        <f t="shared" si="1605"/>
        <v>0</v>
      </c>
      <c r="Y831" s="8">
        <v>0.0</v>
      </c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</row>
    <row r="832" ht="22.5" customHeight="1">
      <c r="B832" s="6">
        <v>831.0</v>
      </c>
      <c r="C832" s="6">
        <v>48995.0</v>
      </c>
      <c r="D832" s="6">
        <v>1.23</v>
      </c>
      <c r="E832" s="6">
        <v>-0.21</v>
      </c>
      <c r="F832" s="6">
        <v>10.67</v>
      </c>
      <c r="G832" s="6">
        <v>-0.1</v>
      </c>
      <c r="H832" s="6">
        <v>0.0</v>
      </c>
      <c r="I832" s="6">
        <v>-0.01</v>
      </c>
      <c r="J832" s="6">
        <v>33.18</v>
      </c>
      <c r="K832" s="7">
        <f t="shared" ref="K832:P832" si="1606">abs(D832-D831)/200</f>
        <v>0</v>
      </c>
      <c r="L832" s="7">
        <f t="shared" si="1606"/>
        <v>0.00005</v>
      </c>
      <c r="M832" s="7">
        <f t="shared" si="1606"/>
        <v>0.0001</v>
      </c>
      <c r="N832" s="7">
        <f t="shared" si="1606"/>
        <v>0</v>
      </c>
      <c r="O832" s="7">
        <f t="shared" si="1606"/>
        <v>0</v>
      </c>
      <c r="P832" s="7">
        <f t="shared" si="1606"/>
        <v>0</v>
      </c>
      <c r="Q832" s="7">
        <f t="shared" si="7"/>
        <v>0</v>
      </c>
      <c r="R832" s="7">
        <f t="shared" si="8"/>
        <v>0.01967440097</v>
      </c>
      <c r="S832" s="7">
        <f t="shared" si="2"/>
        <v>0.9427138098</v>
      </c>
      <c r="T832" s="7">
        <f t="shared" si="3"/>
        <v>0.1004987562</v>
      </c>
      <c r="U832" s="7">
        <f t="shared" si="4"/>
        <v>0</v>
      </c>
      <c r="V832" s="7">
        <f t="shared" si="5"/>
        <v>0</v>
      </c>
      <c r="W832" s="7">
        <f t="shared" ref="W832:X832" si="1607">IF(AVERAGE(U772:U831) &gt; 0.25, 1, 0)</f>
        <v>0</v>
      </c>
      <c r="X832" s="7">
        <f t="shared" si="1607"/>
        <v>0</v>
      </c>
      <c r="Y832" s="8">
        <v>0.0</v>
      </c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</row>
    <row r="833" ht="22.5" customHeight="1">
      <c r="B833" s="6">
        <v>832.0</v>
      </c>
      <c r="C833" s="6">
        <v>49199.0</v>
      </c>
      <c r="D833" s="6">
        <v>1.24</v>
      </c>
      <c r="E833" s="6">
        <v>-0.2</v>
      </c>
      <c r="F833" s="6">
        <v>10.69</v>
      </c>
      <c r="G833" s="6">
        <v>-0.1</v>
      </c>
      <c r="H833" s="6">
        <v>0.0</v>
      </c>
      <c r="I833" s="6">
        <v>-0.01</v>
      </c>
      <c r="J833" s="6">
        <v>33.17</v>
      </c>
      <c r="K833" s="7">
        <f t="shared" ref="K833:P833" si="1608">abs(D833-D832)/200</f>
        <v>0.00005</v>
      </c>
      <c r="L833" s="7">
        <f t="shared" si="1608"/>
        <v>0.00005</v>
      </c>
      <c r="M833" s="7">
        <f t="shared" si="1608"/>
        <v>0.0001</v>
      </c>
      <c r="N833" s="7">
        <f t="shared" si="1608"/>
        <v>0</v>
      </c>
      <c r="O833" s="7">
        <f t="shared" si="1608"/>
        <v>0</v>
      </c>
      <c r="P833" s="7">
        <f t="shared" si="1608"/>
        <v>0</v>
      </c>
      <c r="Q833" s="7">
        <f t="shared" si="7"/>
        <v>0</v>
      </c>
      <c r="R833" s="7">
        <f t="shared" si="8"/>
        <v>0.02082185462</v>
      </c>
      <c r="S833" s="7">
        <f t="shared" si="2"/>
        <v>0.9635356645</v>
      </c>
      <c r="T833" s="7">
        <f t="shared" si="3"/>
        <v>0.1004987562</v>
      </c>
      <c r="U833" s="7">
        <f t="shared" si="4"/>
        <v>0</v>
      </c>
      <c r="V833" s="7">
        <f t="shared" si="5"/>
        <v>0</v>
      </c>
      <c r="W833" s="7">
        <f t="shared" ref="W833:X833" si="1609">IF(AVERAGE(U773:U832) &gt; 0.25, 1, 0)</f>
        <v>0</v>
      </c>
      <c r="X833" s="7">
        <f t="shared" si="1609"/>
        <v>0</v>
      </c>
      <c r="Y833" s="8">
        <v>0.0</v>
      </c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</row>
    <row r="834" ht="22.5" customHeight="1">
      <c r="B834" s="6">
        <v>833.0</v>
      </c>
      <c r="C834" s="6">
        <v>49403.0</v>
      </c>
      <c r="D834" s="6">
        <v>1.24</v>
      </c>
      <c r="E834" s="6">
        <v>-0.21</v>
      </c>
      <c r="F834" s="6">
        <v>10.69</v>
      </c>
      <c r="G834" s="6">
        <v>-0.1</v>
      </c>
      <c r="H834" s="6">
        <v>0.0</v>
      </c>
      <c r="I834" s="6">
        <v>-0.01</v>
      </c>
      <c r="J834" s="6">
        <v>33.19</v>
      </c>
      <c r="K834" s="7">
        <f t="shared" ref="K834:P834" si="1610">abs(D834-D833)/200</f>
        <v>0</v>
      </c>
      <c r="L834" s="7">
        <f t="shared" si="1610"/>
        <v>0.00005</v>
      </c>
      <c r="M834" s="7">
        <f t="shared" si="1610"/>
        <v>0</v>
      </c>
      <c r="N834" s="7">
        <f t="shared" si="1610"/>
        <v>0</v>
      </c>
      <c r="O834" s="7">
        <f t="shared" si="1610"/>
        <v>0</v>
      </c>
      <c r="P834" s="7">
        <f t="shared" si="1610"/>
        <v>0</v>
      </c>
      <c r="Q834" s="7">
        <f t="shared" si="7"/>
        <v>0</v>
      </c>
      <c r="R834" s="7">
        <f t="shared" si="8"/>
        <v>0.0001904561779</v>
      </c>
      <c r="S834" s="7">
        <f t="shared" si="2"/>
        <v>0.9637261206</v>
      </c>
      <c r="T834" s="7">
        <f t="shared" si="3"/>
        <v>0.1004987562</v>
      </c>
      <c r="U834" s="7">
        <f t="shared" si="4"/>
        <v>0</v>
      </c>
      <c r="V834" s="7">
        <f t="shared" si="5"/>
        <v>0</v>
      </c>
      <c r="W834" s="7">
        <f t="shared" ref="W834:X834" si="1611">IF(AVERAGE(U774:U833) &gt; 0.25, 1, 0)</f>
        <v>0</v>
      </c>
      <c r="X834" s="7">
        <f t="shared" si="1611"/>
        <v>0</v>
      </c>
      <c r="Y834" s="8">
        <v>0.0</v>
      </c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</row>
    <row r="835" ht="22.5" customHeight="1">
      <c r="B835" s="6">
        <v>834.0</v>
      </c>
      <c r="C835" s="6">
        <v>49607.0</v>
      </c>
      <c r="D835" s="6">
        <v>1.23</v>
      </c>
      <c r="E835" s="6">
        <v>-0.19</v>
      </c>
      <c r="F835" s="6">
        <v>10.68</v>
      </c>
      <c r="G835" s="6">
        <v>-0.1</v>
      </c>
      <c r="H835" s="6">
        <v>0.0</v>
      </c>
      <c r="I835" s="6">
        <v>-0.01</v>
      </c>
      <c r="J835" s="6">
        <v>33.19</v>
      </c>
      <c r="K835" s="7">
        <f t="shared" ref="K835:P835" si="1612">abs(D835-D834)/200</f>
        <v>0.00005</v>
      </c>
      <c r="L835" s="7">
        <f t="shared" si="1612"/>
        <v>0.0001</v>
      </c>
      <c r="M835" s="7">
        <f t="shared" si="1612"/>
        <v>0.00005</v>
      </c>
      <c r="N835" s="7">
        <f t="shared" si="1612"/>
        <v>0</v>
      </c>
      <c r="O835" s="7">
        <f t="shared" si="1612"/>
        <v>0</v>
      </c>
      <c r="P835" s="7">
        <f t="shared" si="1612"/>
        <v>0</v>
      </c>
      <c r="Q835" s="7">
        <f t="shared" si="7"/>
        <v>0</v>
      </c>
      <c r="R835" s="7">
        <f t="shared" si="8"/>
        <v>0.01145194258</v>
      </c>
      <c r="S835" s="7">
        <f t="shared" si="2"/>
        <v>0.9522741781</v>
      </c>
      <c r="T835" s="7">
        <f t="shared" si="3"/>
        <v>0.1004987562</v>
      </c>
      <c r="U835" s="7">
        <f t="shared" si="4"/>
        <v>0</v>
      </c>
      <c r="V835" s="7">
        <f t="shared" si="5"/>
        <v>0</v>
      </c>
      <c r="W835" s="7">
        <f t="shared" ref="W835:X835" si="1613">IF(AVERAGE(U775:U834) &gt; 0.25, 1, 0)</f>
        <v>0</v>
      </c>
      <c r="X835" s="7">
        <f t="shared" si="1613"/>
        <v>0</v>
      </c>
      <c r="Y835" s="8">
        <v>0.0</v>
      </c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</row>
    <row r="836" ht="22.5" customHeight="1">
      <c r="B836" s="6">
        <v>835.0</v>
      </c>
      <c r="C836" s="6">
        <v>49811.0</v>
      </c>
      <c r="D836" s="6">
        <v>1.24</v>
      </c>
      <c r="E836" s="6">
        <v>-0.2</v>
      </c>
      <c r="F836" s="6">
        <v>10.68</v>
      </c>
      <c r="G836" s="6">
        <v>-0.1</v>
      </c>
      <c r="H836" s="6">
        <v>0.0</v>
      </c>
      <c r="I836" s="6">
        <v>-0.01</v>
      </c>
      <c r="J836" s="6">
        <v>33.17</v>
      </c>
      <c r="K836" s="7">
        <f t="shared" ref="K836:P836" si="1614">abs(D836-D835)/200</f>
        <v>0.00005</v>
      </c>
      <c r="L836" s="7">
        <f t="shared" si="1614"/>
        <v>0.00005</v>
      </c>
      <c r="M836" s="7">
        <f t="shared" si="1614"/>
        <v>0</v>
      </c>
      <c r="N836" s="7">
        <f t="shared" si="1614"/>
        <v>0</v>
      </c>
      <c r="O836" s="7">
        <f t="shared" si="1614"/>
        <v>0</v>
      </c>
      <c r="P836" s="7">
        <f t="shared" si="1614"/>
        <v>0</v>
      </c>
      <c r="Q836" s="7">
        <f t="shared" si="7"/>
        <v>0</v>
      </c>
      <c r="R836" s="7">
        <f t="shared" si="8"/>
        <v>0.001329868964</v>
      </c>
      <c r="S836" s="7">
        <f t="shared" si="2"/>
        <v>0.953604047</v>
      </c>
      <c r="T836" s="7">
        <f t="shared" si="3"/>
        <v>0.1004987562</v>
      </c>
      <c r="U836" s="7">
        <f t="shared" si="4"/>
        <v>0</v>
      </c>
      <c r="V836" s="7">
        <f t="shared" si="5"/>
        <v>0</v>
      </c>
      <c r="W836" s="7">
        <f t="shared" ref="W836:X836" si="1615">IF(AVERAGE(U776:U835) &gt; 0.25, 1, 0)</f>
        <v>0</v>
      </c>
      <c r="X836" s="7">
        <f t="shared" si="1615"/>
        <v>0</v>
      </c>
      <c r="Y836" s="8">
        <v>0.0</v>
      </c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</row>
    <row r="837" ht="22.5" customHeight="1">
      <c r="B837" s="6">
        <v>836.0</v>
      </c>
      <c r="C837" s="6">
        <v>50015.0</v>
      </c>
      <c r="D837" s="6">
        <v>1.23</v>
      </c>
      <c r="E837" s="6">
        <v>-0.21</v>
      </c>
      <c r="F837" s="6">
        <v>10.68</v>
      </c>
      <c r="G837" s="6">
        <v>-0.1</v>
      </c>
      <c r="H837" s="6">
        <v>0.0</v>
      </c>
      <c r="I837" s="6">
        <v>-0.01</v>
      </c>
      <c r="J837" s="6">
        <v>33.17</v>
      </c>
      <c r="K837" s="7">
        <f t="shared" ref="K837:P837" si="1616">abs(D837-D836)/200</f>
        <v>0.00005</v>
      </c>
      <c r="L837" s="7">
        <f t="shared" si="1616"/>
        <v>0.00005</v>
      </c>
      <c r="M837" s="7">
        <f t="shared" si="1616"/>
        <v>0</v>
      </c>
      <c r="N837" s="7">
        <f t="shared" si="1616"/>
        <v>0</v>
      </c>
      <c r="O837" s="7">
        <f t="shared" si="1616"/>
        <v>0</v>
      </c>
      <c r="P837" s="7">
        <f t="shared" si="1616"/>
        <v>0</v>
      </c>
      <c r="Q837" s="7">
        <f t="shared" si="7"/>
        <v>0</v>
      </c>
      <c r="R837" s="7">
        <f t="shared" si="8"/>
        <v>0.0009578610765</v>
      </c>
      <c r="S837" s="7">
        <f t="shared" si="2"/>
        <v>0.9526461859</v>
      </c>
      <c r="T837" s="7">
        <f t="shared" si="3"/>
        <v>0.1004987562</v>
      </c>
      <c r="U837" s="7">
        <f t="shared" si="4"/>
        <v>0</v>
      </c>
      <c r="V837" s="7">
        <f t="shared" si="5"/>
        <v>0</v>
      </c>
      <c r="W837" s="7">
        <f t="shared" ref="W837:X837" si="1617">IF(AVERAGE(U777:U836) &gt; 0.25, 1, 0)</f>
        <v>0</v>
      </c>
      <c r="X837" s="7">
        <f t="shared" si="1617"/>
        <v>0</v>
      </c>
      <c r="Y837" s="8">
        <v>0.0</v>
      </c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</row>
    <row r="838" ht="22.5" customHeight="1">
      <c r="B838" s="6">
        <v>837.0</v>
      </c>
      <c r="C838" s="6">
        <v>50219.0</v>
      </c>
      <c r="D838" s="6">
        <v>1.24</v>
      </c>
      <c r="E838" s="6">
        <v>-0.21</v>
      </c>
      <c r="F838" s="6">
        <v>10.69</v>
      </c>
      <c r="G838" s="6">
        <v>-0.1</v>
      </c>
      <c r="H838" s="6">
        <v>0.0</v>
      </c>
      <c r="I838" s="6">
        <v>-0.01</v>
      </c>
      <c r="J838" s="6">
        <v>33.18</v>
      </c>
      <c r="K838" s="7">
        <f t="shared" ref="K838:P838" si="1618">abs(D838-D837)/200</f>
        <v>0.00005</v>
      </c>
      <c r="L838" s="7">
        <f t="shared" si="1618"/>
        <v>0</v>
      </c>
      <c r="M838" s="7">
        <f t="shared" si="1618"/>
        <v>0.00005</v>
      </c>
      <c r="N838" s="7">
        <f t="shared" si="1618"/>
        <v>0</v>
      </c>
      <c r="O838" s="7">
        <f t="shared" si="1618"/>
        <v>0</v>
      </c>
      <c r="P838" s="7">
        <f t="shared" si="1618"/>
        <v>0</v>
      </c>
      <c r="Q838" s="7">
        <f t="shared" si="7"/>
        <v>0</v>
      </c>
      <c r="R838" s="7">
        <f t="shared" si="8"/>
        <v>0.01107993469</v>
      </c>
      <c r="S838" s="7">
        <f t="shared" si="2"/>
        <v>0.9637261206</v>
      </c>
      <c r="T838" s="7">
        <f t="shared" si="3"/>
        <v>0.1004987562</v>
      </c>
      <c r="U838" s="7">
        <f t="shared" si="4"/>
        <v>0</v>
      </c>
      <c r="V838" s="7">
        <f t="shared" si="5"/>
        <v>0</v>
      </c>
      <c r="W838" s="7">
        <f t="shared" ref="W838:X838" si="1619">IF(AVERAGE(U778:U837) &gt; 0.25, 1, 0)</f>
        <v>0</v>
      </c>
      <c r="X838" s="7">
        <f t="shared" si="1619"/>
        <v>0</v>
      </c>
      <c r="Y838" s="8">
        <v>0.0</v>
      </c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</row>
    <row r="839" ht="22.5" customHeight="1">
      <c r="B839" s="6">
        <v>838.0</v>
      </c>
      <c r="C839" s="6">
        <v>50423.0</v>
      </c>
      <c r="D839" s="6">
        <v>1.24</v>
      </c>
      <c r="E839" s="6">
        <v>-0.2</v>
      </c>
      <c r="F839" s="6">
        <v>10.67</v>
      </c>
      <c r="G839" s="6">
        <v>-0.1</v>
      </c>
      <c r="H839" s="6">
        <v>0.0</v>
      </c>
      <c r="I839" s="6">
        <v>-0.01</v>
      </c>
      <c r="J839" s="6">
        <v>33.18</v>
      </c>
      <c r="K839" s="7">
        <f t="shared" ref="K839:P839" si="1620">abs(D839-D838)/200</f>
        <v>0</v>
      </c>
      <c r="L839" s="7">
        <f t="shared" si="1620"/>
        <v>0.00005</v>
      </c>
      <c r="M839" s="7">
        <f t="shared" si="1620"/>
        <v>0.0001</v>
      </c>
      <c r="N839" s="7">
        <f t="shared" si="1620"/>
        <v>0</v>
      </c>
      <c r="O839" s="7">
        <f t="shared" si="1620"/>
        <v>0</v>
      </c>
      <c r="P839" s="7">
        <f t="shared" si="1620"/>
        <v>0</v>
      </c>
      <c r="Q839" s="7">
        <f t="shared" si="7"/>
        <v>0</v>
      </c>
      <c r="R839" s="7">
        <f t="shared" si="8"/>
        <v>0.02005356419</v>
      </c>
      <c r="S839" s="7">
        <f t="shared" si="2"/>
        <v>0.9436725564</v>
      </c>
      <c r="T839" s="7">
        <f t="shared" si="3"/>
        <v>0.1004987562</v>
      </c>
      <c r="U839" s="7">
        <f t="shared" si="4"/>
        <v>0</v>
      </c>
      <c r="V839" s="7">
        <f t="shared" si="5"/>
        <v>0</v>
      </c>
      <c r="W839" s="7">
        <f t="shared" ref="W839:X839" si="1621">IF(AVERAGE(U779:U838) &gt; 0.25, 1, 0)</f>
        <v>0</v>
      </c>
      <c r="X839" s="7">
        <f t="shared" si="1621"/>
        <v>0</v>
      </c>
      <c r="Y839" s="8">
        <v>0.0</v>
      </c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</row>
    <row r="840" ht="22.5" customHeight="1">
      <c r="B840" s="6">
        <v>839.0</v>
      </c>
      <c r="C840" s="6">
        <v>50627.0</v>
      </c>
      <c r="D840" s="6">
        <v>1.23</v>
      </c>
      <c r="E840" s="6">
        <v>-0.2</v>
      </c>
      <c r="F840" s="6">
        <v>10.67</v>
      </c>
      <c r="G840" s="6">
        <v>-0.1</v>
      </c>
      <c r="H840" s="6">
        <v>0.0</v>
      </c>
      <c r="I840" s="6">
        <v>-0.01</v>
      </c>
      <c r="J840" s="6">
        <v>33.17</v>
      </c>
      <c r="K840" s="7">
        <f t="shared" ref="K840:P840" si="1622">abs(D840-D839)/200</f>
        <v>0.00005</v>
      </c>
      <c r="L840" s="7">
        <f t="shared" si="1622"/>
        <v>0</v>
      </c>
      <c r="M840" s="7">
        <f t="shared" si="1622"/>
        <v>0</v>
      </c>
      <c r="N840" s="7">
        <f t="shared" si="1622"/>
        <v>0</v>
      </c>
      <c r="O840" s="7">
        <f t="shared" si="1622"/>
        <v>0</v>
      </c>
      <c r="P840" s="7">
        <f t="shared" si="1622"/>
        <v>0</v>
      </c>
      <c r="Q840" s="7">
        <f t="shared" si="7"/>
        <v>0</v>
      </c>
      <c r="R840" s="7">
        <f t="shared" si="8"/>
        <v>0.001149575315</v>
      </c>
      <c r="S840" s="7">
        <f t="shared" si="2"/>
        <v>0.9425229811</v>
      </c>
      <c r="T840" s="7">
        <f t="shared" si="3"/>
        <v>0.1004987562</v>
      </c>
      <c r="U840" s="7">
        <f t="shared" si="4"/>
        <v>0</v>
      </c>
      <c r="V840" s="7">
        <f t="shared" si="5"/>
        <v>0</v>
      </c>
      <c r="W840" s="7">
        <f t="shared" ref="W840:X840" si="1623">IF(AVERAGE(U780:U839) &gt; 0.25, 1, 0)</f>
        <v>0</v>
      </c>
      <c r="X840" s="7">
        <f t="shared" si="1623"/>
        <v>0</v>
      </c>
      <c r="Y840" s="8">
        <v>0.0</v>
      </c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</row>
    <row r="841" ht="22.5" customHeight="1">
      <c r="B841" s="6">
        <v>840.0</v>
      </c>
      <c r="C841" s="6">
        <v>50831.0</v>
      </c>
      <c r="D841" s="6">
        <v>1.23</v>
      </c>
      <c r="E841" s="6">
        <v>-0.19</v>
      </c>
      <c r="F841" s="6">
        <v>10.69</v>
      </c>
      <c r="G841" s="6">
        <v>-0.1</v>
      </c>
      <c r="H841" s="6">
        <v>0.0</v>
      </c>
      <c r="I841" s="6">
        <v>-0.01</v>
      </c>
      <c r="J841" s="6">
        <v>33.18</v>
      </c>
      <c r="K841" s="7">
        <f t="shared" ref="K841:P841" si="1624">abs(D841-D840)/200</f>
        <v>0</v>
      </c>
      <c r="L841" s="7">
        <f t="shared" si="1624"/>
        <v>0.00005</v>
      </c>
      <c r="M841" s="7">
        <f t="shared" si="1624"/>
        <v>0.0001</v>
      </c>
      <c r="N841" s="7">
        <f t="shared" si="1624"/>
        <v>0</v>
      </c>
      <c r="O841" s="7">
        <f t="shared" si="1624"/>
        <v>0</v>
      </c>
      <c r="P841" s="7">
        <f t="shared" si="1624"/>
        <v>0</v>
      </c>
      <c r="Q841" s="7">
        <f t="shared" si="7"/>
        <v>0</v>
      </c>
      <c r="R841" s="7">
        <f t="shared" si="8"/>
        <v>0.0196840416</v>
      </c>
      <c r="S841" s="7">
        <f t="shared" si="2"/>
        <v>0.9622070227</v>
      </c>
      <c r="T841" s="7">
        <f t="shared" si="3"/>
        <v>0.1004987562</v>
      </c>
      <c r="U841" s="7">
        <f t="shared" si="4"/>
        <v>0</v>
      </c>
      <c r="V841" s="7">
        <f t="shared" si="5"/>
        <v>0</v>
      </c>
      <c r="W841" s="7">
        <f t="shared" ref="W841:X841" si="1625">IF(AVERAGE(U781:U840) &gt; 0.25, 1, 0)</f>
        <v>0</v>
      </c>
      <c r="X841" s="7">
        <f t="shared" si="1625"/>
        <v>0</v>
      </c>
      <c r="Y841" s="8">
        <v>0.0</v>
      </c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</row>
    <row r="842" ht="22.5" customHeight="1">
      <c r="B842" s="6">
        <v>841.0</v>
      </c>
      <c r="C842" s="6">
        <v>51035.0</v>
      </c>
      <c r="D842" s="6">
        <v>1.24</v>
      </c>
      <c r="E842" s="6">
        <v>-0.2</v>
      </c>
      <c r="F842" s="6">
        <v>10.69</v>
      </c>
      <c r="G842" s="6">
        <v>-0.1</v>
      </c>
      <c r="H842" s="6">
        <v>0.0</v>
      </c>
      <c r="I842" s="6">
        <v>-0.01</v>
      </c>
      <c r="J842" s="6">
        <v>33.17</v>
      </c>
      <c r="K842" s="7">
        <f t="shared" ref="K842:P842" si="1626">abs(D842-D841)/200</f>
        <v>0.00005</v>
      </c>
      <c r="L842" s="7">
        <f t="shared" si="1626"/>
        <v>0.00005</v>
      </c>
      <c r="M842" s="7">
        <f t="shared" si="1626"/>
        <v>0</v>
      </c>
      <c r="N842" s="7">
        <f t="shared" si="1626"/>
        <v>0</v>
      </c>
      <c r="O842" s="7">
        <f t="shared" si="1626"/>
        <v>0</v>
      </c>
      <c r="P842" s="7">
        <f t="shared" si="1626"/>
        <v>0</v>
      </c>
      <c r="Q842" s="7">
        <f t="shared" si="7"/>
        <v>0</v>
      </c>
      <c r="R842" s="7">
        <f t="shared" si="8"/>
        <v>0.00132864173</v>
      </c>
      <c r="S842" s="7">
        <f t="shared" si="2"/>
        <v>0.9635356645</v>
      </c>
      <c r="T842" s="7">
        <f t="shared" si="3"/>
        <v>0.1004987562</v>
      </c>
      <c r="U842" s="7">
        <f t="shared" si="4"/>
        <v>0</v>
      </c>
      <c r="V842" s="7">
        <f t="shared" si="5"/>
        <v>0</v>
      </c>
      <c r="W842" s="7">
        <f t="shared" ref="W842:X842" si="1627">IF(AVERAGE(U782:U841) &gt; 0.25, 1, 0)</f>
        <v>0</v>
      </c>
      <c r="X842" s="7">
        <f t="shared" si="1627"/>
        <v>0</v>
      </c>
      <c r="Y842" s="8">
        <v>0.0</v>
      </c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</row>
    <row r="843" ht="22.5" customHeight="1">
      <c r="B843" s="6">
        <v>842.0</v>
      </c>
      <c r="C843" s="6">
        <v>51239.0</v>
      </c>
      <c r="D843" s="6">
        <v>1.23</v>
      </c>
      <c r="E843" s="6">
        <v>-0.2</v>
      </c>
      <c r="F843" s="6">
        <v>10.69</v>
      </c>
      <c r="G843" s="6">
        <v>-0.1</v>
      </c>
      <c r="H843" s="6">
        <v>0.0</v>
      </c>
      <c r="I843" s="6">
        <v>-0.01</v>
      </c>
      <c r="J843" s="6">
        <v>33.18</v>
      </c>
      <c r="K843" s="7">
        <f t="shared" ref="K843:P843" si="1628">abs(D843-D842)/200</f>
        <v>0.00005</v>
      </c>
      <c r="L843" s="7">
        <f t="shared" si="1628"/>
        <v>0</v>
      </c>
      <c r="M843" s="7">
        <f t="shared" si="1628"/>
        <v>0</v>
      </c>
      <c r="N843" s="7">
        <f t="shared" si="1628"/>
        <v>0</v>
      </c>
      <c r="O843" s="7">
        <f t="shared" si="1628"/>
        <v>0</v>
      </c>
      <c r="P843" s="7">
        <f t="shared" si="1628"/>
        <v>0</v>
      </c>
      <c r="Q843" s="7">
        <f t="shared" si="7"/>
        <v>0</v>
      </c>
      <c r="R843" s="7">
        <f t="shared" si="8"/>
        <v>0.001147453654</v>
      </c>
      <c r="S843" s="7">
        <f t="shared" si="2"/>
        <v>0.9623882108</v>
      </c>
      <c r="T843" s="7">
        <f t="shared" si="3"/>
        <v>0.1004987562</v>
      </c>
      <c r="U843" s="7">
        <f t="shared" si="4"/>
        <v>0</v>
      </c>
      <c r="V843" s="7">
        <f t="shared" si="5"/>
        <v>0</v>
      </c>
      <c r="W843" s="7">
        <f t="shared" ref="W843:X843" si="1629">IF(AVERAGE(U783:U842) &gt; 0.25, 1, 0)</f>
        <v>0</v>
      </c>
      <c r="X843" s="7">
        <f t="shared" si="1629"/>
        <v>0</v>
      </c>
      <c r="Y843" s="8">
        <v>0.0</v>
      </c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</row>
    <row r="844" ht="22.5" customHeight="1">
      <c r="B844" s="6">
        <v>843.0</v>
      </c>
      <c r="C844" s="6">
        <v>51443.0</v>
      </c>
      <c r="D844" s="6">
        <v>1.24</v>
      </c>
      <c r="E844" s="6">
        <v>-0.2</v>
      </c>
      <c r="F844" s="6">
        <v>10.68</v>
      </c>
      <c r="G844" s="6">
        <v>-0.1</v>
      </c>
      <c r="H844" s="6">
        <v>0.0</v>
      </c>
      <c r="I844" s="6">
        <v>-0.01</v>
      </c>
      <c r="J844" s="6">
        <v>33.17</v>
      </c>
      <c r="K844" s="7">
        <f t="shared" ref="K844:P844" si="1630">abs(D844-D843)/200</f>
        <v>0.00005</v>
      </c>
      <c r="L844" s="7">
        <f t="shared" si="1630"/>
        <v>0</v>
      </c>
      <c r="M844" s="7">
        <f t="shared" si="1630"/>
        <v>0.00005</v>
      </c>
      <c r="N844" s="7">
        <f t="shared" si="1630"/>
        <v>0</v>
      </c>
      <c r="O844" s="7">
        <f t="shared" si="1630"/>
        <v>0</v>
      </c>
      <c r="P844" s="7">
        <f t="shared" si="1630"/>
        <v>0</v>
      </c>
      <c r="Q844" s="7">
        <f t="shared" si="7"/>
        <v>0</v>
      </c>
      <c r="R844" s="7">
        <f t="shared" si="8"/>
        <v>0.008784163785</v>
      </c>
      <c r="S844" s="7">
        <f t="shared" si="2"/>
        <v>0.953604047</v>
      </c>
      <c r="T844" s="7">
        <f t="shared" si="3"/>
        <v>0.1004987562</v>
      </c>
      <c r="U844" s="7">
        <f t="shared" si="4"/>
        <v>0</v>
      </c>
      <c r="V844" s="7">
        <f t="shared" si="5"/>
        <v>0</v>
      </c>
      <c r="W844" s="7">
        <f t="shared" ref="W844:X844" si="1631">IF(AVERAGE(U784:U843) &gt; 0.25, 1, 0)</f>
        <v>0</v>
      </c>
      <c r="X844" s="7">
        <f t="shared" si="1631"/>
        <v>0</v>
      </c>
      <c r="Y844" s="8">
        <v>0.0</v>
      </c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</row>
    <row r="845" ht="22.5" customHeight="1">
      <c r="B845" s="6">
        <v>844.0</v>
      </c>
      <c r="C845" s="6">
        <v>51647.0</v>
      </c>
      <c r="D845" s="6">
        <v>1.24</v>
      </c>
      <c r="E845" s="6">
        <v>-0.2</v>
      </c>
      <c r="F845" s="6">
        <v>10.69</v>
      </c>
      <c r="G845" s="6">
        <v>-0.1</v>
      </c>
      <c r="H845" s="6">
        <v>0.0</v>
      </c>
      <c r="I845" s="6">
        <v>-0.01</v>
      </c>
      <c r="J845" s="6">
        <v>33.17</v>
      </c>
      <c r="K845" s="7">
        <f t="shared" ref="K845:P845" si="1632">abs(D845-D844)/200</f>
        <v>0</v>
      </c>
      <c r="L845" s="7">
        <f t="shared" si="1632"/>
        <v>0</v>
      </c>
      <c r="M845" s="7">
        <f t="shared" si="1632"/>
        <v>0.00005</v>
      </c>
      <c r="N845" s="7">
        <f t="shared" si="1632"/>
        <v>0</v>
      </c>
      <c r="O845" s="7">
        <f t="shared" si="1632"/>
        <v>0</v>
      </c>
      <c r="P845" s="7">
        <f t="shared" si="1632"/>
        <v>0</v>
      </c>
      <c r="Q845" s="7">
        <f t="shared" si="7"/>
        <v>0</v>
      </c>
      <c r="R845" s="7">
        <f t="shared" si="8"/>
        <v>0.009931617439</v>
      </c>
      <c r="S845" s="7">
        <f t="shared" si="2"/>
        <v>0.9635356645</v>
      </c>
      <c r="T845" s="7">
        <f t="shared" si="3"/>
        <v>0.1004987562</v>
      </c>
      <c r="U845" s="7">
        <f t="shared" si="4"/>
        <v>0</v>
      </c>
      <c r="V845" s="7">
        <f t="shared" si="5"/>
        <v>0</v>
      </c>
      <c r="W845" s="7">
        <f t="shared" ref="W845:X845" si="1633">IF(AVERAGE(U785:U844) &gt; 0.25, 1, 0)</f>
        <v>0</v>
      </c>
      <c r="X845" s="7">
        <f t="shared" si="1633"/>
        <v>0</v>
      </c>
      <c r="Y845" s="8">
        <v>0.0</v>
      </c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</row>
    <row r="846" ht="22.5" customHeight="1">
      <c r="B846" s="6">
        <v>845.0</v>
      </c>
      <c r="C846" s="6">
        <v>51851.0</v>
      </c>
      <c r="D846" s="6">
        <v>1.23</v>
      </c>
      <c r="E846" s="6">
        <v>-0.21</v>
      </c>
      <c r="F846" s="6">
        <v>10.68</v>
      </c>
      <c r="G846" s="6">
        <v>-0.1</v>
      </c>
      <c r="H846" s="6">
        <v>0.0</v>
      </c>
      <c r="I846" s="6">
        <v>-0.01</v>
      </c>
      <c r="J846" s="6">
        <v>33.17</v>
      </c>
      <c r="K846" s="7">
        <f t="shared" ref="K846:P846" si="1634">abs(D846-D845)/200</f>
        <v>0.00005</v>
      </c>
      <c r="L846" s="7">
        <f t="shared" si="1634"/>
        <v>0.00005</v>
      </c>
      <c r="M846" s="7">
        <f t="shared" si="1634"/>
        <v>0.00005</v>
      </c>
      <c r="N846" s="7">
        <f t="shared" si="1634"/>
        <v>0</v>
      </c>
      <c r="O846" s="7">
        <f t="shared" si="1634"/>
        <v>0</v>
      </c>
      <c r="P846" s="7">
        <f t="shared" si="1634"/>
        <v>0</v>
      </c>
      <c r="Q846" s="7">
        <f t="shared" si="7"/>
        <v>0</v>
      </c>
      <c r="R846" s="7">
        <f t="shared" si="8"/>
        <v>0.01088947852</v>
      </c>
      <c r="S846" s="7">
        <f t="shared" si="2"/>
        <v>0.9526461859</v>
      </c>
      <c r="T846" s="7">
        <f t="shared" si="3"/>
        <v>0.1004987562</v>
      </c>
      <c r="U846" s="7">
        <f t="shared" si="4"/>
        <v>0</v>
      </c>
      <c r="V846" s="7">
        <f t="shared" si="5"/>
        <v>0</v>
      </c>
      <c r="W846" s="7">
        <f t="shared" ref="W846:X846" si="1635">IF(AVERAGE(U786:U845) &gt; 0.25, 1, 0)</f>
        <v>0</v>
      </c>
      <c r="X846" s="7">
        <f t="shared" si="1635"/>
        <v>0</v>
      </c>
      <c r="Y846" s="8">
        <v>0.0</v>
      </c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</row>
    <row r="847" ht="22.5" customHeight="1">
      <c r="B847" s="6">
        <v>846.0</v>
      </c>
      <c r="C847" s="6">
        <v>52055.0</v>
      </c>
      <c r="D847" s="6">
        <v>1.24</v>
      </c>
      <c r="E847" s="6">
        <v>-0.2</v>
      </c>
      <c r="F847" s="6">
        <v>10.69</v>
      </c>
      <c r="G847" s="6">
        <v>-0.1</v>
      </c>
      <c r="H847" s="6">
        <v>0.0</v>
      </c>
      <c r="I847" s="6">
        <v>-0.01</v>
      </c>
      <c r="J847" s="6">
        <v>33.17</v>
      </c>
      <c r="K847" s="7">
        <f t="shared" ref="K847:P847" si="1636">abs(D847-D846)/200</f>
        <v>0.00005</v>
      </c>
      <c r="L847" s="7">
        <f t="shared" si="1636"/>
        <v>0.00005</v>
      </c>
      <c r="M847" s="7">
        <f t="shared" si="1636"/>
        <v>0.00005</v>
      </c>
      <c r="N847" s="7">
        <f t="shared" si="1636"/>
        <v>0</v>
      </c>
      <c r="O847" s="7">
        <f t="shared" si="1636"/>
        <v>0</v>
      </c>
      <c r="P847" s="7">
        <f t="shared" si="1636"/>
        <v>0</v>
      </c>
      <c r="Q847" s="7">
        <f t="shared" si="7"/>
        <v>0</v>
      </c>
      <c r="R847" s="7">
        <f t="shared" si="8"/>
        <v>0.01088947852</v>
      </c>
      <c r="S847" s="7">
        <f t="shared" si="2"/>
        <v>0.9635356645</v>
      </c>
      <c r="T847" s="7">
        <f t="shared" si="3"/>
        <v>0.1004987562</v>
      </c>
      <c r="U847" s="7">
        <f t="shared" si="4"/>
        <v>0</v>
      </c>
      <c r="V847" s="7">
        <f t="shared" si="5"/>
        <v>0</v>
      </c>
      <c r="W847" s="7">
        <f t="shared" ref="W847:X847" si="1637">IF(AVERAGE(U787:U846) &gt; 0.25, 1, 0)</f>
        <v>0</v>
      </c>
      <c r="X847" s="7">
        <f t="shared" si="1637"/>
        <v>0</v>
      </c>
      <c r="Y847" s="8">
        <v>0.0</v>
      </c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</row>
    <row r="848" ht="22.5" customHeight="1">
      <c r="B848" s="6">
        <v>847.0</v>
      </c>
      <c r="C848" s="6">
        <v>52259.0</v>
      </c>
      <c r="D848" s="6">
        <v>1.24</v>
      </c>
      <c r="E848" s="6">
        <v>-0.2</v>
      </c>
      <c r="F848" s="6">
        <v>10.69</v>
      </c>
      <c r="G848" s="6">
        <v>-0.1</v>
      </c>
      <c r="H848" s="6">
        <v>0.0</v>
      </c>
      <c r="I848" s="6">
        <v>-0.01</v>
      </c>
      <c r="J848" s="6">
        <v>33.18</v>
      </c>
      <c r="K848" s="7">
        <f t="shared" ref="K848:P848" si="1638">abs(D848-D847)/200</f>
        <v>0</v>
      </c>
      <c r="L848" s="7">
        <f t="shared" si="1638"/>
        <v>0</v>
      </c>
      <c r="M848" s="7">
        <f t="shared" si="1638"/>
        <v>0</v>
      </c>
      <c r="N848" s="7">
        <f t="shared" si="1638"/>
        <v>0</v>
      </c>
      <c r="O848" s="7">
        <f t="shared" si="1638"/>
        <v>0</v>
      </c>
      <c r="P848" s="7">
        <f t="shared" si="1638"/>
        <v>0</v>
      </c>
      <c r="Q848" s="7">
        <f t="shared" si="7"/>
        <v>0</v>
      </c>
      <c r="R848" s="7">
        <f t="shared" si="8"/>
        <v>0</v>
      </c>
      <c r="S848" s="7">
        <f t="shared" si="2"/>
        <v>0.9635356645</v>
      </c>
      <c r="T848" s="7">
        <f t="shared" si="3"/>
        <v>0.1004987562</v>
      </c>
      <c r="U848" s="7">
        <f t="shared" si="4"/>
        <v>0</v>
      </c>
      <c r="V848" s="7">
        <f t="shared" si="5"/>
        <v>0</v>
      </c>
      <c r="W848" s="7">
        <f t="shared" ref="W848:X848" si="1639">IF(AVERAGE(U788:U847) &gt; 0.25, 1, 0)</f>
        <v>0</v>
      </c>
      <c r="X848" s="7">
        <f t="shared" si="1639"/>
        <v>0</v>
      </c>
      <c r="Y848" s="8">
        <v>0.0</v>
      </c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</row>
    <row r="849" ht="22.5" customHeight="1">
      <c r="B849" s="6">
        <v>848.0</v>
      </c>
      <c r="C849" s="6">
        <v>52463.0</v>
      </c>
      <c r="D849" s="6">
        <v>1.23</v>
      </c>
      <c r="E849" s="6">
        <v>-0.2</v>
      </c>
      <c r="F849" s="6">
        <v>10.68</v>
      </c>
      <c r="G849" s="6">
        <v>-0.1</v>
      </c>
      <c r="H849" s="6">
        <v>0.0</v>
      </c>
      <c r="I849" s="6">
        <v>-0.01</v>
      </c>
      <c r="J849" s="6">
        <v>33.19</v>
      </c>
      <c r="K849" s="7">
        <f t="shared" ref="K849:P849" si="1640">abs(D849-D848)/200</f>
        <v>0.00005</v>
      </c>
      <c r="L849" s="7">
        <f t="shared" si="1640"/>
        <v>0</v>
      </c>
      <c r="M849" s="7">
        <f t="shared" si="1640"/>
        <v>0.00005</v>
      </c>
      <c r="N849" s="7">
        <f t="shared" si="1640"/>
        <v>0</v>
      </c>
      <c r="O849" s="7">
        <f t="shared" si="1640"/>
        <v>0</v>
      </c>
      <c r="P849" s="7">
        <f t="shared" si="1640"/>
        <v>0</v>
      </c>
      <c r="Q849" s="7">
        <f t="shared" si="7"/>
        <v>0</v>
      </c>
      <c r="R849" s="7">
        <f t="shared" si="8"/>
        <v>0.01108013095</v>
      </c>
      <c r="S849" s="7">
        <f t="shared" si="2"/>
        <v>0.9524555335</v>
      </c>
      <c r="T849" s="7">
        <f t="shared" si="3"/>
        <v>0.1004987562</v>
      </c>
      <c r="U849" s="7">
        <f t="shared" si="4"/>
        <v>0</v>
      </c>
      <c r="V849" s="7">
        <f t="shared" si="5"/>
        <v>0</v>
      </c>
      <c r="W849" s="7">
        <f t="shared" ref="W849:X849" si="1641">IF(AVERAGE(U789:U848) &gt; 0.25, 1, 0)</f>
        <v>0</v>
      </c>
      <c r="X849" s="7">
        <f t="shared" si="1641"/>
        <v>0</v>
      </c>
      <c r="Y849" s="8">
        <v>0.0</v>
      </c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</row>
    <row r="850" ht="22.5" customHeight="1">
      <c r="B850" s="6">
        <v>849.0</v>
      </c>
      <c r="C850" s="6">
        <v>52667.0</v>
      </c>
      <c r="D850" s="6">
        <v>1.24</v>
      </c>
      <c r="E850" s="6">
        <v>-0.2</v>
      </c>
      <c r="F850" s="6">
        <v>10.68</v>
      </c>
      <c r="G850" s="6">
        <v>-0.1</v>
      </c>
      <c r="H850" s="6">
        <v>0.0</v>
      </c>
      <c r="I850" s="6">
        <v>-0.01</v>
      </c>
      <c r="J850" s="6">
        <v>33.18</v>
      </c>
      <c r="K850" s="7">
        <f t="shared" ref="K850:P850" si="1642">abs(D850-D849)/200</f>
        <v>0.00005</v>
      </c>
      <c r="L850" s="7">
        <f t="shared" si="1642"/>
        <v>0</v>
      </c>
      <c r="M850" s="7">
        <f t="shared" si="1642"/>
        <v>0</v>
      </c>
      <c r="N850" s="7">
        <f t="shared" si="1642"/>
        <v>0</v>
      </c>
      <c r="O850" s="7">
        <f t="shared" si="1642"/>
        <v>0</v>
      </c>
      <c r="P850" s="7">
        <f t="shared" si="1642"/>
        <v>0</v>
      </c>
      <c r="Q850" s="7">
        <f t="shared" si="7"/>
        <v>0</v>
      </c>
      <c r="R850" s="7">
        <f t="shared" si="8"/>
        <v>0.001148513511</v>
      </c>
      <c r="S850" s="7">
        <f t="shared" si="2"/>
        <v>0.953604047</v>
      </c>
      <c r="T850" s="7">
        <f t="shared" si="3"/>
        <v>0.1004987562</v>
      </c>
      <c r="U850" s="7">
        <f t="shared" si="4"/>
        <v>0</v>
      </c>
      <c r="V850" s="7">
        <f t="shared" si="5"/>
        <v>0</v>
      </c>
      <c r="W850" s="7">
        <f t="shared" ref="W850:X850" si="1643">IF(AVERAGE(U790:U849) &gt; 0.25, 1, 0)</f>
        <v>0</v>
      </c>
      <c r="X850" s="7">
        <f t="shared" si="1643"/>
        <v>0</v>
      </c>
      <c r="Y850" s="8">
        <v>0.0</v>
      </c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</row>
    <row r="851" ht="22.5" customHeight="1">
      <c r="B851" s="6">
        <v>850.0</v>
      </c>
      <c r="C851" s="6">
        <v>52871.0</v>
      </c>
      <c r="D851" s="6">
        <v>1.24</v>
      </c>
      <c r="E851" s="6">
        <v>-0.21</v>
      </c>
      <c r="F851" s="6">
        <v>10.68</v>
      </c>
      <c r="G851" s="6">
        <v>-0.1</v>
      </c>
      <c r="H851" s="6">
        <v>0.0</v>
      </c>
      <c r="I851" s="6">
        <v>-0.01</v>
      </c>
      <c r="J851" s="6">
        <v>33.18</v>
      </c>
      <c r="K851" s="7">
        <f t="shared" ref="K851:P851" si="1644">abs(D851-D850)/200</f>
        <v>0</v>
      </c>
      <c r="L851" s="7">
        <f t="shared" si="1644"/>
        <v>0.00005</v>
      </c>
      <c r="M851" s="7">
        <f t="shared" si="1644"/>
        <v>0</v>
      </c>
      <c r="N851" s="7">
        <f t="shared" si="1644"/>
        <v>0</v>
      </c>
      <c r="O851" s="7">
        <f t="shared" si="1644"/>
        <v>0</v>
      </c>
      <c r="P851" s="7">
        <f t="shared" si="1644"/>
        <v>0</v>
      </c>
      <c r="Q851" s="7">
        <f t="shared" si="7"/>
        <v>0</v>
      </c>
      <c r="R851" s="7">
        <f t="shared" si="8"/>
        <v>0.0001906320728</v>
      </c>
      <c r="S851" s="7">
        <f t="shared" si="2"/>
        <v>0.9537946791</v>
      </c>
      <c r="T851" s="7">
        <f t="shared" si="3"/>
        <v>0.1004987562</v>
      </c>
      <c r="U851" s="7">
        <f t="shared" si="4"/>
        <v>0</v>
      </c>
      <c r="V851" s="7">
        <f t="shared" si="5"/>
        <v>0</v>
      </c>
      <c r="W851" s="7">
        <f t="shared" ref="W851:X851" si="1645">IF(AVERAGE(U791:U850) &gt; 0.25, 1, 0)</f>
        <v>0</v>
      </c>
      <c r="X851" s="7">
        <f t="shared" si="1645"/>
        <v>0</v>
      </c>
      <c r="Y851" s="8">
        <v>0.0</v>
      </c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</row>
    <row r="852" ht="22.5" customHeight="1">
      <c r="B852" s="6">
        <v>851.0</v>
      </c>
      <c r="C852" s="6">
        <v>53075.0</v>
      </c>
      <c r="D852" s="6">
        <v>1.23</v>
      </c>
      <c r="E852" s="6">
        <v>-0.2</v>
      </c>
      <c r="F852" s="6">
        <v>10.67</v>
      </c>
      <c r="G852" s="6">
        <v>-0.1</v>
      </c>
      <c r="H852" s="6">
        <v>0.0</v>
      </c>
      <c r="I852" s="6">
        <v>-0.01</v>
      </c>
      <c r="J852" s="6">
        <v>33.18</v>
      </c>
      <c r="K852" s="7">
        <f t="shared" ref="K852:P852" si="1646">abs(D852-D851)/200</f>
        <v>0.00005</v>
      </c>
      <c r="L852" s="7">
        <f t="shared" si="1646"/>
        <v>0.00005</v>
      </c>
      <c r="M852" s="7">
        <f t="shared" si="1646"/>
        <v>0.00005</v>
      </c>
      <c r="N852" s="7">
        <f t="shared" si="1646"/>
        <v>0</v>
      </c>
      <c r="O852" s="7">
        <f t="shared" si="1646"/>
        <v>0</v>
      </c>
      <c r="P852" s="7">
        <f t="shared" si="1646"/>
        <v>0</v>
      </c>
      <c r="Q852" s="7">
        <f t="shared" si="7"/>
        <v>0</v>
      </c>
      <c r="R852" s="7">
        <f t="shared" si="8"/>
        <v>0.01127169796</v>
      </c>
      <c r="S852" s="7">
        <f t="shared" si="2"/>
        <v>0.9425229811</v>
      </c>
      <c r="T852" s="7">
        <f t="shared" si="3"/>
        <v>0.1004987562</v>
      </c>
      <c r="U852" s="7">
        <f t="shared" si="4"/>
        <v>0</v>
      </c>
      <c r="V852" s="7">
        <f t="shared" si="5"/>
        <v>0</v>
      </c>
      <c r="W852" s="7">
        <f t="shared" ref="W852:X852" si="1647">IF(AVERAGE(U792:U851) &gt; 0.25, 1, 0)</f>
        <v>0</v>
      </c>
      <c r="X852" s="7">
        <f t="shared" si="1647"/>
        <v>0</v>
      </c>
      <c r="Y852" s="8">
        <v>0.0</v>
      </c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</row>
    <row r="853" ht="22.5" customHeight="1">
      <c r="B853" s="6">
        <v>852.0</v>
      </c>
      <c r="C853" s="6">
        <v>53279.0</v>
      </c>
      <c r="D853" s="6">
        <v>1.24</v>
      </c>
      <c r="E853" s="6">
        <v>-0.2</v>
      </c>
      <c r="F853" s="6">
        <v>10.69</v>
      </c>
      <c r="G853" s="6">
        <v>-0.1</v>
      </c>
      <c r="H853" s="6">
        <v>0.0</v>
      </c>
      <c r="I853" s="6">
        <v>-0.01</v>
      </c>
      <c r="J853" s="6">
        <v>33.18</v>
      </c>
      <c r="K853" s="7">
        <f t="shared" ref="K853:P853" si="1648">abs(D853-D852)/200</f>
        <v>0.00005</v>
      </c>
      <c r="L853" s="7">
        <f t="shared" si="1648"/>
        <v>0</v>
      </c>
      <c r="M853" s="7">
        <f t="shared" si="1648"/>
        <v>0.0001</v>
      </c>
      <c r="N853" s="7">
        <f t="shared" si="1648"/>
        <v>0</v>
      </c>
      <c r="O853" s="7">
        <f t="shared" si="1648"/>
        <v>0</v>
      </c>
      <c r="P853" s="7">
        <f t="shared" si="1648"/>
        <v>0</v>
      </c>
      <c r="Q853" s="7">
        <f t="shared" si="7"/>
        <v>0</v>
      </c>
      <c r="R853" s="7">
        <f t="shared" si="8"/>
        <v>0.02101268333</v>
      </c>
      <c r="S853" s="7">
        <f t="shared" si="2"/>
        <v>0.9635356645</v>
      </c>
      <c r="T853" s="7">
        <f t="shared" si="3"/>
        <v>0.1004987562</v>
      </c>
      <c r="U853" s="7">
        <f t="shared" si="4"/>
        <v>0</v>
      </c>
      <c r="V853" s="7">
        <f t="shared" si="5"/>
        <v>0</v>
      </c>
      <c r="W853" s="7">
        <f t="shared" ref="W853:X853" si="1649">IF(AVERAGE(U793:U852) &gt; 0.25, 1, 0)</f>
        <v>0</v>
      </c>
      <c r="X853" s="7">
        <f t="shared" si="1649"/>
        <v>0</v>
      </c>
      <c r="Y853" s="8">
        <v>0.0</v>
      </c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</row>
    <row r="854" ht="22.5" customHeight="1">
      <c r="B854" s="6">
        <v>853.0</v>
      </c>
      <c r="C854" s="6">
        <v>53483.0</v>
      </c>
      <c r="D854" s="6">
        <v>1.24</v>
      </c>
      <c r="E854" s="6">
        <v>-0.2</v>
      </c>
      <c r="F854" s="6">
        <v>10.67</v>
      </c>
      <c r="G854" s="6">
        <v>-0.1</v>
      </c>
      <c r="H854" s="6">
        <v>0.0</v>
      </c>
      <c r="I854" s="6">
        <v>-0.01</v>
      </c>
      <c r="J854" s="6">
        <v>33.17</v>
      </c>
      <c r="K854" s="7">
        <f t="shared" ref="K854:P854" si="1650">abs(D854-D853)/200</f>
        <v>0</v>
      </c>
      <c r="L854" s="7">
        <f t="shared" si="1650"/>
        <v>0</v>
      </c>
      <c r="M854" s="7">
        <f t="shared" si="1650"/>
        <v>0.0001</v>
      </c>
      <c r="N854" s="7">
        <f t="shared" si="1650"/>
        <v>0</v>
      </c>
      <c r="O854" s="7">
        <f t="shared" si="1650"/>
        <v>0</v>
      </c>
      <c r="P854" s="7">
        <f t="shared" si="1650"/>
        <v>0</v>
      </c>
      <c r="Q854" s="7">
        <f t="shared" si="7"/>
        <v>0</v>
      </c>
      <c r="R854" s="7">
        <f t="shared" si="8"/>
        <v>0.01986310802</v>
      </c>
      <c r="S854" s="7">
        <f t="shared" si="2"/>
        <v>0.9436725564</v>
      </c>
      <c r="T854" s="7">
        <f t="shared" si="3"/>
        <v>0.1004987562</v>
      </c>
      <c r="U854" s="7">
        <f t="shared" si="4"/>
        <v>0</v>
      </c>
      <c r="V854" s="7">
        <f t="shared" si="5"/>
        <v>0</v>
      </c>
      <c r="W854" s="7">
        <f t="shared" ref="W854:X854" si="1651">IF(AVERAGE(U794:U853) &gt; 0.25, 1, 0)</f>
        <v>0</v>
      </c>
      <c r="X854" s="7">
        <f t="shared" si="1651"/>
        <v>0</v>
      </c>
      <c r="Y854" s="8">
        <v>0.0</v>
      </c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</row>
    <row r="855" ht="22.5" customHeight="1">
      <c r="B855" s="6">
        <v>854.0</v>
      </c>
      <c r="C855" s="6">
        <v>53687.0</v>
      </c>
      <c r="D855" s="6">
        <v>1.23</v>
      </c>
      <c r="E855" s="6">
        <v>-0.2</v>
      </c>
      <c r="F855" s="6">
        <v>10.69</v>
      </c>
      <c r="G855" s="6">
        <v>-0.1</v>
      </c>
      <c r="H855" s="6">
        <v>0.0</v>
      </c>
      <c r="I855" s="6">
        <v>-0.01</v>
      </c>
      <c r="J855" s="6">
        <v>33.17</v>
      </c>
      <c r="K855" s="7">
        <f t="shared" ref="K855:P855" si="1652">abs(D855-D854)/200</f>
        <v>0.00005</v>
      </c>
      <c r="L855" s="7">
        <f t="shared" si="1652"/>
        <v>0</v>
      </c>
      <c r="M855" s="7">
        <f t="shared" si="1652"/>
        <v>0.0001</v>
      </c>
      <c r="N855" s="7">
        <f t="shared" si="1652"/>
        <v>0</v>
      </c>
      <c r="O855" s="7">
        <f t="shared" si="1652"/>
        <v>0</v>
      </c>
      <c r="P855" s="7">
        <f t="shared" si="1652"/>
        <v>0</v>
      </c>
      <c r="Q855" s="7">
        <f t="shared" si="7"/>
        <v>0</v>
      </c>
      <c r="R855" s="7">
        <f t="shared" si="8"/>
        <v>0.01871565436</v>
      </c>
      <c r="S855" s="7">
        <f t="shared" si="2"/>
        <v>0.9623882108</v>
      </c>
      <c r="T855" s="7">
        <f t="shared" si="3"/>
        <v>0.1004987562</v>
      </c>
      <c r="U855" s="7">
        <f t="shared" si="4"/>
        <v>0</v>
      </c>
      <c r="V855" s="7">
        <f t="shared" si="5"/>
        <v>0</v>
      </c>
      <c r="W855" s="7">
        <f t="shared" ref="W855:X855" si="1653">IF(AVERAGE(U795:U854) &gt; 0.25, 1, 0)</f>
        <v>0</v>
      </c>
      <c r="X855" s="7">
        <f t="shared" si="1653"/>
        <v>0</v>
      </c>
      <c r="Y855" s="8">
        <v>0.0</v>
      </c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</row>
    <row r="856" ht="22.5" customHeight="1">
      <c r="B856" s="6">
        <v>855.0</v>
      </c>
      <c r="C856" s="6">
        <v>53891.0</v>
      </c>
      <c r="D856" s="6">
        <v>1.24</v>
      </c>
      <c r="E856" s="6">
        <v>-0.2</v>
      </c>
      <c r="F856" s="6">
        <v>10.69</v>
      </c>
      <c r="G856" s="6">
        <v>-0.1</v>
      </c>
      <c r="H856" s="6">
        <v>0.0</v>
      </c>
      <c r="I856" s="6">
        <v>-0.01</v>
      </c>
      <c r="J856" s="6">
        <v>33.17</v>
      </c>
      <c r="K856" s="7">
        <f t="shared" ref="K856:P856" si="1654">abs(D856-D855)/200</f>
        <v>0.00005</v>
      </c>
      <c r="L856" s="7">
        <f t="shared" si="1654"/>
        <v>0</v>
      </c>
      <c r="M856" s="7">
        <f t="shared" si="1654"/>
        <v>0</v>
      </c>
      <c r="N856" s="7">
        <f t="shared" si="1654"/>
        <v>0</v>
      </c>
      <c r="O856" s="7">
        <f t="shared" si="1654"/>
        <v>0</v>
      </c>
      <c r="P856" s="7">
        <f t="shared" si="1654"/>
        <v>0</v>
      </c>
      <c r="Q856" s="7">
        <f t="shared" si="7"/>
        <v>0</v>
      </c>
      <c r="R856" s="7">
        <f t="shared" si="8"/>
        <v>0.001147453654</v>
      </c>
      <c r="S856" s="7">
        <f t="shared" si="2"/>
        <v>0.9635356645</v>
      </c>
      <c r="T856" s="7">
        <f t="shared" si="3"/>
        <v>0.1004987562</v>
      </c>
      <c r="U856" s="7">
        <f t="shared" si="4"/>
        <v>0</v>
      </c>
      <c r="V856" s="7">
        <f t="shared" si="5"/>
        <v>0</v>
      </c>
      <c r="W856" s="7">
        <f t="shared" ref="W856:X856" si="1655">IF(AVERAGE(U796:U855) &gt; 0.25, 1, 0)</f>
        <v>0</v>
      </c>
      <c r="X856" s="7">
        <f t="shared" si="1655"/>
        <v>0</v>
      </c>
      <c r="Y856" s="8">
        <v>0.0</v>
      </c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</row>
    <row r="857" ht="22.5" customHeight="1">
      <c r="B857" s="6">
        <v>856.0</v>
      </c>
      <c r="C857" s="6">
        <v>54095.0</v>
      </c>
      <c r="D857" s="6">
        <v>1.23</v>
      </c>
      <c r="E857" s="6">
        <v>-0.2</v>
      </c>
      <c r="F857" s="6">
        <v>10.68</v>
      </c>
      <c r="G857" s="6">
        <v>-0.1</v>
      </c>
      <c r="H857" s="6">
        <v>0.0</v>
      </c>
      <c r="I857" s="6">
        <v>-0.01</v>
      </c>
      <c r="J857" s="6">
        <v>33.18</v>
      </c>
      <c r="K857" s="7">
        <f t="shared" ref="K857:P857" si="1656">abs(D857-D856)/200</f>
        <v>0.00005</v>
      </c>
      <c r="L857" s="7">
        <f t="shared" si="1656"/>
        <v>0</v>
      </c>
      <c r="M857" s="7">
        <f t="shared" si="1656"/>
        <v>0.00005</v>
      </c>
      <c r="N857" s="7">
        <f t="shared" si="1656"/>
        <v>0</v>
      </c>
      <c r="O857" s="7">
        <f t="shared" si="1656"/>
        <v>0</v>
      </c>
      <c r="P857" s="7">
        <f t="shared" si="1656"/>
        <v>0</v>
      </c>
      <c r="Q857" s="7">
        <f t="shared" si="7"/>
        <v>0</v>
      </c>
      <c r="R857" s="7">
        <f t="shared" si="8"/>
        <v>0.01108013095</v>
      </c>
      <c r="S857" s="7">
        <f t="shared" si="2"/>
        <v>0.9524555335</v>
      </c>
      <c r="T857" s="7">
        <f t="shared" si="3"/>
        <v>0.1004987562</v>
      </c>
      <c r="U857" s="7">
        <f t="shared" si="4"/>
        <v>0</v>
      </c>
      <c r="V857" s="7">
        <f t="shared" si="5"/>
        <v>0</v>
      </c>
      <c r="W857" s="7">
        <f t="shared" ref="W857:X857" si="1657">IF(AVERAGE(U797:U856) &gt; 0.25, 1, 0)</f>
        <v>0</v>
      </c>
      <c r="X857" s="7">
        <f t="shared" si="1657"/>
        <v>0</v>
      </c>
      <c r="Y857" s="8">
        <v>0.0</v>
      </c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</row>
    <row r="858" ht="22.5" customHeight="1">
      <c r="B858" s="6">
        <v>857.0</v>
      </c>
      <c r="C858" s="6">
        <v>54299.0</v>
      </c>
      <c r="D858" s="6">
        <v>1.24</v>
      </c>
      <c r="E858" s="6">
        <v>-0.2</v>
      </c>
      <c r="F858" s="6">
        <v>10.67</v>
      </c>
      <c r="G858" s="6">
        <v>-0.1</v>
      </c>
      <c r="H858" s="6">
        <v>0.0</v>
      </c>
      <c r="I858" s="6">
        <v>-0.01</v>
      </c>
      <c r="J858" s="6">
        <v>33.17</v>
      </c>
      <c r="K858" s="7">
        <f t="shared" ref="K858:P858" si="1658">abs(D858-D857)/200</f>
        <v>0.00005</v>
      </c>
      <c r="L858" s="7">
        <f t="shared" si="1658"/>
        <v>0</v>
      </c>
      <c r="M858" s="7">
        <f t="shared" si="1658"/>
        <v>0.00005</v>
      </c>
      <c r="N858" s="7">
        <f t="shared" si="1658"/>
        <v>0</v>
      </c>
      <c r="O858" s="7">
        <f t="shared" si="1658"/>
        <v>0</v>
      </c>
      <c r="P858" s="7">
        <f t="shared" si="1658"/>
        <v>0</v>
      </c>
      <c r="Q858" s="7">
        <f t="shared" si="7"/>
        <v>0</v>
      </c>
      <c r="R858" s="7">
        <f t="shared" si="8"/>
        <v>0.008782977065</v>
      </c>
      <c r="S858" s="7">
        <f t="shared" si="2"/>
        <v>0.9436725564</v>
      </c>
      <c r="T858" s="7">
        <f t="shared" si="3"/>
        <v>0.1004987562</v>
      </c>
      <c r="U858" s="7">
        <f t="shared" si="4"/>
        <v>0</v>
      </c>
      <c r="V858" s="7">
        <f t="shared" si="5"/>
        <v>0</v>
      </c>
      <c r="W858" s="7">
        <f t="shared" ref="W858:X858" si="1659">IF(AVERAGE(U798:U857) &gt; 0.25, 1, 0)</f>
        <v>0</v>
      </c>
      <c r="X858" s="7">
        <f t="shared" si="1659"/>
        <v>0</v>
      </c>
      <c r="Y858" s="8">
        <v>0.0</v>
      </c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</row>
    <row r="859" ht="22.5" customHeight="1">
      <c r="B859" s="6">
        <v>858.0</v>
      </c>
      <c r="C859" s="6">
        <v>54503.0</v>
      </c>
      <c r="D859" s="6">
        <v>1.23</v>
      </c>
      <c r="E859" s="6">
        <v>-0.19</v>
      </c>
      <c r="F859" s="6">
        <v>10.68</v>
      </c>
      <c r="G859" s="6">
        <v>-0.1</v>
      </c>
      <c r="H859" s="6">
        <v>0.0</v>
      </c>
      <c r="I859" s="6">
        <v>-0.01</v>
      </c>
      <c r="J859" s="6">
        <v>33.17</v>
      </c>
      <c r="K859" s="7">
        <f t="shared" ref="K859:P859" si="1660">abs(D859-D858)/200</f>
        <v>0.00005</v>
      </c>
      <c r="L859" s="7">
        <f t="shared" si="1660"/>
        <v>0.00005</v>
      </c>
      <c r="M859" s="7">
        <f t="shared" si="1660"/>
        <v>0.00005</v>
      </c>
      <c r="N859" s="7">
        <f t="shared" si="1660"/>
        <v>0</v>
      </c>
      <c r="O859" s="7">
        <f t="shared" si="1660"/>
        <v>0</v>
      </c>
      <c r="P859" s="7">
        <f t="shared" si="1660"/>
        <v>0</v>
      </c>
      <c r="Q859" s="7">
        <f t="shared" si="7"/>
        <v>0</v>
      </c>
      <c r="R859" s="7">
        <f t="shared" si="8"/>
        <v>0.008601621612</v>
      </c>
      <c r="S859" s="7">
        <f t="shared" si="2"/>
        <v>0.9522741781</v>
      </c>
      <c r="T859" s="7">
        <f t="shared" si="3"/>
        <v>0.1004987562</v>
      </c>
      <c r="U859" s="7">
        <f t="shared" si="4"/>
        <v>0</v>
      </c>
      <c r="V859" s="7">
        <f t="shared" si="5"/>
        <v>0</v>
      </c>
      <c r="W859" s="7">
        <f t="shared" ref="W859:X859" si="1661">IF(AVERAGE(U799:U858) &gt; 0.25, 1, 0)</f>
        <v>0</v>
      </c>
      <c r="X859" s="7">
        <f t="shared" si="1661"/>
        <v>0</v>
      </c>
      <c r="Y859" s="8">
        <v>0.0</v>
      </c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</row>
    <row r="860" ht="22.5" customHeight="1">
      <c r="B860" s="6">
        <v>859.0</v>
      </c>
      <c r="C860" s="6">
        <v>54707.0</v>
      </c>
      <c r="D860" s="6">
        <v>1.23</v>
      </c>
      <c r="E860" s="6">
        <v>-0.19</v>
      </c>
      <c r="F860" s="6">
        <v>10.68</v>
      </c>
      <c r="G860" s="6">
        <v>-0.1</v>
      </c>
      <c r="H860" s="6">
        <v>0.0</v>
      </c>
      <c r="I860" s="6">
        <v>-0.01</v>
      </c>
      <c r="J860" s="6">
        <v>33.17</v>
      </c>
      <c r="K860" s="7">
        <f t="shared" ref="K860:P860" si="1662">abs(D860-D859)/200</f>
        <v>0</v>
      </c>
      <c r="L860" s="7">
        <f t="shared" si="1662"/>
        <v>0</v>
      </c>
      <c r="M860" s="7">
        <f t="shared" si="1662"/>
        <v>0</v>
      </c>
      <c r="N860" s="7">
        <f t="shared" si="1662"/>
        <v>0</v>
      </c>
      <c r="O860" s="7">
        <f t="shared" si="1662"/>
        <v>0</v>
      </c>
      <c r="P860" s="7">
        <f t="shared" si="1662"/>
        <v>0</v>
      </c>
      <c r="Q860" s="7">
        <f t="shared" si="7"/>
        <v>0</v>
      </c>
      <c r="R860" s="7">
        <f t="shared" si="8"/>
        <v>0</v>
      </c>
      <c r="S860" s="7">
        <f t="shared" si="2"/>
        <v>0.9522741781</v>
      </c>
      <c r="T860" s="7">
        <f t="shared" si="3"/>
        <v>0.1004987562</v>
      </c>
      <c r="U860" s="7">
        <f t="shared" si="4"/>
        <v>0</v>
      </c>
      <c r="V860" s="7">
        <f t="shared" si="5"/>
        <v>0</v>
      </c>
      <c r="W860" s="7">
        <f t="shared" ref="W860:X860" si="1663">IF(AVERAGE(U800:U859) &gt; 0.25, 1, 0)</f>
        <v>0</v>
      </c>
      <c r="X860" s="7">
        <f t="shared" si="1663"/>
        <v>0</v>
      </c>
      <c r="Y860" s="8">
        <v>0.0</v>
      </c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</row>
    <row r="861" ht="22.5" customHeight="1">
      <c r="B861" s="6">
        <v>860.0</v>
      </c>
      <c r="C861" s="6">
        <v>54911.0</v>
      </c>
      <c r="D861" s="6">
        <v>1.23</v>
      </c>
      <c r="E861" s="6">
        <v>-0.2</v>
      </c>
      <c r="F861" s="6">
        <v>10.68</v>
      </c>
      <c r="G861" s="6">
        <v>-0.1</v>
      </c>
      <c r="H861" s="6">
        <v>0.0</v>
      </c>
      <c r="I861" s="6">
        <v>-0.01</v>
      </c>
      <c r="J861" s="6">
        <v>33.18</v>
      </c>
      <c r="K861" s="7">
        <f t="shared" ref="K861:P861" si="1664">abs(D861-D860)/200</f>
        <v>0</v>
      </c>
      <c r="L861" s="7">
        <f t="shared" si="1664"/>
        <v>0.00005</v>
      </c>
      <c r="M861" s="7">
        <f t="shared" si="1664"/>
        <v>0</v>
      </c>
      <c r="N861" s="7">
        <f t="shared" si="1664"/>
        <v>0</v>
      </c>
      <c r="O861" s="7">
        <f t="shared" si="1664"/>
        <v>0</v>
      </c>
      <c r="P861" s="7">
        <f t="shared" si="1664"/>
        <v>0</v>
      </c>
      <c r="Q861" s="7">
        <f t="shared" si="7"/>
        <v>0</v>
      </c>
      <c r="R861" s="7">
        <f t="shared" si="8"/>
        <v>0.0001813554531</v>
      </c>
      <c r="S861" s="7">
        <f t="shared" si="2"/>
        <v>0.9524555335</v>
      </c>
      <c r="T861" s="7">
        <f t="shared" si="3"/>
        <v>0.1004987562</v>
      </c>
      <c r="U861" s="7">
        <f t="shared" si="4"/>
        <v>0</v>
      </c>
      <c r="V861" s="7">
        <f t="shared" si="5"/>
        <v>0</v>
      </c>
      <c r="W861" s="7">
        <f t="shared" ref="W861:X861" si="1665">IF(AVERAGE(U801:U860) &gt; 0.25, 1, 0)</f>
        <v>0</v>
      </c>
      <c r="X861" s="7">
        <f t="shared" si="1665"/>
        <v>0</v>
      </c>
      <c r="Y861" s="8">
        <v>0.0</v>
      </c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</row>
    <row r="862" ht="22.5" customHeight="1">
      <c r="B862" s="6">
        <v>861.0</v>
      </c>
      <c r="C862" s="6">
        <v>55115.0</v>
      </c>
      <c r="D862" s="6">
        <v>1.24</v>
      </c>
      <c r="E862" s="6">
        <v>-0.2</v>
      </c>
      <c r="F862" s="6">
        <v>10.67</v>
      </c>
      <c r="G862" s="6">
        <v>-0.1</v>
      </c>
      <c r="H862" s="6">
        <v>0.0</v>
      </c>
      <c r="I862" s="6">
        <v>-0.01</v>
      </c>
      <c r="J862" s="6">
        <v>33.18</v>
      </c>
      <c r="K862" s="7">
        <f t="shared" ref="K862:P862" si="1666">abs(D862-D861)/200</f>
        <v>0.00005</v>
      </c>
      <c r="L862" s="7">
        <f t="shared" si="1666"/>
        <v>0</v>
      </c>
      <c r="M862" s="7">
        <f t="shared" si="1666"/>
        <v>0.00005</v>
      </c>
      <c r="N862" s="7">
        <f t="shared" si="1666"/>
        <v>0</v>
      </c>
      <c r="O862" s="7">
        <f t="shared" si="1666"/>
        <v>0</v>
      </c>
      <c r="P862" s="7">
        <f t="shared" si="1666"/>
        <v>0</v>
      </c>
      <c r="Q862" s="7">
        <f t="shared" si="7"/>
        <v>0</v>
      </c>
      <c r="R862" s="7">
        <f t="shared" si="8"/>
        <v>0.008782977065</v>
      </c>
      <c r="S862" s="7">
        <f t="shared" si="2"/>
        <v>0.9436725564</v>
      </c>
      <c r="T862" s="7">
        <f t="shared" si="3"/>
        <v>0.1004987562</v>
      </c>
      <c r="U862" s="7">
        <f t="shared" si="4"/>
        <v>0</v>
      </c>
      <c r="V862" s="7">
        <f t="shared" si="5"/>
        <v>0</v>
      </c>
      <c r="W862" s="7">
        <f t="shared" ref="W862:X862" si="1667">IF(AVERAGE(U802:U861) &gt; 0.25, 1, 0)</f>
        <v>0</v>
      </c>
      <c r="X862" s="7">
        <f t="shared" si="1667"/>
        <v>0</v>
      </c>
      <c r="Y862" s="8">
        <v>0.0</v>
      </c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</row>
    <row r="863" ht="22.5" customHeight="1">
      <c r="B863" s="6">
        <v>862.0</v>
      </c>
      <c r="C863" s="6">
        <v>55319.0</v>
      </c>
      <c r="D863" s="6">
        <v>1.23</v>
      </c>
      <c r="E863" s="6">
        <v>-0.21</v>
      </c>
      <c r="F863" s="6">
        <v>10.69</v>
      </c>
      <c r="G863" s="6">
        <v>-0.1</v>
      </c>
      <c r="H863" s="6">
        <v>0.0</v>
      </c>
      <c r="I863" s="6">
        <v>-0.01</v>
      </c>
      <c r="J863" s="6">
        <v>33.18</v>
      </c>
      <c r="K863" s="7">
        <f t="shared" ref="K863:P863" si="1668">abs(D863-D862)/200</f>
        <v>0.00005</v>
      </c>
      <c r="L863" s="7">
        <f t="shared" si="1668"/>
        <v>0.00005</v>
      </c>
      <c r="M863" s="7">
        <f t="shared" si="1668"/>
        <v>0.0001</v>
      </c>
      <c r="N863" s="7">
        <f t="shared" si="1668"/>
        <v>0</v>
      </c>
      <c r="O863" s="7">
        <f t="shared" si="1668"/>
        <v>0</v>
      </c>
      <c r="P863" s="7">
        <f t="shared" si="1668"/>
        <v>0</v>
      </c>
      <c r="Q863" s="7">
        <f t="shared" si="7"/>
        <v>0</v>
      </c>
      <c r="R863" s="7">
        <f t="shared" si="8"/>
        <v>0.01890613085</v>
      </c>
      <c r="S863" s="7">
        <f t="shared" si="2"/>
        <v>0.9625786873</v>
      </c>
      <c r="T863" s="7">
        <f t="shared" si="3"/>
        <v>0.1004987562</v>
      </c>
      <c r="U863" s="7">
        <f t="shared" si="4"/>
        <v>0</v>
      </c>
      <c r="V863" s="7">
        <f t="shared" si="5"/>
        <v>0</v>
      </c>
      <c r="W863" s="7">
        <f t="shared" ref="W863:X863" si="1669">IF(AVERAGE(U803:U862) &gt; 0.25, 1, 0)</f>
        <v>0</v>
      </c>
      <c r="X863" s="7">
        <f t="shared" si="1669"/>
        <v>0</v>
      </c>
      <c r="Y863" s="8">
        <v>0.0</v>
      </c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</row>
    <row r="864" ht="22.5" customHeight="1">
      <c r="B864" s="6">
        <v>863.0</v>
      </c>
      <c r="C864" s="6">
        <v>55523.0</v>
      </c>
      <c r="D864" s="6">
        <v>1.23</v>
      </c>
      <c r="E864" s="6">
        <v>-0.21</v>
      </c>
      <c r="F864" s="6">
        <v>10.69</v>
      </c>
      <c r="G864" s="6">
        <v>-0.1</v>
      </c>
      <c r="H864" s="6">
        <v>0.0</v>
      </c>
      <c r="I864" s="6">
        <v>-0.01</v>
      </c>
      <c r="J864" s="6">
        <v>33.18</v>
      </c>
      <c r="K864" s="7">
        <f t="shared" ref="K864:P864" si="1670">abs(D864-D863)/200</f>
        <v>0</v>
      </c>
      <c r="L864" s="7">
        <f t="shared" si="1670"/>
        <v>0</v>
      </c>
      <c r="M864" s="7">
        <f t="shared" si="1670"/>
        <v>0</v>
      </c>
      <c r="N864" s="7">
        <f t="shared" si="1670"/>
        <v>0</v>
      </c>
      <c r="O864" s="7">
        <f t="shared" si="1670"/>
        <v>0</v>
      </c>
      <c r="P864" s="7">
        <f t="shared" si="1670"/>
        <v>0</v>
      </c>
      <c r="Q864" s="7">
        <f t="shared" si="7"/>
        <v>0</v>
      </c>
      <c r="R864" s="7">
        <f t="shared" si="8"/>
        <v>0</v>
      </c>
      <c r="S864" s="7">
        <f t="shared" si="2"/>
        <v>0.9625786873</v>
      </c>
      <c r="T864" s="7">
        <f t="shared" si="3"/>
        <v>0.1004987562</v>
      </c>
      <c r="U864" s="7">
        <f t="shared" si="4"/>
        <v>0</v>
      </c>
      <c r="V864" s="7">
        <f t="shared" si="5"/>
        <v>0</v>
      </c>
      <c r="W864" s="7">
        <f t="shared" ref="W864:X864" si="1671">IF(AVERAGE(U804:U863) &gt; 0.25, 1, 0)</f>
        <v>0</v>
      </c>
      <c r="X864" s="7">
        <f t="shared" si="1671"/>
        <v>0</v>
      </c>
      <c r="Y864" s="8">
        <v>0.0</v>
      </c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</row>
    <row r="865" ht="22.5" customHeight="1">
      <c r="B865" s="6">
        <v>864.0</v>
      </c>
      <c r="C865" s="6">
        <v>55727.0</v>
      </c>
      <c r="D865" s="6">
        <v>1.23</v>
      </c>
      <c r="E865" s="6">
        <v>-0.2</v>
      </c>
      <c r="F865" s="6">
        <v>10.68</v>
      </c>
      <c r="G865" s="6">
        <v>-0.1</v>
      </c>
      <c r="H865" s="6">
        <v>0.0</v>
      </c>
      <c r="I865" s="6">
        <v>-0.01</v>
      </c>
      <c r="J865" s="6">
        <v>33.17</v>
      </c>
      <c r="K865" s="7">
        <f t="shared" ref="K865:P865" si="1672">abs(D865-D864)/200</f>
        <v>0</v>
      </c>
      <c r="L865" s="7">
        <f t="shared" si="1672"/>
        <v>0.00005</v>
      </c>
      <c r="M865" s="7">
        <f t="shared" si="1672"/>
        <v>0.00005</v>
      </c>
      <c r="N865" s="7">
        <f t="shared" si="1672"/>
        <v>0</v>
      </c>
      <c r="O865" s="7">
        <f t="shared" si="1672"/>
        <v>0</v>
      </c>
      <c r="P865" s="7">
        <f t="shared" si="1672"/>
        <v>0</v>
      </c>
      <c r="Q865" s="7">
        <f t="shared" si="7"/>
        <v>0</v>
      </c>
      <c r="R865" s="7">
        <f t="shared" si="8"/>
        <v>0.01012315378</v>
      </c>
      <c r="S865" s="7">
        <f t="shared" si="2"/>
        <v>0.9524555335</v>
      </c>
      <c r="T865" s="7">
        <f t="shared" si="3"/>
        <v>0.1004987562</v>
      </c>
      <c r="U865" s="7">
        <f t="shared" si="4"/>
        <v>0</v>
      </c>
      <c r="V865" s="7">
        <f t="shared" si="5"/>
        <v>0</v>
      </c>
      <c r="W865" s="7">
        <f t="shared" ref="W865:X865" si="1673">IF(AVERAGE(U805:U864) &gt; 0.25, 1, 0)</f>
        <v>0</v>
      </c>
      <c r="X865" s="7">
        <f t="shared" si="1673"/>
        <v>0</v>
      </c>
      <c r="Y865" s="8">
        <v>0.0</v>
      </c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</row>
    <row r="866" ht="22.5" customHeight="1">
      <c r="B866" s="6">
        <v>865.0</v>
      </c>
      <c r="C866" s="6">
        <v>55931.0</v>
      </c>
      <c r="D866" s="6">
        <v>1.24</v>
      </c>
      <c r="E866" s="6">
        <v>-0.21</v>
      </c>
      <c r="F866" s="6">
        <v>10.69</v>
      </c>
      <c r="G866" s="6">
        <v>-0.1</v>
      </c>
      <c r="H866" s="6">
        <v>0.0</v>
      </c>
      <c r="I866" s="6">
        <v>-0.01</v>
      </c>
      <c r="J866" s="6">
        <v>33.17</v>
      </c>
      <c r="K866" s="7">
        <f t="shared" ref="K866:P866" si="1674">abs(D866-D865)/200</f>
        <v>0.00005</v>
      </c>
      <c r="L866" s="7">
        <f t="shared" si="1674"/>
        <v>0.00005</v>
      </c>
      <c r="M866" s="7">
        <f t="shared" si="1674"/>
        <v>0.00005</v>
      </c>
      <c r="N866" s="7">
        <f t="shared" si="1674"/>
        <v>0</v>
      </c>
      <c r="O866" s="7">
        <f t="shared" si="1674"/>
        <v>0</v>
      </c>
      <c r="P866" s="7">
        <f t="shared" si="1674"/>
        <v>0</v>
      </c>
      <c r="Q866" s="7">
        <f t="shared" si="7"/>
        <v>0</v>
      </c>
      <c r="R866" s="7">
        <f t="shared" si="8"/>
        <v>0.01127058713</v>
      </c>
      <c r="S866" s="7">
        <f t="shared" si="2"/>
        <v>0.9637261206</v>
      </c>
      <c r="T866" s="7">
        <f t="shared" si="3"/>
        <v>0.1004987562</v>
      </c>
      <c r="U866" s="7">
        <f t="shared" si="4"/>
        <v>0</v>
      </c>
      <c r="V866" s="7">
        <f t="shared" si="5"/>
        <v>0</v>
      </c>
      <c r="W866" s="7">
        <f t="shared" ref="W866:X866" si="1675">IF(AVERAGE(U806:U865) &gt; 0.25, 1, 0)</f>
        <v>0</v>
      </c>
      <c r="X866" s="7">
        <f t="shared" si="1675"/>
        <v>0</v>
      </c>
      <c r="Y866" s="8">
        <v>0.0</v>
      </c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</row>
    <row r="867" ht="22.5" customHeight="1">
      <c r="B867" s="6">
        <v>866.0</v>
      </c>
      <c r="C867" s="6">
        <v>56135.0</v>
      </c>
      <c r="D867" s="6">
        <v>1.23</v>
      </c>
      <c r="E867" s="6">
        <v>-0.2</v>
      </c>
      <c r="F867" s="6">
        <v>10.69</v>
      </c>
      <c r="G867" s="6">
        <v>-0.1</v>
      </c>
      <c r="H867" s="6">
        <v>0.0</v>
      </c>
      <c r="I867" s="6">
        <v>-0.01</v>
      </c>
      <c r="J867" s="6">
        <v>33.19</v>
      </c>
      <c r="K867" s="7">
        <f t="shared" ref="K867:P867" si="1676">abs(D867-D866)/200</f>
        <v>0.00005</v>
      </c>
      <c r="L867" s="7">
        <f t="shared" si="1676"/>
        <v>0.00005</v>
      </c>
      <c r="M867" s="7">
        <f t="shared" si="1676"/>
        <v>0</v>
      </c>
      <c r="N867" s="7">
        <f t="shared" si="1676"/>
        <v>0</v>
      </c>
      <c r="O867" s="7">
        <f t="shared" si="1676"/>
        <v>0</v>
      </c>
      <c r="P867" s="7">
        <f t="shared" si="1676"/>
        <v>0</v>
      </c>
      <c r="Q867" s="7">
        <f t="shared" si="7"/>
        <v>0</v>
      </c>
      <c r="R867" s="7">
        <f t="shared" si="8"/>
        <v>0.001337909832</v>
      </c>
      <c r="S867" s="7">
        <f t="shared" si="2"/>
        <v>0.9623882108</v>
      </c>
      <c r="T867" s="7">
        <f t="shared" si="3"/>
        <v>0.1004987562</v>
      </c>
      <c r="U867" s="7">
        <f t="shared" si="4"/>
        <v>0</v>
      </c>
      <c r="V867" s="7">
        <f t="shared" si="5"/>
        <v>0</v>
      </c>
      <c r="W867" s="7">
        <f t="shared" ref="W867:X867" si="1677">IF(AVERAGE(U807:U866) &gt; 0.25, 1, 0)</f>
        <v>0</v>
      </c>
      <c r="X867" s="7">
        <f t="shared" si="1677"/>
        <v>0</v>
      </c>
      <c r="Y867" s="8">
        <v>0.0</v>
      </c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</row>
    <row r="868" ht="22.5" customHeight="1">
      <c r="B868" s="6">
        <v>867.0</v>
      </c>
      <c r="C868" s="6">
        <v>56339.0</v>
      </c>
      <c r="D868" s="6">
        <v>1.23</v>
      </c>
      <c r="E868" s="6">
        <v>-0.2</v>
      </c>
      <c r="F868" s="6">
        <v>10.68</v>
      </c>
      <c r="G868" s="6">
        <v>-0.1</v>
      </c>
      <c r="H868" s="6">
        <v>0.0</v>
      </c>
      <c r="I868" s="6">
        <v>-0.01</v>
      </c>
      <c r="J868" s="6">
        <v>33.18</v>
      </c>
      <c r="K868" s="7">
        <f t="shared" ref="K868:P868" si="1678">abs(D868-D867)/200</f>
        <v>0</v>
      </c>
      <c r="L868" s="7">
        <f t="shared" si="1678"/>
        <v>0</v>
      </c>
      <c r="M868" s="7">
        <f t="shared" si="1678"/>
        <v>0.00005</v>
      </c>
      <c r="N868" s="7">
        <f t="shared" si="1678"/>
        <v>0</v>
      </c>
      <c r="O868" s="7">
        <f t="shared" si="1678"/>
        <v>0</v>
      </c>
      <c r="P868" s="7">
        <f t="shared" si="1678"/>
        <v>0</v>
      </c>
      <c r="Q868" s="7">
        <f t="shared" si="7"/>
        <v>0</v>
      </c>
      <c r="R868" s="7">
        <f t="shared" si="8"/>
        <v>0.009932677297</v>
      </c>
      <c r="S868" s="7">
        <f t="shared" si="2"/>
        <v>0.9524555335</v>
      </c>
      <c r="T868" s="7">
        <f t="shared" si="3"/>
        <v>0.1004987562</v>
      </c>
      <c r="U868" s="7">
        <f t="shared" si="4"/>
        <v>0</v>
      </c>
      <c r="V868" s="7">
        <f t="shared" si="5"/>
        <v>0</v>
      </c>
      <c r="W868" s="7">
        <f t="shared" ref="W868:X868" si="1679">IF(AVERAGE(U808:U867) &gt; 0.25, 1, 0)</f>
        <v>0</v>
      </c>
      <c r="X868" s="7">
        <f t="shared" si="1679"/>
        <v>0</v>
      </c>
      <c r="Y868" s="8">
        <v>0.0</v>
      </c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</row>
    <row r="869" ht="22.5" customHeight="1">
      <c r="B869" s="6">
        <v>868.0</v>
      </c>
      <c r="C869" s="6">
        <v>56543.0</v>
      </c>
      <c r="D869" s="6">
        <v>1.24</v>
      </c>
      <c r="E869" s="6">
        <v>-0.2</v>
      </c>
      <c r="F869" s="6">
        <v>10.69</v>
      </c>
      <c r="G869" s="6">
        <v>-0.1</v>
      </c>
      <c r="H869" s="6">
        <v>0.0</v>
      </c>
      <c r="I869" s="6">
        <v>-0.01</v>
      </c>
      <c r="J869" s="6">
        <v>33.19</v>
      </c>
      <c r="K869" s="7">
        <f t="shared" ref="K869:P869" si="1680">abs(D869-D868)/200</f>
        <v>0.00005</v>
      </c>
      <c r="L869" s="7">
        <f t="shared" si="1680"/>
        <v>0</v>
      </c>
      <c r="M869" s="7">
        <f t="shared" si="1680"/>
        <v>0.00005</v>
      </c>
      <c r="N869" s="7">
        <f t="shared" si="1680"/>
        <v>0</v>
      </c>
      <c r="O869" s="7">
        <f t="shared" si="1680"/>
        <v>0</v>
      </c>
      <c r="P869" s="7">
        <f t="shared" si="1680"/>
        <v>0</v>
      </c>
      <c r="Q869" s="7">
        <f t="shared" si="7"/>
        <v>0</v>
      </c>
      <c r="R869" s="7">
        <f t="shared" si="8"/>
        <v>0.01108013095</v>
      </c>
      <c r="S869" s="7">
        <f t="shared" si="2"/>
        <v>0.9635356645</v>
      </c>
      <c r="T869" s="7">
        <f t="shared" si="3"/>
        <v>0.1004987562</v>
      </c>
      <c r="U869" s="7">
        <f t="shared" si="4"/>
        <v>0</v>
      </c>
      <c r="V869" s="7">
        <f t="shared" si="5"/>
        <v>0</v>
      </c>
      <c r="W869" s="7">
        <f t="shared" ref="W869:X869" si="1681">IF(AVERAGE(U809:U868) &gt; 0.25, 1, 0)</f>
        <v>0</v>
      </c>
      <c r="X869" s="7">
        <f t="shared" si="1681"/>
        <v>0</v>
      </c>
      <c r="Y869" s="8">
        <v>0.0</v>
      </c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</row>
    <row r="870" ht="22.5" customHeight="1">
      <c r="B870" s="6">
        <v>869.0</v>
      </c>
      <c r="C870" s="6">
        <v>56747.0</v>
      </c>
      <c r="D870" s="6">
        <v>1.23</v>
      </c>
      <c r="E870" s="6">
        <v>-0.2</v>
      </c>
      <c r="F870" s="6">
        <v>10.68</v>
      </c>
      <c r="G870" s="6">
        <v>-0.1</v>
      </c>
      <c r="H870" s="6">
        <v>0.0</v>
      </c>
      <c r="I870" s="6">
        <v>-0.01</v>
      </c>
      <c r="J870" s="6">
        <v>33.18</v>
      </c>
      <c r="K870" s="7">
        <f t="shared" ref="K870:P870" si="1682">abs(D870-D869)/200</f>
        <v>0.00005</v>
      </c>
      <c r="L870" s="7">
        <f t="shared" si="1682"/>
        <v>0</v>
      </c>
      <c r="M870" s="7">
        <f t="shared" si="1682"/>
        <v>0.00005</v>
      </c>
      <c r="N870" s="7">
        <f t="shared" si="1682"/>
        <v>0</v>
      </c>
      <c r="O870" s="7">
        <f t="shared" si="1682"/>
        <v>0</v>
      </c>
      <c r="P870" s="7">
        <f t="shared" si="1682"/>
        <v>0</v>
      </c>
      <c r="Q870" s="7">
        <f t="shared" si="7"/>
        <v>0</v>
      </c>
      <c r="R870" s="7">
        <f t="shared" si="8"/>
        <v>0.01108013095</v>
      </c>
      <c r="S870" s="7">
        <f t="shared" si="2"/>
        <v>0.9524555335</v>
      </c>
      <c r="T870" s="7">
        <f t="shared" si="3"/>
        <v>0.1004987562</v>
      </c>
      <c r="U870" s="7">
        <f t="shared" si="4"/>
        <v>0</v>
      </c>
      <c r="V870" s="7">
        <f t="shared" si="5"/>
        <v>0</v>
      </c>
      <c r="W870" s="7">
        <f t="shared" ref="W870:X870" si="1683">IF(AVERAGE(U810:U869) &gt; 0.25, 1, 0)</f>
        <v>0</v>
      </c>
      <c r="X870" s="7">
        <f t="shared" si="1683"/>
        <v>0</v>
      </c>
      <c r="Y870" s="8">
        <v>0.0</v>
      </c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</row>
    <row r="871" ht="22.5" customHeight="1">
      <c r="B871" s="6">
        <v>870.0</v>
      </c>
      <c r="C871" s="6">
        <v>56951.0</v>
      </c>
      <c r="D871" s="6">
        <v>1.24</v>
      </c>
      <c r="E871" s="6">
        <v>-0.21</v>
      </c>
      <c r="F871" s="6">
        <v>10.68</v>
      </c>
      <c r="G871" s="6">
        <v>-0.1</v>
      </c>
      <c r="H871" s="6">
        <v>0.0</v>
      </c>
      <c r="I871" s="6">
        <v>-0.01</v>
      </c>
      <c r="J871" s="6">
        <v>33.19</v>
      </c>
      <c r="K871" s="7">
        <f t="shared" ref="K871:P871" si="1684">abs(D871-D870)/200</f>
        <v>0.00005</v>
      </c>
      <c r="L871" s="7">
        <f t="shared" si="1684"/>
        <v>0.00005</v>
      </c>
      <c r="M871" s="7">
        <f t="shared" si="1684"/>
        <v>0</v>
      </c>
      <c r="N871" s="7">
        <f t="shared" si="1684"/>
        <v>0</v>
      </c>
      <c r="O871" s="7">
        <f t="shared" si="1684"/>
        <v>0</v>
      </c>
      <c r="P871" s="7">
        <f t="shared" si="1684"/>
        <v>0</v>
      </c>
      <c r="Q871" s="7">
        <f t="shared" si="7"/>
        <v>0</v>
      </c>
      <c r="R871" s="7">
        <f t="shared" si="8"/>
        <v>0.001339145584</v>
      </c>
      <c r="S871" s="7">
        <f t="shared" si="2"/>
        <v>0.9537946791</v>
      </c>
      <c r="T871" s="7">
        <f t="shared" si="3"/>
        <v>0.1004987562</v>
      </c>
      <c r="U871" s="7">
        <f t="shared" si="4"/>
        <v>0</v>
      </c>
      <c r="V871" s="7">
        <f t="shared" si="5"/>
        <v>0</v>
      </c>
      <c r="W871" s="7">
        <f t="shared" ref="W871:X871" si="1685">IF(AVERAGE(U811:U870) &gt; 0.25, 1, 0)</f>
        <v>0</v>
      </c>
      <c r="X871" s="7">
        <f t="shared" si="1685"/>
        <v>0</v>
      </c>
      <c r="Y871" s="8">
        <v>0.0</v>
      </c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</row>
    <row r="872" ht="22.5" customHeight="1">
      <c r="B872" s="6">
        <v>871.0</v>
      </c>
      <c r="C872" s="6">
        <v>57155.0</v>
      </c>
      <c r="D872" s="6">
        <v>1.23</v>
      </c>
      <c r="E872" s="6">
        <v>-0.2</v>
      </c>
      <c r="F872" s="6">
        <v>10.68</v>
      </c>
      <c r="G872" s="6">
        <v>-0.1</v>
      </c>
      <c r="H872" s="6">
        <v>0.0</v>
      </c>
      <c r="I872" s="6">
        <v>-0.01</v>
      </c>
      <c r="J872" s="6">
        <v>33.18</v>
      </c>
      <c r="K872" s="7">
        <f t="shared" ref="K872:P872" si="1686">abs(D872-D871)/200</f>
        <v>0.00005</v>
      </c>
      <c r="L872" s="7">
        <f t="shared" si="1686"/>
        <v>0.00005</v>
      </c>
      <c r="M872" s="7">
        <f t="shared" si="1686"/>
        <v>0</v>
      </c>
      <c r="N872" s="7">
        <f t="shared" si="1686"/>
        <v>0</v>
      </c>
      <c r="O872" s="7">
        <f t="shared" si="1686"/>
        <v>0</v>
      </c>
      <c r="P872" s="7">
        <f t="shared" si="1686"/>
        <v>0</v>
      </c>
      <c r="Q872" s="7">
        <f t="shared" si="7"/>
        <v>0</v>
      </c>
      <c r="R872" s="7">
        <f t="shared" si="8"/>
        <v>0.001339145584</v>
      </c>
      <c r="S872" s="7">
        <f t="shared" si="2"/>
        <v>0.9524555335</v>
      </c>
      <c r="T872" s="7">
        <f t="shared" si="3"/>
        <v>0.1004987562</v>
      </c>
      <c r="U872" s="7">
        <f t="shared" si="4"/>
        <v>0</v>
      </c>
      <c r="V872" s="7">
        <f t="shared" si="5"/>
        <v>0</v>
      </c>
      <c r="W872" s="7">
        <f t="shared" ref="W872:X872" si="1687">IF(AVERAGE(U812:U871) &gt; 0.25, 1, 0)</f>
        <v>0</v>
      </c>
      <c r="X872" s="7">
        <f t="shared" si="1687"/>
        <v>0</v>
      </c>
      <c r="Y872" s="8">
        <v>0.0</v>
      </c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</row>
    <row r="873" ht="22.5" customHeight="1">
      <c r="B873" s="6">
        <v>872.0</v>
      </c>
      <c r="C873" s="6">
        <v>57359.0</v>
      </c>
      <c r="D873" s="6">
        <v>1.23</v>
      </c>
      <c r="E873" s="6">
        <v>-0.21</v>
      </c>
      <c r="F873" s="6">
        <v>10.67</v>
      </c>
      <c r="G873" s="6">
        <v>-0.1</v>
      </c>
      <c r="H873" s="6">
        <v>0.0</v>
      </c>
      <c r="I873" s="6">
        <v>-0.01</v>
      </c>
      <c r="J873" s="6">
        <v>33.18</v>
      </c>
      <c r="K873" s="7">
        <f t="shared" ref="K873:P873" si="1688">abs(D873-D872)/200</f>
        <v>0</v>
      </c>
      <c r="L873" s="7">
        <f t="shared" si="1688"/>
        <v>0.00005</v>
      </c>
      <c r="M873" s="7">
        <f t="shared" si="1688"/>
        <v>0.00005</v>
      </c>
      <c r="N873" s="7">
        <f t="shared" si="1688"/>
        <v>0</v>
      </c>
      <c r="O873" s="7">
        <f t="shared" si="1688"/>
        <v>0</v>
      </c>
      <c r="P873" s="7">
        <f t="shared" si="1688"/>
        <v>0</v>
      </c>
      <c r="Q873" s="7">
        <f t="shared" si="7"/>
        <v>0</v>
      </c>
      <c r="R873" s="7">
        <f t="shared" si="8"/>
        <v>0.009741723671</v>
      </c>
      <c r="S873" s="7">
        <f t="shared" si="2"/>
        <v>0.9427138098</v>
      </c>
      <c r="T873" s="7">
        <f t="shared" si="3"/>
        <v>0.1004987562</v>
      </c>
      <c r="U873" s="7">
        <f t="shared" si="4"/>
        <v>0</v>
      </c>
      <c r="V873" s="7">
        <f t="shared" si="5"/>
        <v>0</v>
      </c>
      <c r="W873" s="7">
        <f t="shared" ref="W873:X873" si="1689">IF(AVERAGE(U813:U872) &gt; 0.25, 1, 0)</f>
        <v>0</v>
      </c>
      <c r="X873" s="7">
        <f t="shared" si="1689"/>
        <v>0</v>
      </c>
      <c r="Y873" s="8">
        <v>0.0</v>
      </c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</row>
    <row r="874" ht="22.5" customHeight="1">
      <c r="B874" s="6">
        <v>873.0</v>
      </c>
      <c r="C874" s="6">
        <v>57563.0</v>
      </c>
      <c r="D874" s="6">
        <v>1.24</v>
      </c>
      <c r="E874" s="6">
        <v>-0.19</v>
      </c>
      <c r="F874" s="6">
        <v>10.69</v>
      </c>
      <c r="G874" s="6">
        <v>-0.1</v>
      </c>
      <c r="H874" s="6">
        <v>0.0</v>
      </c>
      <c r="I874" s="6">
        <v>-0.01</v>
      </c>
      <c r="J874" s="6">
        <v>33.18</v>
      </c>
      <c r="K874" s="7">
        <f t="shared" ref="K874:P874" si="1690">abs(D874-D873)/200</f>
        <v>0.00005</v>
      </c>
      <c r="L874" s="7">
        <f t="shared" si="1690"/>
        <v>0.0001</v>
      </c>
      <c r="M874" s="7">
        <f t="shared" si="1690"/>
        <v>0.0001</v>
      </c>
      <c r="N874" s="7">
        <f t="shared" si="1690"/>
        <v>0</v>
      </c>
      <c r="O874" s="7">
        <f t="shared" si="1690"/>
        <v>0</v>
      </c>
      <c r="P874" s="7">
        <f t="shared" si="1690"/>
        <v>0</v>
      </c>
      <c r="Q874" s="7">
        <f t="shared" si="7"/>
        <v>0</v>
      </c>
      <c r="R874" s="7">
        <f t="shared" si="8"/>
        <v>0.02064068586</v>
      </c>
      <c r="S874" s="7">
        <f t="shared" si="2"/>
        <v>0.9633544957</v>
      </c>
      <c r="T874" s="7">
        <f t="shared" si="3"/>
        <v>0.1004987562</v>
      </c>
      <c r="U874" s="7">
        <f t="shared" si="4"/>
        <v>0</v>
      </c>
      <c r="V874" s="7">
        <f t="shared" si="5"/>
        <v>0</v>
      </c>
      <c r="W874" s="7">
        <f t="shared" ref="W874:X874" si="1691">IF(AVERAGE(U814:U873) &gt; 0.25, 1, 0)</f>
        <v>0</v>
      </c>
      <c r="X874" s="7">
        <f t="shared" si="1691"/>
        <v>0</v>
      </c>
      <c r="Y874" s="8">
        <v>0.0</v>
      </c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</row>
    <row r="875" ht="22.5" customHeight="1">
      <c r="B875" s="6">
        <v>874.0</v>
      </c>
      <c r="C875" s="6">
        <v>57767.0</v>
      </c>
      <c r="D875" s="6">
        <v>1.24</v>
      </c>
      <c r="E875" s="6">
        <v>-0.21</v>
      </c>
      <c r="F875" s="6">
        <v>10.66</v>
      </c>
      <c r="G875" s="6">
        <v>-0.1</v>
      </c>
      <c r="H875" s="6">
        <v>0.0</v>
      </c>
      <c r="I875" s="6">
        <v>-0.01</v>
      </c>
      <c r="J875" s="6">
        <v>33.19</v>
      </c>
      <c r="K875" s="7">
        <f t="shared" ref="K875:P875" si="1692">abs(D875-D874)/200</f>
        <v>0</v>
      </c>
      <c r="L875" s="7">
        <f t="shared" si="1692"/>
        <v>0.0001</v>
      </c>
      <c r="M875" s="7">
        <f t="shared" si="1692"/>
        <v>0.00015</v>
      </c>
      <c r="N875" s="7">
        <f t="shared" si="1692"/>
        <v>0</v>
      </c>
      <c r="O875" s="7">
        <f t="shared" si="1692"/>
        <v>0</v>
      </c>
      <c r="P875" s="7">
        <f t="shared" si="1692"/>
        <v>0</v>
      </c>
      <c r="Q875" s="7">
        <f t="shared" si="7"/>
        <v>0</v>
      </c>
      <c r="R875" s="7">
        <f t="shared" si="8"/>
        <v>0.02942231778</v>
      </c>
      <c r="S875" s="7">
        <f t="shared" si="2"/>
        <v>0.9339321779</v>
      </c>
      <c r="T875" s="7">
        <f t="shared" si="3"/>
        <v>0.1004987562</v>
      </c>
      <c r="U875" s="7">
        <f t="shared" si="4"/>
        <v>0</v>
      </c>
      <c r="V875" s="7">
        <f t="shared" si="5"/>
        <v>0</v>
      </c>
      <c r="W875" s="7">
        <f t="shared" ref="W875:X875" si="1693">IF(AVERAGE(U815:U874) &gt; 0.25, 1, 0)</f>
        <v>0</v>
      </c>
      <c r="X875" s="7">
        <f t="shared" si="1693"/>
        <v>0</v>
      </c>
      <c r="Y875" s="8">
        <v>0.0</v>
      </c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</row>
    <row r="876" ht="22.5" customHeight="1">
      <c r="B876" s="6">
        <v>875.0</v>
      </c>
      <c r="C876" s="6">
        <v>57971.0</v>
      </c>
      <c r="D876" s="6">
        <v>1.23</v>
      </c>
      <c r="E876" s="6">
        <v>-0.2</v>
      </c>
      <c r="F876" s="6">
        <v>10.67</v>
      </c>
      <c r="G876" s="6">
        <v>-0.1</v>
      </c>
      <c r="H876" s="6">
        <v>0.0</v>
      </c>
      <c r="I876" s="6">
        <v>-0.01</v>
      </c>
      <c r="J876" s="6">
        <v>33.18</v>
      </c>
      <c r="K876" s="7">
        <f t="shared" ref="K876:P876" si="1694">abs(D876-D875)/200</f>
        <v>0.00005</v>
      </c>
      <c r="L876" s="7">
        <f t="shared" si="1694"/>
        <v>0.00005</v>
      </c>
      <c r="M876" s="7">
        <f t="shared" si="1694"/>
        <v>0.00005</v>
      </c>
      <c r="N876" s="7">
        <f t="shared" si="1694"/>
        <v>0</v>
      </c>
      <c r="O876" s="7">
        <f t="shared" si="1694"/>
        <v>0</v>
      </c>
      <c r="P876" s="7">
        <f t="shared" si="1694"/>
        <v>0</v>
      </c>
      <c r="Q876" s="7">
        <f t="shared" si="7"/>
        <v>0</v>
      </c>
      <c r="R876" s="7">
        <f t="shared" si="8"/>
        <v>0.008590803214</v>
      </c>
      <c r="S876" s="7">
        <f t="shared" si="2"/>
        <v>0.9425229811</v>
      </c>
      <c r="T876" s="7">
        <f t="shared" si="3"/>
        <v>0.1004987562</v>
      </c>
      <c r="U876" s="7">
        <f t="shared" si="4"/>
        <v>0</v>
      </c>
      <c r="V876" s="7">
        <f t="shared" si="5"/>
        <v>0</v>
      </c>
      <c r="W876" s="7">
        <f t="shared" ref="W876:X876" si="1695">IF(AVERAGE(U816:U875) &gt; 0.25, 1, 0)</f>
        <v>0</v>
      </c>
      <c r="X876" s="7">
        <f t="shared" si="1695"/>
        <v>0</v>
      </c>
      <c r="Y876" s="8">
        <v>0.0</v>
      </c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</row>
    <row r="877" ht="22.5" customHeight="1">
      <c r="B877" s="6">
        <v>876.0</v>
      </c>
      <c r="C877" s="6">
        <v>58175.0</v>
      </c>
      <c r="D877" s="6">
        <v>1.24</v>
      </c>
      <c r="E877" s="6">
        <v>-0.2</v>
      </c>
      <c r="F877" s="6">
        <v>10.68</v>
      </c>
      <c r="G877" s="6">
        <v>-0.1</v>
      </c>
      <c r="H877" s="6">
        <v>0.0</v>
      </c>
      <c r="I877" s="6">
        <v>-0.01</v>
      </c>
      <c r="J877" s="6">
        <v>33.18</v>
      </c>
      <c r="K877" s="7">
        <f t="shared" ref="K877:P877" si="1696">abs(D877-D876)/200</f>
        <v>0.00005</v>
      </c>
      <c r="L877" s="7">
        <f t="shared" si="1696"/>
        <v>0</v>
      </c>
      <c r="M877" s="7">
        <f t="shared" si="1696"/>
        <v>0.00005</v>
      </c>
      <c r="N877" s="7">
        <f t="shared" si="1696"/>
        <v>0</v>
      </c>
      <c r="O877" s="7">
        <f t="shared" si="1696"/>
        <v>0</v>
      </c>
      <c r="P877" s="7">
        <f t="shared" si="1696"/>
        <v>0</v>
      </c>
      <c r="Q877" s="7">
        <f t="shared" si="7"/>
        <v>0</v>
      </c>
      <c r="R877" s="7">
        <f t="shared" si="8"/>
        <v>0.01108106589</v>
      </c>
      <c r="S877" s="7">
        <f t="shared" si="2"/>
        <v>0.953604047</v>
      </c>
      <c r="T877" s="7">
        <f t="shared" si="3"/>
        <v>0.1004987562</v>
      </c>
      <c r="U877" s="7">
        <f t="shared" si="4"/>
        <v>0</v>
      </c>
      <c r="V877" s="7">
        <f t="shared" si="5"/>
        <v>0</v>
      </c>
      <c r="W877" s="7">
        <f t="shared" ref="W877:X877" si="1697">IF(AVERAGE(U817:U876) &gt; 0.25, 1, 0)</f>
        <v>0</v>
      </c>
      <c r="X877" s="7">
        <f t="shared" si="1697"/>
        <v>0</v>
      </c>
      <c r="Y877" s="8">
        <v>0.0</v>
      </c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</row>
    <row r="878" ht="22.5" customHeight="1">
      <c r="B878" s="6">
        <v>877.0</v>
      </c>
      <c r="C878" s="6">
        <v>58379.0</v>
      </c>
      <c r="D878" s="6">
        <v>1.24</v>
      </c>
      <c r="E878" s="6">
        <v>-0.19</v>
      </c>
      <c r="F878" s="6">
        <v>10.69</v>
      </c>
      <c r="G878" s="6">
        <v>-0.1</v>
      </c>
      <c r="H878" s="6">
        <v>0.0</v>
      </c>
      <c r="I878" s="6">
        <v>-0.01</v>
      </c>
      <c r="J878" s="6">
        <v>33.18</v>
      </c>
      <c r="K878" s="7">
        <f t="shared" ref="K878:P878" si="1698">abs(D878-D877)/200</f>
        <v>0</v>
      </c>
      <c r="L878" s="7">
        <f t="shared" si="1698"/>
        <v>0.00005</v>
      </c>
      <c r="M878" s="7">
        <f t="shared" si="1698"/>
        <v>0.00005</v>
      </c>
      <c r="N878" s="7">
        <f t="shared" si="1698"/>
        <v>0</v>
      </c>
      <c r="O878" s="7">
        <f t="shared" si="1698"/>
        <v>0</v>
      </c>
      <c r="P878" s="7">
        <f t="shared" si="1698"/>
        <v>0</v>
      </c>
      <c r="Q878" s="7">
        <f t="shared" si="7"/>
        <v>0</v>
      </c>
      <c r="R878" s="7">
        <f t="shared" si="8"/>
        <v>0.009750448679</v>
      </c>
      <c r="S878" s="7">
        <f t="shared" si="2"/>
        <v>0.9633544957</v>
      </c>
      <c r="T878" s="7">
        <f t="shared" si="3"/>
        <v>0.1004987562</v>
      </c>
      <c r="U878" s="7">
        <f t="shared" si="4"/>
        <v>0</v>
      </c>
      <c r="V878" s="7">
        <f t="shared" si="5"/>
        <v>0</v>
      </c>
      <c r="W878" s="7">
        <f t="shared" ref="W878:X878" si="1699">IF(AVERAGE(U818:U877) &gt; 0.25, 1, 0)</f>
        <v>0</v>
      </c>
      <c r="X878" s="7">
        <f t="shared" si="1699"/>
        <v>0</v>
      </c>
      <c r="Y878" s="8">
        <v>0.0</v>
      </c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</row>
    <row r="879" ht="22.5" customHeight="1">
      <c r="B879" s="6">
        <v>878.0</v>
      </c>
      <c r="C879" s="6">
        <v>58583.0</v>
      </c>
      <c r="D879" s="6">
        <v>1.24</v>
      </c>
      <c r="E879" s="6">
        <v>-0.2</v>
      </c>
      <c r="F879" s="6">
        <v>10.69</v>
      </c>
      <c r="G879" s="6">
        <v>-0.1</v>
      </c>
      <c r="H879" s="6">
        <v>0.0</v>
      </c>
      <c r="I879" s="6">
        <v>-0.01</v>
      </c>
      <c r="J879" s="6">
        <v>33.19</v>
      </c>
      <c r="K879" s="7">
        <f t="shared" ref="K879:P879" si="1700">abs(D879-D878)/200</f>
        <v>0</v>
      </c>
      <c r="L879" s="7">
        <f t="shared" si="1700"/>
        <v>0.00005</v>
      </c>
      <c r="M879" s="7">
        <f t="shared" si="1700"/>
        <v>0</v>
      </c>
      <c r="N879" s="7">
        <f t="shared" si="1700"/>
        <v>0</v>
      </c>
      <c r="O879" s="7">
        <f t="shared" si="1700"/>
        <v>0</v>
      </c>
      <c r="P879" s="7">
        <f t="shared" si="1700"/>
        <v>0</v>
      </c>
      <c r="Q879" s="7">
        <f t="shared" si="7"/>
        <v>0</v>
      </c>
      <c r="R879" s="7">
        <f t="shared" si="8"/>
        <v>0.0001811687601</v>
      </c>
      <c r="S879" s="7">
        <f t="shared" si="2"/>
        <v>0.9635356645</v>
      </c>
      <c r="T879" s="7">
        <f t="shared" si="3"/>
        <v>0.1004987562</v>
      </c>
      <c r="U879" s="7">
        <f t="shared" si="4"/>
        <v>0</v>
      </c>
      <c r="V879" s="7">
        <f t="shared" si="5"/>
        <v>0</v>
      </c>
      <c r="W879" s="7">
        <f t="shared" ref="W879:X879" si="1701">IF(AVERAGE(U819:U878) &gt; 0.25, 1, 0)</f>
        <v>0</v>
      </c>
      <c r="X879" s="7">
        <f t="shared" si="1701"/>
        <v>0</v>
      </c>
      <c r="Y879" s="8">
        <v>0.0</v>
      </c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</row>
    <row r="880" ht="22.5" customHeight="1">
      <c r="B880" s="6">
        <v>879.0</v>
      </c>
      <c r="C880" s="6">
        <v>58787.0</v>
      </c>
      <c r="D880" s="6">
        <v>1.23</v>
      </c>
      <c r="E880" s="6">
        <v>-0.19</v>
      </c>
      <c r="F880" s="6">
        <v>10.69</v>
      </c>
      <c r="G880" s="6">
        <v>-0.1</v>
      </c>
      <c r="H880" s="6">
        <v>0.0</v>
      </c>
      <c r="I880" s="6">
        <v>-0.01</v>
      </c>
      <c r="J880" s="6">
        <v>33.18</v>
      </c>
      <c r="K880" s="7">
        <f t="shared" ref="K880:P880" si="1702">abs(D880-D879)/200</f>
        <v>0.00005</v>
      </c>
      <c r="L880" s="7">
        <f t="shared" si="1702"/>
        <v>0.00005</v>
      </c>
      <c r="M880" s="7">
        <f t="shared" si="1702"/>
        <v>0</v>
      </c>
      <c r="N880" s="7">
        <f t="shared" si="1702"/>
        <v>0</v>
      </c>
      <c r="O880" s="7">
        <f t="shared" si="1702"/>
        <v>0</v>
      </c>
      <c r="P880" s="7">
        <f t="shared" si="1702"/>
        <v>0</v>
      </c>
      <c r="Q880" s="7">
        <f t="shared" si="7"/>
        <v>0</v>
      </c>
      <c r="R880" s="7">
        <f t="shared" si="8"/>
        <v>0.00132864173</v>
      </c>
      <c r="S880" s="7">
        <f t="shared" si="2"/>
        <v>0.9622070227</v>
      </c>
      <c r="T880" s="7">
        <f t="shared" si="3"/>
        <v>0.1004987562</v>
      </c>
      <c r="U880" s="7">
        <f t="shared" si="4"/>
        <v>0</v>
      </c>
      <c r="V880" s="7">
        <f t="shared" si="5"/>
        <v>0</v>
      </c>
      <c r="W880" s="7">
        <f t="shared" ref="W880:X880" si="1703">IF(AVERAGE(U820:U879) &gt; 0.25, 1, 0)</f>
        <v>0</v>
      </c>
      <c r="X880" s="7">
        <f t="shared" si="1703"/>
        <v>0</v>
      </c>
      <c r="Y880" s="8">
        <v>0.0</v>
      </c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</row>
    <row r="881" ht="22.5" customHeight="1">
      <c r="B881" s="6">
        <v>880.0</v>
      </c>
      <c r="C881" s="6">
        <v>58991.0</v>
      </c>
      <c r="D881" s="6">
        <v>1.24</v>
      </c>
      <c r="E881" s="6">
        <v>-0.2</v>
      </c>
      <c r="F881" s="6">
        <v>10.67</v>
      </c>
      <c r="G881" s="6">
        <v>-0.1</v>
      </c>
      <c r="H881" s="6">
        <v>0.0</v>
      </c>
      <c r="I881" s="6">
        <v>-0.01</v>
      </c>
      <c r="J881" s="6">
        <v>33.18</v>
      </c>
      <c r="K881" s="7">
        <f t="shared" ref="K881:P881" si="1704">abs(D881-D880)/200</f>
        <v>0.00005</v>
      </c>
      <c r="L881" s="7">
        <f t="shared" si="1704"/>
        <v>0.00005</v>
      </c>
      <c r="M881" s="7">
        <f t="shared" si="1704"/>
        <v>0.0001</v>
      </c>
      <c r="N881" s="7">
        <f t="shared" si="1704"/>
        <v>0</v>
      </c>
      <c r="O881" s="7">
        <f t="shared" si="1704"/>
        <v>0</v>
      </c>
      <c r="P881" s="7">
        <f t="shared" si="1704"/>
        <v>0</v>
      </c>
      <c r="Q881" s="7">
        <f t="shared" si="7"/>
        <v>0</v>
      </c>
      <c r="R881" s="7">
        <f t="shared" si="8"/>
        <v>0.01853446629</v>
      </c>
      <c r="S881" s="7">
        <f t="shared" si="2"/>
        <v>0.9436725564</v>
      </c>
      <c r="T881" s="7">
        <f t="shared" si="3"/>
        <v>0.1004987562</v>
      </c>
      <c r="U881" s="7">
        <f t="shared" si="4"/>
        <v>0</v>
      </c>
      <c r="V881" s="7">
        <f t="shared" si="5"/>
        <v>0</v>
      </c>
      <c r="W881" s="7">
        <f t="shared" ref="W881:X881" si="1705">IF(AVERAGE(U821:U880) &gt; 0.25, 1, 0)</f>
        <v>0</v>
      </c>
      <c r="X881" s="7">
        <f t="shared" si="1705"/>
        <v>0</v>
      </c>
      <c r="Y881" s="8">
        <v>0.0</v>
      </c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</row>
    <row r="882" ht="22.5" customHeight="1">
      <c r="B882" s="6">
        <v>881.0</v>
      </c>
      <c r="C882" s="6">
        <v>59195.0</v>
      </c>
      <c r="D882" s="6">
        <v>1.23</v>
      </c>
      <c r="E882" s="6">
        <v>-0.19</v>
      </c>
      <c r="F882" s="6">
        <v>10.69</v>
      </c>
      <c r="G882" s="6">
        <v>-0.1</v>
      </c>
      <c r="H882" s="6">
        <v>0.0</v>
      </c>
      <c r="I882" s="6">
        <v>-0.01</v>
      </c>
      <c r="J882" s="6">
        <v>33.18</v>
      </c>
      <c r="K882" s="7">
        <f t="shared" ref="K882:P882" si="1706">abs(D882-D881)/200</f>
        <v>0.00005</v>
      </c>
      <c r="L882" s="7">
        <f t="shared" si="1706"/>
        <v>0.00005</v>
      </c>
      <c r="M882" s="7">
        <f t="shared" si="1706"/>
        <v>0.0001</v>
      </c>
      <c r="N882" s="7">
        <f t="shared" si="1706"/>
        <v>0</v>
      </c>
      <c r="O882" s="7">
        <f t="shared" si="1706"/>
        <v>0</v>
      </c>
      <c r="P882" s="7">
        <f t="shared" si="1706"/>
        <v>0</v>
      </c>
      <c r="Q882" s="7">
        <f t="shared" si="7"/>
        <v>0</v>
      </c>
      <c r="R882" s="7">
        <f t="shared" si="8"/>
        <v>0.01853446629</v>
      </c>
      <c r="S882" s="7">
        <f t="shared" si="2"/>
        <v>0.9622070227</v>
      </c>
      <c r="T882" s="7">
        <f t="shared" si="3"/>
        <v>0.1004987562</v>
      </c>
      <c r="U882" s="7">
        <f t="shared" si="4"/>
        <v>0</v>
      </c>
      <c r="V882" s="7">
        <f t="shared" si="5"/>
        <v>0</v>
      </c>
      <c r="W882" s="7">
        <f t="shared" ref="W882:X882" si="1707">IF(AVERAGE(U822:U881) &gt; 0.25, 1, 0)</f>
        <v>0</v>
      </c>
      <c r="X882" s="7">
        <f t="shared" si="1707"/>
        <v>0</v>
      </c>
      <c r="Y882" s="8">
        <v>0.0</v>
      </c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</row>
    <row r="883" ht="22.5" customHeight="1">
      <c r="B883" s="6">
        <v>882.0</v>
      </c>
      <c r="C883" s="6">
        <v>59399.0</v>
      </c>
      <c r="D883" s="6">
        <v>1.23</v>
      </c>
      <c r="E883" s="6">
        <v>-0.21</v>
      </c>
      <c r="F883" s="6">
        <v>10.68</v>
      </c>
      <c r="G883" s="6">
        <v>-0.1</v>
      </c>
      <c r="H883" s="6">
        <v>0.0</v>
      </c>
      <c r="I883" s="6">
        <v>-0.01</v>
      </c>
      <c r="J883" s="6">
        <v>33.19</v>
      </c>
      <c r="K883" s="7">
        <f t="shared" ref="K883:P883" si="1708">abs(D883-D882)/200</f>
        <v>0</v>
      </c>
      <c r="L883" s="7">
        <f t="shared" si="1708"/>
        <v>0.0001</v>
      </c>
      <c r="M883" s="7">
        <f t="shared" si="1708"/>
        <v>0.00005</v>
      </c>
      <c r="N883" s="7">
        <f t="shared" si="1708"/>
        <v>0</v>
      </c>
      <c r="O883" s="7">
        <f t="shared" si="1708"/>
        <v>0</v>
      </c>
      <c r="P883" s="7">
        <f t="shared" si="1708"/>
        <v>0</v>
      </c>
      <c r="Q883" s="7">
        <f t="shared" si="7"/>
        <v>0</v>
      </c>
      <c r="R883" s="7">
        <f t="shared" si="8"/>
        <v>0.009560836786</v>
      </c>
      <c r="S883" s="7">
        <f t="shared" si="2"/>
        <v>0.9526461859</v>
      </c>
      <c r="T883" s="7">
        <f t="shared" si="3"/>
        <v>0.1004987562</v>
      </c>
      <c r="U883" s="7">
        <f t="shared" si="4"/>
        <v>0</v>
      </c>
      <c r="V883" s="7">
        <f t="shared" si="5"/>
        <v>0</v>
      </c>
      <c r="W883" s="7">
        <f t="shared" ref="W883:X883" si="1709">IF(AVERAGE(U823:U882) &gt; 0.25, 1, 0)</f>
        <v>0</v>
      </c>
      <c r="X883" s="7">
        <f t="shared" si="1709"/>
        <v>0</v>
      </c>
      <c r="Y883" s="8">
        <v>0.0</v>
      </c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</row>
    <row r="884" ht="22.5" customHeight="1">
      <c r="B884" s="6">
        <v>883.0</v>
      </c>
      <c r="C884" s="6">
        <v>59603.0</v>
      </c>
      <c r="D884" s="6">
        <v>1.24</v>
      </c>
      <c r="E884" s="6">
        <v>-0.19</v>
      </c>
      <c r="F884" s="6">
        <v>10.69</v>
      </c>
      <c r="G884" s="6">
        <v>-0.1</v>
      </c>
      <c r="H884" s="6">
        <v>0.0</v>
      </c>
      <c r="I884" s="6">
        <v>-0.01</v>
      </c>
      <c r="J884" s="6">
        <v>33.17</v>
      </c>
      <c r="K884" s="7">
        <f t="shared" ref="K884:P884" si="1710">abs(D884-D883)/200</f>
        <v>0.00005</v>
      </c>
      <c r="L884" s="7">
        <f t="shared" si="1710"/>
        <v>0.0001</v>
      </c>
      <c r="M884" s="7">
        <f t="shared" si="1710"/>
        <v>0.00005</v>
      </c>
      <c r="N884" s="7">
        <f t="shared" si="1710"/>
        <v>0</v>
      </c>
      <c r="O884" s="7">
        <f t="shared" si="1710"/>
        <v>0</v>
      </c>
      <c r="P884" s="7">
        <f t="shared" si="1710"/>
        <v>0</v>
      </c>
      <c r="Q884" s="7">
        <f t="shared" si="7"/>
        <v>0</v>
      </c>
      <c r="R884" s="7">
        <f t="shared" si="8"/>
        <v>0.01070830976</v>
      </c>
      <c r="S884" s="7">
        <f t="shared" si="2"/>
        <v>0.9633544957</v>
      </c>
      <c r="T884" s="7">
        <f t="shared" si="3"/>
        <v>0.1004987562</v>
      </c>
      <c r="U884" s="7">
        <f t="shared" si="4"/>
        <v>0</v>
      </c>
      <c r="V884" s="7">
        <f t="shared" si="5"/>
        <v>0</v>
      </c>
      <c r="W884" s="7">
        <f t="shared" ref="W884:X884" si="1711">IF(AVERAGE(U824:U883) &gt; 0.25, 1, 0)</f>
        <v>0</v>
      </c>
      <c r="X884" s="7">
        <f t="shared" si="1711"/>
        <v>0</v>
      </c>
      <c r="Y884" s="8">
        <v>0.0</v>
      </c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</row>
    <row r="885" ht="22.5" customHeight="1">
      <c r="B885" s="6">
        <v>884.0</v>
      </c>
      <c r="C885" s="6">
        <v>59807.0</v>
      </c>
      <c r="D885" s="6">
        <v>1.23</v>
      </c>
      <c r="E885" s="6">
        <v>-0.19</v>
      </c>
      <c r="F885" s="6">
        <v>10.68</v>
      </c>
      <c r="G885" s="6">
        <v>-0.1</v>
      </c>
      <c r="H885" s="6">
        <v>0.0</v>
      </c>
      <c r="I885" s="6">
        <v>-0.01</v>
      </c>
      <c r="J885" s="6">
        <v>33.18</v>
      </c>
      <c r="K885" s="7">
        <f t="shared" ref="K885:P885" si="1712">abs(D885-D884)/200</f>
        <v>0.00005</v>
      </c>
      <c r="L885" s="7">
        <f t="shared" si="1712"/>
        <v>0</v>
      </c>
      <c r="M885" s="7">
        <f t="shared" si="1712"/>
        <v>0.00005</v>
      </c>
      <c r="N885" s="7">
        <f t="shared" si="1712"/>
        <v>0</v>
      </c>
      <c r="O885" s="7">
        <f t="shared" si="1712"/>
        <v>0</v>
      </c>
      <c r="P885" s="7">
        <f t="shared" si="1712"/>
        <v>0</v>
      </c>
      <c r="Q885" s="7">
        <f t="shared" si="7"/>
        <v>0</v>
      </c>
      <c r="R885" s="7">
        <f t="shared" si="8"/>
        <v>0.01108031764</v>
      </c>
      <c r="S885" s="7">
        <f t="shared" si="2"/>
        <v>0.9522741781</v>
      </c>
      <c r="T885" s="7">
        <f t="shared" si="3"/>
        <v>0.1004987562</v>
      </c>
      <c r="U885" s="7">
        <f t="shared" si="4"/>
        <v>0</v>
      </c>
      <c r="V885" s="7">
        <f t="shared" si="5"/>
        <v>0</v>
      </c>
      <c r="W885" s="7">
        <f t="shared" ref="W885:X885" si="1713">IF(AVERAGE(U825:U884) &gt; 0.25, 1, 0)</f>
        <v>0</v>
      </c>
      <c r="X885" s="7">
        <f t="shared" si="1713"/>
        <v>0</v>
      </c>
      <c r="Y885" s="8">
        <v>0.0</v>
      </c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</row>
    <row r="886" ht="22.5" customHeight="1">
      <c r="B886" s="6">
        <v>885.0</v>
      </c>
      <c r="C886" s="6">
        <v>60011.0</v>
      </c>
      <c r="D886" s="6">
        <v>1.24</v>
      </c>
      <c r="E886" s="6">
        <v>-0.2</v>
      </c>
      <c r="F886" s="6">
        <v>10.68</v>
      </c>
      <c r="G886" s="6">
        <v>-0.1</v>
      </c>
      <c r="H886" s="6">
        <v>0.0</v>
      </c>
      <c r="I886" s="6">
        <v>-0.01</v>
      </c>
      <c r="J886" s="6">
        <v>33.18</v>
      </c>
      <c r="K886" s="7">
        <f t="shared" ref="K886:P886" si="1714">abs(D886-D885)/200</f>
        <v>0.00005</v>
      </c>
      <c r="L886" s="7">
        <f t="shared" si="1714"/>
        <v>0.00005</v>
      </c>
      <c r="M886" s="7">
        <f t="shared" si="1714"/>
        <v>0</v>
      </c>
      <c r="N886" s="7">
        <f t="shared" si="1714"/>
        <v>0</v>
      </c>
      <c r="O886" s="7">
        <f t="shared" si="1714"/>
        <v>0</v>
      </c>
      <c r="P886" s="7">
        <f t="shared" si="1714"/>
        <v>0</v>
      </c>
      <c r="Q886" s="7">
        <f t="shared" si="7"/>
        <v>0</v>
      </c>
      <c r="R886" s="7">
        <f t="shared" si="8"/>
        <v>0.001329868964</v>
      </c>
      <c r="S886" s="7">
        <f t="shared" si="2"/>
        <v>0.953604047</v>
      </c>
      <c r="T886" s="7">
        <f t="shared" si="3"/>
        <v>0.1004987562</v>
      </c>
      <c r="U886" s="7">
        <f t="shared" si="4"/>
        <v>0</v>
      </c>
      <c r="V886" s="7">
        <f t="shared" si="5"/>
        <v>0</v>
      </c>
      <c r="W886" s="7">
        <f t="shared" ref="W886:X886" si="1715">IF(AVERAGE(U826:U885) &gt; 0.25, 1, 0)</f>
        <v>0</v>
      </c>
      <c r="X886" s="7">
        <f t="shared" si="1715"/>
        <v>0</v>
      </c>
      <c r="Y886" s="8">
        <v>0.0</v>
      </c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</row>
    <row r="887" ht="22.5" customHeight="1">
      <c r="B887" s="6">
        <v>886.0</v>
      </c>
      <c r="C887" s="6">
        <v>60215.0</v>
      </c>
      <c r="D887" s="6">
        <v>1.24</v>
      </c>
      <c r="E887" s="6">
        <v>-0.2</v>
      </c>
      <c r="F887" s="6">
        <v>10.69</v>
      </c>
      <c r="G887" s="6">
        <v>-0.1</v>
      </c>
      <c r="H887" s="6">
        <v>0.0</v>
      </c>
      <c r="I887" s="6">
        <v>-0.01</v>
      </c>
      <c r="J887" s="6">
        <v>33.18</v>
      </c>
      <c r="K887" s="7">
        <f t="shared" ref="K887:P887" si="1716">abs(D887-D886)/200</f>
        <v>0</v>
      </c>
      <c r="L887" s="7">
        <f t="shared" si="1716"/>
        <v>0</v>
      </c>
      <c r="M887" s="7">
        <f t="shared" si="1716"/>
        <v>0.00005</v>
      </c>
      <c r="N887" s="7">
        <f t="shared" si="1716"/>
        <v>0</v>
      </c>
      <c r="O887" s="7">
        <f t="shared" si="1716"/>
        <v>0</v>
      </c>
      <c r="P887" s="7">
        <f t="shared" si="1716"/>
        <v>0</v>
      </c>
      <c r="Q887" s="7">
        <f t="shared" si="7"/>
        <v>0</v>
      </c>
      <c r="R887" s="7">
        <f t="shared" si="8"/>
        <v>0.009931617439</v>
      </c>
      <c r="S887" s="7">
        <f t="shared" si="2"/>
        <v>0.9635356645</v>
      </c>
      <c r="T887" s="7">
        <f t="shared" si="3"/>
        <v>0.1004987562</v>
      </c>
      <c r="U887" s="7">
        <f t="shared" si="4"/>
        <v>0</v>
      </c>
      <c r="V887" s="7">
        <f t="shared" si="5"/>
        <v>0</v>
      </c>
      <c r="W887" s="7">
        <f t="shared" ref="W887:X887" si="1717">IF(AVERAGE(U827:U886) &gt; 0.25, 1, 0)</f>
        <v>0</v>
      </c>
      <c r="X887" s="7">
        <f t="shared" si="1717"/>
        <v>0</v>
      </c>
      <c r="Y887" s="8">
        <v>0.0</v>
      </c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</row>
    <row r="888" ht="22.5" customHeight="1">
      <c r="B888" s="6">
        <v>887.0</v>
      </c>
      <c r="C888" s="6">
        <v>60419.0</v>
      </c>
      <c r="D888" s="6">
        <v>1.23</v>
      </c>
      <c r="E888" s="6">
        <v>-0.2</v>
      </c>
      <c r="F888" s="6">
        <v>10.68</v>
      </c>
      <c r="G888" s="6">
        <v>-0.1</v>
      </c>
      <c r="H888" s="6">
        <v>0.0</v>
      </c>
      <c r="I888" s="6">
        <v>-0.01</v>
      </c>
      <c r="J888" s="6">
        <v>33.18</v>
      </c>
      <c r="K888" s="7">
        <f t="shared" ref="K888:P888" si="1718">abs(D888-D887)/200</f>
        <v>0.00005</v>
      </c>
      <c r="L888" s="7">
        <f t="shared" si="1718"/>
        <v>0</v>
      </c>
      <c r="M888" s="7">
        <f t="shared" si="1718"/>
        <v>0.00005</v>
      </c>
      <c r="N888" s="7">
        <f t="shared" si="1718"/>
        <v>0</v>
      </c>
      <c r="O888" s="7">
        <f t="shared" si="1718"/>
        <v>0</v>
      </c>
      <c r="P888" s="7">
        <f t="shared" si="1718"/>
        <v>0</v>
      </c>
      <c r="Q888" s="7">
        <f t="shared" si="7"/>
        <v>0</v>
      </c>
      <c r="R888" s="7">
        <f t="shared" si="8"/>
        <v>0.01108013095</v>
      </c>
      <c r="S888" s="7">
        <f t="shared" si="2"/>
        <v>0.9524555335</v>
      </c>
      <c r="T888" s="7">
        <f t="shared" si="3"/>
        <v>0.1004987562</v>
      </c>
      <c r="U888" s="7">
        <f t="shared" si="4"/>
        <v>0</v>
      </c>
      <c r="V888" s="7">
        <f t="shared" si="5"/>
        <v>0</v>
      </c>
      <c r="W888" s="7">
        <f t="shared" ref="W888:X888" si="1719">IF(AVERAGE(U828:U887) &gt; 0.25, 1, 0)</f>
        <v>0</v>
      </c>
      <c r="X888" s="7">
        <f t="shared" si="1719"/>
        <v>0</v>
      </c>
      <c r="Y888" s="8">
        <v>0.0</v>
      </c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</row>
    <row r="889" ht="22.5" customHeight="1">
      <c r="B889" s="6">
        <v>888.0</v>
      </c>
      <c r="C889" s="6">
        <v>60623.0</v>
      </c>
      <c r="D889" s="6">
        <v>1.23</v>
      </c>
      <c r="E889" s="6">
        <v>-0.2</v>
      </c>
      <c r="F889" s="6">
        <v>10.67</v>
      </c>
      <c r="G889" s="6">
        <v>-0.1</v>
      </c>
      <c r="H889" s="6">
        <v>0.0</v>
      </c>
      <c r="I889" s="6">
        <v>-0.01</v>
      </c>
      <c r="J889" s="6">
        <v>33.19</v>
      </c>
      <c r="K889" s="7">
        <f t="shared" ref="K889:P889" si="1720">abs(D889-D888)/200</f>
        <v>0</v>
      </c>
      <c r="L889" s="7">
        <f t="shared" si="1720"/>
        <v>0</v>
      </c>
      <c r="M889" s="7">
        <f t="shared" si="1720"/>
        <v>0.00005</v>
      </c>
      <c r="N889" s="7">
        <f t="shared" si="1720"/>
        <v>0</v>
      </c>
      <c r="O889" s="7">
        <f t="shared" si="1720"/>
        <v>0</v>
      </c>
      <c r="P889" s="7">
        <f t="shared" si="1720"/>
        <v>0</v>
      </c>
      <c r="Q889" s="7">
        <f t="shared" si="7"/>
        <v>0</v>
      </c>
      <c r="R889" s="7">
        <f t="shared" si="8"/>
        <v>0.00993255238</v>
      </c>
      <c r="S889" s="7">
        <f t="shared" si="2"/>
        <v>0.9425229811</v>
      </c>
      <c r="T889" s="7">
        <f t="shared" si="3"/>
        <v>0.1004987562</v>
      </c>
      <c r="U889" s="7">
        <f t="shared" si="4"/>
        <v>0</v>
      </c>
      <c r="V889" s="7">
        <f t="shared" si="5"/>
        <v>0</v>
      </c>
      <c r="W889" s="7">
        <f t="shared" ref="W889:X889" si="1721">IF(AVERAGE(U829:U888) &gt; 0.25, 1, 0)</f>
        <v>0</v>
      </c>
      <c r="X889" s="7">
        <f t="shared" si="1721"/>
        <v>0</v>
      </c>
      <c r="Y889" s="8">
        <v>0.0</v>
      </c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</row>
    <row r="890" ht="22.5" customHeight="1">
      <c r="B890" s="6">
        <v>889.0</v>
      </c>
      <c r="C890" s="6">
        <v>60827.0</v>
      </c>
      <c r="D890" s="6">
        <v>1.24</v>
      </c>
      <c r="E890" s="6">
        <v>-0.19</v>
      </c>
      <c r="F890" s="6">
        <v>10.69</v>
      </c>
      <c r="G890" s="6">
        <v>-0.1</v>
      </c>
      <c r="H890" s="6">
        <v>0.0</v>
      </c>
      <c r="I890" s="6">
        <v>-0.01</v>
      </c>
      <c r="J890" s="6">
        <v>33.19</v>
      </c>
      <c r="K890" s="7">
        <f t="shared" ref="K890:P890" si="1722">abs(D890-D889)/200</f>
        <v>0.00005</v>
      </c>
      <c r="L890" s="7">
        <f t="shared" si="1722"/>
        <v>0.00005</v>
      </c>
      <c r="M890" s="7">
        <f t="shared" si="1722"/>
        <v>0.0001</v>
      </c>
      <c r="N890" s="7">
        <f t="shared" si="1722"/>
        <v>0</v>
      </c>
      <c r="O890" s="7">
        <f t="shared" si="1722"/>
        <v>0</v>
      </c>
      <c r="P890" s="7">
        <f t="shared" si="1722"/>
        <v>0</v>
      </c>
      <c r="Q890" s="7">
        <f t="shared" si="7"/>
        <v>0</v>
      </c>
      <c r="R890" s="7">
        <f t="shared" si="8"/>
        <v>0.02083151457</v>
      </c>
      <c r="S890" s="7">
        <f t="shared" si="2"/>
        <v>0.9633544957</v>
      </c>
      <c r="T890" s="7">
        <f t="shared" si="3"/>
        <v>0.1004987562</v>
      </c>
      <c r="U890" s="7">
        <f t="shared" si="4"/>
        <v>0</v>
      </c>
      <c r="V890" s="7">
        <f t="shared" si="5"/>
        <v>0</v>
      </c>
      <c r="W890" s="7">
        <f t="shared" ref="W890:X890" si="1723">IF(AVERAGE(U830:U889) &gt; 0.25, 1, 0)</f>
        <v>0</v>
      </c>
      <c r="X890" s="7">
        <f t="shared" si="1723"/>
        <v>0</v>
      </c>
      <c r="Y890" s="8">
        <v>0.0</v>
      </c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</row>
    <row r="891" ht="22.5" customHeight="1">
      <c r="B891" s="6">
        <v>890.0</v>
      </c>
      <c r="C891" s="6">
        <v>61031.0</v>
      </c>
      <c r="D891" s="6">
        <v>1.23</v>
      </c>
      <c r="E891" s="6">
        <v>-0.17</v>
      </c>
      <c r="F891" s="6">
        <v>10.7</v>
      </c>
      <c r="G891" s="6">
        <v>-0.1</v>
      </c>
      <c r="H891" s="6">
        <v>0.0</v>
      </c>
      <c r="I891" s="6">
        <v>-0.01</v>
      </c>
      <c r="J891" s="6">
        <v>33.19</v>
      </c>
      <c r="K891" s="7">
        <f t="shared" ref="K891:P891" si="1724">abs(D891-D890)/200</f>
        <v>0.00005</v>
      </c>
      <c r="L891" s="7">
        <f t="shared" si="1724"/>
        <v>0.0001</v>
      </c>
      <c r="M891" s="7">
        <f t="shared" si="1724"/>
        <v>0.00005</v>
      </c>
      <c r="N891" s="7">
        <f t="shared" si="1724"/>
        <v>0</v>
      </c>
      <c r="O891" s="7">
        <f t="shared" si="1724"/>
        <v>0</v>
      </c>
      <c r="P891" s="7">
        <f t="shared" si="1724"/>
        <v>0</v>
      </c>
      <c r="Q891" s="7">
        <f t="shared" si="7"/>
        <v>0</v>
      </c>
      <c r="R891" s="7">
        <f t="shared" si="8"/>
        <v>0.00845129535</v>
      </c>
      <c r="S891" s="7">
        <f t="shared" si="2"/>
        <v>0.971805791</v>
      </c>
      <c r="T891" s="7">
        <f t="shared" si="3"/>
        <v>0.1004987562</v>
      </c>
      <c r="U891" s="7">
        <f t="shared" si="4"/>
        <v>0</v>
      </c>
      <c r="V891" s="7">
        <f t="shared" si="5"/>
        <v>0</v>
      </c>
      <c r="W891" s="7">
        <f t="shared" ref="W891:X891" si="1725">IF(AVERAGE(U831:U890) &gt; 0.25, 1, 0)</f>
        <v>0</v>
      </c>
      <c r="X891" s="7">
        <f t="shared" si="1725"/>
        <v>0</v>
      </c>
      <c r="Y891" s="8">
        <v>0.0</v>
      </c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</row>
    <row r="892" ht="22.5" customHeight="1">
      <c r="B892" s="6">
        <v>891.0</v>
      </c>
      <c r="C892" s="6">
        <v>61235.0</v>
      </c>
      <c r="D892" s="6">
        <v>1.24</v>
      </c>
      <c r="E892" s="6">
        <v>-0.19</v>
      </c>
      <c r="F892" s="6">
        <v>10.68</v>
      </c>
      <c r="G892" s="6">
        <v>-0.1</v>
      </c>
      <c r="H892" s="6">
        <v>0.0</v>
      </c>
      <c r="I892" s="6">
        <v>-0.01</v>
      </c>
      <c r="J892" s="6">
        <v>33.19</v>
      </c>
      <c r="K892" s="7">
        <f t="shared" ref="K892:P892" si="1726">abs(D892-D891)/200</f>
        <v>0.00005</v>
      </c>
      <c r="L892" s="7">
        <f t="shared" si="1726"/>
        <v>0.0001</v>
      </c>
      <c r="M892" s="7">
        <f t="shared" si="1726"/>
        <v>0.0001</v>
      </c>
      <c r="N892" s="7">
        <f t="shared" si="1726"/>
        <v>0</v>
      </c>
      <c r="O892" s="7">
        <f t="shared" si="1726"/>
        <v>0</v>
      </c>
      <c r="P892" s="7">
        <f t="shared" si="1726"/>
        <v>0</v>
      </c>
      <c r="Q892" s="7">
        <f t="shared" si="7"/>
        <v>0</v>
      </c>
      <c r="R892" s="7">
        <f t="shared" si="8"/>
        <v>0.01838308011</v>
      </c>
      <c r="S892" s="7">
        <f t="shared" si="2"/>
        <v>0.9534227109</v>
      </c>
      <c r="T892" s="7">
        <f t="shared" si="3"/>
        <v>0.1004987562</v>
      </c>
      <c r="U892" s="7">
        <f t="shared" si="4"/>
        <v>0</v>
      </c>
      <c r="V892" s="7">
        <f t="shared" si="5"/>
        <v>0</v>
      </c>
      <c r="W892" s="7">
        <f t="shared" ref="W892:X892" si="1727">IF(AVERAGE(U832:U891) &gt; 0.25, 1, 0)</f>
        <v>0</v>
      </c>
      <c r="X892" s="7">
        <f t="shared" si="1727"/>
        <v>0</v>
      </c>
      <c r="Y892" s="8">
        <v>0.0</v>
      </c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</row>
    <row r="893" ht="22.5" customHeight="1">
      <c r="B893" s="6">
        <v>892.0</v>
      </c>
      <c r="C893" s="6">
        <v>61439.0</v>
      </c>
      <c r="D893" s="6">
        <v>1.23</v>
      </c>
      <c r="E893" s="6">
        <v>-0.2</v>
      </c>
      <c r="F893" s="6">
        <v>10.69</v>
      </c>
      <c r="G893" s="6">
        <v>-0.1</v>
      </c>
      <c r="H893" s="6">
        <v>0.0</v>
      </c>
      <c r="I893" s="6">
        <v>-0.01</v>
      </c>
      <c r="J893" s="6">
        <v>33.18</v>
      </c>
      <c r="K893" s="7">
        <f t="shared" ref="K893:P893" si="1728">abs(D893-D892)/200</f>
        <v>0.00005</v>
      </c>
      <c r="L893" s="7">
        <f t="shared" si="1728"/>
        <v>0.00005</v>
      </c>
      <c r="M893" s="7">
        <f t="shared" si="1728"/>
        <v>0.00005</v>
      </c>
      <c r="N893" s="7">
        <f t="shared" si="1728"/>
        <v>0</v>
      </c>
      <c r="O893" s="7">
        <f t="shared" si="1728"/>
        <v>0</v>
      </c>
      <c r="P893" s="7">
        <f t="shared" si="1728"/>
        <v>0</v>
      </c>
      <c r="Q893" s="7">
        <f t="shared" si="7"/>
        <v>0</v>
      </c>
      <c r="R893" s="7">
        <f t="shared" si="8"/>
        <v>0.008965499869</v>
      </c>
      <c r="S893" s="7">
        <f t="shared" si="2"/>
        <v>0.9623882108</v>
      </c>
      <c r="T893" s="7">
        <f t="shared" si="3"/>
        <v>0.1004987562</v>
      </c>
      <c r="U893" s="7">
        <f t="shared" si="4"/>
        <v>0</v>
      </c>
      <c r="V893" s="7">
        <f t="shared" si="5"/>
        <v>0</v>
      </c>
      <c r="W893" s="7">
        <f t="shared" ref="W893:X893" si="1729">IF(AVERAGE(U833:U892) &gt; 0.25, 1, 0)</f>
        <v>0</v>
      </c>
      <c r="X893" s="7">
        <f t="shared" si="1729"/>
        <v>0</v>
      </c>
      <c r="Y893" s="8">
        <v>0.0</v>
      </c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</row>
    <row r="894" ht="22.5" customHeight="1">
      <c r="B894" s="6">
        <v>893.0</v>
      </c>
      <c r="C894" s="6">
        <v>61643.0</v>
      </c>
      <c r="D894" s="6">
        <v>1.24</v>
      </c>
      <c r="E894" s="6">
        <v>-0.2</v>
      </c>
      <c r="F894" s="6">
        <v>10.68</v>
      </c>
      <c r="G894" s="6">
        <v>-0.1</v>
      </c>
      <c r="H894" s="6">
        <v>0.0</v>
      </c>
      <c r="I894" s="6">
        <v>-0.01</v>
      </c>
      <c r="J894" s="6">
        <v>33.18</v>
      </c>
      <c r="K894" s="7">
        <f t="shared" ref="K894:P894" si="1730">abs(D894-D893)/200</f>
        <v>0.00005</v>
      </c>
      <c r="L894" s="7">
        <f t="shared" si="1730"/>
        <v>0</v>
      </c>
      <c r="M894" s="7">
        <f t="shared" si="1730"/>
        <v>0.00005</v>
      </c>
      <c r="N894" s="7">
        <f t="shared" si="1730"/>
        <v>0</v>
      </c>
      <c r="O894" s="7">
        <f t="shared" si="1730"/>
        <v>0</v>
      </c>
      <c r="P894" s="7">
        <f t="shared" si="1730"/>
        <v>0</v>
      </c>
      <c r="Q894" s="7">
        <f t="shared" si="7"/>
        <v>0</v>
      </c>
      <c r="R894" s="7">
        <f t="shared" si="8"/>
        <v>0.008784163785</v>
      </c>
      <c r="S894" s="7">
        <f t="shared" si="2"/>
        <v>0.953604047</v>
      </c>
      <c r="T894" s="7">
        <f t="shared" si="3"/>
        <v>0.1004987562</v>
      </c>
      <c r="U894" s="7">
        <f t="shared" si="4"/>
        <v>0</v>
      </c>
      <c r="V894" s="7">
        <f t="shared" si="5"/>
        <v>0</v>
      </c>
      <c r="W894" s="7">
        <f t="shared" ref="W894:X894" si="1731">IF(AVERAGE(U834:U893) &gt; 0.25, 1, 0)</f>
        <v>0</v>
      </c>
      <c r="X894" s="7">
        <f t="shared" si="1731"/>
        <v>0</v>
      </c>
      <c r="Y894" s="8">
        <v>0.0</v>
      </c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</row>
    <row r="895" ht="22.5" customHeight="1">
      <c r="B895" s="6">
        <v>894.0</v>
      </c>
      <c r="C895" s="6">
        <v>61847.0</v>
      </c>
      <c r="D895" s="6">
        <v>1.23</v>
      </c>
      <c r="E895" s="6">
        <v>-0.19</v>
      </c>
      <c r="F895" s="6">
        <v>10.7</v>
      </c>
      <c r="G895" s="6">
        <v>-0.1</v>
      </c>
      <c r="H895" s="6">
        <v>0.0</v>
      </c>
      <c r="I895" s="6">
        <v>-0.01</v>
      </c>
      <c r="J895" s="6">
        <v>33.19</v>
      </c>
      <c r="K895" s="7">
        <f t="shared" ref="K895:P895" si="1732">abs(D895-D894)/200</f>
        <v>0.00005</v>
      </c>
      <c r="L895" s="7">
        <f t="shared" si="1732"/>
        <v>0.00005</v>
      </c>
      <c r="M895" s="7">
        <f t="shared" si="1732"/>
        <v>0.0001</v>
      </c>
      <c r="N895" s="7">
        <f t="shared" si="1732"/>
        <v>0</v>
      </c>
      <c r="O895" s="7">
        <f t="shared" si="1732"/>
        <v>0</v>
      </c>
      <c r="P895" s="7">
        <f t="shared" si="1732"/>
        <v>0</v>
      </c>
      <c r="Q895" s="7">
        <f t="shared" si="7"/>
        <v>0</v>
      </c>
      <c r="R895" s="7">
        <f t="shared" si="8"/>
        <v>0.01853594465</v>
      </c>
      <c r="S895" s="7">
        <f t="shared" si="2"/>
        <v>0.9721399917</v>
      </c>
      <c r="T895" s="7">
        <f t="shared" si="3"/>
        <v>0.1004987562</v>
      </c>
      <c r="U895" s="7">
        <f t="shared" si="4"/>
        <v>0</v>
      </c>
      <c r="V895" s="7">
        <f t="shared" si="5"/>
        <v>0</v>
      </c>
      <c r="W895" s="7">
        <f t="shared" ref="W895:X895" si="1733">IF(AVERAGE(U835:U894) &gt; 0.25, 1, 0)</f>
        <v>0</v>
      </c>
      <c r="X895" s="7">
        <f t="shared" si="1733"/>
        <v>0</v>
      </c>
      <c r="Y895" s="8">
        <v>0.0</v>
      </c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</row>
    <row r="896" ht="22.5" customHeight="1">
      <c r="B896" s="6">
        <v>895.0</v>
      </c>
      <c r="C896" s="6">
        <v>62051.0</v>
      </c>
      <c r="D896" s="6">
        <v>1.23</v>
      </c>
      <c r="E896" s="6">
        <v>-0.19</v>
      </c>
      <c r="F896" s="6">
        <v>10.69</v>
      </c>
      <c r="G896" s="6">
        <v>-0.1</v>
      </c>
      <c r="H896" s="6">
        <v>0.0</v>
      </c>
      <c r="I896" s="6">
        <v>-0.01</v>
      </c>
      <c r="J896" s="6">
        <v>33.18</v>
      </c>
      <c r="K896" s="7">
        <f t="shared" ref="K896:P896" si="1734">abs(D896-D895)/200</f>
        <v>0</v>
      </c>
      <c r="L896" s="7">
        <f t="shared" si="1734"/>
        <v>0</v>
      </c>
      <c r="M896" s="7">
        <f t="shared" si="1734"/>
        <v>0.00005</v>
      </c>
      <c r="N896" s="7">
        <f t="shared" si="1734"/>
        <v>0</v>
      </c>
      <c r="O896" s="7">
        <f t="shared" si="1734"/>
        <v>0</v>
      </c>
      <c r="P896" s="7">
        <f t="shared" si="1734"/>
        <v>0</v>
      </c>
      <c r="Q896" s="7">
        <f t="shared" si="7"/>
        <v>0</v>
      </c>
      <c r="R896" s="7">
        <f t="shared" si="8"/>
        <v>0.009932968938</v>
      </c>
      <c r="S896" s="7">
        <f t="shared" si="2"/>
        <v>0.9622070227</v>
      </c>
      <c r="T896" s="7">
        <f t="shared" si="3"/>
        <v>0.1004987562</v>
      </c>
      <c r="U896" s="7">
        <f t="shared" si="4"/>
        <v>0</v>
      </c>
      <c r="V896" s="7">
        <f t="shared" si="5"/>
        <v>0</v>
      </c>
      <c r="W896" s="7">
        <f t="shared" ref="W896:X896" si="1735">IF(AVERAGE(U836:U895) &gt; 0.25, 1, 0)</f>
        <v>0</v>
      </c>
      <c r="X896" s="7">
        <f t="shared" si="1735"/>
        <v>0</v>
      </c>
      <c r="Y896" s="8">
        <v>0.0</v>
      </c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</row>
    <row r="897" ht="22.5" customHeight="1">
      <c r="B897" s="6">
        <v>896.0</v>
      </c>
      <c r="C897" s="6">
        <v>62255.0</v>
      </c>
      <c r="D897" s="6">
        <v>1.24</v>
      </c>
      <c r="E897" s="6">
        <v>-0.2</v>
      </c>
      <c r="F897" s="6">
        <v>10.69</v>
      </c>
      <c r="G897" s="6">
        <v>-0.1</v>
      </c>
      <c r="H897" s="6">
        <v>0.0</v>
      </c>
      <c r="I897" s="6">
        <v>-0.01</v>
      </c>
      <c r="J897" s="6">
        <v>33.18</v>
      </c>
      <c r="K897" s="7">
        <f t="shared" ref="K897:P897" si="1736">abs(D897-D896)/200</f>
        <v>0.00005</v>
      </c>
      <c r="L897" s="7">
        <f t="shared" si="1736"/>
        <v>0.00005</v>
      </c>
      <c r="M897" s="7">
        <f t="shared" si="1736"/>
        <v>0</v>
      </c>
      <c r="N897" s="7">
        <f t="shared" si="1736"/>
        <v>0</v>
      </c>
      <c r="O897" s="7">
        <f t="shared" si="1736"/>
        <v>0</v>
      </c>
      <c r="P897" s="7">
        <f t="shared" si="1736"/>
        <v>0</v>
      </c>
      <c r="Q897" s="7">
        <f t="shared" si="7"/>
        <v>0</v>
      </c>
      <c r="R897" s="7">
        <f t="shared" si="8"/>
        <v>0.00132864173</v>
      </c>
      <c r="S897" s="7">
        <f t="shared" si="2"/>
        <v>0.9635356645</v>
      </c>
      <c r="T897" s="7">
        <f t="shared" si="3"/>
        <v>0.1004987562</v>
      </c>
      <c r="U897" s="7">
        <f t="shared" si="4"/>
        <v>0</v>
      </c>
      <c r="V897" s="7">
        <f t="shared" si="5"/>
        <v>0</v>
      </c>
      <c r="W897" s="7">
        <f t="shared" ref="W897:X897" si="1737">IF(AVERAGE(U837:U896) &gt; 0.25, 1, 0)</f>
        <v>0</v>
      </c>
      <c r="X897" s="7">
        <f t="shared" si="1737"/>
        <v>0</v>
      </c>
      <c r="Y897" s="8">
        <v>0.0</v>
      </c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</row>
    <row r="898" ht="22.5" customHeight="1">
      <c r="B898" s="6">
        <v>897.0</v>
      </c>
      <c r="C898" s="6">
        <v>62459.0</v>
      </c>
      <c r="D898" s="6">
        <v>1.24</v>
      </c>
      <c r="E898" s="6">
        <v>-0.2</v>
      </c>
      <c r="F898" s="6">
        <v>10.69</v>
      </c>
      <c r="G898" s="6">
        <v>-0.1</v>
      </c>
      <c r="H898" s="6">
        <v>0.0</v>
      </c>
      <c r="I898" s="6">
        <v>-0.01</v>
      </c>
      <c r="J898" s="6">
        <v>33.19</v>
      </c>
      <c r="K898" s="7">
        <f t="shared" ref="K898:P898" si="1738">abs(D898-D897)/200</f>
        <v>0</v>
      </c>
      <c r="L898" s="7">
        <f t="shared" si="1738"/>
        <v>0</v>
      </c>
      <c r="M898" s="7">
        <f t="shared" si="1738"/>
        <v>0</v>
      </c>
      <c r="N898" s="7">
        <f t="shared" si="1738"/>
        <v>0</v>
      </c>
      <c r="O898" s="7">
        <f t="shared" si="1738"/>
        <v>0</v>
      </c>
      <c r="P898" s="7">
        <f t="shared" si="1738"/>
        <v>0</v>
      </c>
      <c r="Q898" s="7">
        <f t="shared" si="7"/>
        <v>0</v>
      </c>
      <c r="R898" s="7">
        <f t="shared" si="8"/>
        <v>0</v>
      </c>
      <c r="S898" s="7">
        <f t="shared" si="2"/>
        <v>0.9635356645</v>
      </c>
      <c r="T898" s="7">
        <f t="shared" si="3"/>
        <v>0.1004987562</v>
      </c>
      <c r="U898" s="7">
        <f t="shared" si="4"/>
        <v>0</v>
      </c>
      <c r="V898" s="7">
        <f t="shared" si="5"/>
        <v>0</v>
      </c>
      <c r="W898" s="7">
        <f t="shared" ref="W898:X898" si="1739">IF(AVERAGE(U838:U897) &gt; 0.25, 1, 0)</f>
        <v>0</v>
      </c>
      <c r="X898" s="7">
        <f t="shared" si="1739"/>
        <v>0</v>
      </c>
      <c r="Y898" s="8">
        <v>0.0</v>
      </c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</row>
    <row r="899" ht="22.5" customHeight="1">
      <c r="B899" s="6">
        <v>898.0</v>
      </c>
      <c r="C899" s="6">
        <v>62663.0</v>
      </c>
      <c r="D899" s="6">
        <v>1.24</v>
      </c>
      <c r="E899" s="6">
        <v>-0.21</v>
      </c>
      <c r="F899" s="6">
        <v>10.69</v>
      </c>
      <c r="G899" s="6">
        <v>-0.1</v>
      </c>
      <c r="H899" s="6">
        <v>0.0</v>
      </c>
      <c r="I899" s="6">
        <v>-0.01</v>
      </c>
      <c r="J899" s="6">
        <v>33.19</v>
      </c>
      <c r="K899" s="7">
        <f t="shared" ref="K899:P899" si="1740">abs(D899-D898)/200</f>
        <v>0</v>
      </c>
      <c r="L899" s="7">
        <f t="shared" si="1740"/>
        <v>0.00005</v>
      </c>
      <c r="M899" s="7">
        <f t="shared" si="1740"/>
        <v>0</v>
      </c>
      <c r="N899" s="7">
        <f t="shared" si="1740"/>
        <v>0</v>
      </c>
      <c r="O899" s="7">
        <f t="shared" si="1740"/>
        <v>0</v>
      </c>
      <c r="P899" s="7">
        <f t="shared" si="1740"/>
        <v>0</v>
      </c>
      <c r="Q899" s="7">
        <f t="shared" si="7"/>
        <v>0</v>
      </c>
      <c r="R899" s="7">
        <f t="shared" si="8"/>
        <v>0.0001904561779</v>
      </c>
      <c r="S899" s="7">
        <f t="shared" si="2"/>
        <v>0.9637261206</v>
      </c>
      <c r="T899" s="7">
        <f t="shared" si="3"/>
        <v>0.1004987562</v>
      </c>
      <c r="U899" s="7">
        <f t="shared" si="4"/>
        <v>0</v>
      </c>
      <c r="V899" s="7">
        <f t="shared" si="5"/>
        <v>0</v>
      </c>
      <c r="W899" s="7">
        <f t="shared" ref="W899:X899" si="1741">IF(AVERAGE(U839:U898) &gt; 0.25, 1, 0)</f>
        <v>0</v>
      </c>
      <c r="X899" s="7">
        <f t="shared" si="1741"/>
        <v>0</v>
      </c>
      <c r="Y899" s="8">
        <v>0.0</v>
      </c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</row>
    <row r="900" ht="22.5" customHeight="1">
      <c r="B900" s="6">
        <v>899.0</v>
      </c>
      <c r="C900" s="6">
        <v>62867.0</v>
      </c>
      <c r="D900" s="6">
        <v>1.23</v>
      </c>
      <c r="E900" s="6">
        <v>-0.2</v>
      </c>
      <c r="F900" s="6">
        <v>10.68</v>
      </c>
      <c r="G900" s="6">
        <v>-0.1</v>
      </c>
      <c r="H900" s="6">
        <v>0.0</v>
      </c>
      <c r="I900" s="6">
        <v>-0.01</v>
      </c>
      <c r="J900" s="6">
        <v>33.2</v>
      </c>
      <c r="K900" s="7">
        <f t="shared" ref="K900:P900" si="1742">abs(D900-D899)/200</f>
        <v>0.00005</v>
      </c>
      <c r="L900" s="7">
        <f t="shared" si="1742"/>
        <v>0.00005</v>
      </c>
      <c r="M900" s="7">
        <f t="shared" si="1742"/>
        <v>0.00005</v>
      </c>
      <c r="N900" s="7">
        <f t="shared" si="1742"/>
        <v>0</v>
      </c>
      <c r="O900" s="7">
        <f t="shared" si="1742"/>
        <v>0</v>
      </c>
      <c r="P900" s="7">
        <f t="shared" si="1742"/>
        <v>0</v>
      </c>
      <c r="Q900" s="7">
        <f t="shared" si="7"/>
        <v>0</v>
      </c>
      <c r="R900" s="7">
        <f t="shared" si="8"/>
        <v>0.01127058713</v>
      </c>
      <c r="S900" s="7">
        <f t="shared" si="2"/>
        <v>0.9524555335</v>
      </c>
      <c r="T900" s="7">
        <f t="shared" si="3"/>
        <v>0.1004987562</v>
      </c>
      <c r="U900" s="7">
        <f t="shared" si="4"/>
        <v>0</v>
      </c>
      <c r="V900" s="7">
        <f t="shared" si="5"/>
        <v>0</v>
      </c>
      <c r="W900" s="7">
        <f t="shared" ref="W900:X900" si="1743">IF(AVERAGE(U840:U899) &gt; 0.25, 1, 0)</f>
        <v>0</v>
      </c>
      <c r="X900" s="7">
        <f t="shared" si="1743"/>
        <v>0</v>
      </c>
      <c r="Y900" s="8">
        <v>0.0</v>
      </c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</row>
    <row r="901" ht="22.5" customHeight="1">
      <c r="B901" s="6">
        <v>900.0</v>
      </c>
      <c r="C901" s="6">
        <v>63071.0</v>
      </c>
      <c r="D901" s="6">
        <v>1.24</v>
      </c>
      <c r="E901" s="6">
        <v>-0.2</v>
      </c>
      <c r="F901" s="6">
        <v>10.69</v>
      </c>
      <c r="G901" s="6">
        <v>-0.1</v>
      </c>
      <c r="H901" s="6">
        <v>0.0</v>
      </c>
      <c r="I901" s="6">
        <v>-0.01</v>
      </c>
      <c r="J901" s="6">
        <v>33.19</v>
      </c>
      <c r="K901" s="7">
        <f t="shared" ref="K901:P901" si="1744">abs(D901-D900)/200</f>
        <v>0.00005</v>
      </c>
      <c r="L901" s="7">
        <f t="shared" si="1744"/>
        <v>0</v>
      </c>
      <c r="M901" s="7">
        <f t="shared" si="1744"/>
        <v>0.00005</v>
      </c>
      <c r="N901" s="7">
        <f t="shared" si="1744"/>
        <v>0</v>
      </c>
      <c r="O901" s="7">
        <f t="shared" si="1744"/>
        <v>0</v>
      </c>
      <c r="P901" s="7">
        <f t="shared" si="1744"/>
        <v>0</v>
      </c>
      <c r="Q901" s="7">
        <f t="shared" si="7"/>
        <v>0</v>
      </c>
      <c r="R901" s="7">
        <f t="shared" si="8"/>
        <v>0.01108013095</v>
      </c>
      <c r="S901" s="7">
        <f t="shared" si="2"/>
        <v>0.9635356645</v>
      </c>
      <c r="T901" s="7">
        <f t="shared" si="3"/>
        <v>0.1004987562</v>
      </c>
      <c r="U901" s="7">
        <f t="shared" si="4"/>
        <v>0</v>
      </c>
      <c r="V901" s="7">
        <f t="shared" si="5"/>
        <v>0</v>
      </c>
      <c r="W901" s="7">
        <f t="shared" ref="W901:X901" si="1745">IF(AVERAGE(U841:U900) &gt; 0.25, 1, 0)</f>
        <v>0</v>
      </c>
      <c r="X901" s="7">
        <f t="shared" si="1745"/>
        <v>0</v>
      </c>
      <c r="Y901" s="8">
        <v>0.0</v>
      </c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</row>
    <row r="902" ht="22.5" customHeight="1">
      <c r="A902" s="5" t="s">
        <v>39</v>
      </c>
      <c r="B902" s="6">
        <v>901.0</v>
      </c>
      <c r="C902" s="6">
        <v>443.0</v>
      </c>
      <c r="D902" s="6">
        <v>1.74</v>
      </c>
      <c r="E902" s="6">
        <v>-0.45</v>
      </c>
      <c r="F902" s="6">
        <v>10.67</v>
      </c>
      <c r="G902" s="6">
        <v>-0.11</v>
      </c>
      <c r="H902" s="6">
        <v>-0.21</v>
      </c>
      <c r="I902" s="6">
        <v>-0.04</v>
      </c>
      <c r="J902" s="6">
        <v>33.14</v>
      </c>
      <c r="K902" s="7">
        <f t="shared" ref="K902:P902" si="1746">abs(D902-D901)/200</f>
        <v>0.0025</v>
      </c>
      <c r="L902" s="7">
        <f t="shared" si="1746"/>
        <v>0.00125</v>
      </c>
      <c r="M902" s="7">
        <f t="shared" si="1746"/>
        <v>0.0001</v>
      </c>
      <c r="N902" s="7">
        <f t="shared" si="1746"/>
        <v>0.00005</v>
      </c>
      <c r="O902" s="7">
        <f t="shared" si="1746"/>
        <v>0.00105</v>
      </c>
      <c r="P902" s="7">
        <f t="shared" si="1746"/>
        <v>0.00015</v>
      </c>
      <c r="Q902" s="7">
        <f t="shared" si="7"/>
        <v>0.1399175494</v>
      </c>
      <c r="R902" s="7">
        <f t="shared" si="8"/>
        <v>0.056769322</v>
      </c>
      <c r="S902" s="7">
        <f t="shared" si="2"/>
        <v>1.020304986</v>
      </c>
      <c r="T902" s="7">
        <f t="shared" si="3"/>
        <v>0.2404163056</v>
      </c>
      <c r="U902" s="7">
        <f t="shared" si="4"/>
        <v>1</v>
      </c>
      <c r="V902" s="7">
        <f t="shared" si="5"/>
        <v>1</v>
      </c>
      <c r="W902" s="7">
        <f t="shared" ref="W902:X902" si="1747">IF(AVERAGE(U842:U901) &gt; 0.25, 1, 0)</f>
        <v>0</v>
      </c>
      <c r="X902" s="7">
        <f t="shared" si="1747"/>
        <v>0</v>
      </c>
      <c r="Y902" s="8">
        <v>0.0</v>
      </c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</row>
    <row r="903" ht="22.5" customHeight="1">
      <c r="B903" s="6">
        <v>902.0</v>
      </c>
      <c r="C903" s="6">
        <v>647.0</v>
      </c>
      <c r="D903" s="6">
        <v>3.32</v>
      </c>
      <c r="E903" s="6">
        <v>1.7</v>
      </c>
      <c r="F903" s="6">
        <v>11.54</v>
      </c>
      <c r="G903" s="6">
        <v>2.46</v>
      </c>
      <c r="H903" s="6">
        <v>-1.52</v>
      </c>
      <c r="I903" s="6">
        <v>0.75</v>
      </c>
      <c r="J903" s="6">
        <v>33.15</v>
      </c>
      <c r="K903" s="7">
        <f t="shared" ref="K903:P903" si="1748">abs(D903-D902)/200</f>
        <v>0.0079</v>
      </c>
      <c r="L903" s="7">
        <f t="shared" si="1748"/>
        <v>0.01075</v>
      </c>
      <c r="M903" s="7">
        <f t="shared" si="1748"/>
        <v>0.00435</v>
      </c>
      <c r="N903" s="7">
        <f t="shared" si="1748"/>
        <v>0.01285</v>
      </c>
      <c r="O903" s="7">
        <f t="shared" si="1748"/>
        <v>0.00655</v>
      </c>
      <c r="P903" s="7">
        <f t="shared" si="1748"/>
        <v>0.00395</v>
      </c>
      <c r="Q903" s="7">
        <f t="shared" si="7"/>
        <v>2.74697386</v>
      </c>
      <c r="R903" s="7">
        <f t="shared" si="8"/>
        <v>1.307514273</v>
      </c>
      <c r="S903" s="7">
        <f t="shared" si="2"/>
        <v>2.32781926</v>
      </c>
      <c r="T903" s="7">
        <f t="shared" si="3"/>
        <v>2.987390165</v>
      </c>
      <c r="U903" s="7">
        <f t="shared" si="4"/>
        <v>1</v>
      </c>
      <c r="V903" s="7">
        <f t="shared" si="5"/>
        <v>1</v>
      </c>
      <c r="W903" s="7">
        <f t="shared" ref="W903:X903" si="1749">IF(AVERAGE(U843:U902) &gt; 0.25, 1, 0)</f>
        <v>0</v>
      </c>
      <c r="X903" s="7">
        <f t="shared" si="1749"/>
        <v>0</v>
      </c>
      <c r="Y903" s="8">
        <v>0.0</v>
      </c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</row>
    <row r="904" ht="22.5" customHeight="1">
      <c r="B904" s="6">
        <v>903.0</v>
      </c>
      <c r="C904" s="6">
        <v>851.0</v>
      </c>
      <c r="D904" s="6">
        <v>4.3</v>
      </c>
      <c r="E904" s="6">
        <v>4.86</v>
      </c>
      <c r="F904" s="6">
        <v>7.69</v>
      </c>
      <c r="G904" s="6">
        <v>2.26</v>
      </c>
      <c r="H904" s="6">
        <v>0.63</v>
      </c>
      <c r="I904" s="6">
        <v>-1.34</v>
      </c>
      <c r="J904" s="6">
        <v>33.17</v>
      </c>
      <c r="K904" s="7">
        <f t="shared" ref="K904:P904" si="1750">abs(D904-D903)/200</f>
        <v>0.0049</v>
      </c>
      <c r="L904" s="7">
        <f t="shared" si="1750"/>
        <v>0.0158</v>
      </c>
      <c r="M904" s="7">
        <f t="shared" si="1750"/>
        <v>0.01925</v>
      </c>
      <c r="N904" s="7">
        <f t="shared" si="1750"/>
        <v>0.001</v>
      </c>
      <c r="O904" s="7">
        <f t="shared" si="1750"/>
        <v>0.01075</v>
      </c>
      <c r="P904" s="7">
        <f t="shared" si="1750"/>
        <v>0.01045</v>
      </c>
      <c r="Q904" s="7">
        <f t="shared" si="7"/>
        <v>0.2855204424</v>
      </c>
      <c r="R904" s="7">
        <f t="shared" si="8"/>
        <v>2.065727032</v>
      </c>
      <c r="S904" s="7">
        <f t="shared" si="2"/>
        <v>0.2620922278</v>
      </c>
      <c r="T904" s="7">
        <f t="shared" si="3"/>
        <v>2.701869723</v>
      </c>
      <c r="U904" s="7">
        <f t="shared" si="4"/>
        <v>1</v>
      </c>
      <c r="V904" s="7">
        <f t="shared" si="5"/>
        <v>1</v>
      </c>
      <c r="W904" s="7">
        <f t="shared" ref="W904:X904" si="1751">IF(AVERAGE(U844:U903) &gt; 0.25, 1, 0)</f>
        <v>0</v>
      </c>
      <c r="X904" s="7">
        <f t="shared" si="1751"/>
        <v>0</v>
      </c>
      <c r="Y904" s="8">
        <v>0.0</v>
      </c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</row>
    <row r="905" ht="22.5" customHeight="1">
      <c r="B905" s="6">
        <v>904.0</v>
      </c>
      <c r="C905" s="6">
        <v>1055.0</v>
      </c>
      <c r="D905" s="6">
        <v>2.13</v>
      </c>
      <c r="E905" s="6">
        <v>8.5</v>
      </c>
      <c r="F905" s="6">
        <v>4.13</v>
      </c>
      <c r="G905" s="6">
        <v>1.95</v>
      </c>
      <c r="H905" s="6">
        <v>0.24</v>
      </c>
      <c r="I905" s="6">
        <v>-0.68</v>
      </c>
      <c r="J905" s="6">
        <v>33.17</v>
      </c>
      <c r="K905" s="7">
        <f t="shared" ref="K905:P905" si="1752">abs(D905-D904)/200</f>
        <v>0.01085</v>
      </c>
      <c r="L905" s="7">
        <f t="shared" si="1752"/>
        <v>0.0182</v>
      </c>
      <c r="M905" s="7">
        <f t="shared" si="1752"/>
        <v>0.0178</v>
      </c>
      <c r="N905" s="7">
        <f t="shared" si="1752"/>
        <v>0.00155</v>
      </c>
      <c r="O905" s="7">
        <f t="shared" si="1752"/>
        <v>0.00195</v>
      </c>
      <c r="P905" s="7">
        <f t="shared" si="1752"/>
        <v>0.0033</v>
      </c>
      <c r="Q905" s="7">
        <f t="shared" si="7"/>
        <v>0.6228074344</v>
      </c>
      <c r="R905" s="7">
        <f t="shared" si="8"/>
        <v>0.3747912621</v>
      </c>
      <c r="S905" s="7">
        <f t="shared" si="2"/>
        <v>-0.1126990343</v>
      </c>
      <c r="T905" s="7">
        <f t="shared" si="3"/>
        <v>2.079062289</v>
      </c>
      <c r="U905" s="7">
        <f t="shared" si="4"/>
        <v>1</v>
      </c>
      <c r="V905" s="7">
        <f t="shared" si="5"/>
        <v>1</v>
      </c>
      <c r="W905" s="7">
        <f t="shared" ref="W905:X905" si="1753">IF(AVERAGE(U845:U904) &gt; 0.25, 1, 0)</f>
        <v>0</v>
      </c>
      <c r="X905" s="7">
        <f t="shared" si="1753"/>
        <v>0</v>
      </c>
      <c r="Y905" s="8">
        <v>0.0</v>
      </c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</row>
    <row r="906" ht="22.5" customHeight="1">
      <c r="B906" s="6">
        <v>905.0</v>
      </c>
      <c r="C906" s="6">
        <v>1259.0</v>
      </c>
      <c r="D906" s="6">
        <v>0.03</v>
      </c>
      <c r="E906" s="6">
        <v>8.87</v>
      </c>
      <c r="F906" s="6">
        <v>1.1</v>
      </c>
      <c r="G906" s="6">
        <v>1.76</v>
      </c>
      <c r="H906" s="6">
        <v>0.33</v>
      </c>
      <c r="I906" s="6">
        <v>-0.46</v>
      </c>
      <c r="J906" s="6">
        <v>33.17</v>
      </c>
      <c r="K906" s="7">
        <f t="shared" ref="K906:P906" si="1754">abs(D906-D905)/200</f>
        <v>0.0105</v>
      </c>
      <c r="L906" s="7">
        <f t="shared" si="1754"/>
        <v>0.00185</v>
      </c>
      <c r="M906" s="7">
        <f t="shared" si="1754"/>
        <v>0.01515</v>
      </c>
      <c r="N906" s="7">
        <f t="shared" si="1754"/>
        <v>0.00095</v>
      </c>
      <c r="O906" s="7">
        <f t="shared" si="1754"/>
        <v>0.00045</v>
      </c>
      <c r="P906" s="7">
        <f t="shared" si="1754"/>
        <v>0.0011</v>
      </c>
      <c r="Q906" s="7">
        <f t="shared" si="7"/>
        <v>0.2302518603</v>
      </c>
      <c r="R906" s="7">
        <f t="shared" si="8"/>
        <v>0.7493034271</v>
      </c>
      <c r="S906" s="7">
        <f t="shared" si="2"/>
        <v>-0.8620024614</v>
      </c>
      <c r="T906" s="7">
        <f t="shared" si="3"/>
        <v>1.848810428</v>
      </c>
      <c r="U906" s="7">
        <f t="shared" si="4"/>
        <v>1</v>
      </c>
      <c r="V906" s="7">
        <f t="shared" si="5"/>
        <v>1</v>
      </c>
      <c r="W906" s="7">
        <f t="shared" ref="W906:X906" si="1755">IF(AVERAGE(U846:U905) &gt; 0.25, 1, 0)</f>
        <v>0</v>
      </c>
      <c r="X906" s="7">
        <f t="shared" si="1755"/>
        <v>0</v>
      </c>
      <c r="Y906" s="8">
        <v>0.0</v>
      </c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</row>
    <row r="907" ht="22.5" customHeight="1">
      <c r="B907" s="6">
        <v>906.0</v>
      </c>
      <c r="C907" s="6">
        <v>1463.0</v>
      </c>
      <c r="D907" s="6">
        <v>-0.64</v>
      </c>
      <c r="E907" s="6">
        <v>9.59</v>
      </c>
      <c r="F907" s="6">
        <v>-0.56</v>
      </c>
      <c r="G907" s="6">
        <v>-1.13</v>
      </c>
      <c r="H907" s="6">
        <v>0.12</v>
      </c>
      <c r="I907" s="6">
        <v>-0.64</v>
      </c>
      <c r="J907" s="6">
        <v>33.19</v>
      </c>
      <c r="K907" s="7">
        <f t="shared" ref="K907:P907" si="1756">abs(D907-D906)/200</f>
        <v>0.00335</v>
      </c>
      <c r="L907" s="7">
        <f t="shared" si="1756"/>
        <v>0.0036</v>
      </c>
      <c r="M907" s="7">
        <f t="shared" si="1756"/>
        <v>0.0083</v>
      </c>
      <c r="N907" s="7">
        <f t="shared" si="1756"/>
        <v>0.01445</v>
      </c>
      <c r="O907" s="7">
        <f t="shared" si="1756"/>
        <v>0.00105</v>
      </c>
      <c r="P907" s="7">
        <f t="shared" si="1756"/>
        <v>0.0009</v>
      </c>
      <c r="Q907" s="7">
        <f t="shared" si="7"/>
        <v>0.5446248587</v>
      </c>
      <c r="R907" s="7">
        <f t="shared" si="8"/>
        <v>0.689634569</v>
      </c>
      <c r="S907" s="7">
        <f t="shared" si="2"/>
        <v>-0.1723678924</v>
      </c>
      <c r="T907" s="7">
        <f t="shared" si="3"/>
        <v>1.30418557</v>
      </c>
      <c r="U907" s="7">
        <f t="shared" si="4"/>
        <v>1</v>
      </c>
      <c r="V907" s="7">
        <f t="shared" si="5"/>
        <v>1</v>
      </c>
      <c r="W907" s="7">
        <f t="shared" ref="W907:X907" si="1757">IF(AVERAGE(U847:U906) &gt; 0.25, 1, 0)</f>
        <v>0</v>
      </c>
      <c r="X907" s="7">
        <f t="shared" si="1757"/>
        <v>0</v>
      </c>
      <c r="Y907" s="8">
        <v>0.0</v>
      </c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</row>
    <row r="908" ht="22.5" customHeight="1">
      <c r="B908" s="6">
        <v>907.0</v>
      </c>
      <c r="C908" s="6">
        <v>1667.0</v>
      </c>
      <c r="D908" s="6">
        <v>3.25</v>
      </c>
      <c r="E908" s="6">
        <v>8.14</v>
      </c>
      <c r="F908" s="6">
        <v>2.19</v>
      </c>
      <c r="G908" s="6">
        <v>0.2</v>
      </c>
      <c r="H908" s="6">
        <v>0.35</v>
      </c>
      <c r="I908" s="6">
        <v>0.71</v>
      </c>
      <c r="J908" s="6">
        <v>33.18</v>
      </c>
      <c r="K908" s="7">
        <f t="shared" ref="K908:P908" si="1758">abs(D908-D907)/200</f>
        <v>0.01945</v>
      </c>
      <c r="L908" s="7">
        <f t="shared" si="1758"/>
        <v>0.00725</v>
      </c>
      <c r="M908" s="7">
        <f t="shared" si="1758"/>
        <v>0.01375</v>
      </c>
      <c r="N908" s="7">
        <f t="shared" si="1758"/>
        <v>0.00665</v>
      </c>
      <c r="O908" s="7">
        <f t="shared" si="1758"/>
        <v>0.00115</v>
      </c>
      <c r="P908" s="7">
        <f t="shared" si="1758"/>
        <v>0.00675</v>
      </c>
      <c r="Q908" s="7">
        <f t="shared" si="7"/>
        <v>0.4877298145</v>
      </c>
      <c r="R908" s="7">
        <f t="shared" si="8"/>
        <v>0.5933529444</v>
      </c>
      <c r="S908" s="7">
        <f t="shared" si="2"/>
        <v>-0.7657208367</v>
      </c>
      <c r="T908" s="7">
        <f t="shared" si="3"/>
        <v>0.8164557551</v>
      </c>
      <c r="U908" s="7">
        <f t="shared" si="4"/>
        <v>1</v>
      </c>
      <c r="V908" s="7">
        <f t="shared" si="5"/>
        <v>1</v>
      </c>
      <c r="W908" s="7">
        <f t="shared" ref="W908:X908" si="1759">IF(AVERAGE(U848:U907) &gt; 0.25, 1, 0)</f>
        <v>0</v>
      </c>
      <c r="X908" s="7">
        <f t="shared" si="1759"/>
        <v>0</v>
      </c>
      <c r="Y908" s="8">
        <v>0.0</v>
      </c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</row>
    <row r="909" ht="22.5" customHeight="1">
      <c r="B909" s="6">
        <v>908.0</v>
      </c>
      <c r="C909" s="6">
        <v>1871.0</v>
      </c>
      <c r="D909" s="6">
        <v>1.54</v>
      </c>
      <c r="E909" s="6">
        <v>9.13</v>
      </c>
      <c r="F909" s="6">
        <v>0.31</v>
      </c>
      <c r="G909" s="6">
        <v>-0.31</v>
      </c>
      <c r="H909" s="6">
        <v>0.0</v>
      </c>
      <c r="I909" s="6">
        <v>0.17</v>
      </c>
      <c r="J909" s="6">
        <v>33.19</v>
      </c>
      <c r="K909" s="7">
        <f t="shared" ref="K909:P909" si="1760">abs(D909-D908)/200</f>
        <v>0.00855</v>
      </c>
      <c r="L909" s="7">
        <f t="shared" si="1760"/>
        <v>0.00495</v>
      </c>
      <c r="M909" s="7">
        <f t="shared" si="1760"/>
        <v>0.0094</v>
      </c>
      <c r="N909" s="7">
        <f t="shared" si="1760"/>
        <v>0.00255</v>
      </c>
      <c r="O909" s="7">
        <f t="shared" si="1760"/>
        <v>0.00175</v>
      </c>
      <c r="P909" s="7">
        <f t="shared" si="1760"/>
        <v>0.0027</v>
      </c>
      <c r="Q909" s="7">
        <f t="shared" si="7"/>
        <v>0.4629023645</v>
      </c>
      <c r="R909" s="7">
        <f t="shared" si="8"/>
        <v>0.2298775711</v>
      </c>
      <c r="S909" s="7">
        <f t="shared" si="2"/>
        <v>-0.5358432656</v>
      </c>
      <c r="T909" s="7">
        <f t="shared" si="3"/>
        <v>0.3535533906</v>
      </c>
      <c r="U909" s="7">
        <f t="shared" si="4"/>
        <v>1</v>
      </c>
      <c r="V909" s="7">
        <f t="shared" si="5"/>
        <v>1</v>
      </c>
      <c r="W909" s="7">
        <f t="shared" ref="W909:X909" si="1761">IF(AVERAGE(U849:U908) &gt; 0.25, 1, 0)</f>
        <v>0</v>
      </c>
      <c r="X909" s="7">
        <f t="shared" si="1761"/>
        <v>0</v>
      </c>
      <c r="Y909" s="8">
        <v>0.0</v>
      </c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</row>
    <row r="910" ht="22.5" customHeight="1">
      <c r="B910" s="6">
        <v>909.0</v>
      </c>
      <c r="C910" s="6">
        <v>2075.0</v>
      </c>
      <c r="D910" s="6">
        <v>0.46</v>
      </c>
      <c r="E910" s="6">
        <v>9.78</v>
      </c>
      <c r="F910" s="6">
        <v>1.13</v>
      </c>
      <c r="G910" s="6">
        <v>-0.05</v>
      </c>
      <c r="H910" s="6">
        <v>-0.01</v>
      </c>
      <c r="I910" s="6">
        <v>-0.1</v>
      </c>
      <c r="J910" s="6">
        <v>33.21</v>
      </c>
      <c r="K910" s="7">
        <f t="shared" ref="K910:P910" si="1762">abs(D910-D909)/200</f>
        <v>0.0054</v>
      </c>
      <c r="L910" s="7">
        <f t="shared" si="1762"/>
        <v>0.00325</v>
      </c>
      <c r="M910" s="7">
        <f t="shared" si="1762"/>
        <v>0.0041</v>
      </c>
      <c r="N910" s="7">
        <f t="shared" si="1762"/>
        <v>0.0013</v>
      </c>
      <c r="O910" s="7">
        <f t="shared" si="1762"/>
        <v>0.00005</v>
      </c>
      <c r="P910" s="7">
        <f t="shared" si="1762"/>
        <v>0.00135</v>
      </c>
      <c r="Q910" s="7">
        <f t="shared" si="7"/>
        <v>0.241303669</v>
      </c>
      <c r="R910" s="7">
        <f t="shared" si="8"/>
        <v>0.5916486614</v>
      </c>
      <c r="S910" s="7">
        <f t="shared" si="2"/>
        <v>0.05580539581</v>
      </c>
      <c r="T910" s="7">
        <f t="shared" si="3"/>
        <v>0.1122497216</v>
      </c>
      <c r="U910" s="7">
        <f t="shared" si="4"/>
        <v>1</v>
      </c>
      <c r="V910" s="7">
        <f t="shared" si="5"/>
        <v>1</v>
      </c>
      <c r="W910" s="7">
        <f t="shared" ref="W910:X910" si="1763">IF(AVERAGE(U850:U909) &gt; 0.25, 1, 0)</f>
        <v>0</v>
      </c>
      <c r="X910" s="7">
        <f t="shared" si="1763"/>
        <v>0</v>
      </c>
      <c r="Y910" s="8">
        <v>0.0</v>
      </c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</row>
    <row r="911" ht="22.5" customHeight="1">
      <c r="B911" s="6">
        <v>910.0</v>
      </c>
      <c r="C911" s="6">
        <v>3707.0</v>
      </c>
      <c r="D911" s="6">
        <v>0.38</v>
      </c>
      <c r="E911" s="6">
        <v>9.83</v>
      </c>
      <c r="F911" s="6">
        <v>0.77</v>
      </c>
      <c r="G911" s="6">
        <v>-0.15</v>
      </c>
      <c r="H911" s="6">
        <v>0.0</v>
      </c>
      <c r="I911" s="6">
        <v>-0.02</v>
      </c>
      <c r="J911" s="6">
        <v>33.22</v>
      </c>
      <c r="K911" s="7">
        <f t="shared" ref="K911:P911" si="1764">abs(D911-D910)/200</f>
        <v>0.0004</v>
      </c>
      <c r="L911" s="7">
        <f t="shared" si="1764"/>
        <v>0.00025</v>
      </c>
      <c r="M911" s="7">
        <f t="shared" si="1764"/>
        <v>0.0018</v>
      </c>
      <c r="N911" s="7">
        <f t="shared" si="1764"/>
        <v>0.0005</v>
      </c>
      <c r="O911" s="7">
        <f t="shared" si="1764"/>
        <v>0.00005</v>
      </c>
      <c r="P911" s="7">
        <f t="shared" si="1764"/>
        <v>0.0004</v>
      </c>
      <c r="Q911" s="7">
        <f t="shared" si="7"/>
        <v>0.0390777379</v>
      </c>
      <c r="R911" s="7">
        <f t="shared" si="8"/>
        <v>0.01162588087</v>
      </c>
      <c r="S911" s="7">
        <f t="shared" si="2"/>
        <v>0.06743127668</v>
      </c>
      <c r="T911" s="7">
        <f t="shared" si="3"/>
        <v>0.1513274595</v>
      </c>
      <c r="U911" s="7">
        <f t="shared" si="4"/>
        <v>1</v>
      </c>
      <c r="V911" s="7">
        <f t="shared" si="5"/>
        <v>1</v>
      </c>
      <c r="W911" s="7">
        <f t="shared" ref="W911:X911" si="1765">IF(AVERAGE(U851:U910) &gt; 0.25, 1, 0)</f>
        <v>0</v>
      </c>
      <c r="X911" s="7">
        <f t="shared" si="1765"/>
        <v>0</v>
      </c>
      <c r="Y911" s="8">
        <v>0.0</v>
      </c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</row>
    <row r="912" ht="22.5" customHeight="1">
      <c r="B912" s="6">
        <v>911.0</v>
      </c>
      <c r="C912" s="6">
        <v>3911.0</v>
      </c>
      <c r="D912" s="6">
        <v>0.12</v>
      </c>
      <c r="E912" s="6">
        <v>9.83</v>
      </c>
      <c r="F912" s="6">
        <v>1.01</v>
      </c>
      <c r="G912" s="6">
        <v>0.15</v>
      </c>
      <c r="H912" s="6">
        <v>0.01</v>
      </c>
      <c r="I912" s="6">
        <v>0.01</v>
      </c>
      <c r="J912" s="6">
        <v>33.22</v>
      </c>
      <c r="K912" s="7">
        <f t="shared" ref="K912:P912" si="1766">abs(D912-D911)/200</f>
        <v>0.0013</v>
      </c>
      <c r="L912" s="7">
        <f t="shared" si="1766"/>
        <v>0</v>
      </c>
      <c r="M912" s="7">
        <f t="shared" si="1766"/>
        <v>0.0012</v>
      </c>
      <c r="N912" s="7">
        <f t="shared" si="1766"/>
        <v>0.0015</v>
      </c>
      <c r="O912" s="7">
        <f t="shared" si="1766"/>
        <v>0.00005</v>
      </c>
      <c r="P912" s="7">
        <f t="shared" si="1766"/>
        <v>0.00015</v>
      </c>
      <c r="Q912" s="7">
        <f t="shared" si="7"/>
        <v>0.000662267771</v>
      </c>
      <c r="R912" s="7">
        <f t="shared" si="8"/>
        <v>0.01504816929</v>
      </c>
      <c r="S912" s="7">
        <f t="shared" si="2"/>
        <v>0.08247944597</v>
      </c>
      <c r="T912" s="7">
        <f t="shared" si="3"/>
        <v>0.1506651917</v>
      </c>
      <c r="U912" s="7">
        <f t="shared" si="4"/>
        <v>1</v>
      </c>
      <c r="V912" s="7">
        <f t="shared" si="5"/>
        <v>1</v>
      </c>
      <c r="W912" s="7">
        <f t="shared" ref="W912:X912" si="1767">IF(AVERAGE(U852:U911) &gt; 0.25, 1, 0)</f>
        <v>0</v>
      </c>
      <c r="X912" s="7">
        <f t="shared" si="1767"/>
        <v>0</v>
      </c>
      <c r="Y912" s="8">
        <v>0.0</v>
      </c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</row>
    <row r="913" ht="22.5" customHeight="1">
      <c r="B913" s="6">
        <v>912.0</v>
      </c>
      <c r="C913" s="6">
        <v>4115.0</v>
      </c>
      <c r="D913" s="6">
        <v>0.45</v>
      </c>
      <c r="E913" s="6">
        <v>9.77</v>
      </c>
      <c r="F913" s="6">
        <v>0.66</v>
      </c>
      <c r="G913" s="6">
        <v>0.33</v>
      </c>
      <c r="H913" s="6">
        <v>0.01</v>
      </c>
      <c r="I913" s="6">
        <v>-0.02</v>
      </c>
      <c r="J913" s="6">
        <v>33.24</v>
      </c>
      <c r="K913" s="7">
        <f t="shared" ref="K913:P913" si="1768">abs(D913-D912)/200</f>
        <v>0.00165</v>
      </c>
      <c r="L913" s="7">
        <f t="shared" si="1768"/>
        <v>0.0003</v>
      </c>
      <c r="M913" s="7">
        <f t="shared" si="1768"/>
        <v>0.00175</v>
      </c>
      <c r="N913" s="7">
        <f t="shared" si="1768"/>
        <v>0.0009</v>
      </c>
      <c r="O913" s="7">
        <f t="shared" si="1768"/>
        <v>0</v>
      </c>
      <c r="P913" s="7">
        <f t="shared" si="1768"/>
        <v>0.00015</v>
      </c>
      <c r="Q913" s="7">
        <f t="shared" si="7"/>
        <v>0.1800915164</v>
      </c>
      <c r="R913" s="7">
        <f t="shared" si="8"/>
        <v>0.0798777505</v>
      </c>
      <c r="S913" s="7">
        <f t="shared" si="2"/>
        <v>0.002601695468</v>
      </c>
      <c r="T913" s="7">
        <f t="shared" si="3"/>
        <v>0.3307567082</v>
      </c>
      <c r="U913" s="7">
        <f t="shared" si="4"/>
        <v>1</v>
      </c>
      <c r="V913" s="7">
        <f t="shared" si="5"/>
        <v>1</v>
      </c>
      <c r="W913" s="7">
        <f t="shared" ref="W913:X913" si="1769">IF(AVERAGE(U853:U912) &gt; 0.25, 1, 0)</f>
        <v>0</v>
      </c>
      <c r="X913" s="7">
        <f t="shared" si="1769"/>
        <v>0</v>
      </c>
      <c r="Y913" s="8">
        <v>0.0</v>
      </c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</row>
    <row r="914" ht="22.5" customHeight="1">
      <c r="B914" s="6">
        <v>913.0</v>
      </c>
      <c r="C914" s="6">
        <v>4319.0</v>
      </c>
      <c r="D914" s="6">
        <v>0.13</v>
      </c>
      <c r="E914" s="6">
        <v>9.77</v>
      </c>
      <c r="F914" s="6">
        <v>-0.93</v>
      </c>
      <c r="G914" s="6">
        <v>-0.03</v>
      </c>
      <c r="H914" s="6">
        <v>-0.01</v>
      </c>
      <c r="I914" s="6">
        <v>-0.06</v>
      </c>
      <c r="J914" s="6">
        <v>33.23</v>
      </c>
      <c r="K914" s="7">
        <f t="shared" ref="K914:P914" si="1770">abs(D914-D913)/200</f>
        <v>0.0016</v>
      </c>
      <c r="L914" s="7">
        <f t="shared" si="1770"/>
        <v>0</v>
      </c>
      <c r="M914" s="7">
        <f t="shared" si="1770"/>
        <v>0.00795</v>
      </c>
      <c r="N914" s="7">
        <f t="shared" si="1770"/>
        <v>0.0018</v>
      </c>
      <c r="O914" s="7">
        <f t="shared" si="1770"/>
        <v>0.0001</v>
      </c>
      <c r="P914" s="7">
        <f t="shared" si="1770"/>
        <v>0.0002</v>
      </c>
      <c r="Q914" s="7">
        <f t="shared" si="7"/>
        <v>0.2629334083</v>
      </c>
      <c r="R914" s="7">
        <f t="shared" si="8"/>
        <v>0.01242250216</v>
      </c>
      <c r="S914" s="7">
        <f t="shared" si="2"/>
        <v>0.01502419763</v>
      </c>
      <c r="T914" s="7">
        <f t="shared" si="3"/>
        <v>0.06782329983</v>
      </c>
      <c r="U914" s="7">
        <f t="shared" si="4"/>
        <v>1</v>
      </c>
      <c r="V914" s="7">
        <f t="shared" si="5"/>
        <v>1</v>
      </c>
      <c r="W914" s="7">
        <f t="shared" ref="W914:X914" si="1771">IF(AVERAGE(U854:U913) &gt; 0.25, 1, 0)</f>
        <v>0</v>
      </c>
      <c r="X914" s="7">
        <f t="shared" si="1771"/>
        <v>0</v>
      </c>
      <c r="Y914" s="8">
        <v>0.0</v>
      </c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</row>
    <row r="915" ht="22.5" customHeight="1">
      <c r="B915" s="6">
        <v>914.0</v>
      </c>
      <c r="C915" s="6">
        <v>4523.0</v>
      </c>
      <c r="D915" s="6">
        <v>0.07</v>
      </c>
      <c r="E915" s="6">
        <v>9.84</v>
      </c>
      <c r="F915" s="6">
        <v>-0.58</v>
      </c>
      <c r="G915" s="6">
        <v>-0.52</v>
      </c>
      <c r="H915" s="6">
        <v>-0.02</v>
      </c>
      <c r="I915" s="6">
        <v>-0.07</v>
      </c>
      <c r="J915" s="6">
        <v>33.22</v>
      </c>
      <c r="K915" s="7">
        <f t="shared" ref="K915:P915" si="1772">abs(D915-D914)/200</f>
        <v>0.0003</v>
      </c>
      <c r="L915" s="7">
        <f t="shared" si="1772"/>
        <v>0.00035</v>
      </c>
      <c r="M915" s="7">
        <f t="shared" si="1772"/>
        <v>0.00175</v>
      </c>
      <c r="N915" s="7">
        <f t="shared" si="1772"/>
        <v>0.00245</v>
      </c>
      <c r="O915" s="7">
        <f t="shared" si="1772"/>
        <v>0.00005</v>
      </c>
      <c r="P915" s="7">
        <f t="shared" si="1772"/>
        <v>0.00005</v>
      </c>
      <c r="Q915" s="7">
        <f t="shared" si="7"/>
        <v>0.4572481239</v>
      </c>
      <c r="R915" s="7">
        <f t="shared" si="8"/>
        <v>0.04230302632</v>
      </c>
      <c r="S915" s="7">
        <f t="shared" si="2"/>
        <v>0.05732722395</v>
      </c>
      <c r="T915" s="7">
        <f t="shared" si="3"/>
        <v>0.5250714237</v>
      </c>
      <c r="U915" s="7">
        <f t="shared" si="4"/>
        <v>1</v>
      </c>
      <c r="V915" s="7">
        <f t="shared" si="5"/>
        <v>1</v>
      </c>
      <c r="W915" s="7">
        <f t="shared" ref="W915:X915" si="1773">IF(AVERAGE(U855:U914) &gt; 0.25, 1, 0)</f>
        <v>0</v>
      </c>
      <c r="X915" s="7">
        <f t="shared" si="1773"/>
        <v>0</v>
      </c>
      <c r="Y915" s="8">
        <v>0.0</v>
      </c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</row>
    <row r="916" ht="22.5" customHeight="1">
      <c r="B916" s="6">
        <v>915.0</v>
      </c>
      <c r="C916" s="6">
        <v>4727.0</v>
      </c>
      <c r="D916" s="6">
        <v>-0.48</v>
      </c>
      <c r="E916" s="6">
        <v>10.15</v>
      </c>
      <c r="F916" s="6">
        <v>2.75</v>
      </c>
      <c r="G916" s="6">
        <v>-0.62</v>
      </c>
      <c r="H916" s="6">
        <v>-0.01</v>
      </c>
      <c r="I916" s="6">
        <v>0.56</v>
      </c>
      <c r="J916" s="6">
        <v>33.22</v>
      </c>
      <c r="K916" s="7">
        <f t="shared" ref="K916:P916" si="1774">abs(D916-D915)/200</f>
        <v>0.00275</v>
      </c>
      <c r="L916" s="7">
        <f t="shared" si="1774"/>
        <v>0.00155</v>
      </c>
      <c r="M916" s="7">
        <f t="shared" si="1774"/>
        <v>0.01665</v>
      </c>
      <c r="N916" s="7">
        <f t="shared" si="1774"/>
        <v>0.0005</v>
      </c>
      <c r="O916" s="7">
        <f t="shared" si="1774"/>
        <v>0.00005</v>
      </c>
      <c r="P916" s="7">
        <f t="shared" si="1774"/>
        <v>0.00315</v>
      </c>
      <c r="Q916" s="7">
        <f t="shared" si="7"/>
        <v>0.3104523641</v>
      </c>
      <c r="R916" s="7">
        <f t="shared" si="8"/>
        <v>0.6695621552</v>
      </c>
      <c r="S916" s="7">
        <f t="shared" si="2"/>
        <v>0.7268893791</v>
      </c>
      <c r="T916" s="7">
        <f t="shared" si="3"/>
        <v>0.8355237878</v>
      </c>
      <c r="U916" s="7">
        <f t="shared" si="4"/>
        <v>1</v>
      </c>
      <c r="V916" s="7">
        <f t="shared" si="5"/>
        <v>1</v>
      </c>
      <c r="W916" s="7">
        <f t="shared" ref="W916:X916" si="1775">IF(AVERAGE(U856:U915) &gt; 0.25, 1, 0)</f>
        <v>0</v>
      </c>
      <c r="X916" s="7">
        <f t="shared" si="1775"/>
        <v>0</v>
      </c>
      <c r="Y916" s="8">
        <v>0.0</v>
      </c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</row>
    <row r="917" ht="22.5" customHeight="1">
      <c r="B917" s="6">
        <v>916.0</v>
      </c>
      <c r="C917" s="6">
        <v>4931.0</v>
      </c>
      <c r="D917" s="6">
        <v>0.78</v>
      </c>
      <c r="E917" s="6">
        <v>9.4</v>
      </c>
      <c r="F917" s="6">
        <v>2.21</v>
      </c>
      <c r="G917" s="6">
        <v>-0.17</v>
      </c>
      <c r="H917" s="6">
        <v>0.03</v>
      </c>
      <c r="I917" s="6">
        <v>-0.31</v>
      </c>
      <c r="J917" s="6">
        <v>33.21</v>
      </c>
      <c r="K917" s="7">
        <f t="shared" ref="K917:P917" si="1776">abs(D917-D916)/200</f>
        <v>0.0063</v>
      </c>
      <c r="L917" s="7">
        <f t="shared" si="1776"/>
        <v>0.00375</v>
      </c>
      <c r="M917" s="7">
        <f t="shared" si="1776"/>
        <v>0.0027</v>
      </c>
      <c r="N917" s="7">
        <f t="shared" si="1776"/>
        <v>0.00225</v>
      </c>
      <c r="O917" s="7">
        <f t="shared" si="1776"/>
        <v>0.0002</v>
      </c>
      <c r="P917" s="7">
        <f t="shared" si="1776"/>
        <v>0.00435</v>
      </c>
      <c r="Q917" s="7">
        <f t="shared" si="7"/>
        <v>0.4806998878</v>
      </c>
      <c r="R917" s="7">
        <f t="shared" si="8"/>
        <v>0.8391393823</v>
      </c>
      <c r="S917" s="7">
        <f t="shared" si="2"/>
        <v>-0.1122500032</v>
      </c>
      <c r="T917" s="7">
        <f t="shared" si="3"/>
        <v>0.3548239</v>
      </c>
      <c r="U917" s="7">
        <f t="shared" si="4"/>
        <v>1</v>
      </c>
      <c r="V917" s="7">
        <f t="shared" si="5"/>
        <v>1</v>
      </c>
      <c r="W917" s="7">
        <f t="shared" ref="W917:X917" si="1777">IF(AVERAGE(U857:U916) &gt; 0.25, 1, 0)</f>
        <v>0</v>
      </c>
      <c r="X917" s="7">
        <f t="shared" si="1777"/>
        <v>0</v>
      </c>
      <c r="Y917" s="8">
        <v>0.0</v>
      </c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</row>
    <row r="918" ht="22.5" customHeight="1">
      <c r="B918" s="6">
        <v>917.0</v>
      </c>
      <c r="C918" s="6">
        <v>5135.0</v>
      </c>
      <c r="D918" s="6">
        <v>-0.23</v>
      </c>
      <c r="E918" s="6">
        <v>10.09</v>
      </c>
      <c r="F918" s="6">
        <v>1.66</v>
      </c>
      <c r="G918" s="6">
        <v>0.26</v>
      </c>
      <c r="H918" s="6">
        <v>-0.01</v>
      </c>
      <c r="I918" s="6">
        <v>0.35</v>
      </c>
      <c r="J918" s="6">
        <v>33.22</v>
      </c>
      <c r="K918" s="7">
        <f t="shared" ref="K918:P918" si="1778">abs(D918-D917)/200</f>
        <v>0.00505</v>
      </c>
      <c r="L918" s="7">
        <f t="shared" si="1778"/>
        <v>0.00345</v>
      </c>
      <c r="M918" s="7">
        <f t="shared" si="1778"/>
        <v>0.00275</v>
      </c>
      <c r="N918" s="7">
        <f t="shared" si="1778"/>
        <v>0.00215</v>
      </c>
      <c r="O918" s="7">
        <f t="shared" si="1778"/>
        <v>0.0002</v>
      </c>
      <c r="P918" s="7">
        <f t="shared" si="1778"/>
        <v>0.0033</v>
      </c>
      <c r="Q918" s="7">
        <f t="shared" si="7"/>
        <v>0.08129534976</v>
      </c>
      <c r="R918" s="7">
        <f t="shared" si="8"/>
        <v>0.5404756558</v>
      </c>
      <c r="S918" s="7">
        <f t="shared" si="2"/>
        <v>0.4282256526</v>
      </c>
      <c r="T918" s="7">
        <f t="shared" si="3"/>
        <v>0.4361192497</v>
      </c>
      <c r="U918" s="7">
        <f t="shared" si="4"/>
        <v>1</v>
      </c>
      <c r="V918" s="7">
        <f t="shared" si="5"/>
        <v>1</v>
      </c>
      <c r="W918" s="7">
        <f t="shared" ref="W918:X918" si="1779">IF(AVERAGE(U858:U917) &gt; 0.25, 1, 0)</f>
        <v>1</v>
      </c>
      <c r="X918" s="7">
        <f t="shared" si="1779"/>
        <v>1</v>
      </c>
      <c r="Y918" s="8">
        <v>0.0</v>
      </c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</row>
    <row r="919" ht="22.5" customHeight="1">
      <c r="B919" s="6">
        <v>918.0</v>
      </c>
      <c r="C919" s="6">
        <v>5339.0</v>
      </c>
      <c r="D919" s="6">
        <v>-0.27</v>
      </c>
      <c r="E919" s="6">
        <v>9.86</v>
      </c>
      <c r="F919" s="6">
        <v>1.53</v>
      </c>
      <c r="G919" s="6">
        <v>-0.2</v>
      </c>
      <c r="H919" s="6">
        <v>0.0</v>
      </c>
      <c r="I919" s="6">
        <v>0.05</v>
      </c>
      <c r="J919" s="6">
        <v>33.22</v>
      </c>
      <c r="K919" s="7">
        <f t="shared" ref="K919:P919" si="1780">abs(D919-D918)/200</f>
        <v>0.0002</v>
      </c>
      <c r="L919" s="7">
        <f t="shared" si="1780"/>
        <v>0.00115</v>
      </c>
      <c r="M919" s="7">
        <f t="shared" si="1780"/>
        <v>0.00065</v>
      </c>
      <c r="N919" s="7">
        <f t="shared" si="1780"/>
        <v>0.0023</v>
      </c>
      <c r="O919" s="7">
        <f t="shared" si="1780"/>
        <v>0.00005</v>
      </c>
      <c r="P919" s="7">
        <f t="shared" si="1780"/>
        <v>0.0015</v>
      </c>
      <c r="Q919" s="7">
        <f t="shared" si="7"/>
        <v>0.2299639685</v>
      </c>
      <c r="R919" s="7">
        <f t="shared" si="8"/>
        <v>0.2465724829</v>
      </c>
      <c r="S919" s="7">
        <f t="shared" si="2"/>
        <v>0.1816531697</v>
      </c>
      <c r="T919" s="7">
        <f t="shared" si="3"/>
        <v>0.2061552813</v>
      </c>
      <c r="U919" s="7">
        <f t="shared" si="4"/>
        <v>1</v>
      </c>
      <c r="V919" s="7">
        <f t="shared" si="5"/>
        <v>1</v>
      </c>
      <c r="W919" s="7">
        <f t="shared" ref="W919:X919" si="1781">IF(AVERAGE(U859:U918) &gt; 0.25, 1, 0)</f>
        <v>1</v>
      </c>
      <c r="X919" s="7">
        <f t="shared" si="1781"/>
        <v>1</v>
      </c>
      <c r="Y919" s="8">
        <v>0.0</v>
      </c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</row>
    <row r="920" ht="22.5" customHeight="1">
      <c r="B920" s="6">
        <v>919.0</v>
      </c>
      <c r="C920" s="6">
        <v>5543.0</v>
      </c>
      <c r="D920" s="6">
        <v>-0.06</v>
      </c>
      <c r="E920" s="6">
        <v>9.78</v>
      </c>
      <c r="F920" s="6">
        <v>1.87</v>
      </c>
      <c r="G920" s="6">
        <v>0.14</v>
      </c>
      <c r="H920" s="6">
        <v>-0.01</v>
      </c>
      <c r="I920" s="6">
        <v>0.06</v>
      </c>
      <c r="J920" s="6">
        <v>33.2</v>
      </c>
      <c r="K920" s="7">
        <f t="shared" ref="K920:P920" si="1782">abs(D920-D919)/200</f>
        <v>0.00105</v>
      </c>
      <c r="L920" s="7">
        <f t="shared" si="1782"/>
        <v>0.0004</v>
      </c>
      <c r="M920" s="7">
        <f t="shared" si="1782"/>
        <v>0.0017</v>
      </c>
      <c r="N920" s="7">
        <f t="shared" si="1782"/>
        <v>0.0017</v>
      </c>
      <c r="O920" s="7">
        <f t="shared" si="1782"/>
        <v>0.00005</v>
      </c>
      <c r="P920" s="7">
        <f t="shared" si="1782"/>
        <v>0.00005</v>
      </c>
      <c r="Q920" s="7">
        <f t="shared" si="7"/>
        <v>0.05351190606</v>
      </c>
      <c r="R920" s="7">
        <f t="shared" si="8"/>
        <v>0.02429910347</v>
      </c>
      <c r="S920" s="7">
        <f t="shared" si="2"/>
        <v>0.1573540662</v>
      </c>
      <c r="T920" s="7">
        <f t="shared" si="3"/>
        <v>0.1526433752</v>
      </c>
      <c r="U920" s="7">
        <f t="shared" si="4"/>
        <v>1</v>
      </c>
      <c r="V920" s="7">
        <f t="shared" si="5"/>
        <v>1</v>
      </c>
      <c r="W920" s="7">
        <f t="shared" ref="W920:X920" si="1783">IF(AVERAGE(U860:U919) &gt; 0.25, 1, 0)</f>
        <v>1</v>
      </c>
      <c r="X920" s="7">
        <f t="shared" si="1783"/>
        <v>1</v>
      </c>
      <c r="Y920" s="8">
        <v>0.0</v>
      </c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</row>
    <row r="921" ht="22.5" customHeight="1">
      <c r="B921" s="6">
        <v>920.0</v>
      </c>
      <c r="C921" s="6">
        <v>5747.0</v>
      </c>
      <c r="D921" s="6">
        <v>0.25</v>
      </c>
      <c r="E921" s="6">
        <v>9.73</v>
      </c>
      <c r="F921" s="6">
        <v>0.75</v>
      </c>
      <c r="G921" s="6">
        <v>-0.02</v>
      </c>
      <c r="H921" s="6">
        <v>-0.01</v>
      </c>
      <c r="I921" s="6">
        <v>-0.35</v>
      </c>
      <c r="J921" s="6">
        <v>33.21</v>
      </c>
      <c r="K921" s="7">
        <f t="shared" ref="K921:P921" si="1784">abs(D921-D920)/200</f>
        <v>0.00155</v>
      </c>
      <c r="L921" s="7">
        <f t="shared" si="1784"/>
        <v>0.00025</v>
      </c>
      <c r="M921" s="7">
        <f t="shared" si="1784"/>
        <v>0.0056</v>
      </c>
      <c r="N921" s="7">
        <f t="shared" si="1784"/>
        <v>0.0008</v>
      </c>
      <c r="O921" s="7">
        <f t="shared" si="1784"/>
        <v>0</v>
      </c>
      <c r="P921" s="7">
        <f t="shared" si="1784"/>
        <v>0.00205</v>
      </c>
      <c r="Q921" s="7">
        <f t="shared" si="7"/>
        <v>0.1980701831</v>
      </c>
      <c r="R921" s="7">
        <f t="shared" si="8"/>
        <v>0.1952897353</v>
      </c>
      <c r="S921" s="7">
        <f t="shared" si="2"/>
        <v>-0.03793566913</v>
      </c>
      <c r="T921" s="7">
        <f t="shared" si="3"/>
        <v>0.3507135583</v>
      </c>
      <c r="U921" s="7">
        <f t="shared" si="4"/>
        <v>1</v>
      </c>
      <c r="V921" s="7">
        <f t="shared" si="5"/>
        <v>1</v>
      </c>
      <c r="W921" s="7">
        <f t="shared" ref="W921:X921" si="1785">IF(AVERAGE(U861:U920) &gt; 0.25, 1, 0)</f>
        <v>1</v>
      </c>
      <c r="X921" s="7">
        <f t="shared" si="1785"/>
        <v>1</v>
      </c>
      <c r="Y921" s="8">
        <v>0.0</v>
      </c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</row>
    <row r="922" ht="22.5" customHeight="1">
      <c r="B922" s="6">
        <v>921.0</v>
      </c>
      <c r="C922" s="6">
        <v>5951.0</v>
      </c>
      <c r="D922" s="6">
        <v>-0.04</v>
      </c>
      <c r="E922" s="6">
        <v>9.84</v>
      </c>
      <c r="F922" s="6">
        <v>1.38</v>
      </c>
      <c r="G922" s="6">
        <v>0.05</v>
      </c>
      <c r="H922" s="6">
        <v>0.0</v>
      </c>
      <c r="I922" s="6">
        <v>0.1</v>
      </c>
      <c r="J922" s="6">
        <v>33.22</v>
      </c>
      <c r="K922" s="7">
        <f t="shared" ref="K922:P922" si="1786">abs(D922-D921)/200</f>
        <v>0.00145</v>
      </c>
      <c r="L922" s="7">
        <f t="shared" si="1786"/>
        <v>0.00055</v>
      </c>
      <c r="M922" s="7">
        <f t="shared" si="1786"/>
        <v>0.00315</v>
      </c>
      <c r="N922" s="7">
        <f t="shared" si="1786"/>
        <v>0.00035</v>
      </c>
      <c r="O922" s="7">
        <f t="shared" si="1786"/>
        <v>0.00005</v>
      </c>
      <c r="P922" s="7">
        <f t="shared" si="1786"/>
        <v>0.00225</v>
      </c>
      <c r="Q922" s="7">
        <f t="shared" si="7"/>
        <v>0.2389101595</v>
      </c>
      <c r="R922" s="7">
        <f t="shared" si="8"/>
        <v>0.1743132787</v>
      </c>
      <c r="S922" s="7">
        <f t="shared" si="2"/>
        <v>0.1363776096</v>
      </c>
      <c r="T922" s="7">
        <f t="shared" si="3"/>
        <v>0.1118033989</v>
      </c>
      <c r="U922" s="7">
        <f t="shared" si="4"/>
        <v>1</v>
      </c>
      <c r="V922" s="7">
        <f t="shared" si="5"/>
        <v>1</v>
      </c>
      <c r="W922" s="7">
        <f t="shared" ref="W922:X922" si="1787">IF(AVERAGE(U862:U921) &gt; 0.25, 1, 0)</f>
        <v>1</v>
      </c>
      <c r="X922" s="7">
        <f t="shared" si="1787"/>
        <v>1</v>
      </c>
      <c r="Y922" s="8">
        <v>0.0</v>
      </c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</row>
    <row r="923" ht="22.5" customHeight="1">
      <c r="B923" s="6">
        <v>922.0</v>
      </c>
      <c r="C923" s="6">
        <v>6155.0</v>
      </c>
      <c r="D923" s="6">
        <v>-0.06</v>
      </c>
      <c r="E923" s="6">
        <v>9.88</v>
      </c>
      <c r="F923" s="6">
        <v>0.81</v>
      </c>
      <c r="G923" s="6">
        <v>-0.1</v>
      </c>
      <c r="H923" s="6">
        <v>0.0</v>
      </c>
      <c r="I923" s="6">
        <v>0.02</v>
      </c>
      <c r="J923" s="6">
        <v>33.21</v>
      </c>
      <c r="K923" s="7">
        <f t="shared" ref="K923:P923" si="1788">abs(D923-D922)/200</f>
        <v>0.0001</v>
      </c>
      <c r="L923" s="7">
        <f t="shared" si="1788"/>
        <v>0.0002</v>
      </c>
      <c r="M923" s="7">
        <f t="shared" si="1788"/>
        <v>0.00285</v>
      </c>
      <c r="N923" s="7">
        <f t="shared" si="1788"/>
        <v>0.00075</v>
      </c>
      <c r="O923" s="7">
        <f t="shared" si="1788"/>
        <v>0</v>
      </c>
      <c r="P923" s="7">
        <f t="shared" si="1788"/>
        <v>0.0004</v>
      </c>
      <c r="Q923" s="7">
        <f t="shared" si="7"/>
        <v>0.009823008603</v>
      </c>
      <c r="R923" s="7">
        <f t="shared" si="8"/>
        <v>0.02304819913</v>
      </c>
      <c r="S923" s="7">
        <f t="shared" si="2"/>
        <v>0.1133294104</v>
      </c>
      <c r="T923" s="7">
        <f t="shared" si="3"/>
        <v>0.1019803903</v>
      </c>
      <c r="U923" s="7">
        <f t="shared" si="4"/>
        <v>1</v>
      </c>
      <c r="V923" s="7">
        <f t="shared" si="5"/>
        <v>1</v>
      </c>
      <c r="W923" s="7">
        <f t="shared" ref="W923:X923" si="1789">IF(AVERAGE(U863:U922) &gt; 0.25, 1, 0)</f>
        <v>1</v>
      </c>
      <c r="X923" s="7">
        <f t="shared" si="1789"/>
        <v>1</v>
      </c>
      <c r="Y923" s="8">
        <v>0.0</v>
      </c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</row>
    <row r="924" ht="22.5" customHeight="1">
      <c r="B924" s="6">
        <v>923.0</v>
      </c>
      <c r="C924" s="6">
        <v>6359.0</v>
      </c>
      <c r="D924" s="6">
        <v>0.09</v>
      </c>
      <c r="E924" s="6">
        <v>9.8</v>
      </c>
      <c r="F924" s="6">
        <v>0.55</v>
      </c>
      <c r="G924" s="6">
        <v>-0.22</v>
      </c>
      <c r="H924" s="6">
        <v>-0.01</v>
      </c>
      <c r="I924" s="6">
        <v>-0.15</v>
      </c>
      <c r="J924" s="6">
        <v>33.21</v>
      </c>
      <c r="K924" s="7">
        <f t="shared" ref="K924:P924" si="1790">abs(D924-D923)/200</f>
        <v>0.00075</v>
      </c>
      <c r="L924" s="7">
        <f t="shared" si="1790"/>
        <v>0.0004</v>
      </c>
      <c r="M924" s="7">
        <f t="shared" si="1790"/>
        <v>0.0013</v>
      </c>
      <c r="N924" s="7">
        <f t="shared" si="1790"/>
        <v>0.0006</v>
      </c>
      <c r="O924" s="7">
        <f t="shared" si="1790"/>
        <v>0.00005</v>
      </c>
      <c r="P924" s="7">
        <f t="shared" si="1790"/>
        <v>0.00085</v>
      </c>
      <c r="Q924" s="7">
        <f t="shared" si="7"/>
        <v>0.1644778616</v>
      </c>
      <c r="R924" s="7">
        <f t="shared" si="8"/>
        <v>0.09749526352</v>
      </c>
      <c r="S924" s="7">
        <f t="shared" si="2"/>
        <v>0.01583414693</v>
      </c>
      <c r="T924" s="7">
        <f t="shared" si="3"/>
        <v>0.2664582519</v>
      </c>
      <c r="U924" s="7">
        <f t="shared" si="4"/>
        <v>1</v>
      </c>
      <c r="V924" s="7">
        <f t="shared" si="5"/>
        <v>1</v>
      </c>
      <c r="W924" s="7">
        <f t="shared" ref="W924:X924" si="1791">IF(AVERAGE(U864:U923) &gt; 0.25, 1, 0)</f>
        <v>1</v>
      </c>
      <c r="X924" s="7">
        <f t="shared" si="1791"/>
        <v>1</v>
      </c>
      <c r="Y924" s="8">
        <v>0.0</v>
      </c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</row>
    <row r="925" ht="22.5" customHeight="1">
      <c r="B925" s="6">
        <v>924.0</v>
      </c>
      <c r="C925" s="6">
        <v>6563.0</v>
      </c>
      <c r="D925" s="6">
        <v>0.14</v>
      </c>
      <c r="E925" s="6">
        <v>9.93</v>
      </c>
      <c r="F925" s="6">
        <v>1.12</v>
      </c>
      <c r="G925" s="6">
        <v>-0.13</v>
      </c>
      <c r="H925" s="6">
        <v>0.0</v>
      </c>
      <c r="I925" s="6">
        <v>0.04</v>
      </c>
      <c r="J925" s="6">
        <v>33.21</v>
      </c>
      <c r="K925" s="7">
        <f t="shared" ref="K925:P925" si="1792">abs(D925-D924)/200</f>
        <v>0.00025</v>
      </c>
      <c r="L925" s="7">
        <f t="shared" si="1792"/>
        <v>0.00065</v>
      </c>
      <c r="M925" s="7">
        <f t="shared" si="1792"/>
        <v>0.00285</v>
      </c>
      <c r="N925" s="7">
        <f t="shared" si="1792"/>
        <v>0.00045</v>
      </c>
      <c r="O925" s="7">
        <f t="shared" si="1792"/>
        <v>0.00005</v>
      </c>
      <c r="P925" s="7">
        <f t="shared" si="1792"/>
        <v>0.00095</v>
      </c>
      <c r="Q925" s="7">
        <f t="shared" si="7"/>
        <v>0.1304435468</v>
      </c>
      <c r="R925" s="7">
        <f t="shared" si="8"/>
        <v>0.1781090188</v>
      </c>
      <c r="S925" s="7">
        <f t="shared" si="2"/>
        <v>0.1939431657</v>
      </c>
      <c r="T925" s="7">
        <f t="shared" si="3"/>
        <v>0.1360147051</v>
      </c>
      <c r="U925" s="7">
        <f t="shared" si="4"/>
        <v>1</v>
      </c>
      <c r="V925" s="7">
        <f t="shared" si="5"/>
        <v>1</v>
      </c>
      <c r="W925" s="7">
        <f t="shared" ref="W925:X925" si="1793">IF(AVERAGE(U865:U924) &gt; 0.25, 1, 0)</f>
        <v>1</v>
      </c>
      <c r="X925" s="7">
        <f t="shared" si="1793"/>
        <v>1</v>
      </c>
      <c r="Y925" s="8">
        <v>0.0</v>
      </c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</row>
    <row r="926" ht="22.5" customHeight="1">
      <c r="B926" s="6">
        <v>925.0</v>
      </c>
      <c r="C926" s="6">
        <v>6767.0</v>
      </c>
      <c r="D926" s="6">
        <v>0.06</v>
      </c>
      <c r="E926" s="6">
        <v>9.78</v>
      </c>
      <c r="F926" s="6">
        <v>1.37</v>
      </c>
      <c r="G926" s="6">
        <v>-0.17</v>
      </c>
      <c r="H926" s="6">
        <v>-0.01</v>
      </c>
      <c r="I926" s="6">
        <v>-0.11</v>
      </c>
      <c r="J926" s="6">
        <v>33.21</v>
      </c>
      <c r="K926" s="7">
        <f t="shared" ref="K926:P926" si="1794">abs(D926-D925)/200</f>
        <v>0.0004</v>
      </c>
      <c r="L926" s="7">
        <f t="shared" si="1794"/>
        <v>0.00075</v>
      </c>
      <c r="M926" s="7">
        <f t="shared" si="1794"/>
        <v>0.00125</v>
      </c>
      <c r="N926" s="7">
        <f t="shared" si="1794"/>
        <v>0.0002</v>
      </c>
      <c r="O926" s="7">
        <f t="shared" si="1794"/>
        <v>0.00005</v>
      </c>
      <c r="P926" s="7">
        <f t="shared" si="1794"/>
        <v>0.00075</v>
      </c>
      <c r="Q926" s="7">
        <f t="shared" si="7"/>
        <v>0.06671664424</v>
      </c>
      <c r="R926" s="7">
        <f t="shared" si="8"/>
        <v>0.1182710367</v>
      </c>
      <c r="S926" s="7">
        <f t="shared" si="2"/>
        <v>0.07567212902</v>
      </c>
      <c r="T926" s="7">
        <f t="shared" si="3"/>
        <v>0.2027313493</v>
      </c>
      <c r="U926" s="7">
        <f t="shared" si="4"/>
        <v>1</v>
      </c>
      <c r="V926" s="7">
        <f t="shared" si="5"/>
        <v>1</v>
      </c>
      <c r="W926" s="7">
        <f t="shared" ref="W926:X926" si="1795">IF(AVERAGE(U866:U925) &gt; 0.25, 1, 0)</f>
        <v>1</v>
      </c>
      <c r="X926" s="7">
        <f t="shared" si="1795"/>
        <v>1</v>
      </c>
      <c r="Y926" s="8">
        <v>0.0</v>
      </c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</row>
    <row r="927" ht="22.5" customHeight="1">
      <c r="B927" s="6">
        <v>926.0</v>
      </c>
      <c r="C927" s="6">
        <v>6971.0</v>
      </c>
      <c r="D927" s="6">
        <v>0.52</v>
      </c>
      <c r="E927" s="6">
        <v>9.62</v>
      </c>
      <c r="F927" s="6">
        <v>2.15</v>
      </c>
      <c r="G927" s="6">
        <v>-1.0</v>
      </c>
      <c r="H927" s="6">
        <v>-0.01</v>
      </c>
      <c r="I927" s="6">
        <v>0.45</v>
      </c>
      <c r="J927" s="6">
        <v>33.22</v>
      </c>
      <c r="K927" s="7">
        <f t="shared" ref="K927:P927" si="1796">abs(D927-D926)/200</f>
        <v>0.0023</v>
      </c>
      <c r="L927" s="7">
        <f t="shared" si="1796"/>
        <v>0.0008</v>
      </c>
      <c r="M927" s="7">
        <f t="shared" si="1796"/>
        <v>0.0039</v>
      </c>
      <c r="N927" s="7">
        <f t="shared" si="1796"/>
        <v>0.00415</v>
      </c>
      <c r="O927" s="7">
        <f t="shared" si="1796"/>
        <v>0</v>
      </c>
      <c r="P927" s="7">
        <f t="shared" si="1796"/>
        <v>0.0028</v>
      </c>
      <c r="Q927" s="7">
        <f t="shared" si="7"/>
        <v>0.8938998558</v>
      </c>
      <c r="R927" s="7">
        <f t="shared" si="8"/>
        <v>0.004638748472</v>
      </c>
      <c r="S927" s="7">
        <f t="shared" si="2"/>
        <v>0.07103338055</v>
      </c>
      <c r="T927" s="7">
        <f t="shared" si="3"/>
        <v>1.096631205</v>
      </c>
      <c r="U927" s="7">
        <f t="shared" si="4"/>
        <v>1</v>
      </c>
      <c r="V927" s="7">
        <f t="shared" si="5"/>
        <v>1</v>
      </c>
      <c r="W927" s="7">
        <f t="shared" ref="W927:X927" si="1797">IF(AVERAGE(U867:U926) &gt; 0.25, 1, 0)</f>
        <v>1</v>
      </c>
      <c r="X927" s="7">
        <f t="shared" si="1797"/>
        <v>1</v>
      </c>
      <c r="Y927" s="8">
        <v>0.0</v>
      </c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</row>
    <row r="928" ht="22.5" customHeight="1">
      <c r="B928" s="6">
        <v>927.0</v>
      </c>
      <c r="C928" s="6">
        <v>7175.0</v>
      </c>
      <c r="D928" s="6">
        <v>-1.02</v>
      </c>
      <c r="E928" s="6">
        <v>9.45</v>
      </c>
      <c r="F928" s="6">
        <v>3.19</v>
      </c>
      <c r="G928" s="6">
        <v>-0.43</v>
      </c>
      <c r="H928" s="6">
        <v>0.03</v>
      </c>
      <c r="I928" s="6">
        <v>0.13</v>
      </c>
      <c r="J928" s="6">
        <v>33.21</v>
      </c>
      <c r="K928" s="7">
        <f t="shared" ref="K928:P928" si="1798">abs(D928-D927)/200</f>
        <v>0.0077</v>
      </c>
      <c r="L928" s="7">
        <f t="shared" si="1798"/>
        <v>0.00085</v>
      </c>
      <c r="M928" s="7">
        <f t="shared" si="1798"/>
        <v>0.0052</v>
      </c>
      <c r="N928" s="7">
        <f t="shared" si="1798"/>
        <v>0.00285</v>
      </c>
      <c r="O928" s="7">
        <f t="shared" si="1798"/>
        <v>0.0002</v>
      </c>
      <c r="P928" s="7">
        <f t="shared" si="1798"/>
        <v>0.0016</v>
      </c>
      <c r="Q928" s="7">
        <f t="shared" si="7"/>
        <v>0.6464090377</v>
      </c>
      <c r="R928" s="7">
        <f t="shared" si="8"/>
        <v>0.1548830364</v>
      </c>
      <c r="S928" s="7">
        <f t="shared" si="2"/>
        <v>0.225916417</v>
      </c>
      <c r="T928" s="7">
        <f t="shared" si="3"/>
        <v>0.4502221674</v>
      </c>
      <c r="U928" s="7">
        <f t="shared" si="4"/>
        <v>1</v>
      </c>
      <c r="V928" s="7">
        <f t="shared" si="5"/>
        <v>1</v>
      </c>
      <c r="W928" s="7">
        <f t="shared" ref="W928:X928" si="1799">IF(AVERAGE(U868:U927) &gt; 0.25, 1, 0)</f>
        <v>1</v>
      </c>
      <c r="X928" s="7">
        <f t="shared" si="1799"/>
        <v>1</v>
      </c>
      <c r="Y928" s="8">
        <v>0.0</v>
      </c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</row>
    <row r="929" ht="22.5" customHeight="1">
      <c r="B929" s="6">
        <v>928.0</v>
      </c>
      <c r="C929" s="6">
        <v>7379.0</v>
      </c>
      <c r="D929" s="6">
        <v>-0.16</v>
      </c>
      <c r="E929" s="6">
        <v>10.03</v>
      </c>
      <c r="F929" s="6">
        <v>2.25</v>
      </c>
      <c r="G929" s="6">
        <v>0.15</v>
      </c>
      <c r="H929" s="6">
        <v>0.0</v>
      </c>
      <c r="I929" s="6">
        <v>-0.1</v>
      </c>
      <c r="J929" s="6">
        <v>33.22</v>
      </c>
      <c r="K929" s="7">
        <f t="shared" ref="K929:P929" si="1800">abs(D929-D928)/200</f>
        <v>0.0043</v>
      </c>
      <c r="L929" s="7">
        <f t="shared" si="1800"/>
        <v>0.0029</v>
      </c>
      <c r="M929" s="7">
        <f t="shared" si="1800"/>
        <v>0.0047</v>
      </c>
      <c r="N929" s="7">
        <f t="shared" si="1800"/>
        <v>0.0029</v>
      </c>
      <c r="O929" s="7">
        <f t="shared" si="1800"/>
        <v>0.00015</v>
      </c>
      <c r="P929" s="7">
        <f t="shared" si="1800"/>
        <v>0.00115</v>
      </c>
      <c r="Q929" s="7">
        <f t="shared" si="7"/>
        <v>0.2699446036</v>
      </c>
      <c r="R929" s="7">
        <f t="shared" si="8"/>
        <v>0.2545991343</v>
      </c>
      <c r="S929" s="7">
        <f t="shared" si="2"/>
        <v>0.4805155513</v>
      </c>
      <c r="T929" s="7">
        <f t="shared" si="3"/>
        <v>0.1802775638</v>
      </c>
      <c r="U929" s="7">
        <f t="shared" si="4"/>
        <v>1</v>
      </c>
      <c r="V929" s="7">
        <f t="shared" si="5"/>
        <v>1</v>
      </c>
      <c r="W929" s="7">
        <f t="shared" ref="W929:X929" si="1801">IF(AVERAGE(U869:U928) &gt; 0.25, 1, 0)</f>
        <v>1</v>
      </c>
      <c r="X929" s="7">
        <f t="shared" si="1801"/>
        <v>1</v>
      </c>
      <c r="Y929" s="8">
        <v>0.0</v>
      </c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</row>
    <row r="930" ht="22.5" customHeight="1">
      <c r="B930" s="6">
        <v>929.0</v>
      </c>
      <c r="C930" s="6">
        <v>7583.0</v>
      </c>
      <c r="D930" s="6">
        <v>0.23</v>
      </c>
      <c r="E930" s="6">
        <v>9.75</v>
      </c>
      <c r="F930" s="6">
        <v>2.52</v>
      </c>
      <c r="G930" s="6">
        <v>-0.15</v>
      </c>
      <c r="H930" s="6">
        <v>-0.01</v>
      </c>
      <c r="I930" s="6">
        <v>0.15</v>
      </c>
      <c r="J930" s="6">
        <v>33.23</v>
      </c>
      <c r="K930" s="7">
        <f t="shared" ref="K930:P930" si="1802">abs(D930-D929)/200</f>
        <v>0.00195</v>
      </c>
      <c r="L930" s="7">
        <f t="shared" si="1802"/>
        <v>0.0014</v>
      </c>
      <c r="M930" s="7">
        <f t="shared" si="1802"/>
        <v>0.00135</v>
      </c>
      <c r="N930" s="7">
        <f t="shared" si="1802"/>
        <v>0.0015</v>
      </c>
      <c r="O930" s="7">
        <f t="shared" si="1802"/>
        <v>0.00005</v>
      </c>
      <c r="P930" s="7">
        <f t="shared" si="1802"/>
        <v>0.00125</v>
      </c>
      <c r="Q930" s="7">
        <f t="shared" si="7"/>
        <v>0.03209004204</v>
      </c>
      <c r="R930" s="7">
        <f t="shared" si="8"/>
        <v>0.207492172</v>
      </c>
      <c r="S930" s="7">
        <f t="shared" si="2"/>
        <v>0.2730233793</v>
      </c>
      <c r="T930" s="7">
        <f t="shared" si="3"/>
        <v>0.2123676058</v>
      </c>
      <c r="U930" s="7">
        <f t="shared" si="4"/>
        <v>1</v>
      </c>
      <c r="V930" s="7">
        <f t="shared" si="5"/>
        <v>1</v>
      </c>
      <c r="W930" s="7">
        <f t="shared" ref="W930:X930" si="1803">IF(AVERAGE(U870:U929) &gt; 0.25, 1, 0)</f>
        <v>1</v>
      </c>
      <c r="X930" s="7">
        <f t="shared" si="1803"/>
        <v>1</v>
      </c>
      <c r="Y930" s="8">
        <v>0.0</v>
      </c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</row>
    <row r="931" ht="22.5" customHeight="1">
      <c r="B931" s="6">
        <v>930.0</v>
      </c>
      <c r="C931" s="6">
        <v>7787.0</v>
      </c>
      <c r="D931" s="6">
        <v>0.41</v>
      </c>
      <c r="E931" s="6">
        <v>9.69</v>
      </c>
      <c r="F931" s="6">
        <v>2.35</v>
      </c>
      <c r="G931" s="6">
        <v>-0.1</v>
      </c>
      <c r="H931" s="6">
        <v>0.0</v>
      </c>
      <c r="I931" s="6">
        <v>-0.04</v>
      </c>
      <c r="J931" s="6">
        <v>33.23</v>
      </c>
      <c r="K931" s="7">
        <f t="shared" ref="K931:P931" si="1804">abs(D931-D930)/200</f>
        <v>0.0009</v>
      </c>
      <c r="L931" s="7">
        <f t="shared" si="1804"/>
        <v>0.0003</v>
      </c>
      <c r="M931" s="7">
        <f t="shared" si="1804"/>
        <v>0.00085</v>
      </c>
      <c r="N931" s="7">
        <f t="shared" si="1804"/>
        <v>0.00025</v>
      </c>
      <c r="O931" s="7">
        <f t="shared" si="1804"/>
        <v>0.00005</v>
      </c>
      <c r="P931" s="7">
        <f t="shared" si="1804"/>
        <v>0.00095</v>
      </c>
      <c r="Q931" s="7">
        <f t="shared" si="7"/>
        <v>0.1046643097</v>
      </c>
      <c r="R931" s="7">
        <f t="shared" si="8"/>
        <v>0.09370977565</v>
      </c>
      <c r="S931" s="7">
        <f t="shared" si="2"/>
        <v>0.1793136037</v>
      </c>
      <c r="T931" s="7">
        <f t="shared" si="3"/>
        <v>0.1077032961</v>
      </c>
      <c r="U931" s="7">
        <f t="shared" si="4"/>
        <v>1</v>
      </c>
      <c r="V931" s="7">
        <f t="shared" si="5"/>
        <v>1</v>
      </c>
      <c r="W931" s="7">
        <f t="shared" ref="W931:X931" si="1805">IF(AVERAGE(U871:U930) &gt; 0.25, 1, 0)</f>
        <v>1</v>
      </c>
      <c r="X931" s="7">
        <f t="shared" si="1805"/>
        <v>1</v>
      </c>
      <c r="Y931" s="8">
        <v>0.0</v>
      </c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</row>
    <row r="932" ht="22.5" customHeight="1">
      <c r="B932" s="6">
        <v>931.0</v>
      </c>
      <c r="C932" s="6">
        <v>7991.0</v>
      </c>
      <c r="D932" s="6">
        <v>0.53</v>
      </c>
      <c r="E932" s="6">
        <v>9.67</v>
      </c>
      <c r="F932" s="6">
        <v>2.43</v>
      </c>
      <c r="G932" s="6">
        <v>-0.09</v>
      </c>
      <c r="H932" s="6">
        <v>-0.01</v>
      </c>
      <c r="I932" s="6">
        <v>0.02</v>
      </c>
      <c r="J932" s="6">
        <v>33.23</v>
      </c>
      <c r="K932" s="7">
        <f t="shared" ref="K932:P932" si="1806">abs(D932-D931)/200</f>
        <v>0.0006</v>
      </c>
      <c r="L932" s="7">
        <f t="shared" si="1806"/>
        <v>0.0001</v>
      </c>
      <c r="M932" s="7">
        <f t="shared" si="1806"/>
        <v>0.0004</v>
      </c>
      <c r="N932" s="7">
        <f t="shared" si="1806"/>
        <v>0.00005</v>
      </c>
      <c r="O932" s="7">
        <f t="shared" si="1806"/>
        <v>0.00005</v>
      </c>
      <c r="P932" s="7">
        <f t="shared" si="1806"/>
        <v>0.0003</v>
      </c>
      <c r="Q932" s="7">
        <f t="shared" si="7"/>
        <v>0.01496711119</v>
      </c>
      <c r="R932" s="7">
        <f t="shared" si="8"/>
        <v>0.005409727519</v>
      </c>
      <c r="S932" s="7">
        <f t="shared" si="2"/>
        <v>0.1847233312</v>
      </c>
      <c r="T932" s="7">
        <f t="shared" si="3"/>
        <v>0.09273618495</v>
      </c>
      <c r="U932" s="7">
        <f t="shared" si="4"/>
        <v>1</v>
      </c>
      <c r="V932" s="7">
        <f t="shared" si="5"/>
        <v>0</v>
      </c>
      <c r="W932" s="7">
        <f t="shared" ref="W932:X932" si="1807">IF(AVERAGE(U872:U931) &gt; 0.25, 1, 0)</f>
        <v>1</v>
      </c>
      <c r="X932" s="7">
        <f t="shared" si="1807"/>
        <v>1</v>
      </c>
      <c r="Y932" s="8">
        <v>0.0</v>
      </c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</row>
    <row r="933" ht="22.5" customHeight="1">
      <c r="B933" s="6">
        <v>932.0</v>
      </c>
      <c r="C933" s="6">
        <v>8195.0</v>
      </c>
      <c r="D933" s="6">
        <v>0.5</v>
      </c>
      <c r="E933" s="6">
        <v>9.68</v>
      </c>
      <c r="F933" s="6">
        <v>2.35</v>
      </c>
      <c r="G933" s="6">
        <v>-0.08</v>
      </c>
      <c r="H933" s="6">
        <v>-0.01</v>
      </c>
      <c r="I933" s="6">
        <v>0.01</v>
      </c>
      <c r="J933" s="6">
        <v>33.23</v>
      </c>
      <c r="K933" s="7">
        <f t="shared" ref="K933:P933" si="1808">abs(D933-D932)/200</f>
        <v>0.00015</v>
      </c>
      <c r="L933" s="7">
        <f t="shared" si="1808"/>
        <v>0.00005</v>
      </c>
      <c r="M933" s="7">
        <f t="shared" si="1808"/>
        <v>0.0004</v>
      </c>
      <c r="N933" s="7">
        <f t="shared" si="1808"/>
        <v>0.00005</v>
      </c>
      <c r="O933" s="7">
        <f t="shared" si="1808"/>
        <v>0</v>
      </c>
      <c r="P933" s="7">
        <f t="shared" si="1808"/>
        <v>0.00005</v>
      </c>
      <c r="Q933" s="7">
        <f t="shared" si="7"/>
        <v>0.01149580091</v>
      </c>
      <c r="R933" s="7">
        <f t="shared" si="8"/>
        <v>0.01101288821</v>
      </c>
      <c r="S933" s="7">
        <f t="shared" si="2"/>
        <v>0.173710443</v>
      </c>
      <c r="T933" s="7">
        <f t="shared" si="3"/>
        <v>0.08124038405</v>
      </c>
      <c r="U933" s="7">
        <f t="shared" si="4"/>
        <v>1</v>
      </c>
      <c r="V933" s="7">
        <f t="shared" si="5"/>
        <v>0</v>
      </c>
      <c r="W933" s="7">
        <f t="shared" ref="W933:X933" si="1809">IF(AVERAGE(U873:U932) &gt; 0.25, 1, 0)</f>
        <v>1</v>
      </c>
      <c r="X933" s="7">
        <f t="shared" si="1809"/>
        <v>1</v>
      </c>
      <c r="Y933" s="8">
        <v>0.0</v>
      </c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</row>
    <row r="934" ht="22.5" customHeight="1">
      <c r="B934" s="6">
        <v>933.0</v>
      </c>
      <c r="C934" s="6">
        <v>8399.0</v>
      </c>
      <c r="D934" s="6">
        <v>0.51</v>
      </c>
      <c r="E934" s="6">
        <v>9.71</v>
      </c>
      <c r="F934" s="6">
        <v>2.32</v>
      </c>
      <c r="G934" s="6">
        <v>-0.1</v>
      </c>
      <c r="H934" s="6">
        <v>0.0</v>
      </c>
      <c r="I934" s="6">
        <v>-0.01</v>
      </c>
      <c r="J934" s="6">
        <v>33.24</v>
      </c>
      <c r="K934" s="7">
        <f t="shared" ref="K934:P934" si="1810">abs(D934-D933)/200</f>
        <v>0.00005</v>
      </c>
      <c r="L934" s="7">
        <f t="shared" si="1810"/>
        <v>0.00015</v>
      </c>
      <c r="M934" s="7">
        <f t="shared" si="1810"/>
        <v>0.00015</v>
      </c>
      <c r="N934" s="7">
        <f t="shared" si="1810"/>
        <v>0.0001</v>
      </c>
      <c r="O934" s="7">
        <f t="shared" si="1810"/>
        <v>0.00005</v>
      </c>
      <c r="P934" s="7">
        <f t="shared" si="1810"/>
        <v>0.0001</v>
      </c>
      <c r="Q934" s="7">
        <f t="shared" si="7"/>
        <v>0.01925837216</v>
      </c>
      <c r="R934" s="7">
        <f t="shared" si="8"/>
        <v>0.02261888335</v>
      </c>
      <c r="S934" s="7">
        <f t="shared" si="2"/>
        <v>0.1963293263</v>
      </c>
      <c r="T934" s="7">
        <f t="shared" si="3"/>
        <v>0.1004987562</v>
      </c>
      <c r="U934" s="7">
        <f t="shared" si="4"/>
        <v>0</v>
      </c>
      <c r="V934" s="7">
        <f t="shared" si="5"/>
        <v>0</v>
      </c>
      <c r="W934" s="7">
        <f t="shared" ref="W934:X934" si="1811">IF(AVERAGE(U874:U933) &gt; 0.25, 1, 0)</f>
        <v>1</v>
      </c>
      <c r="X934" s="7">
        <f t="shared" si="1811"/>
        <v>1</v>
      </c>
      <c r="Y934" s="8">
        <v>0.0</v>
      </c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</row>
    <row r="935" ht="22.5" customHeight="1">
      <c r="B935" s="6">
        <v>934.0</v>
      </c>
      <c r="C935" s="6">
        <v>8603.0</v>
      </c>
      <c r="D935" s="6">
        <v>0.45</v>
      </c>
      <c r="E935" s="6">
        <v>9.73</v>
      </c>
      <c r="F935" s="6">
        <v>2.4</v>
      </c>
      <c r="G935" s="6">
        <v>-0.1</v>
      </c>
      <c r="H935" s="6">
        <v>0.0</v>
      </c>
      <c r="I935" s="6">
        <v>0.0</v>
      </c>
      <c r="J935" s="6">
        <v>33.23</v>
      </c>
      <c r="K935" s="7">
        <f t="shared" ref="K935:P935" si="1812">abs(D935-D934)/200</f>
        <v>0.0003</v>
      </c>
      <c r="L935" s="7">
        <f t="shared" si="1812"/>
        <v>0.0001</v>
      </c>
      <c r="M935" s="7">
        <f t="shared" si="1812"/>
        <v>0.0004</v>
      </c>
      <c r="N935" s="7">
        <f t="shared" si="1812"/>
        <v>0</v>
      </c>
      <c r="O935" s="7">
        <f t="shared" si="1812"/>
        <v>0</v>
      </c>
      <c r="P935" s="7">
        <f t="shared" si="1812"/>
        <v>0.00005</v>
      </c>
      <c r="Q935" s="7">
        <f t="shared" si="7"/>
        <v>0.0004987562112</v>
      </c>
      <c r="R935" s="7">
        <f t="shared" si="8"/>
        <v>0.03539036675</v>
      </c>
      <c r="S935" s="7">
        <f t="shared" si="2"/>
        <v>0.2317196931</v>
      </c>
      <c r="T935" s="7">
        <f t="shared" si="3"/>
        <v>0.1</v>
      </c>
      <c r="U935" s="7">
        <f t="shared" si="4"/>
        <v>1</v>
      </c>
      <c r="V935" s="7">
        <f t="shared" si="5"/>
        <v>0</v>
      </c>
      <c r="W935" s="7">
        <f t="shared" ref="W935:X935" si="1813">IF(AVERAGE(U875:U934) &gt; 0.25, 1, 0)</f>
        <v>1</v>
      </c>
      <c r="X935" s="7">
        <f t="shared" si="1813"/>
        <v>1</v>
      </c>
      <c r="Y935" s="8">
        <v>0.0</v>
      </c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</row>
    <row r="936" ht="22.5" customHeight="1">
      <c r="B936" s="6">
        <v>935.0</v>
      </c>
      <c r="C936" s="6">
        <v>8807.0</v>
      </c>
      <c r="D936" s="6">
        <v>0.56</v>
      </c>
      <c r="E936" s="6">
        <v>9.71</v>
      </c>
      <c r="F936" s="6">
        <v>2.4</v>
      </c>
      <c r="G936" s="6">
        <v>-0.09</v>
      </c>
      <c r="H936" s="6">
        <v>0.0</v>
      </c>
      <c r="I936" s="6">
        <v>0.0</v>
      </c>
      <c r="J936" s="6">
        <v>33.24</v>
      </c>
      <c r="K936" s="7">
        <f t="shared" ref="K936:P936" si="1814">abs(D936-D935)/200</f>
        <v>0.00055</v>
      </c>
      <c r="L936" s="7">
        <f t="shared" si="1814"/>
        <v>0.0001</v>
      </c>
      <c r="M936" s="7">
        <f t="shared" si="1814"/>
        <v>0</v>
      </c>
      <c r="N936" s="7">
        <f t="shared" si="1814"/>
        <v>0.00005</v>
      </c>
      <c r="O936" s="7">
        <f t="shared" si="1814"/>
        <v>0</v>
      </c>
      <c r="P936" s="7">
        <f t="shared" si="1814"/>
        <v>0</v>
      </c>
      <c r="Q936" s="7">
        <f t="shared" si="7"/>
        <v>0.01</v>
      </c>
      <c r="R936" s="7">
        <f t="shared" si="8"/>
        <v>0.01385065817</v>
      </c>
      <c r="S936" s="7">
        <f t="shared" si="2"/>
        <v>0.2178690349</v>
      </c>
      <c r="T936" s="7">
        <f t="shared" si="3"/>
        <v>0.09</v>
      </c>
      <c r="U936" s="7">
        <f t="shared" si="4"/>
        <v>1</v>
      </c>
      <c r="V936" s="7">
        <f t="shared" si="5"/>
        <v>0</v>
      </c>
      <c r="W936" s="7">
        <f t="shared" ref="W936:X936" si="1815">IF(AVERAGE(U876:U935) &gt; 0.25, 1, 0)</f>
        <v>1</v>
      </c>
      <c r="X936" s="7">
        <f t="shared" si="1815"/>
        <v>1</v>
      </c>
      <c r="Y936" s="8">
        <v>0.0</v>
      </c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</row>
    <row r="937" ht="22.5" customHeight="1">
      <c r="B937" s="6">
        <v>936.0</v>
      </c>
      <c r="C937" s="6">
        <v>9011.0</v>
      </c>
      <c r="D937" s="6">
        <v>0.58</v>
      </c>
      <c r="E937" s="6">
        <v>9.7</v>
      </c>
      <c r="F937" s="6">
        <v>2.37</v>
      </c>
      <c r="G937" s="6">
        <v>-0.1</v>
      </c>
      <c r="H937" s="6">
        <v>0.0</v>
      </c>
      <c r="I937" s="6">
        <v>-0.01</v>
      </c>
      <c r="J937" s="6">
        <v>33.23</v>
      </c>
      <c r="K937" s="7">
        <f t="shared" ref="K937:P937" si="1816">abs(D937-D936)/200</f>
        <v>0.0001</v>
      </c>
      <c r="L937" s="7">
        <f t="shared" si="1816"/>
        <v>0.00005</v>
      </c>
      <c r="M937" s="7">
        <f t="shared" si="1816"/>
        <v>0.00015</v>
      </c>
      <c r="N937" s="7">
        <f t="shared" si="1816"/>
        <v>0.00005</v>
      </c>
      <c r="O937" s="7">
        <f t="shared" si="1816"/>
        <v>0</v>
      </c>
      <c r="P937" s="7">
        <f t="shared" si="1816"/>
        <v>0.00005</v>
      </c>
      <c r="Q937" s="7">
        <f t="shared" si="7"/>
        <v>0.01049875621</v>
      </c>
      <c r="R937" s="7">
        <f t="shared" si="8"/>
        <v>0.01570426919</v>
      </c>
      <c r="S937" s="7">
        <f t="shared" si="2"/>
        <v>0.2021647657</v>
      </c>
      <c r="T937" s="7">
        <f t="shared" si="3"/>
        <v>0.1004987562</v>
      </c>
      <c r="U937" s="7">
        <f t="shared" si="4"/>
        <v>0</v>
      </c>
      <c r="V937" s="7">
        <f t="shared" si="5"/>
        <v>0</v>
      </c>
      <c r="W937" s="7">
        <f t="shared" ref="W937:X937" si="1817">IF(AVERAGE(U877:U936) &gt; 0.25, 1, 0)</f>
        <v>1</v>
      </c>
      <c r="X937" s="7">
        <f t="shared" si="1817"/>
        <v>1</v>
      </c>
      <c r="Y937" s="8">
        <v>0.0</v>
      </c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</row>
    <row r="938" ht="22.5" customHeight="1">
      <c r="B938" s="6">
        <v>937.0</v>
      </c>
      <c r="C938" s="6">
        <v>9215.0</v>
      </c>
      <c r="D938" s="6">
        <v>0.6</v>
      </c>
      <c r="E938" s="6">
        <v>9.7</v>
      </c>
      <c r="F938" s="6">
        <v>2.39</v>
      </c>
      <c r="G938" s="6">
        <v>-0.1</v>
      </c>
      <c r="H938" s="6">
        <v>-0.01</v>
      </c>
      <c r="I938" s="6">
        <v>0.01</v>
      </c>
      <c r="J938" s="6">
        <v>33.24</v>
      </c>
      <c r="K938" s="7">
        <f t="shared" ref="K938:P938" si="1818">abs(D938-D937)/200</f>
        <v>0.0001</v>
      </c>
      <c r="L938" s="7">
        <f t="shared" si="1818"/>
        <v>0</v>
      </c>
      <c r="M938" s="7">
        <f t="shared" si="1818"/>
        <v>0.0001</v>
      </c>
      <c r="N938" s="7">
        <f t="shared" si="1818"/>
        <v>0</v>
      </c>
      <c r="O938" s="7">
        <f t="shared" si="1818"/>
        <v>0.00005</v>
      </c>
      <c r="P938" s="7">
        <f t="shared" si="1818"/>
        <v>0.0001</v>
      </c>
      <c r="Q938" s="7">
        <f t="shared" si="7"/>
        <v>0.0004962931724</v>
      </c>
      <c r="R938" s="7">
        <f t="shared" si="8"/>
        <v>0.005936952419</v>
      </c>
      <c r="S938" s="7">
        <f t="shared" si="2"/>
        <v>0.2081017181</v>
      </c>
      <c r="T938" s="7">
        <f t="shared" si="3"/>
        <v>0.1009950494</v>
      </c>
      <c r="U938" s="7">
        <f t="shared" si="4"/>
        <v>0</v>
      </c>
      <c r="V938" s="7">
        <f t="shared" si="5"/>
        <v>0</v>
      </c>
      <c r="W938" s="7">
        <f t="shared" ref="W938:X938" si="1819">IF(AVERAGE(U878:U937) &gt; 0.25, 1, 0)</f>
        <v>1</v>
      </c>
      <c r="X938" s="7">
        <f t="shared" si="1819"/>
        <v>1</v>
      </c>
      <c r="Y938" s="8">
        <v>0.0</v>
      </c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</row>
    <row r="939" ht="22.5" customHeight="1">
      <c r="B939" s="6">
        <v>938.0</v>
      </c>
      <c r="C939" s="6">
        <v>9419.0</v>
      </c>
      <c r="D939" s="6">
        <v>0.63</v>
      </c>
      <c r="E939" s="6">
        <v>9.7</v>
      </c>
      <c r="F939" s="6">
        <v>2.33</v>
      </c>
      <c r="G939" s="6">
        <v>-0.08</v>
      </c>
      <c r="H939" s="6">
        <v>0.0</v>
      </c>
      <c r="I939" s="6">
        <v>-0.01</v>
      </c>
      <c r="J939" s="6">
        <v>33.25</v>
      </c>
      <c r="K939" s="7">
        <f t="shared" ref="K939:P939" si="1820">abs(D939-D938)/200</f>
        <v>0.00015</v>
      </c>
      <c r="L939" s="7">
        <f t="shared" si="1820"/>
        <v>0</v>
      </c>
      <c r="M939" s="7">
        <f t="shared" si="1820"/>
        <v>0.0003</v>
      </c>
      <c r="N939" s="7">
        <f t="shared" si="1820"/>
        <v>0.0001</v>
      </c>
      <c r="O939" s="7">
        <f t="shared" si="1820"/>
        <v>0.00005</v>
      </c>
      <c r="P939" s="7">
        <f t="shared" si="1820"/>
        <v>0.0001</v>
      </c>
      <c r="Q939" s="7">
        <f t="shared" si="7"/>
        <v>0.0203724719</v>
      </c>
      <c r="R939" s="7">
        <f t="shared" si="8"/>
        <v>0.01231260469</v>
      </c>
      <c r="S939" s="7">
        <f t="shared" si="2"/>
        <v>0.1957891134</v>
      </c>
      <c r="T939" s="7">
        <f t="shared" si="3"/>
        <v>0.08062257748</v>
      </c>
      <c r="U939" s="7">
        <f t="shared" si="4"/>
        <v>0</v>
      </c>
      <c r="V939" s="7">
        <f t="shared" si="5"/>
        <v>0</v>
      </c>
      <c r="W939" s="7">
        <f t="shared" ref="W939:X939" si="1821">IF(AVERAGE(U879:U938) &gt; 0.25, 1, 0)</f>
        <v>1</v>
      </c>
      <c r="X939" s="7">
        <f t="shared" si="1821"/>
        <v>1</v>
      </c>
      <c r="Y939" s="8">
        <v>0.0</v>
      </c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</row>
    <row r="940" ht="22.5" customHeight="1">
      <c r="B940" s="6">
        <v>939.0</v>
      </c>
      <c r="C940" s="6">
        <v>9623.0</v>
      </c>
      <c r="D940" s="6">
        <v>0.62</v>
      </c>
      <c r="E940" s="6">
        <v>9.7</v>
      </c>
      <c r="F940" s="6">
        <v>2.34</v>
      </c>
      <c r="G940" s="6">
        <v>-0.12</v>
      </c>
      <c r="H940" s="6">
        <v>0.0</v>
      </c>
      <c r="I940" s="6">
        <v>-0.01</v>
      </c>
      <c r="J940" s="6">
        <v>33.24</v>
      </c>
      <c r="K940" s="7">
        <f t="shared" ref="K940:P940" si="1822">abs(D940-D939)/200</f>
        <v>0.00005</v>
      </c>
      <c r="L940" s="7">
        <f t="shared" si="1822"/>
        <v>0</v>
      </c>
      <c r="M940" s="7">
        <f t="shared" si="1822"/>
        <v>0.00005</v>
      </c>
      <c r="N940" s="7">
        <f t="shared" si="1822"/>
        <v>0.0002</v>
      </c>
      <c r="O940" s="7">
        <f t="shared" si="1822"/>
        <v>0</v>
      </c>
      <c r="P940" s="7">
        <f t="shared" si="1822"/>
        <v>0</v>
      </c>
      <c r="Q940" s="7">
        <f t="shared" si="7"/>
        <v>0.0397933683</v>
      </c>
      <c r="R940" s="7">
        <f t="shared" si="8"/>
        <v>0.001710574</v>
      </c>
      <c r="S940" s="7">
        <f t="shared" si="2"/>
        <v>0.1974996874</v>
      </c>
      <c r="T940" s="7">
        <f t="shared" si="3"/>
        <v>0.1204159458</v>
      </c>
      <c r="U940" s="7">
        <f t="shared" si="4"/>
        <v>0</v>
      </c>
      <c r="V940" s="7">
        <f t="shared" si="5"/>
        <v>0</v>
      </c>
      <c r="W940" s="7">
        <f t="shared" ref="W940:X940" si="1823">IF(AVERAGE(U880:U939) &gt; 0.25, 1, 0)</f>
        <v>1</v>
      </c>
      <c r="X940" s="7">
        <f t="shared" si="1823"/>
        <v>1</v>
      </c>
      <c r="Y940" s="8">
        <v>0.0</v>
      </c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</row>
    <row r="941" ht="22.5" customHeight="1">
      <c r="B941" s="6">
        <v>940.0</v>
      </c>
      <c r="C941" s="6">
        <v>9827.0</v>
      </c>
      <c r="D941" s="6">
        <v>0.62</v>
      </c>
      <c r="E941" s="6">
        <v>9.7</v>
      </c>
      <c r="F941" s="6">
        <v>2.47</v>
      </c>
      <c r="G941" s="6">
        <v>-0.1</v>
      </c>
      <c r="H941" s="6">
        <v>0.0</v>
      </c>
      <c r="I941" s="6">
        <v>0.0</v>
      </c>
      <c r="J941" s="6">
        <v>33.24</v>
      </c>
      <c r="K941" s="7">
        <f t="shared" ref="K941:P941" si="1824">abs(D941-D940)/200</f>
        <v>0</v>
      </c>
      <c r="L941" s="7">
        <f t="shared" si="1824"/>
        <v>0</v>
      </c>
      <c r="M941" s="7">
        <f t="shared" si="1824"/>
        <v>0.00065</v>
      </c>
      <c r="N941" s="7">
        <f t="shared" si="1824"/>
        <v>0.0001</v>
      </c>
      <c r="O941" s="7">
        <f t="shared" si="1824"/>
        <v>0</v>
      </c>
      <c r="P941" s="7">
        <f t="shared" si="1824"/>
        <v>0.00005</v>
      </c>
      <c r="Q941" s="7">
        <f t="shared" si="7"/>
        <v>0.02041594579</v>
      </c>
      <c r="R941" s="7">
        <f t="shared" si="8"/>
        <v>0.0312240599</v>
      </c>
      <c r="S941" s="7">
        <f t="shared" si="2"/>
        <v>0.2287237473</v>
      </c>
      <c r="T941" s="7">
        <f t="shared" si="3"/>
        <v>0.1</v>
      </c>
      <c r="U941" s="7">
        <f t="shared" si="4"/>
        <v>1</v>
      </c>
      <c r="V941" s="7">
        <f t="shared" si="5"/>
        <v>0</v>
      </c>
      <c r="W941" s="7">
        <f t="shared" ref="W941:X941" si="1825">IF(AVERAGE(U881:U940) &gt; 0.25, 1, 0)</f>
        <v>1</v>
      </c>
      <c r="X941" s="7">
        <f t="shared" si="1825"/>
        <v>1</v>
      </c>
      <c r="Y941" s="8">
        <v>0.0</v>
      </c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</row>
    <row r="942" ht="22.5" customHeight="1">
      <c r="B942" s="6">
        <v>941.0</v>
      </c>
      <c r="C942" s="6">
        <v>10031.0</v>
      </c>
      <c r="D942" s="6">
        <v>0.57</v>
      </c>
      <c r="E942" s="6">
        <v>9.71</v>
      </c>
      <c r="F942" s="6">
        <v>2.43</v>
      </c>
      <c r="G942" s="6">
        <v>-0.11</v>
      </c>
      <c r="H942" s="6">
        <v>0.0</v>
      </c>
      <c r="I942" s="6">
        <v>-0.05</v>
      </c>
      <c r="J942" s="6">
        <v>33.24</v>
      </c>
      <c r="K942" s="7">
        <f t="shared" ref="K942:P942" si="1826">abs(D942-D941)/200</f>
        <v>0.00025</v>
      </c>
      <c r="L942" s="7">
        <f t="shared" si="1826"/>
        <v>0.00005</v>
      </c>
      <c r="M942" s="7">
        <f t="shared" si="1826"/>
        <v>0.0002</v>
      </c>
      <c r="N942" s="7">
        <f t="shared" si="1826"/>
        <v>0.00005</v>
      </c>
      <c r="O942" s="7">
        <f t="shared" si="1826"/>
        <v>0</v>
      </c>
      <c r="P942" s="7">
        <f t="shared" si="1826"/>
        <v>0.00025</v>
      </c>
      <c r="Q942" s="7">
        <f t="shared" si="7"/>
        <v>0.02083045974</v>
      </c>
      <c r="R942" s="7">
        <f t="shared" si="8"/>
        <v>0.003061674416</v>
      </c>
      <c r="S942" s="7">
        <f t="shared" si="2"/>
        <v>0.2256620729</v>
      </c>
      <c r="T942" s="7">
        <f t="shared" si="3"/>
        <v>0.1208304597</v>
      </c>
      <c r="U942" s="7">
        <f t="shared" si="4"/>
        <v>0</v>
      </c>
      <c r="V942" s="7">
        <f t="shared" si="5"/>
        <v>0</v>
      </c>
      <c r="W942" s="7">
        <f t="shared" ref="W942:X942" si="1827">IF(AVERAGE(U882:U941) &gt; 0.25, 1, 0)</f>
        <v>1</v>
      </c>
      <c r="X942" s="7">
        <f t="shared" si="1827"/>
        <v>1</v>
      </c>
      <c r="Y942" s="8">
        <v>0.0</v>
      </c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</row>
    <row r="943" ht="22.5" customHeight="1">
      <c r="B943" s="6">
        <v>942.0</v>
      </c>
      <c r="C943" s="6">
        <v>10235.0</v>
      </c>
      <c r="D943" s="6">
        <v>0.53</v>
      </c>
      <c r="E943" s="6">
        <v>9.7</v>
      </c>
      <c r="F943" s="6">
        <v>2.42</v>
      </c>
      <c r="G943" s="6">
        <v>-0.09</v>
      </c>
      <c r="H943" s="6">
        <v>0.0</v>
      </c>
      <c r="I943" s="6">
        <v>-0.04</v>
      </c>
      <c r="J943" s="6">
        <v>33.25</v>
      </c>
      <c r="K943" s="7">
        <f t="shared" ref="K943:P943" si="1828">abs(D943-D942)/200</f>
        <v>0.0002</v>
      </c>
      <c r="L943" s="7">
        <f t="shared" si="1828"/>
        <v>0.00005</v>
      </c>
      <c r="M943" s="7">
        <f t="shared" si="1828"/>
        <v>0.00005</v>
      </c>
      <c r="N943" s="7">
        <f t="shared" si="1828"/>
        <v>0.0001</v>
      </c>
      <c r="O943" s="7">
        <f t="shared" si="1828"/>
        <v>0</v>
      </c>
      <c r="P943" s="7">
        <f t="shared" si="1828"/>
        <v>0.00005</v>
      </c>
      <c r="Q943" s="7">
        <f t="shared" si="7"/>
        <v>0.02234188172</v>
      </c>
      <c r="R943" s="7">
        <f t="shared" si="8"/>
        <v>0.01430352373</v>
      </c>
      <c r="S943" s="7">
        <f t="shared" si="2"/>
        <v>0.2113585492</v>
      </c>
      <c r="T943" s="7">
        <f t="shared" si="3"/>
        <v>0.09848857802</v>
      </c>
      <c r="U943" s="7">
        <f t="shared" si="4"/>
        <v>0</v>
      </c>
      <c r="V943" s="7">
        <f t="shared" si="5"/>
        <v>0</v>
      </c>
      <c r="W943" s="7">
        <f t="shared" ref="W943:X943" si="1829">IF(AVERAGE(U883:U942) &gt; 0.25, 1, 0)</f>
        <v>1</v>
      </c>
      <c r="X943" s="7">
        <f t="shared" si="1829"/>
        <v>1</v>
      </c>
      <c r="Y943" s="8">
        <v>0.0</v>
      </c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</row>
    <row r="944" ht="22.5" customHeight="1">
      <c r="B944" s="6">
        <v>943.0</v>
      </c>
      <c r="C944" s="6">
        <v>10439.0</v>
      </c>
      <c r="D944" s="6">
        <v>0.53</v>
      </c>
      <c r="E944" s="6">
        <v>9.7</v>
      </c>
      <c r="F944" s="6">
        <v>2.49</v>
      </c>
      <c r="G944" s="6">
        <v>-0.09</v>
      </c>
      <c r="H944" s="6">
        <v>-0.01</v>
      </c>
      <c r="I944" s="6">
        <v>0.01</v>
      </c>
      <c r="J944" s="6">
        <v>33.25</v>
      </c>
      <c r="K944" s="7">
        <f t="shared" ref="K944:P944" si="1830">abs(D944-D943)/200</f>
        <v>0</v>
      </c>
      <c r="L944" s="7">
        <f t="shared" si="1830"/>
        <v>0</v>
      </c>
      <c r="M944" s="7">
        <f t="shared" si="1830"/>
        <v>0.00035</v>
      </c>
      <c r="N944" s="7">
        <f t="shared" si="1830"/>
        <v>0</v>
      </c>
      <c r="O944" s="7">
        <f t="shared" si="1830"/>
        <v>0.00005</v>
      </c>
      <c r="P944" s="7">
        <f t="shared" si="1830"/>
        <v>0.00025</v>
      </c>
      <c r="Q944" s="7">
        <f t="shared" si="7"/>
        <v>0.007384242227</v>
      </c>
      <c r="R944" s="7">
        <f t="shared" si="8"/>
        <v>0.01715081165</v>
      </c>
      <c r="S944" s="7">
        <f t="shared" si="2"/>
        <v>0.2285093608</v>
      </c>
      <c r="T944" s="7">
        <f t="shared" si="3"/>
        <v>0.09110433579</v>
      </c>
      <c r="U944" s="7">
        <f t="shared" si="4"/>
        <v>1</v>
      </c>
      <c r="V944" s="7">
        <f t="shared" si="5"/>
        <v>0</v>
      </c>
      <c r="W944" s="7">
        <f t="shared" ref="W944:X944" si="1831">IF(AVERAGE(U884:U943) &gt; 0.25, 1, 0)</f>
        <v>1</v>
      </c>
      <c r="X944" s="7">
        <f t="shared" si="1831"/>
        <v>1</v>
      </c>
      <c r="Y944" s="8">
        <v>0.0</v>
      </c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</row>
    <row r="945" ht="22.5" customHeight="1">
      <c r="B945" s="6">
        <v>944.0</v>
      </c>
      <c r="C945" s="6">
        <v>10643.0</v>
      </c>
      <c r="D945" s="6">
        <v>0.57</v>
      </c>
      <c r="E945" s="6">
        <v>9.71</v>
      </c>
      <c r="F945" s="6">
        <v>2.44</v>
      </c>
      <c r="G945" s="6">
        <v>-0.11</v>
      </c>
      <c r="H945" s="6">
        <v>0.0</v>
      </c>
      <c r="I945" s="6">
        <v>-0.01</v>
      </c>
      <c r="J945" s="6">
        <v>33.25</v>
      </c>
      <c r="K945" s="7">
        <f t="shared" ref="K945:P945" si="1832">abs(D945-D944)/200</f>
        <v>0.0002</v>
      </c>
      <c r="L945" s="7">
        <f t="shared" si="1832"/>
        <v>0.00005</v>
      </c>
      <c r="M945" s="7">
        <f t="shared" si="1832"/>
        <v>0.00025</v>
      </c>
      <c r="N945" s="7">
        <f t="shared" si="1832"/>
        <v>0.0001</v>
      </c>
      <c r="O945" s="7">
        <f t="shared" si="1832"/>
        <v>0.00005</v>
      </c>
      <c r="P945" s="7">
        <f t="shared" si="1832"/>
        <v>0.0001</v>
      </c>
      <c r="Q945" s="7">
        <f t="shared" si="7"/>
        <v>0.01934927438</v>
      </c>
      <c r="R945" s="7">
        <f t="shared" si="8"/>
        <v>0.0004188147562</v>
      </c>
      <c r="S945" s="7">
        <f t="shared" si="2"/>
        <v>0.2280905461</v>
      </c>
      <c r="T945" s="7">
        <f t="shared" si="3"/>
        <v>0.1104536102</v>
      </c>
      <c r="U945" s="7">
        <f t="shared" si="4"/>
        <v>0</v>
      </c>
      <c r="V945" s="7">
        <f t="shared" si="5"/>
        <v>0</v>
      </c>
      <c r="W945" s="7">
        <f t="shared" ref="W945:X945" si="1833">IF(AVERAGE(U885:U944) &gt; 0.25, 1, 0)</f>
        <v>1</v>
      </c>
      <c r="X945" s="7">
        <f t="shared" si="1833"/>
        <v>1</v>
      </c>
      <c r="Y945" s="8">
        <v>0.0</v>
      </c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</row>
    <row r="946" ht="22.5" customHeight="1">
      <c r="B946" s="6">
        <v>945.0</v>
      </c>
      <c r="C946" s="6">
        <v>10847.0</v>
      </c>
      <c r="D946" s="6">
        <v>0.56</v>
      </c>
      <c r="E946" s="6">
        <v>9.71</v>
      </c>
      <c r="F946" s="6">
        <v>2.44</v>
      </c>
      <c r="G946" s="6">
        <v>-0.1</v>
      </c>
      <c r="H946" s="6">
        <v>0.0</v>
      </c>
      <c r="I946" s="6">
        <v>0.0</v>
      </c>
      <c r="J946" s="6">
        <v>33.25</v>
      </c>
      <c r="K946" s="7">
        <f t="shared" ref="K946:P946" si="1834">abs(D946-D945)/200</f>
        <v>0.00005</v>
      </c>
      <c r="L946" s="7">
        <f t="shared" si="1834"/>
        <v>0</v>
      </c>
      <c r="M946" s="7">
        <f t="shared" si="1834"/>
        <v>0</v>
      </c>
      <c r="N946" s="7">
        <f t="shared" si="1834"/>
        <v>0.00005</v>
      </c>
      <c r="O946" s="7">
        <f t="shared" si="1834"/>
        <v>0</v>
      </c>
      <c r="P946" s="7">
        <f t="shared" si="1834"/>
        <v>0.00005</v>
      </c>
      <c r="Q946" s="7">
        <f t="shared" si="7"/>
        <v>0.01045361017</v>
      </c>
      <c r="R946" s="7">
        <f t="shared" si="8"/>
        <v>0.0005634331583</v>
      </c>
      <c r="S946" s="7">
        <f t="shared" si="2"/>
        <v>0.2275271129</v>
      </c>
      <c r="T946" s="7">
        <f t="shared" si="3"/>
        <v>0.1</v>
      </c>
      <c r="U946" s="7">
        <f t="shared" si="4"/>
        <v>0</v>
      </c>
      <c r="V946" s="7">
        <f t="shared" si="5"/>
        <v>0</v>
      </c>
      <c r="W946" s="7">
        <f t="shared" ref="W946:X946" si="1835">IF(AVERAGE(U886:U945) &gt; 0.25, 1, 0)</f>
        <v>1</v>
      </c>
      <c r="X946" s="7">
        <f t="shared" si="1835"/>
        <v>1</v>
      </c>
      <c r="Y946" s="8">
        <v>0.0</v>
      </c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</row>
    <row r="947" ht="22.5" customHeight="1">
      <c r="B947" s="6">
        <v>946.0</v>
      </c>
      <c r="C947" s="6">
        <v>11051.0</v>
      </c>
      <c r="D947" s="6">
        <v>0.59</v>
      </c>
      <c r="E947" s="6">
        <v>9.69</v>
      </c>
      <c r="F947" s="6">
        <v>2.44</v>
      </c>
      <c r="G947" s="6">
        <v>-0.09</v>
      </c>
      <c r="H947" s="6">
        <v>0.0</v>
      </c>
      <c r="I947" s="6">
        <v>-0.01</v>
      </c>
      <c r="J947" s="6">
        <v>33.25</v>
      </c>
      <c r="K947" s="7">
        <f t="shared" ref="K947:P947" si="1836">abs(D947-D946)/200</f>
        <v>0.00015</v>
      </c>
      <c r="L947" s="7">
        <f t="shared" si="1836"/>
        <v>0.0001</v>
      </c>
      <c r="M947" s="7">
        <f t="shared" si="1836"/>
        <v>0</v>
      </c>
      <c r="N947" s="7">
        <f t="shared" si="1836"/>
        <v>0.00005</v>
      </c>
      <c r="O947" s="7">
        <f t="shared" si="1836"/>
        <v>0</v>
      </c>
      <c r="P947" s="7">
        <f t="shared" si="1836"/>
        <v>0.00005</v>
      </c>
      <c r="Q947" s="7">
        <f t="shared" si="7"/>
        <v>0.009446148619</v>
      </c>
      <c r="R947" s="7">
        <f t="shared" si="8"/>
        <v>0.01764199868</v>
      </c>
      <c r="S947" s="7">
        <f t="shared" si="2"/>
        <v>0.2098851142</v>
      </c>
      <c r="T947" s="7">
        <f t="shared" si="3"/>
        <v>0.09055385138</v>
      </c>
      <c r="U947" s="7">
        <f t="shared" si="4"/>
        <v>0</v>
      </c>
      <c r="V947" s="7">
        <f t="shared" si="5"/>
        <v>0</v>
      </c>
      <c r="W947" s="7">
        <f t="shared" ref="W947:X947" si="1837">IF(AVERAGE(U887:U946) &gt; 0.25, 1, 0)</f>
        <v>1</v>
      </c>
      <c r="X947" s="7">
        <f t="shared" si="1837"/>
        <v>1</v>
      </c>
      <c r="Y947" s="8">
        <v>0.0</v>
      </c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</row>
    <row r="948" ht="22.5" customHeight="1">
      <c r="B948" s="6">
        <v>947.0</v>
      </c>
      <c r="C948" s="6">
        <v>11255.0</v>
      </c>
      <c r="D948" s="6">
        <v>0.57</v>
      </c>
      <c r="E948" s="6">
        <v>9.71</v>
      </c>
      <c r="F948" s="6">
        <v>2.44</v>
      </c>
      <c r="G948" s="6">
        <v>-0.1</v>
      </c>
      <c r="H948" s="6">
        <v>0.0</v>
      </c>
      <c r="I948" s="6">
        <v>-0.01</v>
      </c>
      <c r="J948" s="6">
        <v>33.24</v>
      </c>
      <c r="K948" s="7">
        <f t="shared" ref="K948:P948" si="1838">abs(D948-D947)/200</f>
        <v>0.0001</v>
      </c>
      <c r="L948" s="7">
        <f t="shared" si="1838"/>
        <v>0.0001</v>
      </c>
      <c r="M948" s="7">
        <f t="shared" si="1838"/>
        <v>0</v>
      </c>
      <c r="N948" s="7">
        <f t="shared" si="1838"/>
        <v>0.00005</v>
      </c>
      <c r="O948" s="7">
        <f t="shared" si="1838"/>
        <v>0</v>
      </c>
      <c r="P948" s="7">
        <f t="shared" si="1838"/>
        <v>0</v>
      </c>
      <c r="Q948" s="7">
        <f t="shared" si="7"/>
        <v>0.00994490483</v>
      </c>
      <c r="R948" s="7">
        <f t="shared" si="8"/>
        <v>0.01820543184</v>
      </c>
      <c r="S948" s="7">
        <f t="shared" si="2"/>
        <v>0.2280905461</v>
      </c>
      <c r="T948" s="7">
        <f t="shared" si="3"/>
        <v>0.1004987562</v>
      </c>
      <c r="U948" s="7">
        <f t="shared" si="4"/>
        <v>0</v>
      </c>
      <c r="V948" s="7">
        <f t="shared" si="5"/>
        <v>0</v>
      </c>
      <c r="W948" s="7">
        <f t="shared" ref="W948:X948" si="1839">IF(AVERAGE(U888:U947) &gt; 0.25, 1, 0)</f>
        <v>1</v>
      </c>
      <c r="X948" s="7">
        <f t="shared" si="1839"/>
        <v>1</v>
      </c>
      <c r="Y948" s="8">
        <v>0.0</v>
      </c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</row>
    <row r="949" ht="22.5" customHeight="1">
      <c r="B949" s="6">
        <v>948.0</v>
      </c>
      <c r="C949" s="6">
        <v>11459.0</v>
      </c>
      <c r="D949" s="6">
        <v>0.59</v>
      </c>
      <c r="E949" s="6">
        <v>9.7</v>
      </c>
      <c r="F949" s="6">
        <v>2.43</v>
      </c>
      <c r="G949" s="6">
        <v>-0.1</v>
      </c>
      <c r="H949" s="6">
        <v>0.0</v>
      </c>
      <c r="I949" s="6">
        <v>-0.01</v>
      </c>
      <c r="J949" s="6">
        <v>33.25</v>
      </c>
      <c r="K949" s="7">
        <f t="shared" ref="K949:P949" si="1840">abs(D949-D948)/200</f>
        <v>0.0001</v>
      </c>
      <c r="L949" s="7">
        <f t="shared" si="1840"/>
        <v>0.00005</v>
      </c>
      <c r="M949" s="7">
        <f t="shared" si="1840"/>
        <v>0.00005</v>
      </c>
      <c r="N949" s="7">
        <f t="shared" si="1840"/>
        <v>0</v>
      </c>
      <c r="O949" s="7">
        <f t="shared" si="1840"/>
        <v>0</v>
      </c>
      <c r="P949" s="7">
        <f t="shared" si="1840"/>
        <v>0</v>
      </c>
      <c r="Q949" s="7">
        <f t="shared" si="7"/>
        <v>0</v>
      </c>
      <c r="R949" s="7">
        <f t="shared" si="8"/>
        <v>0.01095522702</v>
      </c>
      <c r="S949" s="7">
        <f t="shared" si="2"/>
        <v>0.217135319</v>
      </c>
      <c r="T949" s="7">
        <f t="shared" si="3"/>
        <v>0.1004987562</v>
      </c>
      <c r="U949" s="7">
        <f t="shared" si="4"/>
        <v>0</v>
      </c>
      <c r="V949" s="7">
        <f t="shared" si="5"/>
        <v>0</v>
      </c>
      <c r="W949" s="7">
        <f t="shared" ref="W949:X949" si="1841">IF(AVERAGE(U889:U948) &gt; 0.25, 1, 0)</f>
        <v>1</v>
      </c>
      <c r="X949" s="7">
        <f t="shared" si="1841"/>
        <v>1</v>
      </c>
      <c r="Y949" s="8">
        <v>0.0</v>
      </c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</row>
    <row r="950" ht="22.5" customHeight="1">
      <c r="B950" s="6">
        <v>949.0</v>
      </c>
      <c r="C950" s="6">
        <v>11663.0</v>
      </c>
      <c r="D950" s="6">
        <v>0.58</v>
      </c>
      <c r="E950" s="6">
        <v>9.7</v>
      </c>
      <c r="F950" s="6">
        <v>2.44</v>
      </c>
      <c r="G950" s="6">
        <v>-0.1</v>
      </c>
      <c r="H950" s="6">
        <v>0.0</v>
      </c>
      <c r="I950" s="6">
        <v>-0.01</v>
      </c>
      <c r="J950" s="6">
        <v>33.25</v>
      </c>
      <c r="K950" s="7">
        <f t="shared" ref="K950:P950" si="1842">abs(D950-D949)/200</f>
        <v>0.00005</v>
      </c>
      <c r="L950" s="7">
        <f t="shared" si="1842"/>
        <v>0</v>
      </c>
      <c r="M950" s="7">
        <f t="shared" si="1842"/>
        <v>0.00005</v>
      </c>
      <c r="N950" s="7">
        <f t="shared" si="1842"/>
        <v>0</v>
      </c>
      <c r="O950" s="7">
        <f t="shared" si="1842"/>
        <v>0</v>
      </c>
      <c r="P950" s="7">
        <f t="shared" si="1842"/>
        <v>0</v>
      </c>
      <c r="Q950" s="7">
        <f t="shared" si="7"/>
        <v>0</v>
      </c>
      <c r="R950" s="7">
        <f t="shared" si="8"/>
        <v>0.001846665172</v>
      </c>
      <c r="S950" s="7">
        <f t="shared" si="2"/>
        <v>0.2189819842</v>
      </c>
      <c r="T950" s="7">
        <f t="shared" si="3"/>
        <v>0.1004987562</v>
      </c>
      <c r="U950" s="7">
        <f t="shared" si="4"/>
        <v>0</v>
      </c>
      <c r="V950" s="7">
        <f t="shared" si="5"/>
        <v>0</v>
      </c>
      <c r="W950" s="7">
        <f t="shared" ref="W950:X950" si="1843">IF(AVERAGE(U890:U949) &gt; 0.25, 1, 0)</f>
        <v>1</v>
      </c>
      <c r="X950" s="7">
        <f t="shared" si="1843"/>
        <v>1</v>
      </c>
      <c r="Y950" s="8">
        <v>0.0</v>
      </c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</row>
    <row r="951" ht="22.5" customHeight="1">
      <c r="B951" s="6">
        <v>950.0</v>
      </c>
      <c r="C951" s="6">
        <v>11867.0</v>
      </c>
      <c r="D951" s="6">
        <v>0.62</v>
      </c>
      <c r="E951" s="6">
        <v>9.69</v>
      </c>
      <c r="F951" s="6">
        <v>2.44</v>
      </c>
      <c r="G951" s="6">
        <v>-0.1</v>
      </c>
      <c r="H951" s="6">
        <v>0.0</v>
      </c>
      <c r="I951" s="6">
        <v>-0.01</v>
      </c>
      <c r="J951" s="6">
        <v>33.24</v>
      </c>
      <c r="K951" s="7">
        <f t="shared" ref="K951:P951" si="1844">abs(D951-D950)/200</f>
        <v>0.0002</v>
      </c>
      <c r="L951" s="7">
        <f t="shared" si="1844"/>
        <v>0.00005</v>
      </c>
      <c r="M951" s="7">
        <f t="shared" si="1844"/>
        <v>0</v>
      </c>
      <c r="N951" s="7">
        <f t="shared" si="1844"/>
        <v>0</v>
      </c>
      <c r="O951" s="7">
        <f t="shared" si="1844"/>
        <v>0</v>
      </c>
      <c r="P951" s="7">
        <f t="shared" si="1844"/>
        <v>0</v>
      </c>
      <c r="Q951" s="7">
        <f t="shared" si="7"/>
        <v>0</v>
      </c>
      <c r="R951" s="7">
        <f t="shared" si="8"/>
        <v>0.007283826558</v>
      </c>
      <c r="S951" s="7">
        <f t="shared" si="2"/>
        <v>0.2116981577</v>
      </c>
      <c r="T951" s="7">
        <f t="shared" si="3"/>
        <v>0.1004987562</v>
      </c>
      <c r="U951" s="7">
        <f t="shared" si="4"/>
        <v>0</v>
      </c>
      <c r="V951" s="7">
        <f t="shared" si="5"/>
        <v>0</v>
      </c>
      <c r="W951" s="7">
        <f t="shared" ref="W951:X951" si="1845">IF(AVERAGE(U891:U950) &gt; 0.25, 1, 0)</f>
        <v>1</v>
      </c>
      <c r="X951" s="7">
        <f t="shared" si="1845"/>
        <v>1</v>
      </c>
      <c r="Y951" s="8">
        <v>0.0</v>
      </c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</row>
    <row r="952" ht="22.5" customHeight="1">
      <c r="B952" s="6">
        <v>951.0</v>
      </c>
      <c r="C952" s="6">
        <v>12071.0</v>
      </c>
      <c r="D952" s="6">
        <v>0.6</v>
      </c>
      <c r="E952" s="6">
        <v>9.71</v>
      </c>
      <c r="F952" s="6">
        <v>2.44</v>
      </c>
      <c r="G952" s="6">
        <v>-0.08</v>
      </c>
      <c r="H952" s="6">
        <v>0.0</v>
      </c>
      <c r="I952" s="6">
        <v>0.0</v>
      </c>
      <c r="J952" s="6">
        <v>33.24</v>
      </c>
      <c r="K952" s="7">
        <f t="shared" ref="K952:P952" si="1846">abs(D952-D951)/200</f>
        <v>0.0001</v>
      </c>
      <c r="L952" s="7">
        <f t="shared" si="1846"/>
        <v>0.0001</v>
      </c>
      <c r="M952" s="7">
        <f t="shared" si="1846"/>
        <v>0</v>
      </c>
      <c r="N952" s="7">
        <f t="shared" si="1846"/>
        <v>0.0001</v>
      </c>
      <c r="O952" s="7">
        <f t="shared" si="1846"/>
        <v>0</v>
      </c>
      <c r="P952" s="7">
        <f t="shared" si="1846"/>
        <v>0.00005</v>
      </c>
      <c r="Q952" s="7">
        <f t="shared" si="7"/>
        <v>0.02049875621</v>
      </c>
      <c r="R952" s="7">
        <f t="shared" si="8"/>
        <v>0.01814231964</v>
      </c>
      <c r="S952" s="7">
        <f t="shared" si="2"/>
        <v>0.2298404773</v>
      </c>
      <c r="T952" s="7">
        <f t="shared" si="3"/>
        <v>0.08</v>
      </c>
      <c r="U952" s="7">
        <f t="shared" si="4"/>
        <v>0</v>
      </c>
      <c r="V952" s="7">
        <f t="shared" si="5"/>
        <v>0</v>
      </c>
      <c r="W952" s="7">
        <f t="shared" ref="W952:X952" si="1847">IF(AVERAGE(U892:U951) &gt; 0.25, 1, 0)</f>
        <v>1</v>
      </c>
      <c r="X952" s="7">
        <f t="shared" si="1847"/>
        <v>1</v>
      </c>
      <c r="Y952" s="8">
        <v>0.0</v>
      </c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</row>
    <row r="953" ht="22.5" customHeight="1">
      <c r="B953" s="6">
        <v>952.0</v>
      </c>
      <c r="C953" s="6">
        <v>12275.0</v>
      </c>
      <c r="D953" s="6">
        <v>0.61</v>
      </c>
      <c r="E953" s="6">
        <v>9.72</v>
      </c>
      <c r="F953" s="6">
        <v>2.44</v>
      </c>
      <c r="G953" s="6">
        <v>-0.09</v>
      </c>
      <c r="H953" s="6">
        <v>0.0</v>
      </c>
      <c r="I953" s="6">
        <v>0.0</v>
      </c>
      <c r="J953" s="6">
        <v>33.25</v>
      </c>
      <c r="K953" s="7">
        <f t="shared" ref="K953:P953" si="1848">abs(D953-D952)/200</f>
        <v>0.00005</v>
      </c>
      <c r="L953" s="7">
        <f t="shared" si="1848"/>
        <v>0.00005</v>
      </c>
      <c r="M953" s="7">
        <f t="shared" si="1848"/>
        <v>0</v>
      </c>
      <c r="N953" s="7">
        <f t="shared" si="1848"/>
        <v>0.00005</v>
      </c>
      <c r="O953" s="7">
        <f t="shared" si="1848"/>
        <v>0</v>
      </c>
      <c r="P953" s="7">
        <f t="shared" si="1848"/>
        <v>0</v>
      </c>
      <c r="Q953" s="7">
        <f t="shared" si="7"/>
        <v>0.01</v>
      </c>
      <c r="R953" s="7">
        <f t="shared" si="8"/>
        <v>0.01028402392</v>
      </c>
      <c r="S953" s="7">
        <f t="shared" si="2"/>
        <v>0.2401245012</v>
      </c>
      <c r="T953" s="7">
        <f t="shared" si="3"/>
        <v>0.09</v>
      </c>
      <c r="U953" s="7">
        <f t="shared" si="4"/>
        <v>0</v>
      </c>
      <c r="V953" s="7">
        <f t="shared" si="5"/>
        <v>0</v>
      </c>
      <c r="W953" s="7">
        <f t="shared" ref="W953:X953" si="1849">IF(AVERAGE(U893:U952) &gt; 0.25, 1, 0)</f>
        <v>1</v>
      </c>
      <c r="X953" s="7">
        <f t="shared" si="1849"/>
        <v>1</v>
      </c>
      <c r="Y953" s="8">
        <v>0.0</v>
      </c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</row>
    <row r="954" ht="22.5" customHeight="1">
      <c r="B954" s="6">
        <v>953.0</v>
      </c>
      <c r="C954" s="6">
        <v>12479.0</v>
      </c>
      <c r="D954" s="6">
        <v>0.65</v>
      </c>
      <c r="E954" s="6">
        <v>9.7</v>
      </c>
      <c r="F954" s="6">
        <v>2.42</v>
      </c>
      <c r="G954" s="6">
        <v>-0.1</v>
      </c>
      <c r="H954" s="6">
        <v>0.0</v>
      </c>
      <c r="I954" s="6">
        <v>-0.01</v>
      </c>
      <c r="J954" s="6">
        <v>33.25</v>
      </c>
      <c r="K954" s="7">
        <f t="shared" ref="K954:P954" si="1850">abs(D954-D953)/200</f>
        <v>0.0002</v>
      </c>
      <c r="L954" s="7">
        <f t="shared" si="1850"/>
        <v>0.0001</v>
      </c>
      <c r="M954" s="7">
        <f t="shared" si="1850"/>
        <v>0.0001</v>
      </c>
      <c r="N954" s="7">
        <f t="shared" si="1850"/>
        <v>0.00005</v>
      </c>
      <c r="O954" s="7">
        <f t="shared" si="1850"/>
        <v>0</v>
      </c>
      <c r="P954" s="7">
        <f t="shared" si="1850"/>
        <v>0.00005</v>
      </c>
      <c r="Q954" s="7">
        <f t="shared" si="7"/>
        <v>0.01049875621</v>
      </c>
      <c r="R954" s="7">
        <f t="shared" si="8"/>
        <v>0.02169648082</v>
      </c>
      <c r="S954" s="7">
        <f t="shared" si="2"/>
        <v>0.2184280204</v>
      </c>
      <c r="T954" s="7">
        <f t="shared" si="3"/>
        <v>0.1004987562</v>
      </c>
      <c r="U954" s="7">
        <f t="shared" si="4"/>
        <v>0</v>
      </c>
      <c r="V954" s="7">
        <f t="shared" si="5"/>
        <v>0</v>
      </c>
      <c r="W954" s="7">
        <f t="shared" ref="W954:X954" si="1851">IF(AVERAGE(U894:U953) &gt; 0.25, 1, 0)</f>
        <v>1</v>
      </c>
      <c r="X954" s="7">
        <f t="shared" si="1851"/>
        <v>1</v>
      </c>
      <c r="Y954" s="8">
        <v>0.0</v>
      </c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</row>
    <row r="955" ht="22.5" customHeight="1">
      <c r="B955" s="6">
        <v>954.0</v>
      </c>
      <c r="C955" s="6">
        <v>12683.0</v>
      </c>
      <c r="D955" s="6">
        <v>0.6</v>
      </c>
      <c r="E955" s="6">
        <v>9.73</v>
      </c>
      <c r="F955" s="6">
        <v>2.42</v>
      </c>
      <c r="G955" s="6">
        <v>-0.08</v>
      </c>
      <c r="H955" s="6">
        <v>0.0</v>
      </c>
      <c r="I955" s="6">
        <v>0.01</v>
      </c>
      <c r="J955" s="6">
        <v>33.24</v>
      </c>
      <c r="K955" s="7">
        <f t="shared" ref="K955:P955" si="1852">abs(D955-D954)/200</f>
        <v>0.00025</v>
      </c>
      <c r="L955" s="7">
        <f t="shared" si="1852"/>
        <v>0.00015</v>
      </c>
      <c r="M955" s="7">
        <f t="shared" si="1852"/>
        <v>0</v>
      </c>
      <c r="N955" s="7">
        <f t="shared" si="1852"/>
        <v>0.0001</v>
      </c>
      <c r="O955" s="7">
        <f t="shared" si="1852"/>
        <v>0</v>
      </c>
      <c r="P955" s="7">
        <f t="shared" si="1852"/>
        <v>0.0001</v>
      </c>
      <c r="Q955" s="7">
        <f t="shared" si="7"/>
        <v>0.01987617873</v>
      </c>
      <c r="R955" s="7">
        <f t="shared" si="8"/>
        <v>0.02593855992</v>
      </c>
      <c r="S955" s="7">
        <f t="shared" si="2"/>
        <v>0.2443665803</v>
      </c>
      <c r="T955" s="7">
        <f t="shared" si="3"/>
        <v>0.08062257748</v>
      </c>
      <c r="U955" s="7">
        <f t="shared" si="4"/>
        <v>0</v>
      </c>
      <c r="V955" s="7">
        <f t="shared" si="5"/>
        <v>0</v>
      </c>
      <c r="W955" s="7">
        <f t="shared" ref="W955:X955" si="1853">IF(AVERAGE(U895:U954) &gt; 0.25, 1, 0)</f>
        <v>1</v>
      </c>
      <c r="X955" s="7">
        <f t="shared" si="1853"/>
        <v>1</v>
      </c>
      <c r="Y955" s="8">
        <v>0.0</v>
      </c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</row>
    <row r="956" ht="22.5" customHeight="1">
      <c r="B956" s="6">
        <v>955.0</v>
      </c>
      <c r="C956" s="6">
        <v>12887.0</v>
      </c>
      <c r="D956" s="6">
        <v>0.68</v>
      </c>
      <c r="E956" s="6">
        <v>9.7</v>
      </c>
      <c r="F956" s="6">
        <v>2.4</v>
      </c>
      <c r="G956" s="6">
        <v>-0.1</v>
      </c>
      <c r="H956" s="6">
        <v>0.0</v>
      </c>
      <c r="I956" s="6">
        <v>-0.01</v>
      </c>
      <c r="J956" s="6">
        <v>33.25</v>
      </c>
      <c r="K956" s="7">
        <f t="shared" ref="K956:P956" si="1854">abs(D956-D955)/200</f>
        <v>0.0004</v>
      </c>
      <c r="L956" s="7">
        <f t="shared" si="1854"/>
        <v>0.00015</v>
      </c>
      <c r="M956" s="7">
        <f t="shared" si="1854"/>
        <v>0.0001</v>
      </c>
      <c r="N956" s="7">
        <f t="shared" si="1854"/>
        <v>0.0001</v>
      </c>
      <c r="O956" s="7">
        <f t="shared" si="1854"/>
        <v>0</v>
      </c>
      <c r="P956" s="7">
        <f t="shared" si="1854"/>
        <v>0.0001</v>
      </c>
      <c r="Q956" s="7">
        <f t="shared" si="7"/>
        <v>0.01987617873</v>
      </c>
      <c r="R956" s="7">
        <f t="shared" si="8"/>
        <v>0.02875876053</v>
      </c>
      <c r="S956" s="7">
        <f t="shared" si="2"/>
        <v>0.2156078198</v>
      </c>
      <c r="T956" s="7">
        <f t="shared" si="3"/>
        <v>0.1004987562</v>
      </c>
      <c r="U956" s="7">
        <f t="shared" si="4"/>
        <v>1</v>
      </c>
      <c r="V956" s="7">
        <f t="shared" si="5"/>
        <v>0</v>
      </c>
      <c r="W956" s="7">
        <f t="shared" ref="W956:X956" si="1855">IF(AVERAGE(U896:U955) &gt; 0.25, 1, 0)</f>
        <v>1</v>
      </c>
      <c r="X956" s="7">
        <f t="shared" si="1855"/>
        <v>1</v>
      </c>
      <c r="Y956" s="8">
        <v>0.0</v>
      </c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</row>
    <row r="957" ht="22.5" customHeight="1">
      <c r="B957" s="6">
        <v>956.0</v>
      </c>
      <c r="C957" s="6">
        <v>13091.0</v>
      </c>
      <c r="D957" s="6">
        <v>0.71</v>
      </c>
      <c r="E957" s="6">
        <v>9.68</v>
      </c>
      <c r="F957" s="6">
        <v>2.38</v>
      </c>
      <c r="G957" s="6">
        <v>-0.1</v>
      </c>
      <c r="H957" s="6">
        <v>0.0</v>
      </c>
      <c r="I957" s="6">
        <v>-0.01</v>
      </c>
      <c r="J957" s="6">
        <v>33.26</v>
      </c>
      <c r="K957" s="7">
        <f t="shared" ref="K957:P957" si="1856">abs(D957-D956)/200</f>
        <v>0.00015</v>
      </c>
      <c r="L957" s="7">
        <f t="shared" si="1856"/>
        <v>0.0001</v>
      </c>
      <c r="M957" s="7">
        <f t="shared" si="1856"/>
        <v>0.0001</v>
      </c>
      <c r="N957" s="7">
        <f t="shared" si="1856"/>
        <v>0</v>
      </c>
      <c r="O957" s="7">
        <f t="shared" si="1856"/>
        <v>0</v>
      </c>
      <c r="P957" s="7">
        <f t="shared" si="1856"/>
        <v>0</v>
      </c>
      <c r="Q957" s="7">
        <f t="shared" si="7"/>
        <v>0</v>
      </c>
      <c r="R957" s="7">
        <f t="shared" si="8"/>
        <v>0.0220649045</v>
      </c>
      <c r="S957" s="7">
        <f t="shared" si="2"/>
        <v>0.1935429153</v>
      </c>
      <c r="T957" s="7">
        <f t="shared" si="3"/>
        <v>0.1004987562</v>
      </c>
      <c r="U957" s="7">
        <f t="shared" si="4"/>
        <v>0</v>
      </c>
      <c r="V957" s="7">
        <f t="shared" si="5"/>
        <v>0</v>
      </c>
      <c r="W957" s="7">
        <f t="shared" ref="W957:X957" si="1857">IF(AVERAGE(U897:U956) &gt; 0.25, 1, 0)</f>
        <v>1</v>
      </c>
      <c r="X957" s="7">
        <f t="shared" si="1857"/>
        <v>1</v>
      </c>
      <c r="Y957" s="8">
        <v>0.0</v>
      </c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</row>
    <row r="958" ht="22.5" customHeight="1">
      <c r="B958" s="6">
        <v>957.0</v>
      </c>
      <c r="C958" s="6">
        <v>13295.0</v>
      </c>
      <c r="D958" s="6">
        <v>0.68</v>
      </c>
      <c r="E958" s="6">
        <v>9.69</v>
      </c>
      <c r="F958" s="6">
        <v>2.41</v>
      </c>
      <c r="G958" s="6">
        <v>-0.1</v>
      </c>
      <c r="H958" s="6">
        <v>0.0</v>
      </c>
      <c r="I958" s="6">
        <v>-0.01</v>
      </c>
      <c r="J958" s="6">
        <v>33.25</v>
      </c>
      <c r="K958" s="7">
        <f t="shared" ref="K958:P958" si="1858">abs(D958-D957)/200</f>
        <v>0.00015</v>
      </c>
      <c r="L958" s="7">
        <f t="shared" si="1858"/>
        <v>0.00005</v>
      </c>
      <c r="M958" s="7">
        <f t="shared" si="1858"/>
        <v>0.00015</v>
      </c>
      <c r="N958" s="7">
        <f t="shared" si="1858"/>
        <v>0</v>
      </c>
      <c r="O958" s="7">
        <f t="shared" si="1858"/>
        <v>0</v>
      </c>
      <c r="P958" s="7">
        <f t="shared" si="1858"/>
        <v>0</v>
      </c>
      <c r="Q958" s="7">
        <f t="shared" si="7"/>
        <v>0</v>
      </c>
      <c r="R958" s="7">
        <f t="shared" si="8"/>
        <v>0.01478361814</v>
      </c>
      <c r="S958" s="7">
        <f t="shared" si="2"/>
        <v>0.2083265334</v>
      </c>
      <c r="T958" s="7">
        <f t="shared" si="3"/>
        <v>0.1004987562</v>
      </c>
      <c r="U958" s="7">
        <f t="shared" si="4"/>
        <v>0</v>
      </c>
      <c r="V958" s="7">
        <f t="shared" si="5"/>
        <v>0</v>
      </c>
      <c r="W958" s="7">
        <f t="shared" ref="W958:X958" si="1859">IF(AVERAGE(U898:U957) &gt; 0.25, 1, 0)</f>
        <v>1</v>
      </c>
      <c r="X958" s="7">
        <f t="shared" si="1859"/>
        <v>1</v>
      </c>
      <c r="Y958" s="8">
        <v>0.0</v>
      </c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</row>
    <row r="959" ht="22.5" customHeight="1">
      <c r="B959" s="6">
        <v>958.0</v>
      </c>
      <c r="C959" s="6">
        <v>13499.0</v>
      </c>
      <c r="D959" s="6">
        <v>0.68</v>
      </c>
      <c r="E959" s="6">
        <v>9.7</v>
      </c>
      <c r="F959" s="6">
        <v>2.42</v>
      </c>
      <c r="G959" s="6">
        <v>-0.1</v>
      </c>
      <c r="H959" s="6">
        <v>0.0</v>
      </c>
      <c r="I959" s="6">
        <v>-0.01</v>
      </c>
      <c r="J959" s="6">
        <v>33.25</v>
      </c>
      <c r="K959" s="7">
        <f t="shared" ref="K959:P959" si="1860">abs(D959-D958)/200</f>
        <v>0</v>
      </c>
      <c r="L959" s="7">
        <f t="shared" si="1860"/>
        <v>0.00005</v>
      </c>
      <c r="M959" s="7">
        <f t="shared" si="1860"/>
        <v>0.00005</v>
      </c>
      <c r="N959" s="7">
        <f t="shared" si="1860"/>
        <v>0</v>
      </c>
      <c r="O959" s="7">
        <f t="shared" si="1860"/>
        <v>0</v>
      </c>
      <c r="P959" s="7">
        <f t="shared" si="1860"/>
        <v>0</v>
      </c>
      <c r="Q959" s="7">
        <f t="shared" si="7"/>
        <v>0</v>
      </c>
      <c r="R959" s="7">
        <f t="shared" si="8"/>
        <v>0.01209261947</v>
      </c>
      <c r="S959" s="7">
        <f t="shared" si="2"/>
        <v>0.2204191529</v>
      </c>
      <c r="T959" s="7">
        <f t="shared" si="3"/>
        <v>0.1004987562</v>
      </c>
      <c r="U959" s="7">
        <f t="shared" si="4"/>
        <v>0</v>
      </c>
      <c r="V959" s="7">
        <f t="shared" si="5"/>
        <v>0</v>
      </c>
      <c r="W959" s="7">
        <f t="shared" ref="W959:X959" si="1861">IF(AVERAGE(U899:U958) &gt; 0.25, 1, 0)</f>
        <v>1</v>
      </c>
      <c r="X959" s="7">
        <f t="shared" si="1861"/>
        <v>1</v>
      </c>
      <c r="Y959" s="8">
        <v>0.0</v>
      </c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</row>
    <row r="960" ht="22.5" customHeight="1">
      <c r="B960" s="6">
        <v>959.0</v>
      </c>
      <c r="C960" s="6">
        <v>13703.0</v>
      </c>
      <c r="D960" s="6">
        <v>0.68</v>
      </c>
      <c r="E960" s="6">
        <v>9.67</v>
      </c>
      <c r="F960" s="6">
        <v>2.37</v>
      </c>
      <c r="G960" s="6">
        <v>-0.09</v>
      </c>
      <c r="H960" s="6">
        <v>0.0</v>
      </c>
      <c r="I960" s="6">
        <v>-0.04</v>
      </c>
      <c r="J960" s="6">
        <v>33.26</v>
      </c>
      <c r="K960" s="7">
        <f t="shared" ref="K960:P960" si="1862">abs(D960-D959)/200</f>
        <v>0</v>
      </c>
      <c r="L960" s="7">
        <f t="shared" si="1862"/>
        <v>0.00015</v>
      </c>
      <c r="M960" s="7">
        <f t="shared" si="1862"/>
        <v>0.00025</v>
      </c>
      <c r="N960" s="7">
        <f t="shared" si="1862"/>
        <v>0.00005</v>
      </c>
      <c r="O960" s="7">
        <f t="shared" si="1862"/>
        <v>0</v>
      </c>
      <c r="P960" s="7">
        <f t="shared" si="1862"/>
        <v>0.00015</v>
      </c>
      <c r="Q960" s="7">
        <f t="shared" si="7"/>
        <v>0.002010178193</v>
      </c>
      <c r="R960" s="7">
        <f t="shared" si="8"/>
        <v>0.04103039407</v>
      </c>
      <c r="S960" s="7">
        <f t="shared" si="2"/>
        <v>0.1793887588</v>
      </c>
      <c r="T960" s="7">
        <f t="shared" si="3"/>
        <v>0.09848857802</v>
      </c>
      <c r="U960" s="7">
        <f t="shared" si="4"/>
        <v>0</v>
      </c>
      <c r="V960" s="7">
        <f t="shared" si="5"/>
        <v>0</v>
      </c>
      <c r="W960" s="7">
        <f t="shared" ref="W960:X960" si="1863">IF(AVERAGE(U900:U959) &gt; 0.25, 1, 0)</f>
        <v>1</v>
      </c>
      <c r="X960" s="7">
        <f t="shared" si="1863"/>
        <v>1</v>
      </c>
      <c r="Y960" s="8">
        <v>0.0</v>
      </c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</row>
    <row r="961" ht="22.5" customHeight="1">
      <c r="B961" s="6">
        <v>960.0</v>
      </c>
      <c r="C961" s="6">
        <v>13907.0</v>
      </c>
      <c r="D961" s="6">
        <v>0.71</v>
      </c>
      <c r="E961" s="6">
        <v>9.67</v>
      </c>
      <c r="F961" s="6">
        <v>2.42</v>
      </c>
      <c r="G961" s="6">
        <v>-0.11</v>
      </c>
      <c r="H961" s="6">
        <v>0.0</v>
      </c>
      <c r="I961" s="6">
        <v>-0.02</v>
      </c>
      <c r="J961" s="6">
        <v>33.24</v>
      </c>
      <c r="K961" s="7">
        <f t="shared" ref="K961:P961" si="1864">abs(D961-D960)/200</f>
        <v>0.00015</v>
      </c>
      <c r="L961" s="7">
        <f t="shared" si="1864"/>
        <v>0</v>
      </c>
      <c r="M961" s="7">
        <f t="shared" si="1864"/>
        <v>0.00025</v>
      </c>
      <c r="N961" s="7">
        <f t="shared" si="1864"/>
        <v>0.0001</v>
      </c>
      <c r="O961" s="7">
        <f t="shared" si="1864"/>
        <v>0</v>
      </c>
      <c r="P961" s="7">
        <f t="shared" si="1864"/>
        <v>0.0001</v>
      </c>
      <c r="Q961" s="7">
        <f t="shared" si="7"/>
        <v>0.01331482086</v>
      </c>
      <c r="R961" s="7">
        <f t="shared" si="8"/>
        <v>0.01407910772</v>
      </c>
      <c r="S961" s="7">
        <f t="shared" si="2"/>
        <v>0.1934678666</v>
      </c>
      <c r="T961" s="7">
        <f t="shared" si="3"/>
        <v>0.1118033989</v>
      </c>
      <c r="U961" s="7">
        <f t="shared" si="4"/>
        <v>0</v>
      </c>
      <c r="V961" s="7">
        <f t="shared" si="5"/>
        <v>0</v>
      </c>
      <c r="W961" s="7">
        <f t="shared" ref="W961:X961" si="1865">IF(AVERAGE(U901:U960) &gt; 0.25, 1, 0)</f>
        <v>1</v>
      </c>
      <c r="X961" s="7">
        <f t="shared" si="1865"/>
        <v>1</v>
      </c>
      <c r="Y961" s="8">
        <v>0.0</v>
      </c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</row>
    <row r="962" ht="22.5" customHeight="1">
      <c r="B962" s="6">
        <v>961.0</v>
      </c>
      <c r="C962" s="6">
        <v>14111.0</v>
      </c>
      <c r="D962" s="6">
        <v>0.55</v>
      </c>
      <c r="E962" s="6">
        <v>9.74</v>
      </c>
      <c r="F962" s="6">
        <v>2.42</v>
      </c>
      <c r="G962" s="6">
        <v>-0.1</v>
      </c>
      <c r="H962" s="6">
        <v>0.0</v>
      </c>
      <c r="I962" s="6">
        <v>0.02</v>
      </c>
      <c r="J962" s="6">
        <v>33.26</v>
      </c>
      <c r="K962" s="7">
        <f t="shared" ref="K962:P962" si="1866">abs(D962-D961)/200</f>
        <v>0.0008</v>
      </c>
      <c r="L962" s="7">
        <f t="shared" si="1866"/>
        <v>0.00035</v>
      </c>
      <c r="M962" s="7">
        <f t="shared" si="1866"/>
        <v>0</v>
      </c>
      <c r="N962" s="7">
        <f t="shared" si="1866"/>
        <v>0.00005</v>
      </c>
      <c r="O962" s="7">
        <f t="shared" si="1866"/>
        <v>0</v>
      </c>
      <c r="P962" s="7">
        <f t="shared" si="1866"/>
        <v>0.0002</v>
      </c>
      <c r="Q962" s="7">
        <f t="shared" si="7"/>
        <v>0.009823008603</v>
      </c>
      <c r="R962" s="7">
        <f t="shared" si="8"/>
        <v>0.05772609237</v>
      </c>
      <c r="S962" s="7">
        <f t="shared" si="2"/>
        <v>0.2511939589</v>
      </c>
      <c r="T962" s="7">
        <f t="shared" si="3"/>
        <v>0.1019803903</v>
      </c>
      <c r="U962" s="7">
        <f t="shared" si="4"/>
        <v>1</v>
      </c>
      <c r="V962" s="7">
        <f t="shared" si="5"/>
        <v>0</v>
      </c>
      <c r="W962" s="7">
        <f t="shared" ref="W962:X962" si="1867">IF(AVERAGE(U902:U961) &gt; 0.25, 1, 0)</f>
        <v>1</v>
      </c>
      <c r="X962" s="7">
        <f t="shared" si="1867"/>
        <v>1</v>
      </c>
      <c r="Y962" s="8">
        <v>0.0</v>
      </c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</row>
    <row r="963" ht="22.5" customHeight="1">
      <c r="B963" s="6">
        <v>962.0</v>
      </c>
      <c r="C963" s="6">
        <v>14315.0</v>
      </c>
      <c r="D963" s="6">
        <v>0.59</v>
      </c>
      <c r="E963" s="6">
        <v>9.74</v>
      </c>
      <c r="F963" s="6">
        <v>2.4</v>
      </c>
      <c r="G963" s="6">
        <v>-0.06</v>
      </c>
      <c r="H963" s="6">
        <v>0.0</v>
      </c>
      <c r="I963" s="6">
        <v>-0.01</v>
      </c>
      <c r="J963" s="6">
        <v>33.27</v>
      </c>
      <c r="K963" s="7">
        <f t="shared" ref="K963:P963" si="1868">abs(D963-D962)/200</f>
        <v>0.0002</v>
      </c>
      <c r="L963" s="7">
        <f t="shared" si="1868"/>
        <v>0</v>
      </c>
      <c r="M963" s="7">
        <f t="shared" si="1868"/>
        <v>0.0001</v>
      </c>
      <c r="N963" s="7">
        <f t="shared" si="1868"/>
        <v>0.0002</v>
      </c>
      <c r="O963" s="7">
        <f t="shared" si="1868"/>
        <v>0</v>
      </c>
      <c r="P963" s="7">
        <f t="shared" si="1868"/>
        <v>0.00015</v>
      </c>
      <c r="Q963" s="7">
        <f t="shared" si="7"/>
        <v>0.04115276497</v>
      </c>
      <c r="R963" s="7">
        <f t="shared" si="8"/>
        <v>0.00252738072</v>
      </c>
      <c r="S963" s="7">
        <f t="shared" si="2"/>
        <v>0.2486665782</v>
      </c>
      <c r="T963" s="7">
        <f t="shared" si="3"/>
        <v>0.0608276253</v>
      </c>
      <c r="U963" s="7">
        <f t="shared" si="4"/>
        <v>0</v>
      </c>
      <c r="V963" s="7">
        <f t="shared" si="5"/>
        <v>0</v>
      </c>
      <c r="W963" s="7">
        <f t="shared" ref="W963:X963" si="1869">IF(AVERAGE(U903:U962) &gt; 0.25, 1, 0)</f>
        <v>1</v>
      </c>
      <c r="X963" s="7">
        <f t="shared" si="1869"/>
        <v>1</v>
      </c>
      <c r="Y963" s="8">
        <v>0.0</v>
      </c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</row>
    <row r="964" ht="22.5" customHeight="1">
      <c r="B964" s="6">
        <v>963.0</v>
      </c>
      <c r="C964" s="6">
        <v>14519.0</v>
      </c>
      <c r="D964" s="6">
        <v>0.73</v>
      </c>
      <c r="E964" s="6">
        <v>9.69</v>
      </c>
      <c r="F964" s="6">
        <v>2.34</v>
      </c>
      <c r="G964" s="6">
        <v>-0.09</v>
      </c>
      <c r="H964" s="6">
        <v>0.0</v>
      </c>
      <c r="I964" s="6">
        <v>0.0</v>
      </c>
      <c r="J964" s="6">
        <v>33.26</v>
      </c>
      <c r="K964" s="7">
        <f t="shared" ref="K964:P964" si="1870">abs(D964-D963)/200</f>
        <v>0.0007</v>
      </c>
      <c r="L964" s="7">
        <f t="shared" si="1870"/>
        <v>0.00025</v>
      </c>
      <c r="M964" s="7">
        <f t="shared" si="1870"/>
        <v>0.0003</v>
      </c>
      <c r="N964" s="7">
        <f t="shared" si="1870"/>
        <v>0.00015</v>
      </c>
      <c r="O964" s="7">
        <f t="shared" si="1870"/>
        <v>0</v>
      </c>
      <c r="P964" s="7">
        <f t="shared" si="1870"/>
        <v>0.00005</v>
      </c>
      <c r="Q964" s="7">
        <f t="shared" si="7"/>
        <v>0.0291723747</v>
      </c>
      <c r="R964" s="7">
        <f t="shared" si="8"/>
        <v>0.0534377164</v>
      </c>
      <c r="S964" s="7">
        <f t="shared" si="2"/>
        <v>0.1952288618</v>
      </c>
      <c r="T964" s="7">
        <f t="shared" si="3"/>
        <v>0.09</v>
      </c>
      <c r="U964" s="7">
        <f t="shared" si="4"/>
        <v>1</v>
      </c>
      <c r="V964" s="7">
        <f t="shared" si="5"/>
        <v>0</v>
      </c>
      <c r="W964" s="7">
        <f t="shared" ref="W964:X964" si="1871">IF(AVERAGE(U904:U963) &gt; 0.25, 1, 0)</f>
        <v>1</v>
      </c>
      <c r="X964" s="7">
        <f t="shared" si="1871"/>
        <v>1</v>
      </c>
      <c r="Y964" s="8">
        <v>0.0</v>
      </c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</row>
    <row r="965" ht="22.5" customHeight="1">
      <c r="B965" s="6">
        <v>964.0</v>
      </c>
      <c r="C965" s="6">
        <v>14723.0</v>
      </c>
      <c r="D965" s="6">
        <v>0.7</v>
      </c>
      <c r="E965" s="6">
        <v>9.7</v>
      </c>
      <c r="F965" s="6">
        <v>2.33</v>
      </c>
      <c r="G965" s="6">
        <v>-0.1</v>
      </c>
      <c r="H965" s="6">
        <v>0.0</v>
      </c>
      <c r="I965" s="6">
        <v>-0.01</v>
      </c>
      <c r="J965" s="6">
        <v>33.26</v>
      </c>
      <c r="K965" s="7">
        <f t="shared" ref="K965:P965" si="1872">abs(D965-D964)/200</f>
        <v>0.00015</v>
      </c>
      <c r="L965" s="7">
        <f t="shared" si="1872"/>
        <v>0.00005</v>
      </c>
      <c r="M965" s="7">
        <f t="shared" si="1872"/>
        <v>0.00005</v>
      </c>
      <c r="N965" s="7">
        <f t="shared" si="1872"/>
        <v>0.00005</v>
      </c>
      <c r="O965" s="7">
        <f t="shared" si="1872"/>
        <v>0</v>
      </c>
      <c r="P965" s="7">
        <f t="shared" si="1872"/>
        <v>0.00005</v>
      </c>
      <c r="Q965" s="7">
        <f t="shared" si="7"/>
        <v>0.01049875621</v>
      </c>
      <c r="R965" s="7">
        <f t="shared" si="8"/>
        <v>0.005216128287</v>
      </c>
      <c r="S965" s="7">
        <f t="shared" si="2"/>
        <v>0.2004449901</v>
      </c>
      <c r="T965" s="7">
        <f t="shared" si="3"/>
        <v>0.1004987562</v>
      </c>
      <c r="U965" s="7">
        <f t="shared" si="4"/>
        <v>0</v>
      </c>
      <c r="V965" s="7">
        <f t="shared" si="5"/>
        <v>0</v>
      </c>
      <c r="W965" s="7">
        <f t="shared" ref="W965:X965" si="1873">IF(AVERAGE(U905:U964) &gt; 0.25, 1, 0)</f>
        <v>1</v>
      </c>
      <c r="X965" s="7">
        <f t="shared" si="1873"/>
        <v>1</v>
      </c>
      <c r="Y965" s="8">
        <v>0.0</v>
      </c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</row>
    <row r="966" ht="22.5" customHeight="1">
      <c r="B966" s="6">
        <v>965.0</v>
      </c>
      <c r="C966" s="6">
        <v>14927.0</v>
      </c>
      <c r="D966" s="6">
        <v>0.71</v>
      </c>
      <c r="E966" s="6">
        <v>9.7</v>
      </c>
      <c r="F966" s="6">
        <v>2.35</v>
      </c>
      <c r="G966" s="6">
        <v>-0.11</v>
      </c>
      <c r="H966" s="6">
        <v>0.0</v>
      </c>
      <c r="I966" s="6">
        <v>-0.01</v>
      </c>
      <c r="J966" s="6">
        <v>33.27</v>
      </c>
      <c r="K966" s="7">
        <f t="shared" ref="K966:P966" si="1874">abs(D966-D965)/200</f>
        <v>0.00005</v>
      </c>
      <c r="L966" s="7">
        <f t="shared" si="1874"/>
        <v>0</v>
      </c>
      <c r="M966" s="7">
        <f t="shared" si="1874"/>
        <v>0.0001</v>
      </c>
      <c r="N966" s="7">
        <f t="shared" si="1874"/>
        <v>0.00005</v>
      </c>
      <c r="O966" s="7">
        <f t="shared" si="1874"/>
        <v>0</v>
      </c>
      <c r="P966" s="7">
        <f t="shared" si="1874"/>
        <v>0</v>
      </c>
      <c r="Q966" s="7">
        <f t="shared" si="7"/>
        <v>0.009954853961</v>
      </c>
      <c r="R966" s="7">
        <f t="shared" si="8"/>
        <v>0.005383311446</v>
      </c>
      <c r="S966" s="7">
        <f t="shared" si="2"/>
        <v>0.2058283015</v>
      </c>
      <c r="T966" s="7">
        <f t="shared" si="3"/>
        <v>0.1104536102</v>
      </c>
      <c r="U966" s="7">
        <f t="shared" si="4"/>
        <v>0</v>
      </c>
      <c r="V966" s="7">
        <f t="shared" si="5"/>
        <v>0</v>
      </c>
      <c r="W966" s="7">
        <f t="shared" ref="W966:X966" si="1875">IF(AVERAGE(U906:U965) &gt; 0.25, 1, 0)</f>
        <v>1</v>
      </c>
      <c r="X966" s="7">
        <f t="shared" si="1875"/>
        <v>1</v>
      </c>
      <c r="Y966" s="8">
        <v>0.0</v>
      </c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</row>
    <row r="967" ht="22.5" customHeight="1">
      <c r="B967" s="6">
        <v>966.0</v>
      </c>
      <c r="C967" s="6">
        <v>15131.0</v>
      </c>
      <c r="D967" s="6">
        <v>0.64</v>
      </c>
      <c r="E967" s="6">
        <v>9.72</v>
      </c>
      <c r="F967" s="6">
        <v>2.32</v>
      </c>
      <c r="G967" s="6">
        <v>-0.12</v>
      </c>
      <c r="H967" s="6">
        <v>0.0</v>
      </c>
      <c r="I967" s="6">
        <v>-0.02</v>
      </c>
      <c r="J967" s="6">
        <v>33.26</v>
      </c>
      <c r="K967" s="7">
        <f t="shared" ref="K967:P967" si="1876">abs(D967-D966)/200</f>
        <v>0.00035</v>
      </c>
      <c r="L967" s="7">
        <f t="shared" si="1876"/>
        <v>0.0001</v>
      </c>
      <c r="M967" s="7">
        <f t="shared" si="1876"/>
        <v>0.00015</v>
      </c>
      <c r="N967" s="7">
        <f t="shared" si="1876"/>
        <v>0.00005</v>
      </c>
      <c r="O967" s="7">
        <f t="shared" si="1876"/>
        <v>0</v>
      </c>
      <c r="P967" s="7">
        <f t="shared" si="1876"/>
        <v>0.00005</v>
      </c>
      <c r="Q967" s="7">
        <f t="shared" si="7"/>
        <v>0.01120164043</v>
      </c>
      <c r="R967" s="7">
        <f t="shared" si="8"/>
        <v>0.007682571271</v>
      </c>
      <c r="S967" s="7">
        <f t="shared" si="2"/>
        <v>0.2135108728</v>
      </c>
      <c r="T967" s="7">
        <f t="shared" si="3"/>
        <v>0.1216552506</v>
      </c>
      <c r="U967" s="7">
        <f t="shared" si="4"/>
        <v>1</v>
      </c>
      <c r="V967" s="7">
        <f t="shared" si="5"/>
        <v>0</v>
      </c>
      <c r="W967" s="7">
        <f t="shared" ref="W967:X967" si="1877">IF(AVERAGE(U907:U966) &gt; 0.25, 1, 0)</f>
        <v>1</v>
      </c>
      <c r="X967" s="7">
        <f t="shared" si="1877"/>
        <v>1</v>
      </c>
      <c r="Y967" s="8">
        <v>0.0</v>
      </c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</row>
    <row r="968" ht="22.5" customHeight="1">
      <c r="B968" s="6">
        <v>967.0</v>
      </c>
      <c r="C968" s="6">
        <v>15335.0</v>
      </c>
      <c r="D968" s="6">
        <v>0.67</v>
      </c>
      <c r="E968" s="6">
        <v>9.7</v>
      </c>
      <c r="F968" s="6">
        <v>2.35</v>
      </c>
      <c r="G968" s="6">
        <v>-0.06</v>
      </c>
      <c r="H968" s="6">
        <v>0.0</v>
      </c>
      <c r="I968" s="6">
        <v>-0.01</v>
      </c>
      <c r="J968" s="6">
        <v>33.26</v>
      </c>
      <c r="K968" s="7">
        <f t="shared" ref="K968:P968" si="1878">abs(D968-D967)/200</f>
        <v>0.00015</v>
      </c>
      <c r="L968" s="7">
        <f t="shared" si="1878"/>
        <v>0.0001</v>
      </c>
      <c r="M968" s="7">
        <f t="shared" si="1878"/>
        <v>0.00015</v>
      </c>
      <c r="N968" s="7">
        <f t="shared" si="1878"/>
        <v>0.0003</v>
      </c>
      <c r="O968" s="7">
        <f t="shared" si="1878"/>
        <v>0</v>
      </c>
      <c r="P968" s="7">
        <f t="shared" si="1878"/>
        <v>0.00005</v>
      </c>
      <c r="Q968" s="7">
        <f t="shared" si="7"/>
        <v>0.0608276253</v>
      </c>
      <c r="R968" s="7">
        <f t="shared" si="8"/>
        <v>0.01044134392</v>
      </c>
      <c r="S968" s="7">
        <f t="shared" si="2"/>
        <v>0.2030695289</v>
      </c>
      <c r="T968" s="7">
        <f t="shared" si="3"/>
        <v>0.0608276253</v>
      </c>
      <c r="U968" s="7">
        <f t="shared" si="4"/>
        <v>0</v>
      </c>
      <c r="V968" s="7">
        <f t="shared" si="5"/>
        <v>0</v>
      </c>
      <c r="W968" s="7">
        <f t="shared" ref="W968:X968" si="1879">IF(AVERAGE(U908:U967) &gt; 0.25, 1, 0)</f>
        <v>1</v>
      </c>
      <c r="X968" s="7">
        <f t="shared" si="1879"/>
        <v>1</v>
      </c>
      <c r="Y968" s="8">
        <v>0.0</v>
      </c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</row>
    <row r="969" ht="22.5" customHeight="1">
      <c r="B969" s="6">
        <v>968.0</v>
      </c>
      <c r="C969" s="6">
        <v>15539.0</v>
      </c>
      <c r="D969" s="6">
        <v>0.67</v>
      </c>
      <c r="E969" s="6">
        <v>9.73</v>
      </c>
      <c r="F969" s="6">
        <v>2.35</v>
      </c>
      <c r="G969" s="6">
        <v>-0.1</v>
      </c>
      <c r="H969" s="6">
        <v>0.0</v>
      </c>
      <c r="I969" s="6">
        <v>-0.01</v>
      </c>
      <c r="J969" s="6">
        <v>33.26</v>
      </c>
      <c r="K969" s="7">
        <f t="shared" ref="K969:P969" si="1880">abs(D969-D968)/200</f>
        <v>0</v>
      </c>
      <c r="L969" s="7">
        <f t="shared" si="1880"/>
        <v>0.00015</v>
      </c>
      <c r="M969" s="7">
        <f t="shared" si="1880"/>
        <v>0</v>
      </c>
      <c r="N969" s="7">
        <f t="shared" si="1880"/>
        <v>0.0002</v>
      </c>
      <c r="O969" s="7">
        <f t="shared" si="1880"/>
        <v>0</v>
      </c>
      <c r="P969" s="7">
        <f t="shared" si="1880"/>
        <v>0</v>
      </c>
      <c r="Q969" s="7">
        <f t="shared" si="7"/>
        <v>0.03967113091</v>
      </c>
      <c r="R969" s="7">
        <f t="shared" si="8"/>
        <v>0.02909374728</v>
      </c>
      <c r="S969" s="7">
        <f t="shared" si="2"/>
        <v>0.2321632762</v>
      </c>
      <c r="T969" s="7">
        <f t="shared" si="3"/>
        <v>0.1004987562</v>
      </c>
      <c r="U969" s="7">
        <f t="shared" si="4"/>
        <v>0</v>
      </c>
      <c r="V969" s="7">
        <f t="shared" si="5"/>
        <v>0</v>
      </c>
      <c r="W969" s="7">
        <f t="shared" ref="W969:X969" si="1881">IF(AVERAGE(U909:U968) &gt; 0.25, 1, 0)</f>
        <v>1</v>
      </c>
      <c r="X969" s="7">
        <f t="shared" si="1881"/>
        <v>1</v>
      </c>
      <c r="Y969" s="8">
        <v>0.0</v>
      </c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</row>
    <row r="970" ht="22.5" customHeight="1">
      <c r="B970" s="6">
        <v>969.0</v>
      </c>
      <c r="C970" s="6">
        <v>15743.0</v>
      </c>
      <c r="D970" s="6">
        <v>0.67</v>
      </c>
      <c r="E970" s="6">
        <v>9.71</v>
      </c>
      <c r="F970" s="6">
        <v>2.26</v>
      </c>
      <c r="G970" s="6">
        <v>-0.09</v>
      </c>
      <c r="H970" s="6">
        <v>0.0</v>
      </c>
      <c r="I970" s="6">
        <v>-0.02</v>
      </c>
      <c r="J970" s="6">
        <v>33.26</v>
      </c>
      <c r="K970" s="7">
        <f t="shared" ref="K970:P970" si="1882">abs(D970-D969)/200</f>
        <v>0</v>
      </c>
      <c r="L970" s="7">
        <f t="shared" si="1882"/>
        <v>0.0001</v>
      </c>
      <c r="M970" s="7">
        <f t="shared" si="1882"/>
        <v>0.00045</v>
      </c>
      <c r="N970" s="7">
        <f t="shared" si="1882"/>
        <v>0.00005</v>
      </c>
      <c r="O970" s="7">
        <f t="shared" si="1882"/>
        <v>0</v>
      </c>
      <c r="P970" s="7">
        <f t="shared" si="1882"/>
        <v>0.00005</v>
      </c>
      <c r="Q970" s="7">
        <f t="shared" si="7"/>
        <v>0.008303311638</v>
      </c>
      <c r="R970" s="7">
        <f t="shared" si="8"/>
        <v>0.04013645476</v>
      </c>
      <c r="S970" s="7">
        <f t="shared" si="2"/>
        <v>0.1920268214</v>
      </c>
      <c r="T970" s="7">
        <f t="shared" si="3"/>
        <v>0.09219544457</v>
      </c>
      <c r="U970" s="7">
        <f t="shared" si="4"/>
        <v>1</v>
      </c>
      <c r="V970" s="7">
        <f t="shared" si="5"/>
        <v>0</v>
      </c>
      <c r="W970" s="7">
        <f t="shared" ref="W970:X970" si="1883">IF(AVERAGE(U910:U969) &gt; 0.25, 1, 0)</f>
        <v>1</v>
      </c>
      <c r="X970" s="7">
        <f t="shared" si="1883"/>
        <v>1</v>
      </c>
      <c r="Y970" s="8">
        <v>0.0</v>
      </c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</row>
    <row r="971" ht="22.5" customHeight="1">
      <c r="B971" s="6">
        <v>970.0</v>
      </c>
      <c r="C971" s="6">
        <v>15947.0</v>
      </c>
      <c r="D971" s="6">
        <v>0.68</v>
      </c>
      <c r="E971" s="6">
        <v>9.7</v>
      </c>
      <c r="F971" s="6">
        <v>2.3</v>
      </c>
      <c r="G971" s="6">
        <v>-0.08</v>
      </c>
      <c r="H971" s="6">
        <v>0.0</v>
      </c>
      <c r="I971" s="6">
        <v>0.0</v>
      </c>
      <c r="J971" s="6">
        <v>33.26</v>
      </c>
      <c r="K971" s="7">
        <f t="shared" ref="K971:P971" si="1884">abs(D971-D970)/200</f>
        <v>0.00005</v>
      </c>
      <c r="L971" s="7">
        <f t="shared" si="1884"/>
        <v>0.00005</v>
      </c>
      <c r="M971" s="7">
        <f t="shared" si="1884"/>
        <v>0.0002</v>
      </c>
      <c r="N971" s="7">
        <f t="shared" si="1884"/>
        <v>0.00005</v>
      </c>
      <c r="O971" s="7">
        <f t="shared" si="1884"/>
        <v>0</v>
      </c>
      <c r="P971" s="7">
        <f t="shared" si="1884"/>
        <v>0.0001</v>
      </c>
      <c r="Q971" s="7">
        <f t="shared" si="7"/>
        <v>0.01219544457</v>
      </c>
      <c r="R971" s="7">
        <f t="shared" si="8"/>
        <v>0.0000900714099</v>
      </c>
      <c r="S971" s="7">
        <f t="shared" si="2"/>
        <v>0.1921168928</v>
      </c>
      <c r="T971" s="7">
        <f t="shared" si="3"/>
        <v>0.08</v>
      </c>
      <c r="U971" s="7">
        <f t="shared" si="4"/>
        <v>0</v>
      </c>
      <c r="V971" s="7">
        <f t="shared" si="5"/>
        <v>0</v>
      </c>
      <c r="W971" s="7">
        <f t="shared" ref="W971:X971" si="1885">IF(AVERAGE(U911:U970) &gt; 0.25, 1, 0)</f>
        <v>1</v>
      </c>
      <c r="X971" s="7">
        <f t="shared" si="1885"/>
        <v>1</v>
      </c>
      <c r="Y971" s="8">
        <v>0.0</v>
      </c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</row>
    <row r="972" ht="22.5" customHeight="1">
      <c r="B972" s="6">
        <v>971.0</v>
      </c>
      <c r="C972" s="6">
        <v>16151.0</v>
      </c>
      <c r="D972" s="6">
        <v>0.67</v>
      </c>
      <c r="E972" s="6">
        <v>9.73</v>
      </c>
      <c r="F972" s="6">
        <v>2.27</v>
      </c>
      <c r="G972" s="6">
        <v>-0.09</v>
      </c>
      <c r="H972" s="6">
        <v>0.0</v>
      </c>
      <c r="I972" s="6">
        <v>0.0</v>
      </c>
      <c r="J972" s="6">
        <v>33.26</v>
      </c>
      <c r="K972" s="7">
        <f t="shared" ref="K972:P972" si="1886">abs(D972-D971)/200</f>
        <v>0.00005</v>
      </c>
      <c r="L972" s="7">
        <f t="shared" si="1886"/>
        <v>0.00015</v>
      </c>
      <c r="M972" s="7">
        <f t="shared" si="1886"/>
        <v>0.00015</v>
      </c>
      <c r="N972" s="7">
        <f t="shared" si="1886"/>
        <v>0.00005</v>
      </c>
      <c r="O972" s="7">
        <f t="shared" si="1886"/>
        <v>0</v>
      </c>
      <c r="P972" s="7">
        <f t="shared" si="1886"/>
        <v>0</v>
      </c>
      <c r="Q972" s="7">
        <f t="shared" si="7"/>
        <v>0.01</v>
      </c>
      <c r="R972" s="7">
        <f t="shared" si="8"/>
        <v>0.02160868759</v>
      </c>
      <c r="S972" s="7">
        <f t="shared" si="2"/>
        <v>0.2137255804</v>
      </c>
      <c r="T972" s="7">
        <f t="shared" si="3"/>
        <v>0.09</v>
      </c>
      <c r="U972" s="7">
        <f t="shared" si="4"/>
        <v>0</v>
      </c>
      <c r="V972" s="7">
        <f t="shared" si="5"/>
        <v>0</v>
      </c>
      <c r="W972" s="7">
        <f t="shared" ref="W972:X972" si="1887">IF(AVERAGE(U912:U971) &gt; 0.25, 1, 0)</f>
        <v>1</v>
      </c>
      <c r="X972" s="7">
        <f t="shared" si="1887"/>
        <v>1</v>
      </c>
      <c r="Y972" s="8">
        <v>0.0</v>
      </c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</row>
    <row r="973" ht="22.5" customHeight="1">
      <c r="B973" s="6">
        <v>972.0</v>
      </c>
      <c r="C973" s="6">
        <v>16355.0</v>
      </c>
      <c r="D973" s="6">
        <v>0.73</v>
      </c>
      <c r="E973" s="6">
        <v>9.72</v>
      </c>
      <c r="F973" s="6">
        <v>2.27</v>
      </c>
      <c r="G973" s="6">
        <v>-0.12</v>
      </c>
      <c r="H973" s="6">
        <v>0.0</v>
      </c>
      <c r="I973" s="6">
        <v>-0.04</v>
      </c>
      <c r="J973" s="6">
        <v>33.27</v>
      </c>
      <c r="K973" s="7">
        <f t="shared" ref="K973:P973" si="1888">abs(D973-D972)/200</f>
        <v>0.0003</v>
      </c>
      <c r="L973" s="7">
        <f t="shared" si="1888"/>
        <v>0.00005</v>
      </c>
      <c r="M973" s="7">
        <f t="shared" si="1888"/>
        <v>0</v>
      </c>
      <c r="N973" s="7">
        <f t="shared" si="1888"/>
        <v>0.00015</v>
      </c>
      <c r="O973" s="7">
        <f t="shared" si="1888"/>
        <v>0</v>
      </c>
      <c r="P973" s="7">
        <f t="shared" si="1888"/>
        <v>0.0002</v>
      </c>
      <c r="Q973" s="7">
        <f t="shared" si="7"/>
        <v>0.03649110641</v>
      </c>
      <c r="R973" s="7">
        <f t="shared" si="8"/>
        <v>0.005518947863</v>
      </c>
      <c r="S973" s="7">
        <f t="shared" si="2"/>
        <v>0.2082066326</v>
      </c>
      <c r="T973" s="7">
        <f t="shared" si="3"/>
        <v>0.1264911064</v>
      </c>
      <c r="U973" s="7">
        <f t="shared" si="4"/>
        <v>0</v>
      </c>
      <c r="V973" s="7">
        <f t="shared" si="5"/>
        <v>0</v>
      </c>
      <c r="W973" s="7">
        <f t="shared" ref="W973:X973" si="1889">IF(AVERAGE(U913:U972) &gt; 0.25, 1, 0)</f>
        <v>1</v>
      </c>
      <c r="X973" s="7">
        <f t="shared" si="1889"/>
        <v>1</v>
      </c>
      <c r="Y973" s="8">
        <v>0.0</v>
      </c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</row>
    <row r="974" ht="22.5" customHeight="1">
      <c r="B974" s="6">
        <v>973.0</v>
      </c>
      <c r="C974" s="6">
        <v>16559.0</v>
      </c>
      <c r="D974" s="6">
        <v>0.7</v>
      </c>
      <c r="E974" s="6">
        <v>9.71</v>
      </c>
      <c r="F974" s="6">
        <v>2.27</v>
      </c>
      <c r="G974" s="6">
        <v>-0.1</v>
      </c>
      <c r="H974" s="6">
        <v>0.0</v>
      </c>
      <c r="I974" s="6">
        <v>-0.02</v>
      </c>
      <c r="J974" s="6">
        <v>33.27</v>
      </c>
      <c r="K974" s="7">
        <f t="shared" ref="K974:P974" si="1890">abs(D974-D973)/200</f>
        <v>0.00015</v>
      </c>
      <c r="L974" s="7">
        <f t="shared" si="1890"/>
        <v>0.00005</v>
      </c>
      <c r="M974" s="7">
        <f t="shared" si="1890"/>
        <v>0</v>
      </c>
      <c r="N974" s="7">
        <f t="shared" si="1890"/>
        <v>0.0001</v>
      </c>
      <c r="O974" s="7">
        <f t="shared" si="1890"/>
        <v>0</v>
      </c>
      <c r="P974" s="7">
        <f t="shared" si="1890"/>
        <v>0.0001</v>
      </c>
      <c r="Q974" s="7">
        <f t="shared" si="7"/>
        <v>0.02451071613</v>
      </c>
      <c r="R974" s="7">
        <f t="shared" si="8"/>
        <v>0.01185729893</v>
      </c>
      <c r="S974" s="7">
        <f t="shared" si="2"/>
        <v>0.1963493336</v>
      </c>
      <c r="T974" s="7">
        <f t="shared" si="3"/>
        <v>0.1019803903</v>
      </c>
      <c r="U974" s="7">
        <f t="shared" si="4"/>
        <v>0</v>
      </c>
      <c r="V974" s="7">
        <f t="shared" si="5"/>
        <v>0</v>
      </c>
      <c r="W974" s="7">
        <f t="shared" ref="W974:X974" si="1891">IF(AVERAGE(U914:U973) &gt; 0.25, 1, 0)</f>
        <v>1</v>
      </c>
      <c r="X974" s="7">
        <f t="shared" si="1891"/>
        <v>1</v>
      </c>
      <c r="Y974" s="8">
        <v>0.0</v>
      </c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</row>
    <row r="975" ht="22.5" customHeight="1">
      <c r="B975" s="6">
        <v>974.0</v>
      </c>
      <c r="C975" s="6">
        <v>16763.0</v>
      </c>
      <c r="D975" s="6">
        <v>0.74</v>
      </c>
      <c r="E975" s="6">
        <v>9.71</v>
      </c>
      <c r="F975" s="6">
        <v>2.26</v>
      </c>
      <c r="G975" s="6">
        <v>-0.08</v>
      </c>
      <c r="H975" s="6">
        <v>-0.01</v>
      </c>
      <c r="I975" s="6">
        <v>0.02</v>
      </c>
      <c r="J975" s="6">
        <v>33.27</v>
      </c>
      <c r="K975" s="7">
        <f t="shared" ref="K975:P975" si="1892">abs(D975-D974)/200</f>
        <v>0.0002</v>
      </c>
      <c r="L975" s="7">
        <f t="shared" si="1892"/>
        <v>0</v>
      </c>
      <c r="M975" s="7">
        <f t="shared" si="1892"/>
        <v>0.00005</v>
      </c>
      <c r="N975" s="7">
        <f t="shared" si="1892"/>
        <v>0.0001</v>
      </c>
      <c r="O975" s="7">
        <f t="shared" si="1892"/>
        <v>0.00005</v>
      </c>
      <c r="P975" s="7">
        <f t="shared" si="1892"/>
        <v>0.0002</v>
      </c>
      <c r="Q975" s="7">
        <f t="shared" si="7"/>
        <v>0.01891415164</v>
      </c>
      <c r="R975" s="7">
        <f t="shared" si="8"/>
        <v>0.0006152056672</v>
      </c>
      <c r="S975" s="7">
        <f t="shared" si="2"/>
        <v>0.1969645393</v>
      </c>
      <c r="T975" s="7">
        <f t="shared" si="3"/>
        <v>0.08306623863</v>
      </c>
      <c r="U975" s="7">
        <f t="shared" si="4"/>
        <v>0</v>
      </c>
      <c r="V975" s="7">
        <f t="shared" si="5"/>
        <v>0</v>
      </c>
      <c r="W975" s="7">
        <f t="shared" ref="W975:X975" si="1893">IF(AVERAGE(U915:U974) &gt; 0.25, 1, 0)</f>
        <v>1</v>
      </c>
      <c r="X975" s="7">
        <f t="shared" si="1893"/>
        <v>1</v>
      </c>
      <c r="Y975" s="8">
        <v>0.0</v>
      </c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</row>
    <row r="976" ht="22.5" customHeight="1">
      <c r="B976" s="6">
        <v>975.0</v>
      </c>
      <c r="C976" s="6">
        <v>16967.0</v>
      </c>
      <c r="D976" s="6">
        <v>0.7</v>
      </c>
      <c r="E976" s="6">
        <v>9.74</v>
      </c>
      <c r="F976" s="6">
        <v>2.29</v>
      </c>
      <c r="G976" s="6">
        <v>-0.09</v>
      </c>
      <c r="H976" s="6">
        <v>0.0</v>
      </c>
      <c r="I976" s="6">
        <v>-0.02</v>
      </c>
      <c r="J976" s="6">
        <v>33.27</v>
      </c>
      <c r="K976" s="7">
        <f t="shared" ref="K976:P976" si="1894">abs(D976-D975)/200</f>
        <v>0.0002</v>
      </c>
      <c r="L976" s="7">
        <f t="shared" si="1894"/>
        <v>0.00015</v>
      </c>
      <c r="M976" s="7">
        <f t="shared" si="1894"/>
        <v>0.00015</v>
      </c>
      <c r="N976" s="7">
        <f t="shared" si="1894"/>
        <v>0.00005</v>
      </c>
      <c r="O976" s="7">
        <f t="shared" si="1894"/>
        <v>0.00005</v>
      </c>
      <c r="P976" s="7">
        <f t="shared" si="1894"/>
        <v>0.0002</v>
      </c>
      <c r="Q976" s="7">
        <f t="shared" si="7"/>
        <v>0.009129205944</v>
      </c>
      <c r="R976" s="7">
        <f t="shared" si="8"/>
        <v>0.03307534098</v>
      </c>
      <c r="S976" s="7">
        <f t="shared" si="2"/>
        <v>0.2300398803</v>
      </c>
      <c r="T976" s="7">
        <f t="shared" si="3"/>
        <v>0.09219544457</v>
      </c>
      <c r="U976" s="7">
        <f t="shared" si="4"/>
        <v>0</v>
      </c>
      <c r="V976" s="7">
        <f t="shared" si="5"/>
        <v>0</v>
      </c>
      <c r="W976" s="7">
        <f t="shared" ref="W976:X976" si="1895">IF(AVERAGE(U916:U975) &gt; 0.25, 1, 0)</f>
        <v>1</v>
      </c>
      <c r="X976" s="7">
        <f t="shared" si="1895"/>
        <v>1</v>
      </c>
      <c r="Y976" s="8">
        <v>0.0</v>
      </c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</row>
    <row r="977" ht="22.5" customHeight="1">
      <c r="B977" s="6">
        <v>976.0</v>
      </c>
      <c r="C977" s="6">
        <v>17171.0</v>
      </c>
      <c r="D977" s="6">
        <v>0.69</v>
      </c>
      <c r="E977" s="6">
        <v>9.74</v>
      </c>
      <c r="F977" s="6">
        <v>2.29</v>
      </c>
      <c r="G977" s="6">
        <v>-0.11</v>
      </c>
      <c r="H977" s="6">
        <v>0.0</v>
      </c>
      <c r="I977" s="6">
        <v>-0.02</v>
      </c>
      <c r="J977" s="6">
        <v>33.27</v>
      </c>
      <c r="K977" s="7">
        <f t="shared" ref="K977:P977" si="1896">abs(D977-D976)/200</f>
        <v>0.00005</v>
      </c>
      <c r="L977" s="7">
        <f t="shared" si="1896"/>
        <v>0</v>
      </c>
      <c r="M977" s="7">
        <f t="shared" si="1896"/>
        <v>0</v>
      </c>
      <c r="N977" s="7">
        <f t="shared" si="1896"/>
        <v>0.0001</v>
      </c>
      <c r="O977" s="7">
        <f t="shared" si="1896"/>
        <v>0</v>
      </c>
      <c r="P977" s="7">
        <f t="shared" si="1896"/>
        <v>0</v>
      </c>
      <c r="Q977" s="7">
        <f t="shared" si="7"/>
        <v>0.0196079543</v>
      </c>
      <c r="R977" s="7">
        <f t="shared" si="8"/>
        <v>0.0006929424177</v>
      </c>
      <c r="S977" s="7">
        <f t="shared" si="2"/>
        <v>0.2293469379</v>
      </c>
      <c r="T977" s="7">
        <f t="shared" si="3"/>
        <v>0.1118033989</v>
      </c>
      <c r="U977" s="7">
        <f t="shared" si="4"/>
        <v>0</v>
      </c>
      <c r="V977" s="7">
        <f t="shared" si="5"/>
        <v>0</v>
      </c>
      <c r="W977" s="7">
        <f t="shared" ref="W977:X977" si="1897">IF(AVERAGE(U917:U976) &gt; 0.25, 1, 0)</f>
        <v>1</v>
      </c>
      <c r="X977" s="7">
        <f t="shared" si="1897"/>
        <v>0</v>
      </c>
      <c r="Y977" s="8">
        <v>0.0</v>
      </c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</row>
    <row r="978" ht="22.5" customHeight="1">
      <c r="B978" s="6">
        <v>977.0</v>
      </c>
      <c r="C978" s="6">
        <v>17375.0</v>
      </c>
      <c r="D978" s="6">
        <v>0.7</v>
      </c>
      <c r="E978" s="6">
        <v>9.73</v>
      </c>
      <c r="F978" s="6">
        <v>2.28</v>
      </c>
      <c r="G978" s="6">
        <v>-0.1</v>
      </c>
      <c r="H978" s="6">
        <v>0.0</v>
      </c>
      <c r="I978" s="6">
        <v>-0.02</v>
      </c>
      <c r="J978" s="6">
        <v>33.27</v>
      </c>
      <c r="K978" s="7">
        <f t="shared" ref="K978:P978" si="1898">abs(D978-D977)/200</f>
        <v>0.00005</v>
      </c>
      <c r="L978" s="7">
        <f t="shared" si="1898"/>
        <v>0.00005</v>
      </c>
      <c r="M978" s="7">
        <f t="shared" si="1898"/>
        <v>0.00005</v>
      </c>
      <c r="N978" s="7">
        <f t="shared" si="1898"/>
        <v>0.00005</v>
      </c>
      <c r="O978" s="7">
        <f t="shared" si="1898"/>
        <v>0</v>
      </c>
      <c r="P978" s="7">
        <f t="shared" si="1898"/>
        <v>0</v>
      </c>
      <c r="Q978" s="7">
        <f t="shared" si="7"/>
        <v>0.009823008603</v>
      </c>
      <c r="R978" s="7">
        <f t="shared" si="8"/>
        <v>0.01129822566</v>
      </c>
      <c r="S978" s="7">
        <f t="shared" si="2"/>
        <v>0.2180487122</v>
      </c>
      <c r="T978" s="7">
        <f t="shared" si="3"/>
        <v>0.1019803903</v>
      </c>
      <c r="U978" s="7">
        <f t="shared" si="4"/>
        <v>0</v>
      </c>
      <c r="V978" s="7">
        <f t="shared" si="5"/>
        <v>0</v>
      </c>
      <c r="W978" s="7">
        <f t="shared" ref="W978:X978" si="1899">IF(AVERAGE(U918:U977) &gt; 0.25, 1, 0)</f>
        <v>1</v>
      </c>
      <c r="X978" s="7">
        <f t="shared" si="1899"/>
        <v>0</v>
      </c>
      <c r="Y978" s="8">
        <v>0.0</v>
      </c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</row>
    <row r="979" ht="22.5" customHeight="1">
      <c r="B979" s="6">
        <v>978.0</v>
      </c>
      <c r="C979" s="6">
        <v>17579.0</v>
      </c>
      <c r="D979" s="6">
        <v>0.71</v>
      </c>
      <c r="E979" s="6">
        <v>9.72</v>
      </c>
      <c r="F979" s="6">
        <v>2.26</v>
      </c>
      <c r="G979" s="6">
        <v>-0.09</v>
      </c>
      <c r="H979" s="6">
        <v>0.0</v>
      </c>
      <c r="I979" s="6">
        <v>-0.01</v>
      </c>
      <c r="J979" s="6">
        <v>33.27</v>
      </c>
      <c r="K979" s="7">
        <f t="shared" ref="K979:P979" si="1900">abs(D979-D978)/200</f>
        <v>0.00005</v>
      </c>
      <c r="L979" s="7">
        <f t="shared" si="1900"/>
        <v>0.00005</v>
      </c>
      <c r="M979" s="7">
        <f t="shared" si="1900"/>
        <v>0.0001</v>
      </c>
      <c r="N979" s="7">
        <f t="shared" si="1900"/>
        <v>0.00005</v>
      </c>
      <c r="O979" s="7">
        <f t="shared" si="1900"/>
        <v>0</v>
      </c>
      <c r="P979" s="7">
        <f t="shared" si="1900"/>
        <v>0.00005</v>
      </c>
      <c r="Q979" s="7">
        <f t="shared" si="7"/>
        <v>0.01142653889</v>
      </c>
      <c r="R979" s="7">
        <f t="shared" si="8"/>
        <v>0.01354472649</v>
      </c>
      <c r="S979" s="7">
        <f t="shared" si="2"/>
        <v>0.2045039857</v>
      </c>
      <c r="T979" s="7">
        <f t="shared" si="3"/>
        <v>0.09055385138</v>
      </c>
      <c r="U979" s="7">
        <f t="shared" si="4"/>
        <v>0</v>
      </c>
      <c r="V979" s="7">
        <f t="shared" si="5"/>
        <v>0</v>
      </c>
      <c r="W979" s="7">
        <f t="shared" ref="W979:X979" si="1901">IF(AVERAGE(U919:U978) &gt; 0.25, 1, 0)</f>
        <v>1</v>
      </c>
      <c r="X979" s="7">
        <f t="shared" si="1901"/>
        <v>0</v>
      </c>
      <c r="Y979" s="8">
        <v>0.0</v>
      </c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</row>
    <row r="980" ht="22.5" customHeight="1">
      <c r="B980" s="6">
        <v>979.0</v>
      </c>
      <c r="C980" s="6">
        <v>17783.0</v>
      </c>
      <c r="D980" s="6">
        <v>0.71</v>
      </c>
      <c r="E980" s="6">
        <v>9.72</v>
      </c>
      <c r="F980" s="6">
        <v>2.25</v>
      </c>
      <c r="G980" s="6">
        <v>-0.1</v>
      </c>
      <c r="H980" s="6">
        <v>0.0</v>
      </c>
      <c r="I980" s="6">
        <v>-0.01</v>
      </c>
      <c r="J980" s="6">
        <v>33.27</v>
      </c>
      <c r="K980" s="7">
        <f t="shared" ref="K980:P980" si="1902">abs(D980-D979)/200</f>
        <v>0</v>
      </c>
      <c r="L980" s="7">
        <f t="shared" si="1902"/>
        <v>0</v>
      </c>
      <c r="M980" s="7">
        <f t="shared" si="1902"/>
        <v>0.00005</v>
      </c>
      <c r="N980" s="7">
        <f t="shared" si="1902"/>
        <v>0.00005</v>
      </c>
      <c r="O980" s="7">
        <f t="shared" si="1902"/>
        <v>0</v>
      </c>
      <c r="P980" s="7">
        <f t="shared" si="1902"/>
        <v>0</v>
      </c>
      <c r="Q980" s="7">
        <f t="shared" si="7"/>
        <v>0.00994490483</v>
      </c>
      <c r="R980" s="7">
        <f t="shared" si="8"/>
        <v>0.002254238774</v>
      </c>
      <c r="S980" s="7">
        <f t="shared" si="2"/>
        <v>0.2022497469</v>
      </c>
      <c r="T980" s="7">
        <f t="shared" si="3"/>
        <v>0.1004987562</v>
      </c>
      <c r="U980" s="7">
        <f t="shared" si="4"/>
        <v>0</v>
      </c>
      <c r="V980" s="7">
        <f t="shared" si="5"/>
        <v>0</v>
      </c>
      <c r="W980" s="7">
        <f t="shared" ref="W980:X980" si="1903">IF(AVERAGE(U920:U979) &gt; 0.25, 1, 0)</f>
        <v>1</v>
      </c>
      <c r="X980" s="7">
        <f t="shared" si="1903"/>
        <v>0</v>
      </c>
      <c r="Y980" s="8">
        <v>0.0</v>
      </c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</row>
    <row r="981" ht="22.5" customHeight="1">
      <c r="B981" s="6">
        <v>980.0</v>
      </c>
      <c r="C981" s="6">
        <v>17987.0</v>
      </c>
      <c r="D981" s="6">
        <v>0.72</v>
      </c>
      <c r="E981" s="6">
        <v>9.72</v>
      </c>
      <c r="F981" s="6">
        <v>2.27</v>
      </c>
      <c r="G981" s="6">
        <v>-0.1</v>
      </c>
      <c r="H981" s="6">
        <v>0.0</v>
      </c>
      <c r="I981" s="6">
        <v>-0.01</v>
      </c>
      <c r="J981" s="6">
        <v>33.28</v>
      </c>
      <c r="K981" s="7">
        <f t="shared" ref="K981:P981" si="1904">abs(D981-D980)/200</f>
        <v>0.00005</v>
      </c>
      <c r="L981" s="7">
        <f t="shared" si="1904"/>
        <v>0</v>
      </c>
      <c r="M981" s="7">
        <f t="shared" si="1904"/>
        <v>0.0001</v>
      </c>
      <c r="N981" s="7">
        <f t="shared" si="1904"/>
        <v>0</v>
      </c>
      <c r="O981" s="7">
        <f t="shared" si="1904"/>
        <v>0</v>
      </c>
      <c r="P981" s="7">
        <f t="shared" si="1904"/>
        <v>0</v>
      </c>
      <c r="Q981" s="7">
        <f t="shared" si="7"/>
        <v>0</v>
      </c>
      <c r="R981" s="7">
        <f t="shared" si="8"/>
        <v>0.005232453902</v>
      </c>
      <c r="S981" s="7">
        <f t="shared" si="2"/>
        <v>0.2074822008</v>
      </c>
      <c r="T981" s="7">
        <f t="shared" si="3"/>
        <v>0.1004987562</v>
      </c>
      <c r="U981" s="7">
        <f t="shared" si="4"/>
        <v>0</v>
      </c>
      <c r="V981" s="7">
        <f t="shared" si="5"/>
        <v>0</v>
      </c>
      <c r="W981" s="7">
        <f t="shared" ref="W981:X981" si="1905">IF(AVERAGE(U921:U980) &gt; 0.25, 1, 0)</f>
        <v>1</v>
      </c>
      <c r="X981" s="7">
        <f t="shared" si="1905"/>
        <v>0</v>
      </c>
      <c r="Y981" s="8">
        <v>0.0</v>
      </c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</row>
    <row r="982" ht="22.5" customHeight="1">
      <c r="B982" s="6">
        <v>981.0</v>
      </c>
      <c r="C982" s="6">
        <v>18191.0</v>
      </c>
      <c r="D982" s="6">
        <v>0.71</v>
      </c>
      <c r="E982" s="6">
        <v>9.7</v>
      </c>
      <c r="F982" s="6">
        <v>2.27</v>
      </c>
      <c r="G982" s="6">
        <v>-0.11</v>
      </c>
      <c r="H982" s="6">
        <v>0.0</v>
      </c>
      <c r="I982" s="6">
        <v>-0.01</v>
      </c>
      <c r="J982" s="6">
        <v>33.28</v>
      </c>
      <c r="K982" s="7">
        <f t="shared" ref="K982:P982" si="1906">abs(D982-D981)/200</f>
        <v>0.00005</v>
      </c>
      <c r="L982" s="7">
        <f t="shared" si="1906"/>
        <v>0.0001</v>
      </c>
      <c r="M982" s="7">
        <f t="shared" si="1906"/>
        <v>0</v>
      </c>
      <c r="N982" s="7">
        <f t="shared" si="1906"/>
        <v>0.00005</v>
      </c>
      <c r="O982" s="7">
        <f t="shared" si="1906"/>
        <v>0</v>
      </c>
      <c r="P982" s="7">
        <f t="shared" si="1906"/>
        <v>0</v>
      </c>
      <c r="Q982" s="7">
        <f t="shared" si="7"/>
        <v>0.009954853961</v>
      </c>
      <c r="R982" s="7">
        <f t="shared" si="8"/>
        <v>0.0201402121</v>
      </c>
      <c r="S982" s="7">
        <f t="shared" si="2"/>
        <v>0.1873419887</v>
      </c>
      <c r="T982" s="7">
        <f t="shared" si="3"/>
        <v>0.1104536102</v>
      </c>
      <c r="U982" s="7">
        <f t="shared" si="4"/>
        <v>0</v>
      </c>
      <c r="V982" s="7">
        <f t="shared" si="5"/>
        <v>0</v>
      </c>
      <c r="W982" s="7">
        <f t="shared" ref="W982:X982" si="1907">IF(AVERAGE(U922:U981) &gt; 0.25, 1, 0)</f>
        <v>1</v>
      </c>
      <c r="X982" s="7">
        <f t="shared" si="1907"/>
        <v>0</v>
      </c>
      <c r="Y982" s="8">
        <v>0.0</v>
      </c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</row>
    <row r="983" ht="22.5" customHeight="1">
      <c r="B983" s="6">
        <v>982.0</v>
      </c>
      <c r="C983" s="6">
        <v>18395.0</v>
      </c>
      <c r="D983" s="6">
        <v>0.73</v>
      </c>
      <c r="E983" s="6">
        <v>9.72</v>
      </c>
      <c r="F983" s="6">
        <v>2.28</v>
      </c>
      <c r="G983" s="6">
        <v>-0.09</v>
      </c>
      <c r="H983" s="6">
        <v>0.0</v>
      </c>
      <c r="I983" s="6">
        <v>-0.01</v>
      </c>
      <c r="J983" s="6">
        <v>33.28</v>
      </c>
      <c r="K983" s="7">
        <f t="shared" ref="K983:P983" si="1908">abs(D983-D982)/200</f>
        <v>0.0001</v>
      </c>
      <c r="L983" s="7">
        <f t="shared" si="1908"/>
        <v>0.0001</v>
      </c>
      <c r="M983" s="7">
        <f t="shared" si="1908"/>
        <v>0.00005</v>
      </c>
      <c r="N983" s="7">
        <f t="shared" si="1908"/>
        <v>0.0001</v>
      </c>
      <c r="O983" s="7">
        <f t="shared" si="1908"/>
        <v>0</v>
      </c>
      <c r="P983" s="7">
        <f t="shared" si="1908"/>
        <v>0</v>
      </c>
      <c r="Q983" s="7">
        <f t="shared" si="7"/>
        <v>0.01989975879</v>
      </c>
      <c r="R983" s="7">
        <f t="shared" si="8"/>
        <v>0.02313752026</v>
      </c>
      <c r="S983" s="7">
        <f t="shared" si="2"/>
        <v>0.210479509</v>
      </c>
      <c r="T983" s="7">
        <f t="shared" si="3"/>
        <v>0.09055385138</v>
      </c>
      <c r="U983" s="7">
        <f t="shared" si="4"/>
        <v>0</v>
      </c>
      <c r="V983" s="7">
        <f t="shared" si="5"/>
        <v>0</v>
      </c>
      <c r="W983" s="7">
        <f t="shared" ref="W983:X983" si="1909">IF(AVERAGE(U923:U982) &gt; 0.25, 1, 0)</f>
        <v>1</v>
      </c>
      <c r="X983" s="7">
        <f t="shared" si="1909"/>
        <v>0</v>
      </c>
      <c r="Y983" s="8">
        <v>0.0</v>
      </c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</row>
    <row r="984" ht="22.5" customHeight="1">
      <c r="B984" s="6">
        <v>983.0</v>
      </c>
      <c r="C984" s="6">
        <v>18599.0</v>
      </c>
      <c r="D984" s="6">
        <v>0.73</v>
      </c>
      <c r="E984" s="6">
        <v>9.71</v>
      </c>
      <c r="F984" s="6">
        <v>2.28</v>
      </c>
      <c r="G984" s="6">
        <v>-0.1</v>
      </c>
      <c r="H984" s="6">
        <v>0.0</v>
      </c>
      <c r="I984" s="6">
        <v>-0.01</v>
      </c>
      <c r="J984" s="6">
        <v>33.28</v>
      </c>
      <c r="K984" s="7">
        <f t="shared" ref="K984:P984" si="1910">abs(D984-D983)/200</f>
        <v>0</v>
      </c>
      <c r="L984" s="7">
        <f t="shared" si="1910"/>
        <v>0.00005</v>
      </c>
      <c r="M984" s="7">
        <f t="shared" si="1910"/>
        <v>0</v>
      </c>
      <c r="N984" s="7">
        <f t="shared" si="1910"/>
        <v>0.00005</v>
      </c>
      <c r="O984" s="7">
        <f t="shared" si="1910"/>
        <v>0</v>
      </c>
      <c r="P984" s="7">
        <f t="shared" si="1910"/>
        <v>0</v>
      </c>
      <c r="Q984" s="7">
        <f t="shared" si="7"/>
        <v>0.00994490483</v>
      </c>
      <c r="R984" s="7">
        <f t="shared" si="8"/>
        <v>0.009709538637</v>
      </c>
      <c r="S984" s="7">
        <f t="shared" si="2"/>
        <v>0.2007699704</v>
      </c>
      <c r="T984" s="7">
        <f t="shared" si="3"/>
        <v>0.1004987562</v>
      </c>
      <c r="U984" s="7">
        <f t="shared" si="4"/>
        <v>0</v>
      </c>
      <c r="V984" s="7">
        <f t="shared" si="5"/>
        <v>0</v>
      </c>
      <c r="W984" s="7">
        <f t="shared" ref="W984:X984" si="1911">IF(AVERAGE(U924:U983) &gt; 0.25, 1, 0)</f>
        <v>1</v>
      </c>
      <c r="X984" s="7">
        <f t="shared" si="1911"/>
        <v>0</v>
      </c>
      <c r="Y984" s="8">
        <v>0.0</v>
      </c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</row>
    <row r="985" ht="22.5" customHeight="1">
      <c r="B985" s="6">
        <v>984.0</v>
      </c>
      <c r="C985" s="6">
        <v>18803.0</v>
      </c>
      <c r="D985" s="6">
        <v>0.72</v>
      </c>
      <c r="E985" s="6">
        <v>9.73</v>
      </c>
      <c r="F985" s="6">
        <v>2.27</v>
      </c>
      <c r="G985" s="6">
        <v>-0.09</v>
      </c>
      <c r="H985" s="6">
        <v>0.0</v>
      </c>
      <c r="I985" s="6">
        <v>-0.02</v>
      </c>
      <c r="J985" s="6">
        <v>33.27</v>
      </c>
      <c r="K985" s="7">
        <f t="shared" ref="K985:P985" si="1912">abs(D985-D984)/200</f>
        <v>0.00005</v>
      </c>
      <c r="L985" s="7">
        <f t="shared" si="1912"/>
        <v>0.0001</v>
      </c>
      <c r="M985" s="7">
        <f t="shared" si="1912"/>
        <v>0.00005</v>
      </c>
      <c r="N985" s="7">
        <f t="shared" si="1912"/>
        <v>0.00005</v>
      </c>
      <c r="O985" s="7">
        <f t="shared" si="1912"/>
        <v>0</v>
      </c>
      <c r="P985" s="7">
        <f t="shared" si="1912"/>
        <v>0.00005</v>
      </c>
      <c r="Q985" s="7">
        <f t="shared" si="7"/>
        <v>0.008303311638</v>
      </c>
      <c r="R985" s="7">
        <f t="shared" si="8"/>
        <v>0.01642524587</v>
      </c>
      <c r="S985" s="7">
        <f t="shared" si="2"/>
        <v>0.2171952162</v>
      </c>
      <c r="T985" s="7">
        <f t="shared" si="3"/>
        <v>0.09219544457</v>
      </c>
      <c r="U985" s="7">
        <f t="shared" si="4"/>
        <v>0</v>
      </c>
      <c r="V985" s="7">
        <f t="shared" si="5"/>
        <v>0</v>
      </c>
      <c r="W985" s="7">
        <f t="shared" ref="W985:X985" si="1913">IF(AVERAGE(U925:U984) &gt; 0.25, 1, 0)</f>
        <v>1</v>
      </c>
      <c r="X985" s="7">
        <f t="shared" si="1913"/>
        <v>0</v>
      </c>
      <c r="Y985" s="8">
        <v>0.0</v>
      </c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</row>
    <row r="986" ht="22.5" customHeight="1">
      <c r="B986" s="6">
        <v>985.0</v>
      </c>
      <c r="C986" s="6">
        <v>19007.0</v>
      </c>
      <c r="D986" s="6">
        <v>0.74</v>
      </c>
      <c r="E986" s="6">
        <v>9.72</v>
      </c>
      <c r="F986" s="6">
        <v>2.28</v>
      </c>
      <c r="G986" s="6">
        <v>-0.11</v>
      </c>
      <c r="H986" s="6">
        <v>0.0</v>
      </c>
      <c r="I986" s="6">
        <v>-0.02</v>
      </c>
      <c r="J986" s="6">
        <v>33.28</v>
      </c>
      <c r="K986" s="7">
        <f t="shared" ref="K986:P986" si="1914">abs(D986-D985)/200</f>
        <v>0.0001</v>
      </c>
      <c r="L986" s="7">
        <f t="shared" si="1914"/>
        <v>0.00005</v>
      </c>
      <c r="M986" s="7">
        <f t="shared" si="1914"/>
        <v>0.00005</v>
      </c>
      <c r="N986" s="7">
        <f t="shared" si="1914"/>
        <v>0.0001</v>
      </c>
      <c r="O986" s="7">
        <f t="shared" si="1914"/>
        <v>0</v>
      </c>
      <c r="P986" s="7">
        <f t="shared" si="1914"/>
        <v>0</v>
      </c>
      <c r="Q986" s="7">
        <f t="shared" si="7"/>
        <v>0.0196079543</v>
      </c>
      <c r="R986" s="7">
        <f t="shared" si="8"/>
        <v>0.005981503594</v>
      </c>
      <c r="S986" s="7">
        <f t="shared" si="2"/>
        <v>0.2112137126</v>
      </c>
      <c r="T986" s="7">
        <f t="shared" si="3"/>
        <v>0.1118033989</v>
      </c>
      <c r="U986" s="7">
        <f t="shared" si="4"/>
        <v>0</v>
      </c>
      <c r="V986" s="7">
        <f t="shared" si="5"/>
        <v>0</v>
      </c>
      <c r="W986" s="7">
        <f t="shared" ref="W986:X986" si="1915">IF(AVERAGE(U926:U985) &gt; 0.25, 1, 0)</f>
        <v>1</v>
      </c>
      <c r="X986" s="7">
        <f t="shared" si="1915"/>
        <v>0</v>
      </c>
      <c r="Y986" s="8">
        <v>0.0</v>
      </c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</row>
    <row r="987" ht="22.5" customHeight="1">
      <c r="B987" s="6">
        <v>986.0</v>
      </c>
      <c r="C987" s="6">
        <v>19211.0</v>
      </c>
      <c r="D987" s="6">
        <v>0.75</v>
      </c>
      <c r="E987" s="6">
        <v>9.73</v>
      </c>
      <c r="F987" s="6">
        <v>2.26</v>
      </c>
      <c r="G987" s="6">
        <v>-0.1</v>
      </c>
      <c r="H987" s="6">
        <v>0.0</v>
      </c>
      <c r="I987" s="6">
        <v>-0.02</v>
      </c>
      <c r="J987" s="6">
        <v>33.28</v>
      </c>
      <c r="K987" s="7">
        <f t="shared" ref="K987:P987" si="1916">abs(D987-D986)/200</f>
        <v>0.00005</v>
      </c>
      <c r="L987" s="7">
        <f t="shared" si="1916"/>
        <v>0.00005</v>
      </c>
      <c r="M987" s="7">
        <f t="shared" si="1916"/>
        <v>0.0001</v>
      </c>
      <c r="N987" s="7">
        <f t="shared" si="1916"/>
        <v>0.00005</v>
      </c>
      <c r="O987" s="7">
        <f t="shared" si="1916"/>
        <v>0</v>
      </c>
      <c r="P987" s="7">
        <f t="shared" si="1916"/>
        <v>0</v>
      </c>
      <c r="Q987" s="7">
        <f t="shared" si="7"/>
        <v>0.009823008603</v>
      </c>
      <c r="R987" s="7">
        <f t="shared" si="8"/>
        <v>0.00592160641</v>
      </c>
      <c r="S987" s="7">
        <f t="shared" si="2"/>
        <v>0.217135319</v>
      </c>
      <c r="T987" s="7">
        <f t="shared" si="3"/>
        <v>0.1019803903</v>
      </c>
      <c r="U987" s="7">
        <f t="shared" si="4"/>
        <v>0</v>
      </c>
      <c r="V987" s="7">
        <f t="shared" si="5"/>
        <v>0</v>
      </c>
      <c r="W987" s="7">
        <f t="shared" ref="W987:X987" si="1917">IF(AVERAGE(U927:U986) &gt; 0.25, 1, 0)</f>
        <v>1</v>
      </c>
      <c r="X987" s="7">
        <f t="shared" si="1917"/>
        <v>0</v>
      </c>
      <c r="Y987" s="8">
        <v>0.0</v>
      </c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</row>
    <row r="988" ht="22.5" customHeight="1">
      <c r="B988" s="6">
        <v>987.0</v>
      </c>
      <c r="C988" s="6">
        <v>19415.0</v>
      </c>
      <c r="D988" s="6">
        <v>0.73</v>
      </c>
      <c r="E988" s="6">
        <v>9.73</v>
      </c>
      <c r="F988" s="6">
        <v>2.28</v>
      </c>
      <c r="G988" s="6">
        <v>-0.09</v>
      </c>
      <c r="H988" s="6">
        <v>0.0</v>
      </c>
      <c r="I988" s="6">
        <v>-0.01</v>
      </c>
      <c r="J988" s="6">
        <v>33.28</v>
      </c>
      <c r="K988" s="7">
        <f t="shared" ref="K988:P988" si="1918">abs(D988-D987)/200</f>
        <v>0.0001</v>
      </c>
      <c r="L988" s="7">
        <f t="shared" si="1918"/>
        <v>0</v>
      </c>
      <c r="M988" s="7">
        <f t="shared" si="1918"/>
        <v>0.0001</v>
      </c>
      <c r="N988" s="7">
        <f t="shared" si="1918"/>
        <v>0.00005</v>
      </c>
      <c r="O988" s="7">
        <f t="shared" si="1918"/>
        <v>0</v>
      </c>
      <c r="P988" s="7">
        <f t="shared" si="1918"/>
        <v>0.00005</v>
      </c>
      <c r="Q988" s="7">
        <f t="shared" si="7"/>
        <v>0.01142653889</v>
      </c>
      <c r="R988" s="7">
        <f t="shared" si="8"/>
        <v>0.003054299922</v>
      </c>
      <c r="S988" s="7">
        <f t="shared" si="2"/>
        <v>0.220189619</v>
      </c>
      <c r="T988" s="7">
        <f t="shared" si="3"/>
        <v>0.09055385138</v>
      </c>
      <c r="U988" s="7">
        <f t="shared" si="4"/>
        <v>0</v>
      </c>
      <c r="V988" s="7">
        <f t="shared" si="5"/>
        <v>0</v>
      </c>
      <c r="W988" s="7">
        <f t="shared" ref="W988:X988" si="1919">IF(AVERAGE(U928:U987) &gt; 0.25, 1, 0)</f>
        <v>0</v>
      </c>
      <c r="X988" s="7">
        <f t="shared" si="1919"/>
        <v>0</v>
      </c>
      <c r="Y988" s="8">
        <v>0.0</v>
      </c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</row>
    <row r="989" ht="22.5" customHeight="1">
      <c r="B989" s="6">
        <v>988.0</v>
      </c>
      <c r="C989" s="6">
        <v>19619.0</v>
      </c>
      <c r="D989" s="6">
        <v>0.74</v>
      </c>
      <c r="E989" s="6">
        <v>9.73</v>
      </c>
      <c r="F989" s="6">
        <v>2.28</v>
      </c>
      <c r="G989" s="6">
        <v>-0.1</v>
      </c>
      <c r="H989" s="6">
        <v>0.0</v>
      </c>
      <c r="I989" s="6">
        <v>-0.01</v>
      </c>
      <c r="J989" s="6">
        <v>33.28</v>
      </c>
      <c r="K989" s="7">
        <f t="shared" ref="K989:P989" si="1920">abs(D989-D988)/200</f>
        <v>0.00005</v>
      </c>
      <c r="L989" s="7">
        <f t="shared" si="1920"/>
        <v>0</v>
      </c>
      <c r="M989" s="7">
        <f t="shared" si="1920"/>
        <v>0</v>
      </c>
      <c r="N989" s="7">
        <f t="shared" si="1920"/>
        <v>0.00005</v>
      </c>
      <c r="O989" s="7">
        <f t="shared" si="1920"/>
        <v>0</v>
      </c>
      <c r="P989" s="7">
        <f t="shared" si="1920"/>
        <v>0</v>
      </c>
      <c r="Q989" s="7">
        <f t="shared" si="7"/>
        <v>0.00994490483</v>
      </c>
      <c r="R989" s="7">
        <f t="shared" si="8"/>
        <v>0.0007334922066</v>
      </c>
      <c r="S989" s="7">
        <f t="shared" si="2"/>
        <v>0.2209231112</v>
      </c>
      <c r="T989" s="7">
        <f t="shared" si="3"/>
        <v>0.1004987562</v>
      </c>
      <c r="U989" s="7">
        <f t="shared" si="4"/>
        <v>0</v>
      </c>
      <c r="V989" s="7">
        <f t="shared" si="5"/>
        <v>0</v>
      </c>
      <c r="W989" s="7">
        <f t="shared" ref="W989:X989" si="1921">IF(AVERAGE(U929:U988) &gt; 0.25, 1, 0)</f>
        <v>0</v>
      </c>
      <c r="X989" s="7">
        <f t="shared" si="1921"/>
        <v>0</v>
      </c>
      <c r="Y989" s="8">
        <v>0.0</v>
      </c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</row>
    <row r="990" ht="22.5" customHeight="1">
      <c r="B990" s="6">
        <v>989.0</v>
      </c>
      <c r="C990" s="6">
        <v>19823.0</v>
      </c>
      <c r="D990" s="6">
        <v>0.75</v>
      </c>
      <c r="E990" s="6">
        <v>9.72</v>
      </c>
      <c r="F990" s="6">
        <v>2.27</v>
      </c>
      <c r="G990" s="6">
        <v>-0.1</v>
      </c>
      <c r="H990" s="6">
        <v>0.0</v>
      </c>
      <c r="I990" s="6">
        <v>-0.01</v>
      </c>
      <c r="J990" s="6">
        <v>33.29</v>
      </c>
      <c r="K990" s="7">
        <f t="shared" ref="K990:P990" si="1922">abs(D990-D989)/200</f>
        <v>0.00005</v>
      </c>
      <c r="L990" s="7">
        <f t="shared" si="1922"/>
        <v>0.00005</v>
      </c>
      <c r="M990" s="7">
        <f t="shared" si="1922"/>
        <v>0.00005</v>
      </c>
      <c r="N990" s="7">
        <f t="shared" si="1922"/>
        <v>0</v>
      </c>
      <c r="O990" s="7">
        <f t="shared" si="1922"/>
        <v>0</v>
      </c>
      <c r="P990" s="7">
        <f t="shared" si="1922"/>
        <v>0</v>
      </c>
      <c r="Q990" s="7">
        <f t="shared" si="7"/>
        <v>0</v>
      </c>
      <c r="R990" s="7">
        <f t="shared" si="8"/>
        <v>0.01123780143</v>
      </c>
      <c r="S990" s="7">
        <f t="shared" si="2"/>
        <v>0.2096853097</v>
      </c>
      <c r="T990" s="7">
        <f t="shared" si="3"/>
        <v>0.1004987562</v>
      </c>
      <c r="U990" s="7">
        <f t="shared" si="4"/>
        <v>0</v>
      </c>
      <c r="V990" s="7">
        <f t="shared" si="5"/>
        <v>0</v>
      </c>
      <c r="W990" s="7">
        <f t="shared" ref="W990:X990" si="1923">IF(AVERAGE(U930:U989) &gt; 0.25, 1, 0)</f>
        <v>0</v>
      </c>
      <c r="X990" s="7">
        <f t="shared" si="1923"/>
        <v>0</v>
      </c>
      <c r="Y990" s="8">
        <v>0.0</v>
      </c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</row>
    <row r="991" ht="22.5" customHeight="1">
      <c r="B991" s="6">
        <v>990.0</v>
      </c>
      <c r="C991" s="6">
        <v>20027.0</v>
      </c>
      <c r="D991" s="6">
        <v>0.75</v>
      </c>
      <c r="E991" s="6">
        <v>9.72</v>
      </c>
      <c r="F991" s="6">
        <v>2.25</v>
      </c>
      <c r="G991" s="6">
        <v>-0.09</v>
      </c>
      <c r="H991" s="6">
        <v>0.0</v>
      </c>
      <c r="I991" s="6">
        <v>0.0</v>
      </c>
      <c r="J991" s="6">
        <v>33.27</v>
      </c>
      <c r="K991" s="7">
        <f t="shared" ref="K991:P991" si="1924">abs(D991-D990)/200</f>
        <v>0</v>
      </c>
      <c r="L991" s="7">
        <f t="shared" si="1924"/>
        <v>0</v>
      </c>
      <c r="M991" s="7">
        <f t="shared" si="1924"/>
        <v>0.0001</v>
      </c>
      <c r="N991" s="7">
        <f t="shared" si="1924"/>
        <v>0.00005</v>
      </c>
      <c r="O991" s="7">
        <f t="shared" si="1924"/>
        <v>0</v>
      </c>
      <c r="P991" s="7">
        <f t="shared" si="1924"/>
        <v>0.00005</v>
      </c>
      <c r="Q991" s="7">
        <f t="shared" si="7"/>
        <v>0.01049875621</v>
      </c>
      <c r="R991" s="7">
        <f t="shared" si="8"/>
        <v>0.004516645493</v>
      </c>
      <c r="S991" s="7">
        <f t="shared" si="2"/>
        <v>0.2051686642</v>
      </c>
      <c r="T991" s="7">
        <f t="shared" si="3"/>
        <v>0.09</v>
      </c>
      <c r="U991" s="7">
        <f t="shared" si="4"/>
        <v>0</v>
      </c>
      <c r="V991" s="7">
        <f t="shared" si="5"/>
        <v>0</v>
      </c>
      <c r="W991" s="7">
        <f t="shared" ref="W991:X991" si="1925">IF(AVERAGE(U931:U990) &gt; 0.25, 1, 0)</f>
        <v>0</v>
      </c>
      <c r="X991" s="7">
        <f t="shared" si="1925"/>
        <v>0</v>
      </c>
      <c r="Y991" s="8">
        <v>0.0</v>
      </c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</row>
    <row r="992" ht="22.5" customHeight="1">
      <c r="B992" s="6">
        <v>991.0</v>
      </c>
      <c r="C992" s="6">
        <v>20231.0</v>
      </c>
      <c r="D992" s="6">
        <v>0.75</v>
      </c>
      <c r="E992" s="6">
        <v>9.73</v>
      </c>
      <c r="F992" s="6">
        <v>2.24</v>
      </c>
      <c r="G992" s="6">
        <v>-0.09</v>
      </c>
      <c r="H992" s="6">
        <v>0.0</v>
      </c>
      <c r="I992" s="6">
        <v>-0.01</v>
      </c>
      <c r="J992" s="6">
        <v>33.28</v>
      </c>
      <c r="K992" s="7">
        <f t="shared" ref="K992:P992" si="1926">abs(D992-D991)/200</f>
        <v>0</v>
      </c>
      <c r="L992" s="7">
        <f t="shared" si="1926"/>
        <v>0.00005</v>
      </c>
      <c r="M992" s="7">
        <f t="shared" si="1926"/>
        <v>0.00005</v>
      </c>
      <c r="N992" s="7">
        <f t="shared" si="1926"/>
        <v>0</v>
      </c>
      <c r="O992" s="7">
        <f t="shared" si="1926"/>
        <v>0</v>
      </c>
      <c r="P992" s="7">
        <f t="shared" si="1926"/>
        <v>0.00005</v>
      </c>
      <c r="Q992" s="7">
        <f t="shared" si="7"/>
        <v>0.0005538513814</v>
      </c>
      <c r="R992" s="7">
        <f t="shared" si="8"/>
        <v>0.007473344735</v>
      </c>
      <c r="S992" s="7">
        <f t="shared" si="2"/>
        <v>0.212642009</v>
      </c>
      <c r="T992" s="7">
        <f t="shared" si="3"/>
        <v>0.09055385138</v>
      </c>
      <c r="U992" s="7">
        <f t="shared" si="4"/>
        <v>0</v>
      </c>
      <c r="V992" s="7">
        <f t="shared" si="5"/>
        <v>0</v>
      </c>
      <c r="W992" s="7">
        <f t="shared" ref="W992:X992" si="1927">IF(AVERAGE(U932:U991) &gt; 0.25, 1, 0)</f>
        <v>0</v>
      </c>
      <c r="X992" s="7">
        <f t="shared" si="1927"/>
        <v>0</v>
      </c>
      <c r="Y992" s="8">
        <v>0.0</v>
      </c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</row>
    <row r="993" ht="22.5" customHeight="1">
      <c r="B993" s="6">
        <v>992.0</v>
      </c>
      <c r="C993" s="6">
        <v>20435.0</v>
      </c>
      <c r="D993" s="6">
        <v>0.77</v>
      </c>
      <c r="E993" s="6">
        <v>9.73</v>
      </c>
      <c r="F993" s="6">
        <v>2.26</v>
      </c>
      <c r="G993" s="6">
        <v>-0.09</v>
      </c>
      <c r="H993" s="6">
        <v>0.0</v>
      </c>
      <c r="I993" s="6">
        <v>0.0</v>
      </c>
      <c r="J993" s="6">
        <v>33.29</v>
      </c>
      <c r="K993" s="7">
        <f t="shared" ref="K993:P993" si="1928">abs(D993-D992)/200</f>
        <v>0.0001</v>
      </c>
      <c r="L993" s="7">
        <f t="shared" si="1928"/>
        <v>0</v>
      </c>
      <c r="M993" s="7">
        <f t="shared" si="1928"/>
        <v>0.0001</v>
      </c>
      <c r="N993" s="7">
        <f t="shared" si="1928"/>
        <v>0</v>
      </c>
      <c r="O993" s="7">
        <f t="shared" si="1928"/>
        <v>0</v>
      </c>
      <c r="P993" s="7">
        <f t="shared" si="1928"/>
        <v>0.00005</v>
      </c>
      <c r="Q993" s="7">
        <f t="shared" si="7"/>
        <v>0.0005538513814</v>
      </c>
      <c r="R993" s="7">
        <f t="shared" si="8"/>
        <v>0.006010595038</v>
      </c>
      <c r="S993" s="7">
        <f t="shared" si="2"/>
        <v>0.218652604</v>
      </c>
      <c r="T993" s="7">
        <f t="shared" si="3"/>
        <v>0.09</v>
      </c>
      <c r="U993" s="7">
        <f t="shared" si="4"/>
        <v>0</v>
      </c>
      <c r="V993" s="7">
        <f t="shared" si="5"/>
        <v>0</v>
      </c>
      <c r="W993" s="7">
        <f t="shared" ref="W993:X993" si="1929">IF(AVERAGE(U933:U992) &gt; 0.25, 1, 0)</f>
        <v>0</v>
      </c>
      <c r="X993" s="7">
        <f t="shared" si="1929"/>
        <v>0</v>
      </c>
      <c r="Y993" s="8">
        <v>0.0</v>
      </c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</row>
    <row r="994" ht="22.5" customHeight="1">
      <c r="B994" s="6">
        <v>993.0</v>
      </c>
      <c r="C994" s="6">
        <v>20639.0</v>
      </c>
      <c r="D994" s="6">
        <v>0.76</v>
      </c>
      <c r="E994" s="6">
        <v>9.73</v>
      </c>
      <c r="F994" s="6">
        <v>2.26</v>
      </c>
      <c r="G994" s="6">
        <v>-0.1</v>
      </c>
      <c r="H994" s="6">
        <v>0.0</v>
      </c>
      <c r="I994" s="6">
        <v>-0.01</v>
      </c>
      <c r="J994" s="6">
        <v>33.29</v>
      </c>
      <c r="K994" s="7">
        <f t="shared" ref="K994:P994" si="1930">abs(D994-D993)/200</f>
        <v>0.00005</v>
      </c>
      <c r="L994" s="7">
        <f t="shared" si="1930"/>
        <v>0</v>
      </c>
      <c r="M994" s="7">
        <f t="shared" si="1930"/>
        <v>0</v>
      </c>
      <c r="N994" s="7">
        <f t="shared" si="1930"/>
        <v>0.00005</v>
      </c>
      <c r="O994" s="7">
        <f t="shared" si="1930"/>
        <v>0</v>
      </c>
      <c r="P994" s="7">
        <f t="shared" si="1930"/>
        <v>0.00005</v>
      </c>
      <c r="Q994" s="7">
        <f t="shared" si="7"/>
        <v>0.01049875621</v>
      </c>
      <c r="R994" s="7">
        <f t="shared" si="8"/>
        <v>0.0007636048328</v>
      </c>
      <c r="S994" s="7">
        <f t="shared" si="2"/>
        <v>0.2178889992</v>
      </c>
      <c r="T994" s="7">
        <f t="shared" si="3"/>
        <v>0.1004987562</v>
      </c>
      <c r="U994" s="7">
        <f t="shared" si="4"/>
        <v>0</v>
      </c>
      <c r="V994" s="7">
        <f t="shared" si="5"/>
        <v>0</v>
      </c>
      <c r="W994" s="7">
        <f t="shared" ref="W994:X994" si="1931">IF(AVERAGE(U934:U993) &gt; 0.25, 1, 0)</f>
        <v>0</v>
      </c>
      <c r="X994" s="7">
        <f t="shared" si="1931"/>
        <v>0</v>
      </c>
      <c r="Y994" s="8">
        <v>0.0</v>
      </c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</row>
    <row r="995" ht="22.5" customHeight="1">
      <c r="B995" s="6">
        <v>994.0</v>
      </c>
      <c r="C995" s="6">
        <v>20843.0</v>
      </c>
      <c r="D995" s="6">
        <v>0.76</v>
      </c>
      <c r="E995" s="6">
        <v>9.73</v>
      </c>
      <c r="F995" s="6">
        <v>2.25</v>
      </c>
      <c r="G995" s="6">
        <v>-0.09</v>
      </c>
      <c r="H995" s="6">
        <v>0.0</v>
      </c>
      <c r="I995" s="6">
        <v>-0.01</v>
      </c>
      <c r="J995" s="6">
        <v>33.3</v>
      </c>
      <c r="K995" s="7">
        <f t="shared" ref="K995:P995" si="1932">abs(D995-D994)/200</f>
        <v>0</v>
      </c>
      <c r="L995" s="7">
        <f t="shared" si="1932"/>
        <v>0</v>
      </c>
      <c r="M995" s="7">
        <f t="shared" si="1932"/>
        <v>0.00005</v>
      </c>
      <c r="N995" s="7">
        <f t="shared" si="1932"/>
        <v>0.00005</v>
      </c>
      <c r="O995" s="7">
        <f t="shared" si="1932"/>
        <v>0</v>
      </c>
      <c r="P995" s="7">
        <f t="shared" si="1932"/>
        <v>0</v>
      </c>
      <c r="Q995" s="7">
        <f t="shared" si="7"/>
        <v>0.00994490483</v>
      </c>
      <c r="R995" s="7">
        <f t="shared" si="8"/>
        <v>0.002251226183</v>
      </c>
      <c r="S995" s="7">
        <f t="shared" si="2"/>
        <v>0.215637773</v>
      </c>
      <c r="T995" s="7">
        <f t="shared" si="3"/>
        <v>0.09055385138</v>
      </c>
      <c r="U995" s="7">
        <f t="shared" si="4"/>
        <v>0</v>
      </c>
      <c r="V995" s="7">
        <f t="shared" si="5"/>
        <v>0</v>
      </c>
      <c r="W995" s="7">
        <f t="shared" ref="W995:X995" si="1933">IF(AVERAGE(U935:U994) &gt; 0.25, 1, 0)</f>
        <v>0</v>
      </c>
      <c r="X995" s="7">
        <f t="shared" si="1933"/>
        <v>0</v>
      </c>
      <c r="Y995" s="8">
        <v>0.0</v>
      </c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</row>
    <row r="996" ht="22.5" customHeight="1">
      <c r="B996" s="6">
        <v>995.0</v>
      </c>
      <c r="C996" s="6">
        <v>21047.0</v>
      </c>
      <c r="D996" s="6">
        <v>0.76</v>
      </c>
      <c r="E996" s="6">
        <v>9.71</v>
      </c>
      <c r="F996" s="6">
        <v>2.25</v>
      </c>
      <c r="G996" s="6">
        <v>-0.1</v>
      </c>
      <c r="H996" s="6">
        <v>0.0</v>
      </c>
      <c r="I996" s="6">
        <v>-0.01</v>
      </c>
      <c r="J996" s="6">
        <v>33.29</v>
      </c>
      <c r="K996" s="7">
        <f t="shared" ref="K996:P996" si="1934">abs(D996-D995)/200</f>
        <v>0</v>
      </c>
      <c r="L996" s="7">
        <f t="shared" si="1934"/>
        <v>0.0001</v>
      </c>
      <c r="M996" s="7">
        <f t="shared" si="1934"/>
        <v>0</v>
      </c>
      <c r="N996" s="7">
        <f t="shared" si="1934"/>
        <v>0.00005</v>
      </c>
      <c r="O996" s="7">
        <f t="shared" si="1934"/>
        <v>0</v>
      </c>
      <c r="P996" s="7">
        <f t="shared" si="1934"/>
        <v>0</v>
      </c>
      <c r="Q996" s="7">
        <f t="shared" si="7"/>
        <v>0.00994490483</v>
      </c>
      <c r="R996" s="7">
        <f t="shared" si="8"/>
        <v>0.01942849148</v>
      </c>
      <c r="S996" s="7">
        <f t="shared" si="2"/>
        <v>0.1962092815</v>
      </c>
      <c r="T996" s="7">
        <f t="shared" si="3"/>
        <v>0.1004987562</v>
      </c>
      <c r="U996" s="7">
        <f t="shared" si="4"/>
        <v>0</v>
      </c>
      <c r="V996" s="7">
        <f t="shared" si="5"/>
        <v>0</v>
      </c>
      <c r="W996" s="7">
        <f t="shared" ref="W996:X996" si="1935">IF(AVERAGE(U936:U995) &gt; 0.25, 1, 0)</f>
        <v>0</v>
      </c>
      <c r="X996" s="7">
        <f t="shared" si="1935"/>
        <v>0</v>
      </c>
      <c r="Y996" s="8">
        <v>0.0</v>
      </c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</row>
    <row r="997" ht="22.5" customHeight="1">
      <c r="B997" s="6">
        <v>996.0</v>
      </c>
      <c r="C997" s="6">
        <v>21251.0</v>
      </c>
      <c r="D997" s="6">
        <v>0.75</v>
      </c>
      <c r="E997" s="6">
        <v>9.73</v>
      </c>
      <c r="F997" s="6">
        <v>2.26</v>
      </c>
      <c r="G997" s="6">
        <v>-0.1</v>
      </c>
      <c r="H997" s="6">
        <v>0.0</v>
      </c>
      <c r="I997" s="6">
        <v>-0.02</v>
      </c>
      <c r="J997" s="6">
        <v>33.29</v>
      </c>
      <c r="K997" s="7">
        <f t="shared" ref="K997:P997" si="1936">abs(D997-D996)/200</f>
        <v>0.00005</v>
      </c>
      <c r="L997" s="7">
        <f t="shared" si="1936"/>
        <v>0.0001</v>
      </c>
      <c r="M997" s="7">
        <f t="shared" si="1936"/>
        <v>0.00005</v>
      </c>
      <c r="N997" s="7">
        <f t="shared" si="1936"/>
        <v>0</v>
      </c>
      <c r="O997" s="7">
        <f t="shared" si="1936"/>
        <v>0</v>
      </c>
      <c r="P997" s="7">
        <f t="shared" si="1936"/>
        <v>0.00005</v>
      </c>
      <c r="Q997" s="7">
        <f t="shared" si="7"/>
        <v>0.001481634061</v>
      </c>
      <c r="R997" s="7">
        <f t="shared" si="8"/>
        <v>0.02092603752</v>
      </c>
      <c r="S997" s="7">
        <f t="shared" si="2"/>
        <v>0.217135319</v>
      </c>
      <c r="T997" s="7">
        <f t="shared" si="3"/>
        <v>0.1019803903</v>
      </c>
      <c r="U997" s="7">
        <f t="shared" si="4"/>
        <v>0</v>
      </c>
      <c r="V997" s="7">
        <f t="shared" si="5"/>
        <v>0</v>
      </c>
      <c r="W997" s="7">
        <f t="shared" ref="W997:X997" si="1937">IF(AVERAGE(U937:U996) &gt; 0.25, 1, 0)</f>
        <v>0</v>
      </c>
      <c r="X997" s="7">
        <f t="shared" si="1937"/>
        <v>0</v>
      </c>
      <c r="Y997" s="8">
        <v>0.0</v>
      </c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</row>
    <row r="998" ht="22.5" customHeight="1">
      <c r="B998" s="6">
        <v>997.0</v>
      </c>
      <c r="C998" s="6">
        <v>21455.0</v>
      </c>
      <c r="D998" s="6">
        <v>0.75</v>
      </c>
      <c r="E998" s="6">
        <v>9.74</v>
      </c>
      <c r="F998" s="6">
        <v>2.25</v>
      </c>
      <c r="G998" s="6">
        <v>-0.1</v>
      </c>
      <c r="H998" s="6">
        <v>0.0</v>
      </c>
      <c r="I998" s="6">
        <v>-0.01</v>
      </c>
      <c r="J998" s="6">
        <v>33.28</v>
      </c>
      <c r="K998" s="7">
        <f t="shared" ref="K998:P998" si="1938">abs(D998-D997)/200</f>
        <v>0</v>
      </c>
      <c r="L998" s="7">
        <f t="shared" si="1938"/>
        <v>0.00005</v>
      </c>
      <c r="M998" s="7">
        <f t="shared" si="1938"/>
        <v>0.00005</v>
      </c>
      <c r="N998" s="7">
        <f t="shared" si="1938"/>
        <v>0</v>
      </c>
      <c r="O998" s="7">
        <f t="shared" si="1938"/>
        <v>0</v>
      </c>
      <c r="P998" s="7">
        <f t="shared" si="1938"/>
        <v>0.00005</v>
      </c>
      <c r="Q998" s="7">
        <f t="shared" si="7"/>
        <v>0.001481634061</v>
      </c>
      <c r="R998" s="7">
        <f t="shared" si="8"/>
        <v>0.007464423591</v>
      </c>
      <c r="S998" s="7">
        <f t="shared" si="2"/>
        <v>0.2245997426</v>
      </c>
      <c r="T998" s="7">
        <f t="shared" si="3"/>
        <v>0.1004987562</v>
      </c>
      <c r="U998" s="7">
        <f t="shared" si="4"/>
        <v>0</v>
      </c>
      <c r="V998" s="7">
        <f t="shared" si="5"/>
        <v>0</v>
      </c>
      <c r="W998" s="7">
        <f t="shared" ref="W998:X998" si="1939">IF(AVERAGE(U938:U997) &gt; 0.25, 1, 0)</f>
        <v>0</v>
      </c>
      <c r="X998" s="7">
        <f t="shared" si="1939"/>
        <v>0</v>
      </c>
      <c r="Y998" s="8">
        <v>0.0</v>
      </c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</row>
    <row r="999" ht="22.5" customHeight="1">
      <c r="B999" s="6">
        <v>998.0</v>
      </c>
      <c r="C999" s="6">
        <v>21659.0</v>
      </c>
      <c r="D999" s="6">
        <v>0.73</v>
      </c>
      <c r="E999" s="6">
        <v>9.73</v>
      </c>
      <c r="F999" s="6">
        <v>2.24</v>
      </c>
      <c r="G999" s="6">
        <v>-0.09</v>
      </c>
      <c r="H999" s="6">
        <v>0.0</v>
      </c>
      <c r="I999" s="6">
        <v>-0.01</v>
      </c>
      <c r="J999" s="6">
        <v>33.29</v>
      </c>
      <c r="K999" s="7">
        <f t="shared" ref="K999:P999" si="1940">abs(D999-D998)/200</f>
        <v>0.0001</v>
      </c>
      <c r="L999" s="7">
        <f t="shared" si="1940"/>
        <v>0.00005</v>
      </c>
      <c r="M999" s="7">
        <f t="shared" si="1940"/>
        <v>0.00005</v>
      </c>
      <c r="N999" s="7">
        <f t="shared" si="1940"/>
        <v>0.00005</v>
      </c>
      <c r="O999" s="7">
        <f t="shared" si="1940"/>
        <v>0</v>
      </c>
      <c r="P999" s="7">
        <f t="shared" si="1940"/>
        <v>0</v>
      </c>
      <c r="Q999" s="7">
        <f t="shared" si="7"/>
        <v>0.00994490483</v>
      </c>
      <c r="R999" s="7">
        <f t="shared" si="8"/>
        <v>0.01343597412</v>
      </c>
      <c r="S999" s="7">
        <f t="shared" si="2"/>
        <v>0.2111637685</v>
      </c>
      <c r="T999" s="7">
        <f t="shared" si="3"/>
        <v>0.09055385138</v>
      </c>
      <c r="U999" s="7">
        <f t="shared" si="4"/>
        <v>0</v>
      </c>
      <c r="V999" s="7">
        <f t="shared" si="5"/>
        <v>0</v>
      </c>
      <c r="W999" s="7">
        <f t="shared" ref="W999:X999" si="1941">IF(AVERAGE(U939:U998) &gt; 0.25, 1, 0)</f>
        <v>0</v>
      </c>
      <c r="X999" s="7">
        <f t="shared" si="1941"/>
        <v>0</v>
      </c>
      <c r="Y999" s="8">
        <v>0.0</v>
      </c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</row>
    <row r="1000" ht="22.5" customHeight="1">
      <c r="B1000" s="6">
        <v>999.0</v>
      </c>
      <c r="C1000" s="6">
        <v>21863.0</v>
      </c>
      <c r="D1000" s="6">
        <v>0.75</v>
      </c>
      <c r="E1000" s="6">
        <v>9.73</v>
      </c>
      <c r="F1000" s="6">
        <v>2.23</v>
      </c>
      <c r="G1000" s="6">
        <v>-0.1</v>
      </c>
      <c r="H1000" s="6">
        <v>0.0</v>
      </c>
      <c r="I1000" s="6">
        <v>-0.01</v>
      </c>
      <c r="J1000" s="6">
        <v>33.29</v>
      </c>
      <c r="K1000" s="7">
        <f t="shared" ref="K1000:P1000" si="1942">abs(D1000-D999)/200</f>
        <v>0.0001</v>
      </c>
      <c r="L1000" s="7">
        <f t="shared" si="1942"/>
        <v>0</v>
      </c>
      <c r="M1000" s="7">
        <f t="shared" si="1942"/>
        <v>0.00005</v>
      </c>
      <c r="N1000" s="7">
        <f t="shared" si="1942"/>
        <v>0.00005</v>
      </c>
      <c r="O1000" s="7">
        <f t="shared" si="1942"/>
        <v>0</v>
      </c>
      <c r="P1000" s="7">
        <f t="shared" si="1942"/>
        <v>0</v>
      </c>
      <c r="Q1000" s="7">
        <f t="shared" si="7"/>
        <v>0.00994490483</v>
      </c>
      <c r="R1000" s="7">
        <f t="shared" si="8"/>
        <v>0.0007541864835</v>
      </c>
      <c r="S1000" s="7">
        <f t="shared" si="2"/>
        <v>0.210409582</v>
      </c>
      <c r="T1000" s="7">
        <f t="shared" si="3"/>
        <v>0.1004987562</v>
      </c>
      <c r="U1000" s="7">
        <f t="shared" si="4"/>
        <v>0</v>
      </c>
      <c r="V1000" s="7">
        <f t="shared" si="5"/>
        <v>0</v>
      </c>
      <c r="W1000" s="7">
        <f t="shared" ref="W1000:X1000" si="1943">IF(AVERAGE(U940:U999) &gt; 0.25, 1, 0)</f>
        <v>0</v>
      </c>
      <c r="X1000" s="7">
        <f t="shared" si="1943"/>
        <v>0</v>
      </c>
      <c r="Y1000" s="8">
        <v>0.0</v>
      </c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</row>
    <row r="1001" ht="22.5" customHeight="1">
      <c r="B1001" s="6">
        <v>1000.0</v>
      </c>
      <c r="C1001" s="6">
        <v>24311.0</v>
      </c>
      <c r="D1001" s="6">
        <v>0.77</v>
      </c>
      <c r="E1001" s="6">
        <v>9.73</v>
      </c>
      <c r="F1001" s="6">
        <v>2.24</v>
      </c>
      <c r="G1001" s="6">
        <v>-0.1</v>
      </c>
      <c r="H1001" s="6">
        <v>0.0</v>
      </c>
      <c r="I1001" s="6">
        <v>-0.01</v>
      </c>
      <c r="J1001" s="6">
        <v>33.29</v>
      </c>
      <c r="K1001" s="7">
        <f t="shared" ref="K1001:P1001" si="1944">abs(D1001-D1000)/200</f>
        <v>0.0001</v>
      </c>
      <c r="L1001" s="7">
        <f t="shared" si="1944"/>
        <v>0</v>
      </c>
      <c r="M1001" s="7">
        <f t="shared" si="1944"/>
        <v>0.00005</v>
      </c>
      <c r="N1001" s="7">
        <f t="shared" si="1944"/>
        <v>0</v>
      </c>
      <c r="O1001" s="7">
        <f t="shared" si="1944"/>
        <v>0</v>
      </c>
      <c r="P1001" s="7">
        <f t="shared" si="1944"/>
        <v>0</v>
      </c>
      <c r="Q1001" s="7">
        <f t="shared" si="7"/>
        <v>0</v>
      </c>
      <c r="R1001" s="7">
        <f t="shared" si="8"/>
        <v>0.003750392726</v>
      </c>
      <c r="S1001" s="7">
        <f t="shared" si="2"/>
        <v>0.2141599748</v>
      </c>
      <c r="T1001" s="7">
        <f t="shared" si="3"/>
        <v>0.1004987562</v>
      </c>
      <c r="U1001" s="7">
        <f t="shared" si="4"/>
        <v>0</v>
      </c>
      <c r="V1001" s="7">
        <f t="shared" si="5"/>
        <v>0</v>
      </c>
      <c r="W1001" s="7">
        <f t="shared" ref="W1001:X1001" si="1945">IF(AVERAGE(U941:U1000) &gt; 0.25, 1, 0)</f>
        <v>0</v>
      </c>
      <c r="X1001" s="7">
        <f t="shared" si="1945"/>
        <v>0</v>
      </c>
      <c r="Y1001" s="8">
        <v>0.0</v>
      </c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</row>
    <row r="1002" ht="22.5" customHeight="1">
      <c r="B1002" s="6">
        <v>1001.0</v>
      </c>
      <c r="C1002" s="6">
        <v>24515.0</v>
      </c>
      <c r="D1002" s="6">
        <v>0.8</v>
      </c>
      <c r="E1002" s="6">
        <v>9.72</v>
      </c>
      <c r="F1002" s="6">
        <v>2.23</v>
      </c>
      <c r="G1002" s="6">
        <v>-0.09</v>
      </c>
      <c r="H1002" s="6">
        <v>0.0</v>
      </c>
      <c r="I1002" s="6">
        <v>-0.01</v>
      </c>
      <c r="J1002" s="6">
        <v>33.3</v>
      </c>
      <c r="K1002" s="7">
        <f t="shared" ref="K1002:P1002" si="1946">abs(D1002-D1001)/200</f>
        <v>0.00015</v>
      </c>
      <c r="L1002" s="7">
        <f t="shared" si="1946"/>
        <v>0.00005</v>
      </c>
      <c r="M1002" s="7">
        <f t="shared" si="1946"/>
        <v>0.00005</v>
      </c>
      <c r="N1002" s="7">
        <f t="shared" si="1946"/>
        <v>0.00005</v>
      </c>
      <c r="O1002" s="7">
        <f t="shared" si="1946"/>
        <v>0</v>
      </c>
      <c r="P1002" s="7">
        <f t="shared" si="1946"/>
        <v>0</v>
      </c>
      <c r="Q1002" s="7">
        <f t="shared" si="7"/>
        <v>0.00994490483</v>
      </c>
      <c r="R1002" s="7">
        <f t="shared" si="8"/>
        <v>0.009596016242</v>
      </c>
      <c r="S1002" s="7">
        <f t="shared" si="2"/>
        <v>0.2045639585</v>
      </c>
      <c r="T1002" s="7">
        <f t="shared" si="3"/>
        <v>0.09055385138</v>
      </c>
      <c r="U1002" s="7">
        <f t="shared" si="4"/>
        <v>0</v>
      </c>
      <c r="V1002" s="7">
        <f t="shared" si="5"/>
        <v>0</v>
      </c>
      <c r="W1002" s="7">
        <f t="shared" ref="W1002:X1002" si="1947">IF(AVERAGE(U942:U1001) &gt; 0.25, 1, 0)</f>
        <v>0</v>
      </c>
      <c r="X1002" s="7">
        <f t="shared" si="1947"/>
        <v>0</v>
      </c>
      <c r="Y1002" s="8">
        <v>0.0</v>
      </c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</row>
    <row r="1003" ht="22.5" customHeight="1">
      <c r="B1003" s="6">
        <v>1002.0</v>
      </c>
      <c r="C1003" s="6">
        <v>24719.0</v>
      </c>
      <c r="D1003" s="6">
        <v>0.78</v>
      </c>
      <c r="E1003" s="6">
        <v>9.71</v>
      </c>
      <c r="F1003" s="6">
        <v>2.23</v>
      </c>
      <c r="G1003" s="6">
        <v>-0.1</v>
      </c>
      <c r="H1003" s="6">
        <v>0.0</v>
      </c>
      <c r="I1003" s="6">
        <v>-0.02</v>
      </c>
      <c r="J1003" s="6">
        <v>33.3</v>
      </c>
      <c r="K1003" s="7">
        <f t="shared" ref="K1003:P1003" si="1948">abs(D1003-D1002)/200</f>
        <v>0.0001</v>
      </c>
      <c r="L1003" s="7">
        <f t="shared" si="1948"/>
        <v>0.00005</v>
      </c>
      <c r="M1003" s="7">
        <f t="shared" si="1948"/>
        <v>0</v>
      </c>
      <c r="N1003" s="7">
        <f t="shared" si="1948"/>
        <v>0.00005</v>
      </c>
      <c r="O1003" s="7">
        <f t="shared" si="1948"/>
        <v>0</v>
      </c>
      <c r="P1003" s="7">
        <f t="shared" si="1948"/>
        <v>0.00005</v>
      </c>
      <c r="Q1003" s="7">
        <f t="shared" si="7"/>
        <v>0.01142653889</v>
      </c>
      <c r="R1003" s="7">
        <f t="shared" si="8"/>
        <v>0.01129622468</v>
      </c>
      <c r="S1003" s="7">
        <f t="shared" si="2"/>
        <v>0.1932677338</v>
      </c>
      <c r="T1003" s="7">
        <f t="shared" si="3"/>
        <v>0.1019803903</v>
      </c>
      <c r="U1003" s="7">
        <f t="shared" si="4"/>
        <v>0</v>
      </c>
      <c r="V1003" s="7">
        <f t="shared" si="5"/>
        <v>0</v>
      </c>
      <c r="W1003" s="7">
        <f t="shared" ref="W1003:X1003" si="1949">IF(AVERAGE(U943:U1002) &gt; 0.25, 1, 0)</f>
        <v>0</v>
      </c>
      <c r="X1003" s="7">
        <f t="shared" si="1949"/>
        <v>0</v>
      </c>
      <c r="Y1003" s="8">
        <v>0.0</v>
      </c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</row>
    <row r="1004" ht="22.5" customHeight="1">
      <c r="B1004" s="6">
        <v>1003.0</v>
      </c>
      <c r="C1004" s="6">
        <v>24923.0</v>
      </c>
      <c r="D1004" s="6">
        <v>0.79</v>
      </c>
      <c r="E1004" s="6">
        <v>9.73</v>
      </c>
      <c r="F1004" s="6">
        <v>2.24</v>
      </c>
      <c r="G1004" s="6">
        <v>-0.09</v>
      </c>
      <c r="H1004" s="6">
        <v>0.0</v>
      </c>
      <c r="I1004" s="6">
        <v>-0.01</v>
      </c>
      <c r="J1004" s="6">
        <v>33.29</v>
      </c>
      <c r="K1004" s="7">
        <f t="shared" ref="K1004:P1004" si="1950">abs(D1004-D1003)/200</f>
        <v>0.00005</v>
      </c>
      <c r="L1004" s="7">
        <f t="shared" si="1950"/>
        <v>0.0001</v>
      </c>
      <c r="M1004" s="7">
        <f t="shared" si="1950"/>
        <v>0.00005</v>
      </c>
      <c r="N1004" s="7">
        <f t="shared" si="1950"/>
        <v>0.00005</v>
      </c>
      <c r="O1004" s="7">
        <f t="shared" si="1950"/>
        <v>0</v>
      </c>
      <c r="P1004" s="7">
        <f t="shared" si="1950"/>
        <v>0.00005</v>
      </c>
      <c r="Q1004" s="7">
        <f t="shared" si="7"/>
        <v>0.01142653889</v>
      </c>
      <c r="R1004" s="7">
        <f t="shared" si="8"/>
        <v>0.02244991395</v>
      </c>
      <c r="S1004" s="7">
        <f t="shared" si="2"/>
        <v>0.2157176478</v>
      </c>
      <c r="T1004" s="7">
        <f t="shared" si="3"/>
        <v>0.09055385138</v>
      </c>
      <c r="U1004" s="7">
        <f t="shared" si="4"/>
        <v>0</v>
      </c>
      <c r="V1004" s="7">
        <f t="shared" si="5"/>
        <v>0</v>
      </c>
      <c r="W1004" s="7">
        <f t="shared" ref="W1004:X1004" si="1951">IF(AVERAGE(U944:U1003) &gt; 0.25, 1, 0)</f>
        <v>0</v>
      </c>
      <c r="X1004" s="7">
        <f t="shared" si="1951"/>
        <v>0</v>
      </c>
      <c r="Y1004" s="8">
        <v>0.0</v>
      </c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</row>
    <row r="1005" ht="22.5" customHeight="1">
      <c r="B1005" s="6">
        <v>1004.0</v>
      </c>
      <c r="C1005" s="6">
        <v>25127.0</v>
      </c>
      <c r="D1005" s="6">
        <v>0.78</v>
      </c>
      <c r="E1005" s="6">
        <v>9.72</v>
      </c>
      <c r="F1005" s="6">
        <v>2.24</v>
      </c>
      <c r="G1005" s="6">
        <v>-0.1</v>
      </c>
      <c r="H1005" s="6">
        <v>0.0</v>
      </c>
      <c r="I1005" s="6">
        <v>-0.01</v>
      </c>
      <c r="J1005" s="6">
        <v>33.29</v>
      </c>
      <c r="K1005" s="7">
        <f t="shared" ref="K1005:P1005" si="1952">abs(D1005-D1004)/200</f>
        <v>0.00005</v>
      </c>
      <c r="L1005" s="7">
        <f t="shared" si="1952"/>
        <v>0.00005</v>
      </c>
      <c r="M1005" s="7">
        <f t="shared" si="1952"/>
        <v>0</v>
      </c>
      <c r="N1005" s="7">
        <f t="shared" si="1952"/>
        <v>0.00005</v>
      </c>
      <c r="O1005" s="7">
        <f t="shared" si="1952"/>
        <v>0</v>
      </c>
      <c r="P1005" s="7">
        <f t="shared" si="1952"/>
        <v>0</v>
      </c>
      <c r="Q1005" s="7">
        <f t="shared" si="7"/>
        <v>0.00994490483</v>
      </c>
      <c r="R1005" s="7">
        <f t="shared" si="8"/>
        <v>0.01049900949</v>
      </c>
      <c r="S1005" s="7">
        <f t="shared" si="2"/>
        <v>0.2052186383</v>
      </c>
      <c r="T1005" s="7">
        <f t="shared" si="3"/>
        <v>0.1004987562</v>
      </c>
      <c r="U1005" s="7">
        <f t="shared" si="4"/>
        <v>0</v>
      </c>
      <c r="V1005" s="7">
        <f t="shared" si="5"/>
        <v>0</v>
      </c>
      <c r="W1005" s="7">
        <f t="shared" ref="W1005:X1005" si="1953">IF(AVERAGE(U945:U1004) &gt; 0.25, 1, 0)</f>
        <v>0</v>
      </c>
      <c r="X1005" s="7">
        <f t="shared" si="1953"/>
        <v>0</v>
      </c>
      <c r="Y1005" s="8">
        <v>0.0</v>
      </c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</row>
    <row r="1006" ht="22.5" customHeight="1">
      <c r="B1006" s="6">
        <v>1005.0</v>
      </c>
      <c r="C1006" s="6">
        <v>26555.0</v>
      </c>
      <c r="D1006" s="6">
        <v>0.78</v>
      </c>
      <c r="E1006" s="6">
        <v>9.72</v>
      </c>
      <c r="F1006" s="6">
        <v>2.23</v>
      </c>
      <c r="G1006" s="6">
        <v>-0.1</v>
      </c>
      <c r="H1006" s="6">
        <v>0.0</v>
      </c>
      <c r="I1006" s="6">
        <v>-0.01</v>
      </c>
      <c r="J1006" s="6">
        <v>33.29</v>
      </c>
      <c r="K1006" s="7">
        <f t="shared" ref="K1006:P1006" si="1954">abs(D1006-D1005)/200</f>
        <v>0</v>
      </c>
      <c r="L1006" s="7">
        <f t="shared" si="1954"/>
        <v>0</v>
      </c>
      <c r="M1006" s="7">
        <f t="shared" si="1954"/>
        <v>0.00005</v>
      </c>
      <c r="N1006" s="7">
        <f t="shared" si="1954"/>
        <v>0</v>
      </c>
      <c r="O1006" s="7">
        <f t="shared" si="1954"/>
        <v>0</v>
      </c>
      <c r="P1006" s="7">
        <f t="shared" si="1954"/>
        <v>0</v>
      </c>
      <c r="Q1006" s="7">
        <f t="shared" si="7"/>
        <v>0</v>
      </c>
      <c r="R1006" s="7">
        <f t="shared" si="8"/>
        <v>0.002234083669</v>
      </c>
      <c r="S1006" s="7">
        <f t="shared" si="2"/>
        <v>0.2029845546</v>
      </c>
      <c r="T1006" s="7">
        <f t="shared" si="3"/>
        <v>0.1004987562</v>
      </c>
      <c r="U1006" s="7">
        <f t="shared" si="4"/>
        <v>0</v>
      </c>
      <c r="V1006" s="7">
        <f t="shared" si="5"/>
        <v>0</v>
      </c>
      <c r="W1006" s="7">
        <f t="shared" ref="W1006:X1006" si="1955">IF(AVERAGE(U946:U1005) &gt; 0.25, 1, 0)</f>
        <v>0</v>
      </c>
      <c r="X1006" s="7">
        <f t="shared" si="1955"/>
        <v>0</v>
      </c>
      <c r="Y1006" s="8">
        <v>0.0</v>
      </c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</row>
    <row r="1007" ht="22.5" customHeight="1">
      <c r="B1007" s="6">
        <v>1006.0</v>
      </c>
      <c r="C1007" s="6">
        <v>26759.0</v>
      </c>
      <c r="D1007" s="6">
        <v>0.79</v>
      </c>
      <c r="E1007" s="6">
        <v>9.73</v>
      </c>
      <c r="F1007" s="6">
        <v>2.25</v>
      </c>
      <c r="G1007" s="6">
        <v>-0.1</v>
      </c>
      <c r="H1007" s="6">
        <v>0.0</v>
      </c>
      <c r="I1007" s="6">
        <v>-0.02</v>
      </c>
      <c r="J1007" s="6">
        <v>33.29</v>
      </c>
      <c r="K1007" s="7">
        <f t="shared" ref="K1007:P1007" si="1956">abs(D1007-D1006)/200</f>
        <v>0.00005</v>
      </c>
      <c r="L1007" s="7">
        <f t="shared" si="1956"/>
        <v>0.00005</v>
      </c>
      <c r="M1007" s="7">
        <f t="shared" si="1956"/>
        <v>0.0001</v>
      </c>
      <c r="N1007" s="7">
        <f t="shared" si="1956"/>
        <v>0</v>
      </c>
      <c r="O1007" s="7">
        <f t="shared" si="1956"/>
        <v>0</v>
      </c>
      <c r="P1007" s="7">
        <f t="shared" si="1956"/>
        <v>0.00005</v>
      </c>
      <c r="Q1007" s="7">
        <f t="shared" si="7"/>
        <v>0.001481634061</v>
      </c>
      <c r="R1007" s="7">
        <f t="shared" si="8"/>
        <v>0.01497431932</v>
      </c>
      <c r="S1007" s="7">
        <f t="shared" si="2"/>
        <v>0.2179588739</v>
      </c>
      <c r="T1007" s="7">
        <f t="shared" si="3"/>
        <v>0.1019803903</v>
      </c>
      <c r="U1007" s="7">
        <f t="shared" si="4"/>
        <v>0</v>
      </c>
      <c r="V1007" s="7">
        <f t="shared" si="5"/>
        <v>0</v>
      </c>
      <c r="W1007" s="7">
        <f t="shared" ref="W1007:X1007" si="1957">IF(AVERAGE(U947:U1006) &gt; 0.25, 1, 0)</f>
        <v>0</v>
      </c>
      <c r="X1007" s="7">
        <f t="shared" si="1957"/>
        <v>0</v>
      </c>
      <c r="Y1007" s="8">
        <v>0.0</v>
      </c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</row>
    <row r="1008" ht="22.5" customHeight="1">
      <c r="B1008" s="6">
        <v>1007.0</v>
      </c>
      <c r="C1008" s="6">
        <v>26963.0</v>
      </c>
      <c r="D1008" s="6">
        <v>0.77</v>
      </c>
      <c r="E1008" s="6">
        <v>9.73</v>
      </c>
      <c r="F1008" s="6">
        <v>2.23</v>
      </c>
      <c r="G1008" s="6">
        <v>-0.09</v>
      </c>
      <c r="H1008" s="6">
        <v>0.0</v>
      </c>
      <c r="I1008" s="6">
        <v>-0.01</v>
      </c>
      <c r="J1008" s="6">
        <v>33.29</v>
      </c>
      <c r="K1008" s="7">
        <f t="shared" ref="K1008:P1008" si="1958">abs(D1008-D1007)/200</f>
        <v>0.0001</v>
      </c>
      <c r="L1008" s="7">
        <f t="shared" si="1958"/>
        <v>0</v>
      </c>
      <c r="M1008" s="7">
        <f t="shared" si="1958"/>
        <v>0.0001</v>
      </c>
      <c r="N1008" s="7">
        <f t="shared" si="1958"/>
        <v>0.00005</v>
      </c>
      <c r="O1008" s="7">
        <f t="shared" si="1958"/>
        <v>0</v>
      </c>
      <c r="P1008" s="7">
        <f t="shared" si="1958"/>
        <v>0.00005</v>
      </c>
      <c r="Q1008" s="7">
        <f t="shared" si="7"/>
        <v>0.01142653889</v>
      </c>
      <c r="R1008" s="7">
        <f t="shared" si="8"/>
        <v>0.006030987666</v>
      </c>
      <c r="S1008" s="7">
        <f t="shared" si="2"/>
        <v>0.2119278863</v>
      </c>
      <c r="T1008" s="7">
        <f t="shared" si="3"/>
        <v>0.09055385138</v>
      </c>
      <c r="U1008" s="7">
        <f t="shared" si="4"/>
        <v>0</v>
      </c>
      <c r="V1008" s="7">
        <f t="shared" si="5"/>
        <v>0</v>
      </c>
      <c r="W1008" s="7">
        <f t="shared" ref="W1008:X1008" si="1959">IF(AVERAGE(U948:U1007) &gt; 0.25, 1, 0)</f>
        <v>0</v>
      </c>
      <c r="X1008" s="7">
        <f t="shared" si="1959"/>
        <v>0</v>
      </c>
      <c r="Y1008" s="8">
        <v>0.0</v>
      </c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</row>
    <row r="1009" ht="22.5" customHeight="1">
      <c r="B1009" s="6">
        <v>1008.0</v>
      </c>
      <c r="C1009" s="6">
        <v>27167.0</v>
      </c>
      <c r="D1009" s="6">
        <v>0.76</v>
      </c>
      <c r="E1009" s="6">
        <v>9.74</v>
      </c>
      <c r="F1009" s="6">
        <v>2.24</v>
      </c>
      <c r="G1009" s="6">
        <v>-0.1</v>
      </c>
      <c r="H1009" s="6">
        <v>0.0</v>
      </c>
      <c r="I1009" s="6">
        <v>-0.01</v>
      </c>
      <c r="J1009" s="6">
        <v>33.29</v>
      </c>
      <c r="K1009" s="7">
        <f t="shared" ref="K1009:P1009" si="1960">abs(D1009-D1008)/200</f>
        <v>0.00005</v>
      </c>
      <c r="L1009" s="7">
        <f t="shared" si="1960"/>
        <v>0.00005</v>
      </c>
      <c r="M1009" s="7">
        <f t="shared" si="1960"/>
        <v>0.00005</v>
      </c>
      <c r="N1009" s="7">
        <f t="shared" si="1960"/>
        <v>0.00005</v>
      </c>
      <c r="O1009" s="7">
        <f t="shared" si="1960"/>
        <v>0</v>
      </c>
      <c r="P1009" s="7">
        <f t="shared" si="1960"/>
        <v>0</v>
      </c>
      <c r="Q1009" s="7">
        <f t="shared" si="7"/>
        <v>0.00994490483</v>
      </c>
      <c r="R1009" s="7">
        <f t="shared" si="8"/>
        <v>0.01118540252</v>
      </c>
      <c r="S1009" s="7">
        <f t="shared" si="2"/>
        <v>0.2231132888</v>
      </c>
      <c r="T1009" s="7">
        <f t="shared" si="3"/>
        <v>0.1004987562</v>
      </c>
      <c r="U1009" s="7">
        <f t="shared" si="4"/>
        <v>0</v>
      </c>
      <c r="V1009" s="7">
        <f t="shared" si="5"/>
        <v>0</v>
      </c>
      <c r="W1009" s="7">
        <f t="shared" ref="W1009:X1009" si="1961">IF(AVERAGE(U949:U1008) &gt; 0.25, 1, 0)</f>
        <v>0</v>
      </c>
      <c r="X1009" s="7">
        <f t="shared" si="1961"/>
        <v>0</v>
      </c>
      <c r="Y1009" s="8">
        <v>0.0</v>
      </c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</row>
    <row r="1010" ht="22.5" customHeight="1">
      <c r="B1010" s="6">
        <v>1009.0</v>
      </c>
      <c r="C1010" s="6">
        <v>27371.0</v>
      </c>
      <c r="D1010" s="6">
        <v>0.79</v>
      </c>
      <c r="E1010" s="6">
        <v>9.71</v>
      </c>
      <c r="F1010" s="6">
        <v>2.21</v>
      </c>
      <c r="G1010" s="6">
        <v>-0.1</v>
      </c>
      <c r="H1010" s="6">
        <v>0.0</v>
      </c>
      <c r="I1010" s="6">
        <v>-0.01</v>
      </c>
      <c r="J1010" s="6">
        <v>33.3</v>
      </c>
      <c r="K1010" s="7">
        <f t="shared" ref="K1010:P1010" si="1962">abs(D1010-D1009)/200</f>
        <v>0.00015</v>
      </c>
      <c r="L1010" s="7">
        <f t="shared" si="1962"/>
        <v>0.00015</v>
      </c>
      <c r="M1010" s="7">
        <f t="shared" si="1962"/>
        <v>0.00015</v>
      </c>
      <c r="N1010" s="7">
        <f t="shared" si="1962"/>
        <v>0</v>
      </c>
      <c r="O1010" s="7">
        <f t="shared" si="1962"/>
        <v>0</v>
      </c>
      <c r="P1010" s="7">
        <f t="shared" si="1962"/>
        <v>0</v>
      </c>
      <c r="Q1010" s="7">
        <f t="shared" si="7"/>
        <v>0</v>
      </c>
      <c r="R1010" s="7">
        <f t="shared" si="8"/>
        <v>0.03350368681</v>
      </c>
      <c r="S1010" s="7">
        <f t="shared" si="2"/>
        <v>0.189609602</v>
      </c>
      <c r="T1010" s="7">
        <f t="shared" si="3"/>
        <v>0.1004987562</v>
      </c>
      <c r="U1010" s="7">
        <f t="shared" si="4"/>
        <v>0</v>
      </c>
      <c r="V1010" s="7">
        <f t="shared" si="5"/>
        <v>0</v>
      </c>
      <c r="W1010" s="7">
        <f t="shared" ref="W1010:X1010" si="1963">IF(AVERAGE(U950:U1009) &gt; 0.25, 1, 0)</f>
        <v>0</v>
      </c>
      <c r="X1010" s="7">
        <f t="shared" si="1963"/>
        <v>0</v>
      </c>
      <c r="Y1010" s="8">
        <v>0.0</v>
      </c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</row>
    <row r="1011" ht="22.5" customHeight="1">
      <c r="B1011" s="6">
        <v>1010.0</v>
      </c>
      <c r="C1011" s="6">
        <v>27575.0</v>
      </c>
      <c r="D1011" s="6">
        <v>0.79</v>
      </c>
      <c r="E1011" s="6">
        <v>9.72</v>
      </c>
      <c r="F1011" s="6">
        <v>2.25</v>
      </c>
      <c r="G1011" s="6">
        <v>-0.09</v>
      </c>
      <c r="H1011" s="6">
        <v>0.0</v>
      </c>
      <c r="I1011" s="6">
        <v>0.0</v>
      </c>
      <c r="J1011" s="6">
        <v>33.29</v>
      </c>
      <c r="K1011" s="7">
        <f t="shared" ref="K1011:P1011" si="1964">abs(D1011-D1010)/200</f>
        <v>0</v>
      </c>
      <c r="L1011" s="7">
        <f t="shared" si="1964"/>
        <v>0.00005</v>
      </c>
      <c r="M1011" s="7">
        <f t="shared" si="1964"/>
        <v>0.0002</v>
      </c>
      <c r="N1011" s="7">
        <f t="shared" si="1964"/>
        <v>0.00005</v>
      </c>
      <c r="O1011" s="7">
        <f t="shared" si="1964"/>
        <v>0</v>
      </c>
      <c r="P1011" s="7">
        <f t="shared" si="1964"/>
        <v>0.00005</v>
      </c>
      <c r="Q1011" s="7">
        <f t="shared" si="7"/>
        <v>0.01049875621</v>
      </c>
      <c r="R1011" s="7">
        <f t="shared" si="8"/>
        <v>0.0186369977</v>
      </c>
      <c r="S1011" s="7">
        <f t="shared" si="2"/>
        <v>0.2082465997</v>
      </c>
      <c r="T1011" s="7">
        <f t="shared" si="3"/>
        <v>0.09</v>
      </c>
      <c r="U1011" s="7">
        <f t="shared" si="4"/>
        <v>0</v>
      </c>
      <c r="V1011" s="7">
        <f t="shared" si="5"/>
        <v>0</v>
      </c>
      <c r="W1011" s="7">
        <f t="shared" ref="W1011:X1011" si="1965">IF(AVERAGE(U951:U1010) &gt; 0.25, 1, 0)</f>
        <v>0</v>
      </c>
      <c r="X1011" s="7">
        <f t="shared" si="1965"/>
        <v>0</v>
      </c>
      <c r="Y1011" s="8">
        <v>0.0</v>
      </c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</row>
    <row r="1012" ht="22.5" customHeight="1">
      <c r="B1012" s="6">
        <v>1011.0</v>
      </c>
      <c r="C1012" s="6">
        <v>27779.0</v>
      </c>
      <c r="D1012" s="6">
        <v>0.82</v>
      </c>
      <c r="E1012" s="6">
        <v>9.71</v>
      </c>
      <c r="F1012" s="6">
        <v>2.2</v>
      </c>
      <c r="G1012" s="6">
        <v>-0.09</v>
      </c>
      <c r="H1012" s="6">
        <v>0.0</v>
      </c>
      <c r="I1012" s="6">
        <v>0.0</v>
      </c>
      <c r="J1012" s="6">
        <v>33.3</v>
      </c>
      <c r="K1012" s="7">
        <f t="shared" ref="K1012:P1012" si="1966">abs(D1012-D1011)/200</f>
        <v>0.00015</v>
      </c>
      <c r="L1012" s="7">
        <f t="shared" si="1966"/>
        <v>0.00005</v>
      </c>
      <c r="M1012" s="7">
        <f t="shared" si="1966"/>
        <v>0.00025</v>
      </c>
      <c r="N1012" s="7">
        <f t="shared" si="1966"/>
        <v>0</v>
      </c>
      <c r="O1012" s="7">
        <f t="shared" si="1966"/>
        <v>0</v>
      </c>
      <c r="P1012" s="7">
        <f t="shared" si="1966"/>
        <v>0</v>
      </c>
      <c r="Q1012" s="7">
        <f t="shared" si="7"/>
        <v>0</v>
      </c>
      <c r="R1012" s="7">
        <f t="shared" si="8"/>
        <v>0.01842678148</v>
      </c>
      <c r="S1012" s="7">
        <f t="shared" si="2"/>
        <v>0.1898198182</v>
      </c>
      <c r="T1012" s="7">
        <f t="shared" si="3"/>
        <v>0.09</v>
      </c>
      <c r="U1012" s="7">
        <f t="shared" si="4"/>
        <v>0</v>
      </c>
      <c r="V1012" s="7">
        <f t="shared" si="5"/>
        <v>0</v>
      </c>
      <c r="W1012" s="7">
        <f t="shared" ref="W1012:X1012" si="1967">IF(AVERAGE(U952:U1011) &gt; 0.25, 1, 0)</f>
        <v>0</v>
      </c>
      <c r="X1012" s="7">
        <f t="shared" si="1967"/>
        <v>0</v>
      </c>
      <c r="Y1012" s="8">
        <v>0.0</v>
      </c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</row>
    <row r="1013" ht="22.5" customHeight="1">
      <c r="B1013" s="6">
        <v>1012.0</v>
      </c>
      <c r="C1013" s="6">
        <v>27983.0</v>
      </c>
      <c r="D1013" s="6">
        <v>0.8</v>
      </c>
      <c r="E1013" s="6">
        <v>9.73</v>
      </c>
      <c r="F1013" s="6">
        <v>2.22</v>
      </c>
      <c r="G1013" s="6">
        <v>-0.1</v>
      </c>
      <c r="H1013" s="6">
        <v>0.0</v>
      </c>
      <c r="I1013" s="6">
        <v>-0.02</v>
      </c>
      <c r="J1013" s="6">
        <v>33.3</v>
      </c>
      <c r="K1013" s="7">
        <f t="shared" ref="K1013:P1013" si="1968">abs(D1013-D1012)/200</f>
        <v>0.0001</v>
      </c>
      <c r="L1013" s="7">
        <f t="shared" si="1968"/>
        <v>0.0001</v>
      </c>
      <c r="M1013" s="7">
        <f t="shared" si="1968"/>
        <v>0.0001</v>
      </c>
      <c r="N1013" s="7">
        <f t="shared" si="1968"/>
        <v>0.00005</v>
      </c>
      <c r="O1013" s="7">
        <f t="shared" si="1968"/>
        <v>0</v>
      </c>
      <c r="P1013" s="7">
        <f t="shared" si="1968"/>
        <v>0.0001</v>
      </c>
      <c r="Q1013" s="7">
        <f t="shared" si="7"/>
        <v>0.01198039027</v>
      </c>
      <c r="R1013" s="7">
        <f t="shared" si="8"/>
        <v>0.02223791236</v>
      </c>
      <c r="S1013" s="7">
        <f t="shared" si="2"/>
        <v>0.2120577306</v>
      </c>
      <c r="T1013" s="7">
        <f t="shared" si="3"/>
        <v>0.1019803903</v>
      </c>
      <c r="U1013" s="7">
        <f t="shared" si="4"/>
        <v>0</v>
      </c>
      <c r="V1013" s="7">
        <f t="shared" si="5"/>
        <v>0</v>
      </c>
      <c r="W1013" s="7">
        <f t="shared" ref="W1013:X1013" si="1969">IF(AVERAGE(U953:U1012) &gt; 0.25, 1, 0)</f>
        <v>0</v>
      </c>
      <c r="X1013" s="7">
        <f t="shared" si="1969"/>
        <v>0</v>
      </c>
      <c r="Y1013" s="8">
        <v>0.0</v>
      </c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</row>
    <row r="1014" ht="22.5" customHeight="1">
      <c r="B1014" s="6">
        <v>1013.0</v>
      </c>
      <c r="C1014" s="6">
        <v>28187.0</v>
      </c>
      <c r="D1014" s="6">
        <v>0.81</v>
      </c>
      <c r="E1014" s="6">
        <v>9.72</v>
      </c>
      <c r="F1014" s="6">
        <v>2.2</v>
      </c>
      <c r="G1014" s="6">
        <v>-0.09</v>
      </c>
      <c r="H1014" s="6">
        <v>0.0</v>
      </c>
      <c r="I1014" s="6">
        <v>0.0</v>
      </c>
      <c r="J1014" s="6">
        <v>33.3</v>
      </c>
      <c r="K1014" s="7">
        <f t="shared" ref="K1014:P1014" si="1970">abs(D1014-D1013)/200</f>
        <v>0.00005</v>
      </c>
      <c r="L1014" s="7">
        <f t="shared" si="1970"/>
        <v>0.00005</v>
      </c>
      <c r="M1014" s="7">
        <f t="shared" si="1970"/>
        <v>0.0001</v>
      </c>
      <c r="N1014" s="7">
        <f t="shared" si="1970"/>
        <v>0.00005</v>
      </c>
      <c r="O1014" s="7">
        <f t="shared" si="1970"/>
        <v>0</v>
      </c>
      <c r="P1014" s="7">
        <f t="shared" si="1970"/>
        <v>0.0001</v>
      </c>
      <c r="Q1014" s="7">
        <f t="shared" si="7"/>
        <v>0.01198039027</v>
      </c>
      <c r="R1014" s="7">
        <f t="shared" si="8"/>
        <v>0.01333281185</v>
      </c>
      <c r="S1014" s="7">
        <f t="shared" si="2"/>
        <v>0.1987249187</v>
      </c>
      <c r="T1014" s="7">
        <f t="shared" si="3"/>
        <v>0.09</v>
      </c>
      <c r="U1014" s="7">
        <f t="shared" si="4"/>
        <v>0</v>
      </c>
      <c r="V1014" s="7">
        <f t="shared" si="5"/>
        <v>0</v>
      </c>
      <c r="W1014" s="7">
        <f t="shared" ref="W1014:X1014" si="1971">IF(AVERAGE(U954:U1013) &gt; 0.25, 1, 0)</f>
        <v>0</v>
      </c>
      <c r="X1014" s="7">
        <f t="shared" si="1971"/>
        <v>0</v>
      </c>
      <c r="Y1014" s="8">
        <v>0.0</v>
      </c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</row>
    <row r="1015" ht="22.5" customHeight="1">
      <c r="B1015" s="6">
        <v>1014.0</v>
      </c>
      <c r="C1015" s="6">
        <v>28391.0</v>
      </c>
      <c r="D1015" s="6">
        <v>0.83</v>
      </c>
      <c r="E1015" s="6">
        <v>9.72</v>
      </c>
      <c r="F1015" s="6">
        <v>2.2</v>
      </c>
      <c r="G1015" s="6">
        <v>-0.08</v>
      </c>
      <c r="H1015" s="6">
        <v>0.0</v>
      </c>
      <c r="I1015" s="6">
        <v>0.0</v>
      </c>
      <c r="J1015" s="6">
        <v>33.29</v>
      </c>
      <c r="K1015" s="7">
        <f t="shared" ref="K1015:P1015" si="1972">abs(D1015-D1014)/200</f>
        <v>0.0001</v>
      </c>
      <c r="L1015" s="7">
        <f t="shared" si="1972"/>
        <v>0</v>
      </c>
      <c r="M1015" s="7">
        <f t="shared" si="1972"/>
        <v>0</v>
      </c>
      <c r="N1015" s="7">
        <f t="shared" si="1972"/>
        <v>0.00005</v>
      </c>
      <c r="O1015" s="7">
        <f t="shared" si="1972"/>
        <v>0</v>
      </c>
      <c r="P1015" s="7">
        <f t="shared" si="1972"/>
        <v>0</v>
      </c>
      <c r="Q1015" s="7">
        <f t="shared" si="7"/>
        <v>0.01</v>
      </c>
      <c r="R1015" s="7">
        <f t="shared" si="8"/>
        <v>0.001640074631</v>
      </c>
      <c r="S1015" s="7">
        <f t="shared" si="2"/>
        <v>0.2003649933</v>
      </c>
      <c r="T1015" s="7">
        <f t="shared" si="3"/>
        <v>0.08</v>
      </c>
      <c r="U1015" s="7">
        <f t="shared" si="4"/>
        <v>0</v>
      </c>
      <c r="V1015" s="7">
        <f t="shared" si="5"/>
        <v>0</v>
      </c>
      <c r="W1015" s="7">
        <f t="shared" ref="W1015:X1015" si="1973">IF(AVERAGE(U955:U1014) &gt; 0.25, 1, 0)</f>
        <v>0</v>
      </c>
      <c r="X1015" s="7">
        <f t="shared" si="1973"/>
        <v>0</v>
      </c>
      <c r="Y1015" s="8">
        <v>0.0</v>
      </c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</row>
    <row r="1016" ht="22.5" customHeight="1">
      <c r="B1016" s="6">
        <v>1015.0</v>
      </c>
      <c r="C1016" s="6">
        <v>28595.0</v>
      </c>
      <c r="D1016" s="6">
        <v>0.82</v>
      </c>
      <c r="E1016" s="6">
        <v>9.74</v>
      </c>
      <c r="F1016" s="6">
        <v>2.2</v>
      </c>
      <c r="G1016" s="6">
        <v>-0.1</v>
      </c>
      <c r="H1016" s="6">
        <v>0.0</v>
      </c>
      <c r="I1016" s="6">
        <v>-0.01</v>
      </c>
      <c r="J1016" s="6">
        <v>33.29</v>
      </c>
      <c r="K1016" s="7">
        <f t="shared" ref="K1016:P1016" si="1974">abs(D1016-D1015)/200</f>
        <v>0.00005</v>
      </c>
      <c r="L1016" s="7">
        <f t="shared" si="1974"/>
        <v>0.0001</v>
      </c>
      <c r="M1016" s="7">
        <f t="shared" si="1974"/>
        <v>0</v>
      </c>
      <c r="N1016" s="7">
        <f t="shared" si="1974"/>
        <v>0.0001</v>
      </c>
      <c r="O1016" s="7">
        <f t="shared" si="1974"/>
        <v>0</v>
      </c>
      <c r="P1016" s="7">
        <f t="shared" si="1974"/>
        <v>0.00005</v>
      </c>
      <c r="Q1016" s="7">
        <f t="shared" si="7"/>
        <v>0.02049875621</v>
      </c>
      <c r="R1016" s="7">
        <f t="shared" si="8"/>
        <v>0.01861699087</v>
      </c>
      <c r="S1016" s="7">
        <f t="shared" si="2"/>
        <v>0.2189819842</v>
      </c>
      <c r="T1016" s="7">
        <f t="shared" si="3"/>
        <v>0.1004987562</v>
      </c>
      <c r="U1016" s="7">
        <f t="shared" si="4"/>
        <v>0</v>
      </c>
      <c r="V1016" s="7">
        <f t="shared" si="5"/>
        <v>0</v>
      </c>
      <c r="W1016" s="7">
        <f t="shared" ref="W1016:X1016" si="1975">IF(AVERAGE(U956:U1015) &gt; 0.25, 1, 0)</f>
        <v>0</v>
      </c>
      <c r="X1016" s="7">
        <f t="shared" si="1975"/>
        <v>0</v>
      </c>
      <c r="Y1016" s="8">
        <v>0.0</v>
      </c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</row>
    <row r="1017" ht="22.5" customHeight="1">
      <c r="B1017" s="6">
        <v>1016.0</v>
      </c>
      <c r="C1017" s="6">
        <v>28799.0</v>
      </c>
      <c r="D1017" s="6">
        <v>0.82</v>
      </c>
      <c r="E1017" s="6">
        <v>9.73</v>
      </c>
      <c r="F1017" s="6">
        <v>2.18</v>
      </c>
      <c r="G1017" s="6">
        <v>-0.1</v>
      </c>
      <c r="H1017" s="6">
        <v>0.0</v>
      </c>
      <c r="I1017" s="6">
        <v>-0.01</v>
      </c>
      <c r="J1017" s="6">
        <v>33.29</v>
      </c>
      <c r="K1017" s="7">
        <f t="shared" ref="K1017:P1017" si="1976">abs(D1017-D1016)/200</f>
        <v>0</v>
      </c>
      <c r="L1017" s="7">
        <f t="shared" si="1976"/>
        <v>0.00005</v>
      </c>
      <c r="M1017" s="7">
        <f t="shared" si="1976"/>
        <v>0.0001</v>
      </c>
      <c r="N1017" s="7">
        <f t="shared" si="1976"/>
        <v>0</v>
      </c>
      <c r="O1017" s="7">
        <f t="shared" si="1976"/>
        <v>0</v>
      </c>
      <c r="P1017" s="7">
        <f t="shared" si="1976"/>
        <v>0</v>
      </c>
      <c r="Q1017" s="7">
        <f t="shared" si="7"/>
        <v>0</v>
      </c>
      <c r="R1017" s="7">
        <f t="shared" si="8"/>
        <v>0.01409817679</v>
      </c>
      <c r="S1017" s="7">
        <f t="shared" si="2"/>
        <v>0.2048838074</v>
      </c>
      <c r="T1017" s="7">
        <f t="shared" si="3"/>
        <v>0.1004987562</v>
      </c>
      <c r="U1017" s="7">
        <f t="shared" si="4"/>
        <v>0</v>
      </c>
      <c r="V1017" s="7">
        <f t="shared" si="5"/>
        <v>0</v>
      </c>
      <c r="W1017" s="7">
        <f t="shared" ref="W1017:X1017" si="1977">IF(AVERAGE(U957:U1016) &gt; 0.25, 1, 0)</f>
        <v>0</v>
      </c>
      <c r="X1017" s="7">
        <f t="shared" si="1977"/>
        <v>0</v>
      </c>
      <c r="Y1017" s="8">
        <v>0.0</v>
      </c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</row>
    <row r="1018" ht="22.5" customHeight="1">
      <c r="B1018" s="6">
        <v>1017.0</v>
      </c>
      <c r="C1018" s="6">
        <v>29003.0</v>
      </c>
      <c r="D1018" s="6">
        <v>0.8</v>
      </c>
      <c r="E1018" s="6">
        <v>9.74</v>
      </c>
      <c r="F1018" s="6">
        <v>2.21</v>
      </c>
      <c r="G1018" s="6">
        <v>-0.1</v>
      </c>
      <c r="H1018" s="6">
        <v>0.0</v>
      </c>
      <c r="I1018" s="6">
        <v>-0.01</v>
      </c>
      <c r="J1018" s="6">
        <v>33.29</v>
      </c>
      <c r="K1018" s="7">
        <f t="shared" ref="K1018:P1018" si="1978">abs(D1018-D1017)/200</f>
        <v>0.0001</v>
      </c>
      <c r="L1018" s="7">
        <f t="shared" si="1978"/>
        <v>0.00005</v>
      </c>
      <c r="M1018" s="7">
        <f t="shared" si="1978"/>
        <v>0.00015</v>
      </c>
      <c r="N1018" s="7">
        <f t="shared" si="1978"/>
        <v>0</v>
      </c>
      <c r="O1018" s="7">
        <f t="shared" si="1978"/>
        <v>0</v>
      </c>
      <c r="P1018" s="7">
        <f t="shared" si="1978"/>
        <v>0</v>
      </c>
      <c r="Q1018" s="7">
        <f t="shared" si="7"/>
        <v>0</v>
      </c>
      <c r="R1018" s="7">
        <f t="shared" si="8"/>
        <v>0.01468205144</v>
      </c>
      <c r="S1018" s="7">
        <f t="shared" si="2"/>
        <v>0.2195658589</v>
      </c>
      <c r="T1018" s="7">
        <f t="shared" si="3"/>
        <v>0.1004987562</v>
      </c>
      <c r="U1018" s="7">
        <f t="shared" si="4"/>
        <v>0</v>
      </c>
      <c r="V1018" s="7">
        <f t="shared" si="5"/>
        <v>0</v>
      </c>
      <c r="W1018" s="7">
        <f t="shared" ref="W1018:X1018" si="1979">IF(AVERAGE(U958:U1017) &gt; 0.25, 1, 0)</f>
        <v>0</v>
      </c>
      <c r="X1018" s="7">
        <f t="shared" si="1979"/>
        <v>0</v>
      </c>
      <c r="Y1018" s="8">
        <v>0.0</v>
      </c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</row>
    <row r="1019" ht="22.5" customHeight="1">
      <c r="B1019" s="6">
        <v>1018.0</v>
      </c>
      <c r="C1019" s="6">
        <v>29207.0</v>
      </c>
      <c r="D1019" s="6">
        <v>0.82</v>
      </c>
      <c r="E1019" s="6">
        <v>9.73</v>
      </c>
      <c r="F1019" s="6">
        <v>2.18</v>
      </c>
      <c r="G1019" s="6">
        <v>-0.09</v>
      </c>
      <c r="H1019" s="6">
        <v>0.0</v>
      </c>
      <c r="I1019" s="6">
        <v>0.0</v>
      </c>
      <c r="J1019" s="6">
        <v>33.29</v>
      </c>
      <c r="K1019" s="7">
        <f t="shared" ref="K1019:P1019" si="1980">abs(D1019-D1018)/200</f>
        <v>0.0001</v>
      </c>
      <c r="L1019" s="7">
        <f t="shared" si="1980"/>
        <v>0.00005</v>
      </c>
      <c r="M1019" s="7">
        <f t="shared" si="1980"/>
        <v>0.00015</v>
      </c>
      <c r="N1019" s="7">
        <f t="shared" si="1980"/>
        <v>0.00005</v>
      </c>
      <c r="O1019" s="7">
        <f t="shared" si="1980"/>
        <v>0</v>
      </c>
      <c r="P1019" s="7">
        <f t="shared" si="1980"/>
        <v>0.00005</v>
      </c>
      <c r="Q1019" s="7">
        <f t="shared" si="7"/>
        <v>0.01049875621</v>
      </c>
      <c r="R1019" s="7">
        <f t="shared" si="8"/>
        <v>0.01468205144</v>
      </c>
      <c r="S1019" s="7">
        <f t="shared" si="2"/>
        <v>0.2048838074</v>
      </c>
      <c r="T1019" s="7">
        <f t="shared" si="3"/>
        <v>0.09</v>
      </c>
      <c r="U1019" s="7">
        <f t="shared" si="4"/>
        <v>0</v>
      </c>
      <c r="V1019" s="7">
        <f t="shared" si="5"/>
        <v>0</v>
      </c>
      <c r="W1019" s="7">
        <f t="shared" ref="W1019:X1019" si="1981">IF(AVERAGE(U959:U1018) &gt; 0.25, 1, 0)</f>
        <v>0</v>
      </c>
      <c r="X1019" s="7">
        <f t="shared" si="1981"/>
        <v>0</v>
      </c>
      <c r="Y1019" s="8">
        <v>0.0</v>
      </c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</row>
    <row r="1020" ht="22.5" customHeight="1">
      <c r="B1020" s="6">
        <v>1019.0</v>
      </c>
      <c r="C1020" s="6">
        <v>29411.0</v>
      </c>
      <c r="D1020" s="6">
        <v>0.79</v>
      </c>
      <c r="E1020" s="6">
        <v>9.75</v>
      </c>
      <c r="F1020" s="6">
        <v>2.22</v>
      </c>
      <c r="G1020" s="6">
        <v>-0.1</v>
      </c>
      <c r="H1020" s="6">
        <v>0.0</v>
      </c>
      <c r="I1020" s="6">
        <v>-0.01</v>
      </c>
      <c r="J1020" s="6">
        <v>33.29</v>
      </c>
      <c r="K1020" s="7">
        <f t="shared" ref="K1020:P1020" si="1982">abs(D1020-D1019)/200</f>
        <v>0.00015</v>
      </c>
      <c r="L1020" s="7">
        <f t="shared" si="1982"/>
        <v>0.0001</v>
      </c>
      <c r="M1020" s="7">
        <f t="shared" si="1982"/>
        <v>0.0002</v>
      </c>
      <c r="N1020" s="7">
        <f t="shared" si="1982"/>
        <v>0.00005</v>
      </c>
      <c r="O1020" s="7">
        <f t="shared" si="1982"/>
        <v>0</v>
      </c>
      <c r="P1020" s="7">
        <f t="shared" si="1982"/>
        <v>0.00005</v>
      </c>
      <c r="Q1020" s="7">
        <f t="shared" si="7"/>
        <v>0.01049875621</v>
      </c>
      <c r="R1020" s="7">
        <f t="shared" si="8"/>
        <v>0.02581905928</v>
      </c>
      <c r="S1020" s="7">
        <f t="shared" si="2"/>
        <v>0.2307028667</v>
      </c>
      <c r="T1020" s="7">
        <f t="shared" si="3"/>
        <v>0.1004987562</v>
      </c>
      <c r="U1020" s="7">
        <f t="shared" si="4"/>
        <v>0</v>
      </c>
      <c r="V1020" s="7">
        <f t="shared" si="5"/>
        <v>0</v>
      </c>
      <c r="W1020" s="7">
        <f t="shared" ref="W1020:X1020" si="1983">IF(AVERAGE(U960:U1019) &gt; 0.25, 1, 0)</f>
        <v>0</v>
      </c>
      <c r="X1020" s="7">
        <f t="shared" si="1983"/>
        <v>0</v>
      </c>
      <c r="Y1020" s="8">
        <v>0.0</v>
      </c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</row>
    <row r="1021" ht="22.5" customHeight="1">
      <c r="B1021" s="6">
        <v>1020.0</v>
      </c>
      <c r="C1021" s="6">
        <v>29615.0</v>
      </c>
      <c r="D1021" s="6">
        <v>0.84</v>
      </c>
      <c r="E1021" s="6">
        <v>9.72</v>
      </c>
      <c r="F1021" s="6">
        <v>2.19</v>
      </c>
      <c r="G1021" s="6">
        <v>-0.1</v>
      </c>
      <c r="H1021" s="6">
        <v>0.0</v>
      </c>
      <c r="I1021" s="6">
        <v>-0.01</v>
      </c>
      <c r="J1021" s="6">
        <v>33.3</v>
      </c>
      <c r="K1021" s="7">
        <f t="shared" ref="K1021:P1021" si="1984">abs(D1021-D1020)/200</f>
        <v>0.00025</v>
      </c>
      <c r="L1021" s="7">
        <f t="shared" si="1984"/>
        <v>0.00015</v>
      </c>
      <c r="M1021" s="7">
        <f t="shared" si="1984"/>
        <v>0.00015</v>
      </c>
      <c r="N1021" s="7">
        <f t="shared" si="1984"/>
        <v>0</v>
      </c>
      <c r="O1021" s="7">
        <f t="shared" si="1984"/>
        <v>0</v>
      </c>
      <c r="P1021" s="7">
        <f t="shared" si="1984"/>
        <v>0</v>
      </c>
      <c r="Q1021" s="7">
        <f t="shared" si="7"/>
        <v>0</v>
      </c>
      <c r="R1021" s="7">
        <f t="shared" si="8"/>
        <v>0.0316979162</v>
      </c>
      <c r="S1021" s="7">
        <f t="shared" si="2"/>
        <v>0.1990049505</v>
      </c>
      <c r="T1021" s="7">
        <f t="shared" si="3"/>
        <v>0.1004987562</v>
      </c>
      <c r="U1021" s="7">
        <f t="shared" si="4"/>
        <v>0</v>
      </c>
      <c r="V1021" s="7">
        <f t="shared" si="5"/>
        <v>0</v>
      </c>
      <c r="W1021" s="7">
        <f t="shared" ref="W1021:X1021" si="1985">IF(AVERAGE(U961:U1020) &gt; 0.25, 1, 0)</f>
        <v>0</v>
      </c>
      <c r="X1021" s="7">
        <f t="shared" si="1985"/>
        <v>0</v>
      </c>
      <c r="Y1021" s="8">
        <v>0.0</v>
      </c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</row>
    <row r="1022" ht="22.5" customHeight="1">
      <c r="B1022" s="6">
        <v>1021.0</v>
      </c>
      <c r="C1022" s="6">
        <v>29819.0</v>
      </c>
      <c r="D1022" s="6">
        <v>0.8</v>
      </c>
      <c r="E1022" s="6">
        <v>9.74</v>
      </c>
      <c r="F1022" s="6">
        <v>2.21</v>
      </c>
      <c r="G1022" s="6">
        <v>-0.1</v>
      </c>
      <c r="H1022" s="6">
        <v>0.0</v>
      </c>
      <c r="I1022" s="6">
        <v>-0.02</v>
      </c>
      <c r="J1022" s="6">
        <v>33.3</v>
      </c>
      <c r="K1022" s="7">
        <f t="shared" ref="K1022:P1022" si="1986">abs(D1022-D1021)/200</f>
        <v>0.0002</v>
      </c>
      <c r="L1022" s="7">
        <f t="shared" si="1986"/>
        <v>0.0001</v>
      </c>
      <c r="M1022" s="7">
        <f t="shared" si="1986"/>
        <v>0.0001</v>
      </c>
      <c r="N1022" s="7">
        <f t="shared" si="1986"/>
        <v>0</v>
      </c>
      <c r="O1022" s="7">
        <f t="shared" si="1986"/>
        <v>0</v>
      </c>
      <c r="P1022" s="7">
        <f t="shared" si="1986"/>
        <v>0.00005</v>
      </c>
      <c r="Q1022" s="7">
        <f t="shared" si="7"/>
        <v>0.001481634061</v>
      </c>
      <c r="R1022" s="7">
        <f t="shared" si="8"/>
        <v>0.02056090836</v>
      </c>
      <c r="S1022" s="7">
        <f t="shared" si="2"/>
        <v>0.2195658589</v>
      </c>
      <c r="T1022" s="7">
        <f t="shared" si="3"/>
        <v>0.1019803903</v>
      </c>
      <c r="U1022" s="7">
        <f t="shared" si="4"/>
        <v>0</v>
      </c>
      <c r="V1022" s="7">
        <f t="shared" si="5"/>
        <v>0</v>
      </c>
      <c r="W1022" s="7">
        <f t="shared" ref="W1022:X1022" si="1987">IF(AVERAGE(U962:U1021) &gt; 0.25, 1, 0)</f>
        <v>0</v>
      </c>
      <c r="X1022" s="7">
        <f t="shared" si="1987"/>
        <v>0</v>
      </c>
      <c r="Y1022" s="8">
        <v>0.0</v>
      </c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</row>
    <row r="1023" ht="22.5" customHeight="1">
      <c r="B1023" s="6">
        <v>1022.0</v>
      </c>
      <c r="C1023" s="6">
        <v>30023.0</v>
      </c>
      <c r="D1023" s="6">
        <v>0.85</v>
      </c>
      <c r="E1023" s="6">
        <v>9.72</v>
      </c>
      <c r="F1023" s="6">
        <v>2.21</v>
      </c>
      <c r="G1023" s="6">
        <v>-0.1</v>
      </c>
      <c r="H1023" s="6">
        <v>0.0</v>
      </c>
      <c r="I1023" s="6">
        <v>-0.01</v>
      </c>
      <c r="J1023" s="6">
        <v>33.3</v>
      </c>
      <c r="K1023" s="7">
        <f t="shared" ref="K1023:P1023" si="1988">abs(D1023-D1022)/200</f>
        <v>0.00025</v>
      </c>
      <c r="L1023" s="7">
        <f t="shared" si="1988"/>
        <v>0.0001</v>
      </c>
      <c r="M1023" s="7">
        <f t="shared" si="1988"/>
        <v>0</v>
      </c>
      <c r="N1023" s="7">
        <f t="shared" si="1988"/>
        <v>0</v>
      </c>
      <c r="O1023" s="7">
        <f t="shared" si="1988"/>
        <v>0</v>
      </c>
      <c r="P1023" s="7">
        <f t="shared" si="1988"/>
        <v>0.00005</v>
      </c>
      <c r="Q1023" s="7">
        <f t="shared" si="7"/>
        <v>0.001481634061</v>
      </c>
      <c r="R1023" s="7">
        <f t="shared" si="8"/>
        <v>0.0153167616</v>
      </c>
      <c r="S1023" s="7">
        <f t="shared" si="2"/>
        <v>0.2042490973</v>
      </c>
      <c r="T1023" s="7">
        <f t="shared" si="3"/>
        <v>0.1004987562</v>
      </c>
      <c r="U1023" s="7">
        <f t="shared" si="4"/>
        <v>0</v>
      </c>
      <c r="V1023" s="7">
        <f t="shared" si="5"/>
        <v>0</v>
      </c>
      <c r="W1023" s="7">
        <f t="shared" ref="W1023:X1023" si="1989">IF(AVERAGE(U963:U1022) &gt; 0.25, 1, 0)</f>
        <v>0</v>
      </c>
      <c r="X1023" s="7">
        <f t="shared" si="1989"/>
        <v>0</v>
      </c>
      <c r="Y1023" s="8">
        <v>0.0</v>
      </c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</row>
    <row r="1024" ht="22.5" customHeight="1">
      <c r="B1024" s="6">
        <v>1023.0</v>
      </c>
      <c r="C1024" s="6">
        <v>30227.0</v>
      </c>
      <c r="D1024" s="6">
        <v>0.84</v>
      </c>
      <c r="E1024" s="6">
        <v>9.72</v>
      </c>
      <c r="F1024" s="6">
        <v>2.2</v>
      </c>
      <c r="G1024" s="6">
        <v>-0.1</v>
      </c>
      <c r="H1024" s="6">
        <v>0.0</v>
      </c>
      <c r="I1024" s="6">
        <v>-0.01</v>
      </c>
      <c r="J1024" s="6">
        <v>33.3</v>
      </c>
      <c r="K1024" s="7">
        <f t="shared" ref="K1024:P1024" si="1990">abs(D1024-D1023)/200</f>
        <v>0.00005</v>
      </c>
      <c r="L1024" s="7">
        <f t="shared" si="1990"/>
        <v>0</v>
      </c>
      <c r="M1024" s="7">
        <f t="shared" si="1990"/>
        <v>0.00005</v>
      </c>
      <c r="N1024" s="7">
        <f t="shared" si="1990"/>
        <v>0</v>
      </c>
      <c r="O1024" s="7">
        <f t="shared" si="1990"/>
        <v>0</v>
      </c>
      <c r="P1024" s="7">
        <f t="shared" si="1990"/>
        <v>0</v>
      </c>
      <c r="Q1024" s="7">
        <f t="shared" si="7"/>
        <v>0</v>
      </c>
      <c r="R1024" s="7">
        <f t="shared" si="8"/>
        <v>0.00304916925</v>
      </c>
      <c r="S1024" s="7">
        <f t="shared" si="2"/>
        <v>0.201199928</v>
      </c>
      <c r="T1024" s="7">
        <f t="shared" si="3"/>
        <v>0.1004987562</v>
      </c>
      <c r="U1024" s="7">
        <f t="shared" si="4"/>
        <v>0</v>
      </c>
      <c r="V1024" s="7">
        <f t="shared" si="5"/>
        <v>0</v>
      </c>
      <c r="W1024" s="7">
        <f t="shared" ref="W1024:X1024" si="1991">IF(AVERAGE(U964:U1023) &gt; 0.25, 1, 0)</f>
        <v>0</v>
      </c>
      <c r="X1024" s="7">
        <f t="shared" si="1991"/>
        <v>0</v>
      </c>
      <c r="Y1024" s="8">
        <v>0.0</v>
      </c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</row>
    <row r="1025" ht="22.5" customHeight="1">
      <c r="B1025" s="6">
        <v>1024.0</v>
      </c>
      <c r="C1025" s="6">
        <v>30431.0</v>
      </c>
      <c r="D1025" s="6">
        <v>0.83</v>
      </c>
      <c r="E1025" s="6">
        <v>9.73</v>
      </c>
      <c r="F1025" s="6">
        <v>2.19</v>
      </c>
      <c r="G1025" s="6">
        <v>-0.1</v>
      </c>
      <c r="H1025" s="6">
        <v>0.0</v>
      </c>
      <c r="I1025" s="6">
        <v>-0.01</v>
      </c>
      <c r="J1025" s="6">
        <v>33.3</v>
      </c>
      <c r="K1025" s="7">
        <f t="shared" ref="K1025:P1025" si="1992">abs(D1025-D1024)/200</f>
        <v>0.00005</v>
      </c>
      <c r="L1025" s="7">
        <f t="shared" si="1992"/>
        <v>0.00005</v>
      </c>
      <c r="M1025" s="7">
        <f t="shared" si="1992"/>
        <v>0.00005</v>
      </c>
      <c r="N1025" s="7">
        <f t="shared" si="1992"/>
        <v>0</v>
      </c>
      <c r="O1025" s="7">
        <f t="shared" si="1992"/>
        <v>0</v>
      </c>
      <c r="P1025" s="7">
        <f t="shared" si="1992"/>
        <v>0</v>
      </c>
      <c r="Q1025" s="7">
        <f t="shared" si="7"/>
        <v>0</v>
      </c>
      <c r="R1025" s="7">
        <f t="shared" si="8"/>
        <v>0.006691957898</v>
      </c>
      <c r="S1025" s="7">
        <f t="shared" si="2"/>
        <v>0.2078918859</v>
      </c>
      <c r="T1025" s="7">
        <f t="shared" si="3"/>
        <v>0.1004987562</v>
      </c>
      <c r="U1025" s="7">
        <f t="shared" si="4"/>
        <v>0</v>
      </c>
      <c r="V1025" s="7">
        <f t="shared" si="5"/>
        <v>0</v>
      </c>
      <c r="W1025" s="7">
        <f t="shared" ref="W1025:X1025" si="1993">IF(AVERAGE(U965:U1024) &gt; 0.25, 1, 0)</f>
        <v>0</v>
      </c>
      <c r="X1025" s="7">
        <f t="shared" si="1993"/>
        <v>0</v>
      </c>
      <c r="Y1025" s="8">
        <v>0.0</v>
      </c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</row>
    <row r="1026" ht="22.5" customHeight="1">
      <c r="B1026" s="6">
        <v>1025.0</v>
      </c>
      <c r="C1026" s="6">
        <v>30635.0</v>
      </c>
      <c r="D1026" s="6">
        <v>0.82</v>
      </c>
      <c r="E1026" s="6">
        <v>9.74</v>
      </c>
      <c r="F1026" s="6">
        <v>2.17</v>
      </c>
      <c r="G1026" s="6">
        <v>-0.09</v>
      </c>
      <c r="H1026" s="6">
        <v>0.0</v>
      </c>
      <c r="I1026" s="6">
        <v>-0.01</v>
      </c>
      <c r="J1026" s="6">
        <v>33.3</v>
      </c>
      <c r="K1026" s="7">
        <f t="shared" ref="K1026:P1026" si="1994">abs(D1026-D1025)/200</f>
        <v>0.00005</v>
      </c>
      <c r="L1026" s="7">
        <f t="shared" si="1994"/>
        <v>0.00005</v>
      </c>
      <c r="M1026" s="7">
        <f t="shared" si="1994"/>
        <v>0.0001</v>
      </c>
      <c r="N1026" s="7">
        <f t="shared" si="1994"/>
        <v>0.00005</v>
      </c>
      <c r="O1026" s="7">
        <f t="shared" si="1994"/>
        <v>0</v>
      </c>
      <c r="P1026" s="7">
        <f t="shared" si="1994"/>
        <v>0</v>
      </c>
      <c r="Q1026" s="7">
        <f t="shared" si="7"/>
        <v>0.00994490483</v>
      </c>
      <c r="R1026" s="7">
        <f t="shared" si="8"/>
        <v>0.004545379814</v>
      </c>
      <c r="S1026" s="7">
        <f t="shared" si="2"/>
        <v>0.2124372657</v>
      </c>
      <c r="T1026" s="7">
        <f t="shared" si="3"/>
        <v>0.09055385138</v>
      </c>
      <c r="U1026" s="7">
        <f t="shared" si="4"/>
        <v>0</v>
      </c>
      <c r="V1026" s="7">
        <f t="shared" si="5"/>
        <v>0</v>
      </c>
      <c r="W1026" s="7">
        <f t="shared" ref="W1026:X1026" si="1995">IF(AVERAGE(U966:U1025) &gt; 0.25, 1, 0)</f>
        <v>0</v>
      </c>
      <c r="X1026" s="7">
        <f t="shared" si="1995"/>
        <v>0</v>
      </c>
      <c r="Y1026" s="8">
        <v>0.0</v>
      </c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</row>
    <row r="1027" ht="22.5" customHeight="1">
      <c r="B1027" s="6">
        <v>1026.0</v>
      </c>
      <c r="C1027" s="6">
        <v>30839.0</v>
      </c>
      <c r="D1027" s="6">
        <v>0.84</v>
      </c>
      <c r="E1027" s="6">
        <v>9.73</v>
      </c>
      <c r="F1027" s="6">
        <v>2.2</v>
      </c>
      <c r="G1027" s="6">
        <v>-0.09</v>
      </c>
      <c r="H1027" s="6">
        <v>0.0</v>
      </c>
      <c r="I1027" s="6">
        <v>-0.01</v>
      </c>
      <c r="J1027" s="6">
        <v>33.29</v>
      </c>
      <c r="K1027" s="7">
        <f t="shared" ref="K1027:P1027" si="1996">abs(D1027-D1026)/200</f>
        <v>0.0001</v>
      </c>
      <c r="L1027" s="7">
        <f t="shared" si="1996"/>
        <v>0.00005</v>
      </c>
      <c r="M1027" s="7">
        <f t="shared" si="1996"/>
        <v>0.00015</v>
      </c>
      <c r="N1027" s="7">
        <f t="shared" si="1996"/>
        <v>0</v>
      </c>
      <c r="O1027" s="7">
        <f t="shared" si="1996"/>
        <v>0</v>
      </c>
      <c r="P1027" s="7">
        <f t="shared" si="1996"/>
        <v>0</v>
      </c>
      <c r="Q1027" s="7">
        <f t="shared" si="7"/>
        <v>0</v>
      </c>
      <c r="R1027" s="7">
        <f t="shared" si="8"/>
        <v>0.001518226991</v>
      </c>
      <c r="S1027" s="7">
        <f t="shared" si="2"/>
        <v>0.2109190387</v>
      </c>
      <c r="T1027" s="7">
        <f t="shared" si="3"/>
        <v>0.09055385138</v>
      </c>
      <c r="U1027" s="7">
        <f t="shared" si="4"/>
        <v>0</v>
      </c>
      <c r="V1027" s="7">
        <f t="shared" si="5"/>
        <v>0</v>
      </c>
      <c r="W1027" s="7">
        <f t="shared" ref="W1027:X1027" si="1997">IF(AVERAGE(U967:U1026) &gt; 0.25, 1, 0)</f>
        <v>0</v>
      </c>
      <c r="X1027" s="7">
        <f t="shared" si="1997"/>
        <v>0</v>
      </c>
      <c r="Y1027" s="8">
        <v>0.0</v>
      </c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</row>
    <row r="1028" ht="22.5" customHeight="1">
      <c r="B1028" s="6">
        <v>1027.0</v>
      </c>
      <c r="C1028" s="6">
        <v>31043.0</v>
      </c>
      <c r="D1028" s="6">
        <v>0.86</v>
      </c>
      <c r="E1028" s="6">
        <v>9.74</v>
      </c>
      <c r="F1028" s="6">
        <v>2.15</v>
      </c>
      <c r="G1028" s="6">
        <v>-0.1</v>
      </c>
      <c r="H1028" s="6">
        <v>0.0</v>
      </c>
      <c r="I1028" s="6">
        <v>0.02</v>
      </c>
      <c r="J1028" s="6">
        <v>33.29</v>
      </c>
      <c r="K1028" s="7">
        <f t="shared" ref="K1028:P1028" si="1998">abs(D1028-D1027)/200</f>
        <v>0.0001</v>
      </c>
      <c r="L1028" s="7">
        <f t="shared" si="1998"/>
        <v>0.00005</v>
      </c>
      <c r="M1028" s="7">
        <f t="shared" si="1998"/>
        <v>0.00025</v>
      </c>
      <c r="N1028" s="7">
        <f t="shared" si="1998"/>
        <v>0.00005</v>
      </c>
      <c r="O1028" s="7">
        <f t="shared" si="1998"/>
        <v>0</v>
      </c>
      <c r="P1028" s="7">
        <f t="shared" si="1998"/>
        <v>0.00015</v>
      </c>
      <c r="Q1028" s="7">
        <f t="shared" si="7"/>
        <v>0.01142653889</v>
      </c>
      <c r="R1028" s="7">
        <f t="shared" si="8"/>
        <v>0.0005593735729</v>
      </c>
      <c r="S1028" s="7">
        <f t="shared" si="2"/>
        <v>0.2114784123</v>
      </c>
      <c r="T1028" s="7">
        <f t="shared" si="3"/>
        <v>0.1019803903</v>
      </c>
      <c r="U1028" s="7">
        <f t="shared" si="4"/>
        <v>0</v>
      </c>
      <c r="V1028" s="7">
        <f t="shared" si="5"/>
        <v>0</v>
      </c>
      <c r="W1028" s="7">
        <f t="shared" ref="W1028:X1028" si="1999">IF(AVERAGE(U968:U1027) &gt; 0.25, 1, 0)</f>
        <v>0</v>
      </c>
      <c r="X1028" s="7">
        <f t="shared" si="1999"/>
        <v>0</v>
      </c>
      <c r="Y1028" s="8">
        <v>0.0</v>
      </c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</row>
    <row r="1029" ht="22.5" customHeight="1">
      <c r="B1029" s="6">
        <v>1028.0</v>
      </c>
      <c r="C1029" s="6">
        <v>31247.0</v>
      </c>
      <c r="D1029" s="6">
        <v>0.84</v>
      </c>
      <c r="E1029" s="6">
        <v>9.75</v>
      </c>
      <c r="F1029" s="6">
        <v>2.16</v>
      </c>
      <c r="G1029" s="6">
        <v>-0.09</v>
      </c>
      <c r="H1029" s="6">
        <v>0.0</v>
      </c>
      <c r="I1029" s="6">
        <v>0.01</v>
      </c>
      <c r="J1029" s="6">
        <v>33.31</v>
      </c>
      <c r="K1029" s="7">
        <f t="shared" ref="K1029:P1029" si="2000">abs(D1029-D1028)/200</f>
        <v>0.0001</v>
      </c>
      <c r="L1029" s="7">
        <f t="shared" si="2000"/>
        <v>0.00005</v>
      </c>
      <c r="M1029" s="7">
        <f t="shared" si="2000"/>
        <v>0.00005</v>
      </c>
      <c r="N1029" s="7">
        <f t="shared" si="2000"/>
        <v>0.00005</v>
      </c>
      <c r="O1029" s="7">
        <f t="shared" si="2000"/>
        <v>0</v>
      </c>
      <c r="P1029" s="7">
        <f t="shared" si="2000"/>
        <v>0.00005</v>
      </c>
      <c r="Q1029" s="7">
        <f t="shared" si="7"/>
        <v>0.01142653889</v>
      </c>
      <c r="R1029" s="7">
        <f t="shared" si="8"/>
        <v>0.01018312658</v>
      </c>
      <c r="S1029" s="7">
        <f t="shared" si="2"/>
        <v>0.2216615389</v>
      </c>
      <c r="T1029" s="7">
        <f t="shared" si="3"/>
        <v>0.09055385138</v>
      </c>
      <c r="U1029" s="7">
        <f t="shared" si="4"/>
        <v>0</v>
      </c>
      <c r="V1029" s="7">
        <f t="shared" si="5"/>
        <v>0</v>
      </c>
      <c r="W1029" s="7">
        <f t="shared" ref="W1029:X1029" si="2001">IF(AVERAGE(U969:U1028) &gt; 0.25, 1, 0)</f>
        <v>0</v>
      </c>
      <c r="X1029" s="7">
        <f t="shared" si="2001"/>
        <v>0</v>
      </c>
      <c r="Y1029" s="8">
        <v>0.0</v>
      </c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</row>
    <row r="1030" ht="22.5" customHeight="1">
      <c r="B1030" s="6">
        <v>1029.0</v>
      </c>
      <c r="C1030" s="6">
        <v>31451.0</v>
      </c>
      <c r="D1030" s="6">
        <v>0.91</v>
      </c>
      <c r="E1030" s="6">
        <v>9.71</v>
      </c>
      <c r="F1030" s="6">
        <v>2.15</v>
      </c>
      <c r="G1030" s="6">
        <v>-0.13</v>
      </c>
      <c r="H1030" s="6">
        <v>0.0</v>
      </c>
      <c r="I1030" s="6">
        <v>-0.03</v>
      </c>
      <c r="J1030" s="6">
        <v>33.29</v>
      </c>
      <c r="K1030" s="7">
        <f t="shared" ref="K1030:P1030" si="2002">abs(D1030-D1029)/200</f>
        <v>0.00035</v>
      </c>
      <c r="L1030" s="7">
        <f t="shared" si="2002"/>
        <v>0.0002</v>
      </c>
      <c r="M1030" s="7">
        <f t="shared" si="2002"/>
        <v>0.00005</v>
      </c>
      <c r="N1030" s="7">
        <f t="shared" si="2002"/>
        <v>0.0002</v>
      </c>
      <c r="O1030" s="7">
        <f t="shared" si="2002"/>
        <v>0</v>
      </c>
      <c r="P1030" s="7">
        <f t="shared" si="2002"/>
        <v>0.0002</v>
      </c>
      <c r="Q1030" s="7">
        <f t="shared" si="7"/>
        <v>0.04286278926</v>
      </c>
      <c r="R1030" s="7">
        <f t="shared" si="8"/>
        <v>0.03493534859</v>
      </c>
      <c r="S1030" s="7">
        <f t="shared" si="2"/>
        <v>0.1867261903</v>
      </c>
      <c r="T1030" s="7">
        <f t="shared" si="3"/>
        <v>0.1334166406</v>
      </c>
      <c r="U1030" s="7">
        <f t="shared" si="4"/>
        <v>1</v>
      </c>
      <c r="V1030" s="7">
        <f t="shared" si="5"/>
        <v>0</v>
      </c>
      <c r="W1030" s="7">
        <f t="shared" ref="W1030:X1030" si="2003">IF(AVERAGE(U970:U1029) &gt; 0.25, 1, 0)</f>
        <v>0</v>
      </c>
      <c r="X1030" s="7">
        <f t="shared" si="2003"/>
        <v>0</v>
      </c>
      <c r="Y1030" s="8">
        <v>0.0</v>
      </c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</row>
    <row r="1031" ht="22.5" customHeight="1">
      <c r="B1031" s="6">
        <v>1030.0</v>
      </c>
      <c r="C1031" s="6">
        <v>31655.0</v>
      </c>
      <c r="D1031" s="6">
        <v>0.83</v>
      </c>
      <c r="E1031" s="6">
        <v>9.71</v>
      </c>
      <c r="F1031" s="6">
        <v>2.34</v>
      </c>
      <c r="G1031" s="6">
        <v>-0.11</v>
      </c>
      <c r="H1031" s="6">
        <v>0.0</v>
      </c>
      <c r="I1031" s="6">
        <v>-0.01</v>
      </c>
      <c r="J1031" s="6">
        <v>33.3</v>
      </c>
      <c r="K1031" s="7">
        <f t="shared" ref="K1031:P1031" si="2004">abs(D1031-D1030)/200</f>
        <v>0.0004</v>
      </c>
      <c r="L1031" s="7">
        <f t="shared" si="2004"/>
        <v>0</v>
      </c>
      <c r="M1031" s="7">
        <f t="shared" si="2004"/>
        <v>0.00095</v>
      </c>
      <c r="N1031" s="7">
        <f t="shared" si="2004"/>
        <v>0.0001</v>
      </c>
      <c r="O1031" s="7">
        <f t="shared" si="2004"/>
        <v>0</v>
      </c>
      <c r="P1031" s="7">
        <f t="shared" si="2004"/>
        <v>0.0001</v>
      </c>
      <c r="Q1031" s="7">
        <f t="shared" si="7"/>
        <v>0.02296303047</v>
      </c>
      <c r="R1031" s="7">
        <f t="shared" si="8"/>
        <v>0.03567871072</v>
      </c>
      <c r="S1031" s="7">
        <f t="shared" si="2"/>
        <v>0.222404901</v>
      </c>
      <c r="T1031" s="7">
        <f t="shared" si="3"/>
        <v>0.1104536102</v>
      </c>
      <c r="U1031" s="7">
        <f t="shared" si="4"/>
        <v>1</v>
      </c>
      <c r="V1031" s="7">
        <f t="shared" si="5"/>
        <v>0</v>
      </c>
      <c r="W1031" s="7">
        <f t="shared" ref="W1031:X1031" si="2005">IF(AVERAGE(U971:U1030) &gt; 0.25, 1, 0)</f>
        <v>0</v>
      </c>
      <c r="X1031" s="7">
        <f t="shared" si="2005"/>
        <v>0</v>
      </c>
      <c r="Y1031" s="8">
        <v>0.0</v>
      </c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</row>
    <row r="1032" ht="22.5" customHeight="1">
      <c r="B1032" s="6">
        <v>1031.0</v>
      </c>
      <c r="C1032" s="6">
        <v>31859.0</v>
      </c>
      <c r="D1032" s="6">
        <v>0.91</v>
      </c>
      <c r="E1032" s="6">
        <v>9.69</v>
      </c>
      <c r="F1032" s="6">
        <v>2.25</v>
      </c>
      <c r="G1032" s="6">
        <v>-0.07</v>
      </c>
      <c r="H1032" s="6">
        <v>-0.01</v>
      </c>
      <c r="I1032" s="6">
        <v>0.01</v>
      </c>
      <c r="J1032" s="6">
        <v>33.31</v>
      </c>
      <c r="K1032" s="7">
        <f t="shared" ref="K1032:P1032" si="2006">abs(D1032-D1031)/200</f>
        <v>0.0004</v>
      </c>
      <c r="L1032" s="7">
        <f t="shared" si="2006"/>
        <v>0.0001</v>
      </c>
      <c r="M1032" s="7">
        <f t="shared" si="2006"/>
        <v>0.00045</v>
      </c>
      <c r="N1032" s="7">
        <f t="shared" si="2006"/>
        <v>0.0002</v>
      </c>
      <c r="O1032" s="7">
        <f t="shared" si="2006"/>
        <v>0.00005</v>
      </c>
      <c r="P1032" s="7">
        <f t="shared" si="2006"/>
        <v>0.0001</v>
      </c>
      <c r="Q1032" s="7">
        <f t="shared" si="7"/>
        <v>0.03903932589</v>
      </c>
      <c r="R1032" s="7">
        <f t="shared" si="8"/>
        <v>0.03307559421</v>
      </c>
      <c r="S1032" s="7">
        <f t="shared" si="2"/>
        <v>0.1893293068</v>
      </c>
      <c r="T1032" s="7">
        <f t="shared" si="3"/>
        <v>0.07141428429</v>
      </c>
      <c r="U1032" s="7">
        <f t="shared" si="4"/>
        <v>1</v>
      </c>
      <c r="V1032" s="7">
        <f t="shared" si="5"/>
        <v>0</v>
      </c>
      <c r="W1032" s="7">
        <f t="shared" ref="W1032:X1032" si="2007">IF(AVERAGE(U972:U1031) &gt; 0.25, 1, 0)</f>
        <v>0</v>
      </c>
      <c r="X1032" s="7">
        <f t="shared" si="2007"/>
        <v>0</v>
      </c>
      <c r="Y1032" s="8">
        <v>0.0</v>
      </c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</row>
    <row r="1033" ht="22.5" customHeight="1">
      <c r="B1033" s="6">
        <v>1032.0</v>
      </c>
      <c r="C1033" s="6">
        <v>32063.0</v>
      </c>
      <c r="D1033" s="6">
        <v>0.95</v>
      </c>
      <c r="E1033" s="6">
        <v>9.69</v>
      </c>
      <c r="F1033" s="6">
        <v>2.19</v>
      </c>
      <c r="G1033" s="6">
        <v>-0.12</v>
      </c>
      <c r="H1033" s="6">
        <v>0.0</v>
      </c>
      <c r="I1033" s="6">
        <v>-0.05</v>
      </c>
      <c r="J1033" s="6">
        <v>33.3</v>
      </c>
      <c r="K1033" s="7">
        <f t="shared" ref="K1033:P1033" si="2008">abs(D1033-D1032)/200</f>
        <v>0.0002</v>
      </c>
      <c r="L1033" s="7">
        <f t="shared" si="2008"/>
        <v>0</v>
      </c>
      <c r="M1033" s="7">
        <f t="shared" si="2008"/>
        <v>0.0003</v>
      </c>
      <c r="N1033" s="7">
        <f t="shared" si="2008"/>
        <v>0.00025</v>
      </c>
      <c r="O1033" s="7">
        <f t="shared" si="2008"/>
        <v>0.00005</v>
      </c>
      <c r="P1033" s="7">
        <f t="shared" si="2008"/>
        <v>0.0003</v>
      </c>
      <c r="Q1033" s="7">
        <f t="shared" si="7"/>
        <v>0.05858571571</v>
      </c>
      <c r="R1033" s="7">
        <f t="shared" si="8"/>
        <v>0.009614882043</v>
      </c>
      <c r="S1033" s="7">
        <f t="shared" si="2"/>
        <v>0.1797144248</v>
      </c>
      <c r="T1033" s="7">
        <f t="shared" si="3"/>
        <v>0.13</v>
      </c>
      <c r="U1033" s="7">
        <f t="shared" si="4"/>
        <v>0</v>
      </c>
      <c r="V1033" s="7">
        <f t="shared" si="5"/>
        <v>0</v>
      </c>
      <c r="W1033" s="7">
        <f t="shared" ref="W1033:X1033" si="2009">IF(AVERAGE(U973:U1032) &gt; 0.25, 1, 0)</f>
        <v>0</v>
      </c>
      <c r="X1033" s="7">
        <f t="shared" si="2009"/>
        <v>0</v>
      </c>
      <c r="Y1033" s="8">
        <v>0.0</v>
      </c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</row>
    <row r="1034" ht="22.5" customHeight="1">
      <c r="B1034" s="6">
        <v>1033.0</v>
      </c>
      <c r="C1034" s="6">
        <v>32267.0</v>
      </c>
      <c r="D1034" s="6">
        <v>0.88</v>
      </c>
      <c r="E1034" s="6">
        <v>9.74</v>
      </c>
      <c r="F1034" s="6">
        <v>2.21</v>
      </c>
      <c r="G1034" s="6">
        <v>-0.09</v>
      </c>
      <c r="H1034" s="6">
        <v>0.0</v>
      </c>
      <c r="I1034" s="6">
        <v>0.0</v>
      </c>
      <c r="J1034" s="6">
        <v>33.31</v>
      </c>
      <c r="K1034" s="7">
        <f t="shared" ref="K1034:P1034" si="2010">abs(D1034-D1033)/200</f>
        <v>0.00035</v>
      </c>
      <c r="L1034" s="7">
        <f t="shared" si="2010"/>
        <v>0.00025</v>
      </c>
      <c r="M1034" s="7">
        <f t="shared" si="2010"/>
        <v>0.0001</v>
      </c>
      <c r="N1034" s="7">
        <f t="shared" si="2010"/>
        <v>0.00015</v>
      </c>
      <c r="O1034" s="7">
        <f t="shared" si="2010"/>
        <v>0</v>
      </c>
      <c r="P1034" s="7">
        <f t="shared" si="2010"/>
        <v>0.00025</v>
      </c>
      <c r="Q1034" s="7">
        <f t="shared" si="7"/>
        <v>0.04</v>
      </c>
      <c r="R1034" s="7">
        <f t="shared" si="8"/>
        <v>0.04655606829</v>
      </c>
      <c r="S1034" s="7">
        <f t="shared" si="2"/>
        <v>0.2262704931</v>
      </c>
      <c r="T1034" s="7">
        <f t="shared" si="3"/>
        <v>0.09</v>
      </c>
      <c r="U1034" s="7">
        <f t="shared" si="4"/>
        <v>1</v>
      </c>
      <c r="V1034" s="7">
        <f t="shared" si="5"/>
        <v>0</v>
      </c>
      <c r="W1034" s="7">
        <f t="shared" ref="W1034:X1034" si="2011">IF(AVERAGE(U974:U1033) &gt; 0.25, 1, 0)</f>
        <v>0</v>
      </c>
      <c r="X1034" s="7">
        <f t="shared" si="2011"/>
        <v>0</v>
      </c>
      <c r="Y1034" s="8">
        <v>0.0</v>
      </c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</row>
    <row r="1035" ht="22.5" customHeight="1">
      <c r="B1035" s="6">
        <v>1034.0</v>
      </c>
      <c r="C1035" s="6">
        <v>32471.0</v>
      </c>
      <c r="D1035" s="6">
        <v>0.91</v>
      </c>
      <c r="E1035" s="6">
        <v>9.73</v>
      </c>
      <c r="F1035" s="6">
        <v>2.21</v>
      </c>
      <c r="G1035" s="6">
        <v>-0.1</v>
      </c>
      <c r="H1035" s="6">
        <v>0.0</v>
      </c>
      <c r="I1035" s="6">
        <v>-0.01</v>
      </c>
      <c r="J1035" s="6">
        <v>33.3</v>
      </c>
      <c r="K1035" s="7">
        <f t="shared" ref="K1035:P1035" si="2012">abs(D1035-D1034)/200</f>
        <v>0.00015</v>
      </c>
      <c r="L1035" s="7">
        <f t="shared" si="2012"/>
        <v>0.00005</v>
      </c>
      <c r="M1035" s="7">
        <f t="shared" si="2012"/>
        <v>0</v>
      </c>
      <c r="N1035" s="7">
        <f t="shared" si="2012"/>
        <v>0.00005</v>
      </c>
      <c r="O1035" s="7">
        <f t="shared" si="2012"/>
        <v>0</v>
      </c>
      <c r="P1035" s="7">
        <f t="shared" si="2012"/>
        <v>0.00005</v>
      </c>
      <c r="Q1035" s="7">
        <f t="shared" si="7"/>
        <v>0.01049875621</v>
      </c>
      <c r="R1035" s="7">
        <f t="shared" si="8"/>
        <v>0.007033995202</v>
      </c>
      <c r="S1035" s="7">
        <f t="shared" si="2"/>
        <v>0.2192364979</v>
      </c>
      <c r="T1035" s="7">
        <f t="shared" si="3"/>
        <v>0.1004987562</v>
      </c>
      <c r="U1035" s="7">
        <f t="shared" si="4"/>
        <v>0</v>
      </c>
      <c r="V1035" s="7">
        <f t="shared" si="5"/>
        <v>0</v>
      </c>
      <c r="W1035" s="7">
        <f t="shared" ref="W1035:X1035" si="2013">IF(AVERAGE(U975:U1034) &gt; 0.25, 1, 0)</f>
        <v>0</v>
      </c>
      <c r="X1035" s="7">
        <f t="shared" si="2013"/>
        <v>0</v>
      </c>
      <c r="Y1035" s="8">
        <v>0.0</v>
      </c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</row>
    <row r="1036" ht="22.5" customHeight="1">
      <c r="B1036" s="6">
        <v>1035.0</v>
      </c>
      <c r="C1036" s="6">
        <v>32675.0</v>
      </c>
      <c r="D1036" s="6">
        <v>0.89</v>
      </c>
      <c r="E1036" s="6">
        <v>9.72</v>
      </c>
      <c r="F1036" s="6">
        <v>2.24</v>
      </c>
      <c r="G1036" s="6">
        <v>-0.1</v>
      </c>
      <c r="H1036" s="6">
        <v>0.0</v>
      </c>
      <c r="I1036" s="6">
        <v>-0.03</v>
      </c>
      <c r="J1036" s="6">
        <v>33.3</v>
      </c>
      <c r="K1036" s="7">
        <f t="shared" ref="K1036:P1036" si="2014">abs(D1036-D1035)/200</f>
        <v>0.0001</v>
      </c>
      <c r="L1036" s="7">
        <f t="shared" si="2014"/>
        <v>0.00005</v>
      </c>
      <c r="M1036" s="7">
        <f t="shared" si="2014"/>
        <v>0.00015</v>
      </c>
      <c r="N1036" s="7">
        <f t="shared" si="2014"/>
        <v>0</v>
      </c>
      <c r="O1036" s="7">
        <f t="shared" si="2014"/>
        <v>0</v>
      </c>
      <c r="P1036" s="7">
        <f t="shared" si="2014"/>
        <v>0.0001</v>
      </c>
      <c r="Q1036" s="7">
        <f t="shared" si="7"/>
        <v>0.003904308878</v>
      </c>
      <c r="R1036" s="7">
        <f t="shared" si="8"/>
        <v>0.00484185814</v>
      </c>
      <c r="S1036" s="7">
        <f t="shared" si="2"/>
        <v>0.2143946397</v>
      </c>
      <c r="T1036" s="7">
        <f t="shared" si="3"/>
        <v>0.1044030651</v>
      </c>
      <c r="U1036" s="7">
        <f t="shared" si="4"/>
        <v>0</v>
      </c>
      <c r="V1036" s="7">
        <f t="shared" si="5"/>
        <v>0</v>
      </c>
      <c r="W1036" s="7">
        <f t="shared" ref="W1036:X1036" si="2015">IF(AVERAGE(U976:U1035) &gt; 0.25, 1, 0)</f>
        <v>0</v>
      </c>
      <c r="X1036" s="7">
        <f t="shared" si="2015"/>
        <v>0</v>
      </c>
      <c r="Y1036" s="8">
        <v>0.0</v>
      </c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</row>
    <row r="1037" ht="22.5" customHeight="1">
      <c r="B1037" s="6">
        <v>1036.0</v>
      </c>
      <c r="C1037" s="6">
        <v>32879.0</v>
      </c>
      <c r="D1037" s="6">
        <v>0.85</v>
      </c>
      <c r="E1037" s="6">
        <v>9.73</v>
      </c>
      <c r="F1037" s="6">
        <v>2.21</v>
      </c>
      <c r="G1037" s="6">
        <v>-0.09</v>
      </c>
      <c r="H1037" s="6">
        <v>0.0</v>
      </c>
      <c r="I1037" s="6">
        <v>-0.01</v>
      </c>
      <c r="J1037" s="6">
        <v>33.31</v>
      </c>
      <c r="K1037" s="7">
        <f t="shared" ref="K1037:P1037" si="2016">abs(D1037-D1036)/200</f>
        <v>0.0002</v>
      </c>
      <c r="L1037" s="7">
        <f t="shared" si="2016"/>
        <v>0.00005</v>
      </c>
      <c r="M1037" s="7">
        <f t="shared" si="2016"/>
        <v>0.00015</v>
      </c>
      <c r="N1037" s="7">
        <f t="shared" si="2016"/>
        <v>0.00005</v>
      </c>
      <c r="O1037" s="7">
        <f t="shared" si="2016"/>
        <v>0</v>
      </c>
      <c r="P1037" s="7">
        <f t="shared" si="2016"/>
        <v>0.0001</v>
      </c>
      <c r="Q1037" s="7">
        <f t="shared" si="7"/>
        <v>0.01384921371</v>
      </c>
      <c r="R1037" s="7">
        <f t="shared" si="8"/>
        <v>0.0004293911258</v>
      </c>
      <c r="S1037" s="7">
        <f t="shared" si="2"/>
        <v>0.2139652486</v>
      </c>
      <c r="T1037" s="7">
        <f t="shared" si="3"/>
        <v>0.09055385138</v>
      </c>
      <c r="U1037" s="7">
        <f t="shared" si="4"/>
        <v>0</v>
      </c>
      <c r="V1037" s="7">
        <f t="shared" si="5"/>
        <v>0</v>
      </c>
      <c r="W1037" s="7">
        <f t="shared" ref="W1037:X1037" si="2017">IF(AVERAGE(U977:U1036) &gt; 0.25, 1, 0)</f>
        <v>0</v>
      </c>
      <c r="X1037" s="7">
        <f t="shared" si="2017"/>
        <v>0</v>
      </c>
      <c r="Y1037" s="8">
        <v>0.0</v>
      </c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</row>
    <row r="1038" ht="22.5" customHeight="1">
      <c r="B1038" s="6">
        <v>1037.0</v>
      </c>
      <c r="C1038" s="6">
        <v>33083.0</v>
      </c>
      <c r="D1038" s="6">
        <v>0.91</v>
      </c>
      <c r="E1038" s="6">
        <v>9.73</v>
      </c>
      <c r="F1038" s="6">
        <v>2.17</v>
      </c>
      <c r="G1038" s="6">
        <v>-0.1</v>
      </c>
      <c r="H1038" s="6">
        <v>0.0</v>
      </c>
      <c r="I1038" s="6">
        <v>-0.02</v>
      </c>
      <c r="J1038" s="6">
        <v>33.31</v>
      </c>
      <c r="K1038" s="7">
        <f t="shared" ref="K1038:P1038" si="2018">abs(D1038-D1037)/200</f>
        <v>0.0003</v>
      </c>
      <c r="L1038" s="7">
        <f t="shared" si="2018"/>
        <v>0</v>
      </c>
      <c r="M1038" s="7">
        <f t="shared" si="2018"/>
        <v>0.0002</v>
      </c>
      <c r="N1038" s="7">
        <f t="shared" si="2018"/>
        <v>0.00005</v>
      </c>
      <c r="O1038" s="7">
        <f t="shared" si="2018"/>
        <v>0</v>
      </c>
      <c r="P1038" s="7">
        <f t="shared" si="2018"/>
        <v>0.00005</v>
      </c>
      <c r="Q1038" s="7">
        <f t="shared" si="7"/>
        <v>0.01142653889</v>
      </c>
      <c r="R1038" s="7">
        <f t="shared" si="8"/>
        <v>0.003475750071</v>
      </c>
      <c r="S1038" s="7">
        <f t="shared" si="2"/>
        <v>0.2104894985</v>
      </c>
      <c r="T1038" s="7">
        <f t="shared" si="3"/>
        <v>0.1019803903</v>
      </c>
      <c r="U1038" s="7">
        <f t="shared" si="4"/>
        <v>0</v>
      </c>
      <c r="V1038" s="7">
        <f t="shared" si="5"/>
        <v>0</v>
      </c>
      <c r="W1038" s="7">
        <f t="shared" ref="W1038:X1038" si="2019">IF(AVERAGE(U978:U1037) &gt; 0.25, 1, 0)</f>
        <v>0</v>
      </c>
      <c r="X1038" s="7">
        <f t="shared" si="2019"/>
        <v>0</v>
      </c>
      <c r="Y1038" s="8">
        <v>0.0</v>
      </c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</row>
    <row r="1039" ht="22.5" customHeight="1">
      <c r="B1039" s="6">
        <v>1038.0</v>
      </c>
      <c r="C1039" s="6">
        <v>33287.0</v>
      </c>
      <c r="D1039" s="6">
        <v>0.93</v>
      </c>
      <c r="E1039" s="6">
        <v>9.72</v>
      </c>
      <c r="F1039" s="6">
        <v>2.18</v>
      </c>
      <c r="G1039" s="6">
        <v>-0.09</v>
      </c>
      <c r="H1039" s="6">
        <v>0.0</v>
      </c>
      <c r="I1039" s="6">
        <v>0.02</v>
      </c>
      <c r="J1039" s="6">
        <v>33.31</v>
      </c>
      <c r="K1039" s="7">
        <f t="shared" ref="K1039:P1039" si="2020">abs(D1039-D1038)/200</f>
        <v>0.0001</v>
      </c>
      <c r="L1039" s="7">
        <f t="shared" si="2020"/>
        <v>0.00005</v>
      </c>
      <c r="M1039" s="7">
        <f t="shared" si="2020"/>
        <v>0.00005</v>
      </c>
      <c r="N1039" s="7">
        <f t="shared" si="2020"/>
        <v>0.00005</v>
      </c>
      <c r="O1039" s="7">
        <f t="shared" si="2020"/>
        <v>0</v>
      </c>
      <c r="P1039" s="7">
        <f t="shared" si="2020"/>
        <v>0.0002</v>
      </c>
      <c r="Q1039" s="7">
        <f t="shared" si="7"/>
        <v>0.009784945699</v>
      </c>
      <c r="R1039" s="7">
        <f t="shared" si="8"/>
        <v>0.005705642785</v>
      </c>
      <c r="S1039" s="7">
        <f t="shared" si="2"/>
        <v>0.2047838557</v>
      </c>
      <c r="T1039" s="7">
        <f t="shared" si="3"/>
        <v>0.09219544457</v>
      </c>
      <c r="U1039" s="7">
        <f t="shared" si="4"/>
        <v>0</v>
      </c>
      <c r="V1039" s="7">
        <f t="shared" si="5"/>
        <v>0</v>
      </c>
      <c r="W1039" s="7">
        <f t="shared" ref="W1039:X1039" si="2021">IF(AVERAGE(U979:U1038) &gt; 0.25, 1, 0)</f>
        <v>0</v>
      </c>
      <c r="X1039" s="7">
        <f t="shared" si="2021"/>
        <v>0</v>
      </c>
      <c r="Y1039" s="8">
        <v>0.0</v>
      </c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</row>
    <row r="1040" ht="22.5" customHeight="1">
      <c r="B1040" s="6">
        <v>1039.0</v>
      </c>
      <c r="C1040" s="6">
        <v>33491.0</v>
      </c>
      <c r="D1040" s="6">
        <v>0.86</v>
      </c>
      <c r="E1040" s="6">
        <v>9.73</v>
      </c>
      <c r="F1040" s="6">
        <v>2.21</v>
      </c>
      <c r="G1040" s="6">
        <v>-0.13</v>
      </c>
      <c r="H1040" s="6">
        <v>0.0</v>
      </c>
      <c r="I1040" s="6">
        <v>-0.01</v>
      </c>
      <c r="J1040" s="6">
        <v>33.31</v>
      </c>
      <c r="K1040" s="7">
        <f t="shared" ref="K1040:P1040" si="2022">abs(D1040-D1039)/200</f>
        <v>0.00035</v>
      </c>
      <c r="L1040" s="7">
        <f t="shared" si="2022"/>
        <v>0.00005</v>
      </c>
      <c r="M1040" s="7">
        <f t="shared" si="2022"/>
        <v>0.00015</v>
      </c>
      <c r="N1040" s="7">
        <f t="shared" si="2022"/>
        <v>0.0002</v>
      </c>
      <c r="O1040" s="7">
        <f t="shared" si="2022"/>
        <v>0</v>
      </c>
      <c r="P1040" s="7">
        <f t="shared" si="2022"/>
        <v>0.00015</v>
      </c>
      <c r="Q1040" s="7">
        <f t="shared" si="7"/>
        <v>0.03818860353</v>
      </c>
      <c r="R1040" s="7">
        <f t="shared" si="8"/>
        <v>0.0100351641</v>
      </c>
      <c r="S1040" s="7">
        <f t="shared" si="2"/>
        <v>0.2148190198</v>
      </c>
      <c r="T1040" s="7">
        <f t="shared" si="3"/>
        <v>0.1303840481</v>
      </c>
      <c r="U1040" s="7">
        <f t="shared" si="4"/>
        <v>1</v>
      </c>
      <c r="V1040" s="7">
        <f t="shared" si="5"/>
        <v>0</v>
      </c>
      <c r="W1040" s="7">
        <f t="shared" ref="W1040:X1040" si="2023">IF(AVERAGE(U980:U1039) &gt; 0.25, 1, 0)</f>
        <v>0</v>
      </c>
      <c r="X1040" s="7">
        <f t="shared" si="2023"/>
        <v>0</v>
      </c>
      <c r="Y1040" s="8">
        <v>0.0</v>
      </c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</row>
    <row r="1041" ht="22.5" customHeight="1">
      <c r="B1041" s="6">
        <v>1040.0</v>
      </c>
      <c r="C1041" s="6">
        <v>33695.0</v>
      </c>
      <c r="D1041" s="6">
        <v>0.94</v>
      </c>
      <c r="E1041" s="6">
        <v>9.68</v>
      </c>
      <c r="F1041" s="6">
        <v>2.25</v>
      </c>
      <c r="G1041" s="6">
        <v>-0.05</v>
      </c>
      <c r="H1041" s="6">
        <v>0.0</v>
      </c>
      <c r="I1041" s="6">
        <v>0.01</v>
      </c>
      <c r="J1041" s="6">
        <v>33.31</v>
      </c>
      <c r="K1041" s="7">
        <f t="shared" ref="K1041:P1041" si="2024">abs(D1041-D1040)/200</f>
        <v>0.0004</v>
      </c>
      <c r="L1041" s="7">
        <f t="shared" si="2024"/>
        <v>0.00025</v>
      </c>
      <c r="M1041" s="7">
        <f t="shared" si="2024"/>
        <v>0.0002</v>
      </c>
      <c r="N1041" s="7">
        <f t="shared" si="2024"/>
        <v>0.0004</v>
      </c>
      <c r="O1041" s="7">
        <f t="shared" si="2024"/>
        <v>0</v>
      </c>
      <c r="P1041" s="7">
        <f t="shared" si="2024"/>
        <v>0.0001</v>
      </c>
      <c r="Q1041" s="7">
        <f t="shared" si="7"/>
        <v>0.07939385297</v>
      </c>
      <c r="R1041" s="7">
        <f t="shared" si="8"/>
        <v>0.03240949107</v>
      </c>
      <c r="S1041" s="7">
        <f t="shared" si="2"/>
        <v>0.1824095288</v>
      </c>
      <c r="T1041" s="7">
        <f t="shared" si="3"/>
        <v>0.05099019514</v>
      </c>
      <c r="U1041" s="7">
        <f t="shared" si="4"/>
        <v>1</v>
      </c>
      <c r="V1041" s="7">
        <f t="shared" si="5"/>
        <v>1</v>
      </c>
      <c r="W1041" s="7">
        <f t="shared" ref="W1041:X1041" si="2025">IF(AVERAGE(U981:U1040) &gt; 0.25, 1, 0)</f>
        <v>0</v>
      </c>
      <c r="X1041" s="7">
        <f t="shared" si="2025"/>
        <v>0</v>
      </c>
      <c r="Y1041" s="8">
        <v>0.0</v>
      </c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</row>
    <row r="1042" ht="22.5" customHeight="1">
      <c r="B1042" s="6">
        <v>1041.0</v>
      </c>
      <c r="C1042" s="6">
        <v>33899.0</v>
      </c>
      <c r="D1042" s="6">
        <v>0.95</v>
      </c>
      <c r="E1042" s="6">
        <v>9.72</v>
      </c>
      <c r="F1042" s="6">
        <v>2.21</v>
      </c>
      <c r="G1042" s="6">
        <v>-0.09</v>
      </c>
      <c r="H1042" s="6">
        <v>0.0</v>
      </c>
      <c r="I1042" s="6">
        <v>-0.02</v>
      </c>
      <c r="J1042" s="6">
        <v>33.31</v>
      </c>
      <c r="K1042" s="7">
        <f t="shared" ref="K1042:P1042" si="2026">abs(D1042-D1041)/200</f>
        <v>0.00005</v>
      </c>
      <c r="L1042" s="7">
        <f t="shared" si="2026"/>
        <v>0.0002</v>
      </c>
      <c r="M1042" s="7">
        <f t="shared" si="2026"/>
        <v>0.0002</v>
      </c>
      <c r="N1042" s="7">
        <f t="shared" si="2026"/>
        <v>0.0002</v>
      </c>
      <c r="O1042" s="7">
        <f t="shared" si="2026"/>
        <v>0</v>
      </c>
      <c r="P1042" s="7">
        <f t="shared" si="2026"/>
        <v>0.00015</v>
      </c>
      <c r="Q1042" s="7">
        <f t="shared" si="7"/>
        <v>0.04120524944</v>
      </c>
      <c r="R1042" s="7">
        <f t="shared" si="8"/>
        <v>0.03083170472</v>
      </c>
      <c r="S1042" s="7">
        <f t="shared" si="2"/>
        <v>0.2132412335</v>
      </c>
      <c r="T1042" s="7">
        <f t="shared" si="3"/>
        <v>0.09219544457</v>
      </c>
      <c r="U1042" s="7">
        <f t="shared" si="4"/>
        <v>0</v>
      </c>
      <c r="V1042" s="7">
        <f t="shared" si="5"/>
        <v>0</v>
      </c>
      <c r="W1042" s="7">
        <f t="shared" ref="W1042:X1042" si="2027">IF(AVERAGE(U982:U1041) &gt; 0.25, 1, 0)</f>
        <v>0</v>
      </c>
      <c r="X1042" s="7">
        <f t="shared" si="2027"/>
        <v>0</v>
      </c>
      <c r="Y1042" s="8">
        <v>0.0</v>
      </c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</row>
    <row r="1043" ht="22.5" customHeight="1">
      <c r="B1043" s="6">
        <v>1042.0</v>
      </c>
      <c r="C1043" s="6">
        <v>34103.0</v>
      </c>
      <c r="D1043" s="6">
        <v>0.87</v>
      </c>
      <c r="E1043" s="6">
        <v>9.73</v>
      </c>
      <c r="F1043" s="6">
        <v>2.22</v>
      </c>
      <c r="G1043" s="6">
        <v>-0.11</v>
      </c>
      <c r="H1043" s="6">
        <v>0.0</v>
      </c>
      <c r="I1043" s="6">
        <v>-0.03</v>
      </c>
      <c r="J1043" s="6">
        <v>33.31</v>
      </c>
      <c r="K1043" s="7">
        <f t="shared" ref="K1043:P1043" si="2028">abs(D1043-D1042)/200</f>
        <v>0.0004</v>
      </c>
      <c r="L1043" s="7">
        <f t="shared" si="2028"/>
        <v>0.00005</v>
      </c>
      <c r="M1043" s="7">
        <f t="shared" si="2028"/>
        <v>0.00005</v>
      </c>
      <c r="N1043" s="7">
        <f t="shared" si="2028"/>
        <v>0.0001</v>
      </c>
      <c r="O1043" s="7">
        <f t="shared" si="2028"/>
        <v>0</v>
      </c>
      <c r="P1043" s="7">
        <f t="shared" si="2028"/>
        <v>0.00005</v>
      </c>
      <c r="Q1043" s="7">
        <f t="shared" si="7"/>
        <v>0.02182209794</v>
      </c>
      <c r="R1043" s="7">
        <f t="shared" si="8"/>
        <v>0.004652756769</v>
      </c>
      <c r="S1043" s="7">
        <f t="shared" si="2"/>
        <v>0.2178939903</v>
      </c>
      <c r="T1043" s="7">
        <f t="shared" si="3"/>
        <v>0.1140175425</v>
      </c>
      <c r="U1043" s="7">
        <f t="shared" si="4"/>
        <v>1</v>
      </c>
      <c r="V1043" s="7">
        <f t="shared" si="5"/>
        <v>0</v>
      </c>
      <c r="W1043" s="7">
        <f t="shared" ref="W1043:X1043" si="2029">IF(AVERAGE(U983:U1042) &gt; 0.25, 1, 0)</f>
        <v>0</v>
      </c>
      <c r="X1043" s="7">
        <f t="shared" si="2029"/>
        <v>0</v>
      </c>
      <c r="Y1043" s="8">
        <v>0.0</v>
      </c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</row>
    <row r="1044" ht="22.5" customHeight="1">
      <c r="B1044" s="6">
        <v>1043.0</v>
      </c>
      <c r="C1044" s="6">
        <v>34307.0</v>
      </c>
      <c r="D1044" s="6">
        <v>0.92</v>
      </c>
      <c r="E1044" s="6">
        <v>9.7</v>
      </c>
      <c r="F1044" s="6">
        <v>2.22</v>
      </c>
      <c r="G1044" s="6">
        <v>-0.1</v>
      </c>
      <c r="H1044" s="6">
        <v>0.0</v>
      </c>
      <c r="I1044" s="6">
        <v>-0.02</v>
      </c>
      <c r="J1044" s="6">
        <v>33.31</v>
      </c>
      <c r="K1044" s="7">
        <f t="shared" ref="K1044:P1044" si="2030">abs(D1044-D1043)/200</f>
        <v>0.00025</v>
      </c>
      <c r="L1044" s="7">
        <f t="shared" si="2030"/>
        <v>0.00015</v>
      </c>
      <c r="M1044" s="7">
        <f t="shared" si="2030"/>
        <v>0</v>
      </c>
      <c r="N1044" s="7">
        <f t="shared" si="2030"/>
        <v>0.00005</v>
      </c>
      <c r="O1044" s="7">
        <f t="shared" si="2030"/>
        <v>0</v>
      </c>
      <c r="P1044" s="7">
        <f t="shared" si="2030"/>
        <v>0.00005</v>
      </c>
      <c r="Q1044" s="7">
        <f t="shared" si="7"/>
        <v>0.01203715224</v>
      </c>
      <c r="R1044" s="7">
        <f t="shared" si="8"/>
        <v>0.02465627668</v>
      </c>
      <c r="S1044" s="7">
        <f t="shared" si="2"/>
        <v>0.1932377136</v>
      </c>
      <c r="T1044" s="7">
        <f t="shared" si="3"/>
        <v>0.1019803903</v>
      </c>
      <c r="U1044" s="7">
        <f t="shared" si="4"/>
        <v>0</v>
      </c>
      <c r="V1044" s="7">
        <f t="shared" si="5"/>
        <v>0</v>
      </c>
      <c r="W1044" s="7">
        <f t="shared" ref="W1044:X1044" si="2031">IF(AVERAGE(U984:U1043) &gt; 0.25, 1, 0)</f>
        <v>0</v>
      </c>
      <c r="X1044" s="7">
        <f t="shared" si="2031"/>
        <v>0</v>
      </c>
      <c r="Y1044" s="8">
        <v>0.0</v>
      </c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</row>
    <row r="1045" ht="22.5" customHeight="1">
      <c r="B1045" s="6">
        <v>1044.0</v>
      </c>
      <c r="C1045" s="6">
        <v>34511.0</v>
      </c>
      <c r="D1045" s="6">
        <v>0.86</v>
      </c>
      <c r="E1045" s="6">
        <v>9.73</v>
      </c>
      <c r="F1045" s="6">
        <v>2.26</v>
      </c>
      <c r="G1045" s="6">
        <v>-0.09</v>
      </c>
      <c r="H1045" s="6">
        <v>0.0</v>
      </c>
      <c r="I1045" s="6">
        <v>-0.01</v>
      </c>
      <c r="J1045" s="6">
        <v>33.3</v>
      </c>
      <c r="K1045" s="7">
        <f t="shared" ref="K1045:P1045" si="2032">abs(D1045-D1044)/200</f>
        <v>0.0003</v>
      </c>
      <c r="L1045" s="7">
        <f t="shared" si="2032"/>
        <v>0.00015</v>
      </c>
      <c r="M1045" s="7">
        <f t="shared" si="2032"/>
        <v>0.0002</v>
      </c>
      <c r="N1045" s="7">
        <f t="shared" si="2032"/>
        <v>0.00005</v>
      </c>
      <c r="O1045" s="7">
        <f t="shared" si="2032"/>
        <v>0</v>
      </c>
      <c r="P1045" s="7">
        <f t="shared" si="2032"/>
        <v>0.00005</v>
      </c>
      <c r="Q1045" s="7">
        <f t="shared" si="7"/>
        <v>0.01142653889</v>
      </c>
      <c r="R1045" s="7">
        <f t="shared" si="8"/>
        <v>0.03273356107</v>
      </c>
      <c r="S1045" s="7">
        <f t="shared" si="2"/>
        <v>0.2259712746</v>
      </c>
      <c r="T1045" s="7">
        <f t="shared" si="3"/>
        <v>0.09055385138</v>
      </c>
      <c r="U1045" s="7">
        <f t="shared" si="4"/>
        <v>0</v>
      </c>
      <c r="V1045" s="7">
        <f t="shared" si="5"/>
        <v>0</v>
      </c>
      <c r="W1045" s="7">
        <f t="shared" ref="W1045:X1045" si="2033">IF(AVERAGE(U985:U1044) &gt; 0.25, 1, 0)</f>
        <v>0</v>
      </c>
      <c r="X1045" s="7">
        <f t="shared" si="2033"/>
        <v>0</v>
      </c>
      <c r="Y1045" s="8">
        <v>0.0</v>
      </c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</row>
    <row r="1046" ht="22.5" customHeight="1">
      <c r="B1046" s="6">
        <v>1045.0</v>
      </c>
      <c r="C1046" s="6">
        <v>34715.0</v>
      </c>
      <c r="D1046" s="6">
        <v>0.84</v>
      </c>
      <c r="E1046" s="6">
        <v>9.76</v>
      </c>
      <c r="F1046" s="6">
        <v>2.19</v>
      </c>
      <c r="G1046" s="6">
        <v>-0.08</v>
      </c>
      <c r="H1046" s="6">
        <v>0.0</v>
      </c>
      <c r="I1046" s="6">
        <v>0.0</v>
      </c>
      <c r="J1046" s="6">
        <v>33.31</v>
      </c>
      <c r="K1046" s="7">
        <f t="shared" ref="K1046:P1046" si="2034">abs(D1046-D1045)/200</f>
        <v>0.0001</v>
      </c>
      <c r="L1046" s="7">
        <f t="shared" si="2034"/>
        <v>0.00015</v>
      </c>
      <c r="M1046" s="7">
        <f t="shared" si="2034"/>
        <v>0.00035</v>
      </c>
      <c r="N1046" s="7">
        <f t="shared" si="2034"/>
        <v>0.00005</v>
      </c>
      <c r="O1046" s="7">
        <f t="shared" si="2034"/>
        <v>0</v>
      </c>
      <c r="P1046" s="7">
        <f t="shared" si="2034"/>
        <v>0.00005</v>
      </c>
      <c r="Q1046" s="7">
        <f t="shared" si="7"/>
        <v>0.01055385138</v>
      </c>
      <c r="R1046" s="7">
        <f t="shared" si="8"/>
        <v>0.01192193061</v>
      </c>
      <c r="S1046" s="7">
        <f t="shared" si="2"/>
        <v>0.2378932052</v>
      </c>
      <c r="T1046" s="7">
        <f t="shared" si="3"/>
        <v>0.08</v>
      </c>
      <c r="U1046" s="7">
        <f t="shared" si="4"/>
        <v>1</v>
      </c>
      <c r="V1046" s="7">
        <f t="shared" si="5"/>
        <v>0</v>
      </c>
      <c r="W1046" s="7">
        <f t="shared" ref="W1046:X1046" si="2035">IF(AVERAGE(U986:U1045) &gt; 0.25, 1, 0)</f>
        <v>0</v>
      </c>
      <c r="X1046" s="7">
        <f t="shared" si="2035"/>
        <v>0</v>
      </c>
      <c r="Y1046" s="8">
        <v>0.0</v>
      </c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</row>
    <row r="1047" ht="22.5" customHeight="1">
      <c r="B1047" s="6">
        <v>1046.0</v>
      </c>
      <c r="C1047" s="6">
        <v>34919.0</v>
      </c>
      <c r="D1047" s="6">
        <v>0.9</v>
      </c>
      <c r="E1047" s="6">
        <v>9.72</v>
      </c>
      <c r="F1047" s="6">
        <v>2.18</v>
      </c>
      <c r="G1047" s="6">
        <v>-0.11</v>
      </c>
      <c r="H1047" s="6">
        <v>0.0</v>
      </c>
      <c r="I1047" s="6">
        <v>-0.03</v>
      </c>
      <c r="J1047" s="6">
        <v>33.3</v>
      </c>
      <c r="K1047" s="7">
        <f t="shared" ref="K1047:P1047" si="2036">abs(D1047-D1046)/200</f>
        <v>0.0003</v>
      </c>
      <c r="L1047" s="7">
        <f t="shared" si="2036"/>
        <v>0.0002</v>
      </c>
      <c r="M1047" s="7">
        <f t="shared" si="2036"/>
        <v>0.00005</v>
      </c>
      <c r="N1047" s="7">
        <f t="shared" si="2036"/>
        <v>0.00015</v>
      </c>
      <c r="O1047" s="7">
        <f t="shared" si="2036"/>
        <v>0</v>
      </c>
      <c r="P1047" s="7">
        <f t="shared" si="2036"/>
        <v>0.00015</v>
      </c>
      <c r="Q1047" s="7">
        <f t="shared" si="7"/>
        <v>0.03401754251</v>
      </c>
      <c r="R1047" s="7">
        <f t="shared" si="8"/>
        <v>0.03585341329</v>
      </c>
      <c r="S1047" s="7">
        <f t="shared" si="2"/>
        <v>0.202039792</v>
      </c>
      <c r="T1047" s="7">
        <f t="shared" si="3"/>
        <v>0.1140175425</v>
      </c>
      <c r="U1047" s="7">
        <f t="shared" si="4"/>
        <v>0</v>
      </c>
      <c r="V1047" s="7">
        <f t="shared" si="5"/>
        <v>0</v>
      </c>
      <c r="W1047" s="7">
        <f t="shared" ref="W1047:X1047" si="2037">IF(AVERAGE(U987:U1046) &gt; 0.25, 1, 0)</f>
        <v>0</v>
      </c>
      <c r="X1047" s="7">
        <f t="shared" si="2037"/>
        <v>0</v>
      </c>
      <c r="Y1047" s="8">
        <v>0.0</v>
      </c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</row>
    <row r="1048" ht="22.5" customHeight="1">
      <c r="B1048" s="6">
        <v>1047.0</v>
      </c>
      <c r="C1048" s="6">
        <v>35123.0</v>
      </c>
      <c r="D1048" s="6">
        <v>0.9</v>
      </c>
      <c r="E1048" s="6">
        <v>9.7</v>
      </c>
      <c r="F1048" s="6">
        <v>2.2</v>
      </c>
      <c r="G1048" s="6">
        <v>-0.11</v>
      </c>
      <c r="H1048" s="6">
        <v>0.0</v>
      </c>
      <c r="I1048" s="6">
        <v>-0.03</v>
      </c>
      <c r="J1048" s="6">
        <v>33.31</v>
      </c>
      <c r="K1048" s="7">
        <f t="shared" ref="K1048:P1048" si="2038">abs(D1048-D1047)/200</f>
        <v>0</v>
      </c>
      <c r="L1048" s="7">
        <f t="shared" si="2038"/>
        <v>0.0001</v>
      </c>
      <c r="M1048" s="7">
        <f t="shared" si="2038"/>
        <v>0.0001</v>
      </c>
      <c r="N1048" s="7">
        <f t="shared" si="2038"/>
        <v>0</v>
      </c>
      <c r="O1048" s="7">
        <f t="shared" si="2038"/>
        <v>0</v>
      </c>
      <c r="P1048" s="7">
        <f t="shared" si="2038"/>
        <v>0</v>
      </c>
      <c r="Q1048" s="7">
        <f t="shared" si="7"/>
        <v>0</v>
      </c>
      <c r="R1048" s="7">
        <f t="shared" si="8"/>
        <v>0.01504825297</v>
      </c>
      <c r="S1048" s="7">
        <f t="shared" si="2"/>
        <v>0.186991539</v>
      </c>
      <c r="T1048" s="7">
        <f t="shared" si="3"/>
        <v>0.1140175425</v>
      </c>
      <c r="U1048" s="7">
        <f t="shared" si="4"/>
        <v>0</v>
      </c>
      <c r="V1048" s="7">
        <f t="shared" si="5"/>
        <v>0</v>
      </c>
      <c r="W1048" s="7">
        <f t="shared" ref="W1048:X1048" si="2039">IF(AVERAGE(U988:U1047) &gt; 0.25, 1, 0)</f>
        <v>0</v>
      </c>
      <c r="X1048" s="7">
        <f t="shared" si="2039"/>
        <v>0</v>
      </c>
      <c r="Y1048" s="8">
        <v>0.0</v>
      </c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</row>
    <row r="1049" ht="22.5" customHeight="1">
      <c r="B1049" s="6">
        <v>1048.0</v>
      </c>
      <c r="C1049" s="6">
        <v>35327.0</v>
      </c>
      <c r="D1049" s="6">
        <v>0.85</v>
      </c>
      <c r="E1049" s="6">
        <v>9.73</v>
      </c>
      <c r="F1049" s="6">
        <v>2.26</v>
      </c>
      <c r="G1049" s="6">
        <v>-0.1</v>
      </c>
      <c r="H1049" s="6">
        <v>0.0</v>
      </c>
      <c r="I1049" s="6">
        <v>0.01</v>
      </c>
      <c r="J1049" s="6">
        <v>33.31</v>
      </c>
      <c r="K1049" s="7">
        <f t="shared" ref="K1049:P1049" si="2040">abs(D1049-D1048)/200</f>
        <v>0.00025</v>
      </c>
      <c r="L1049" s="7">
        <f t="shared" si="2040"/>
        <v>0.00015</v>
      </c>
      <c r="M1049" s="7">
        <f t="shared" si="2040"/>
        <v>0.0003</v>
      </c>
      <c r="N1049" s="7">
        <f t="shared" si="2040"/>
        <v>0.00005</v>
      </c>
      <c r="O1049" s="7">
        <f t="shared" si="2040"/>
        <v>0</v>
      </c>
      <c r="P1049" s="7">
        <f t="shared" si="2040"/>
        <v>0.0002</v>
      </c>
      <c r="Q1049" s="7">
        <f t="shared" si="7"/>
        <v>0.0135187863</v>
      </c>
      <c r="R1049" s="7">
        <f t="shared" si="8"/>
        <v>0.03812691417</v>
      </c>
      <c r="S1049" s="7">
        <f t="shared" si="2"/>
        <v>0.2251184532</v>
      </c>
      <c r="T1049" s="7">
        <f t="shared" si="3"/>
        <v>0.1004987562</v>
      </c>
      <c r="U1049" s="7">
        <f t="shared" si="4"/>
        <v>0</v>
      </c>
      <c r="V1049" s="7">
        <f t="shared" si="5"/>
        <v>0</v>
      </c>
      <c r="W1049" s="7">
        <f t="shared" ref="W1049:X1049" si="2041">IF(AVERAGE(U989:U1048) &gt; 0.25, 1, 0)</f>
        <v>0</v>
      </c>
      <c r="X1049" s="7">
        <f t="shared" si="2041"/>
        <v>0</v>
      </c>
      <c r="Y1049" s="8">
        <v>0.0</v>
      </c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</row>
    <row r="1050" ht="22.5" customHeight="1">
      <c r="B1050" s="6">
        <v>1049.0</v>
      </c>
      <c r="C1050" s="6">
        <v>35531.0</v>
      </c>
      <c r="D1050" s="6">
        <v>0.85</v>
      </c>
      <c r="E1050" s="6">
        <v>9.73</v>
      </c>
      <c r="F1050" s="6">
        <v>2.24</v>
      </c>
      <c r="G1050" s="6">
        <v>-0.08</v>
      </c>
      <c r="H1050" s="6">
        <v>0.0</v>
      </c>
      <c r="I1050" s="6">
        <v>0.0</v>
      </c>
      <c r="J1050" s="6">
        <v>33.32</v>
      </c>
      <c r="K1050" s="7">
        <f t="shared" ref="K1050:P1050" si="2042">abs(D1050-D1049)/200</f>
        <v>0</v>
      </c>
      <c r="L1050" s="7">
        <f t="shared" si="2042"/>
        <v>0</v>
      </c>
      <c r="M1050" s="7">
        <f t="shared" si="2042"/>
        <v>0.0001</v>
      </c>
      <c r="N1050" s="7">
        <f t="shared" si="2042"/>
        <v>0.0001</v>
      </c>
      <c r="O1050" s="7">
        <f t="shared" si="2042"/>
        <v>0</v>
      </c>
      <c r="P1050" s="7">
        <f t="shared" si="2042"/>
        <v>0.00005</v>
      </c>
      <c r="Q1050" s="7">
        <f t="shared" si="7"/>
        <v>0.02049875621</v>
      </c>
      <c r="R1050" s="7">
        <f t="shared" si="8"/>
        <v>0.004489730376</v>
      </c>
      <c r="S1050" s="7">
        <f t="shared" si="2"/>
        <v>0.2206287228</v>
      </c>
      <c r="T1050" s="7">
        <f t="shared" si="3"/>
        <v>0.08</v>
      </c>
      <c r="U1050" s="7">
        <f t="shared" si="4"/>
        <v>0</v>
      </c>
      <c r="V1050" s="7">
        <f t="shared" si="5"/>
        <v>0</v>
      </c>
      <c r="W1050" s="7">
        <f t="shared" ref="W1050:X1050" si="2043">IF(AVERAGE(U990:U1049) &gt; 0.25, 1, 0)</f>
        <v>0</v>
      </c>
      <c r="X1050" s="7">
        <f t="shared" si="2043"/>
        <v>0</v>
      </c>
      <c r="Y1050" s="8">
        <v>0.0</v>
      </c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</row>
    <row r="1051" ht="22.5" customHeight="1">
      <c r="B1051" s="6">
        <v>1050.0</v>
      </c>
      <c r="C1051" s="6">
        <v>35735.0</v>
      </c>
      <c r="D1051" s="6">
        <v>0.89</v>
      </c>
      <c r="E1051" s="6">
        <v>9.71</v>
      </c>
      <c r="F1051" s="6">
        <v>2.22</v>
      </c>
      <c r="G1051" s="6">
        <v>-0.09</v>
      </c>
      <c r="H1051" s="6">
        <v>0.0</v>
      </c>
      <c r="I1051" s="6">
        <v>-0.01</v>
      </c>
      <c r="J1051" s="6">
        <v>33.32</v>
      </c>
      <c r="K1051" s="7">
        <f t="shared" ref="K1051:P1051" si="2044">abs(D1051-D1050)/200</f>
        <v>0.0002</v>
      </c>
      <c r="L1051" s="7">
        <f t="shared" si="2044"/>
        <v>0.0001</v>
      </c>
      <c r="M1051" s="7">
        <f t="shared" si="2044"/>
        <v>0.0001</v>
      </c>
      <c r="N1051" s="7">
        <f t="shared" si="2044"/>
        <v>0.00005</v>
      </c>
      <c r="O1051" s="7">
        <f t="shared" si="2044"/>
        <v>0</v>
      </c>
      <c r="P1051" s="7">
        <f t="shared" si="2044"/>
        <v>0.00005</v>
      </c>
      <c r="Q1051" s="7">
        <f t="shared" si="7"/>
        <v>0.01055385138</v>
      </c>
      <c r="R1051" s="7">
        <f t="shared" si="8"/>
        <v>0.02039872543</v>
      </c>
      <c r="S1051" s="7">
        <f t="shared" si="2"/>
        <v>0.2002299974</v>
      </c>
      <c r="T1051" s="7">
        <f t="shared" si="3"/>
        <v>0.09055385138</v>
      </c>
      <c r="U1051" s="7">
        <f t="shared" si="4"/>
        <v>0</v>
      </c>
      <c r="V1051" s="7">
        <f t="shared" si="5"/>
        <v>0</v>
      </c>
      <c r="W1051" s="7">
        <f t="shared" ref="W1051:X1051" si="2045">IF(AVERAGE(U991:U1050) &gt; 0.25, 1, 0)</f>
        <v>0</v>
      </c>
      <c r="X1051" s="7">
        <f t="shared" si="2045"/>
        <v>0</v>
      </c>
      <c r="Y1051" s="8">
        <v>0.0</v>
      </c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</row>
    <row r="1052" ht="22.5" customHeight="1">
      <c r="B1052" s="6">
        <v>1051.0</v>
      </c>
      <c r="C1052" s="6">
        <v>35939.0</v>
      </c>
      <c r="D1052" s="6">
        <v>0.85</v>
      </c>
      <c r="E1052" s="6">
        <v>9.73</v>
      </c>
      <c r="F1052" s="6">
        <v>2.22</v>
      </c>
      <c r="G1052" s="6">
        <v>-0.1</v>
      </c>
      <c r="H1052" s="6">
        <v>0.0</v>
      </c>
      <c r="I1052" s="6">
        <v>-0.02</v>
      </c>
      <c r="J1052" s="6">
        <v>33.32</v>
      </c>
      <c r="K1052" s="7">
        <f t="shared" ref="K1052:P1052" si="2046">abs(D1052-D1051)/200</f>
        <v>0.0002</v>
      </c>
      <c r="L1052" s="7">
        <f t="shared" si="2046"/>
        <v>0.0001</v>
      </c>
      <c r="M1052" s="7">
        <f t="shared" si="2046"/>
        <v>0</v>
      </c>
      <c r="N1052" s="7">
        <f t="shared" si="2046"/>
        <v>0.00005</v>
      </c>
      <c r="O1052" s="7">
        <f t="shared" si="2046"/>
        <v>0</v>
      </c>
      <c r="P1052" s="7">
        <f t="shared" si="2046"/>
        <v>0.00005</v>
      </c>
      <c r="Q1052" s="7">
        <f t="shared" si="7"/>
        <v>0.01142653889</v>
      </c>
      <c r="R1052" s="7">
        <f t="shared" si="8"/>
        <v>0.01594691802</v>
      </c>
      <c r="S1052" s="7">
        <f t="shared" si="2"/>
        <v>0.2161769154</v>
      </c>
      <c r="T1052" s="7">
        <f t="shared" si="3"/>
        <v>0.1019803903</v>
      </c>
      <c r="U1052" s="7">
        <f t="shared" si="4"/>
        <v>0</v>
      </c>
      <c r="V1052" s="7">
        <f t="shared" si="5"/>
        <v>0</v>
      </c>
      <c r="W1052" s="7">
        <f t="shared" ref="W1052:X1052" si="2047">IF(AVERAGE(U992:U1051) &gt; 0.25, 1, 0)</f>
        <v>0</v>
      </c>
      <c r="X1052" s="7">
        <f t="shared" si="2047"/>
        <v>0</v>
      </c>
      <c r="Y1052" s="8">
        <v>0.0</v>
      </c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</row>
    <row r="1053" ht="22.5" customHeight="1">
      <c r="B1053" s="6">
        <v>1052.0</v>
      </c>
      <c r="C1053" s="6">
        <v>36143.0</v>
      </c>
      <c r="D1053" s="6">
        <v>0.85</v>
      </c>
      <c r="E1053" s="6">
        <v>9.73</v>
      </c>
      <c r="F1053" s="6">
        <v>2.23</v>
      </c>
      <c r="G1053" s="6">
        <v>-0.09</v>
      </c>
      <c r="H1053" s="6">
        <v>0.0</v>
      </c>
      <c r="I1053" s="6">
        <v>-0.01</v>
      </c>
      <c r="J1053" s="6">
        <v>33.32</v>
      </c>
      <c r="K1053" s="7">
        <f t="shared" ref="K1053:P1053" si="2048">abs(D1053-D1052)/200</f>
        <v>0</v>
      </c>
      <c r="L1053" s="7">
        <f t="shared" si="2048"/>
        <v>0</v>
      </c>
      <c r="M1053" s="7">
        <f t="shared" si="2048"/>
        <v>0.00005</v>
      </c>
      <c r="N1053" s="7">
        <f t="shared" si="2048"/>
        <v>0.00005</v>
      </c>
      <c r="O1053" s="7">
        <f t="shared" si="2048"/>
        <v>0</v>
      </c>
      <c r="P1053" s="7">
        <f t="shared" si="2048"/>
        <v>0.00005</v>
      </c>
      <c r="Q1053" s="7">
        <f t="shared" si="7"/>
        <v>0.01142653889</v>
      </c>
      <c r="R1053" s="7">
        <f t="shared" si="8"/>
        <v>0.00222116017</v>
      </c>
      <c r="S1053" s="7">
        <f t="shared" si="2"/>
        <v>0.2183980755</v>
      </c>
      <c r="T1053" s="7">
        <f t="shared" si="3"/>
        <v>0.09055385138</v>
      </c>
      <c r="U1053" s="7">
        <f t="shared" si="4"/>
        <v>0</v>
      </c>
      <c r="V1053" s="7">
        <f t="shared" si="5"/>
        <v>0</v>
      </c>
      <c r="W1053" s="7">
        <f t="shared" ref="W1053:X1053" si="2049">IF(AVERAGE(U993:U1052) &gt; 0.25, 1, 0)</f>
        <v>0</v>
      </c>
      <c r="X1053" s="7">
        <f t="shared" si="2049"/>
        <v>0</v>
      </c>
      <c r="Y1053" s="8">
        <v>0.0</v>
      </c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</row>
    <row r="1054" ht="22.5" customHeight="1">
      <c r="B1054" s="6">
        <v>1053.0</v>
      </c>
      <c r="C1054" s="6">
        <v>36347.0</v>
      </c>
      <c r="D1054" s="6">
        <v>0.85</v>
      </c>
      <c r="E1054" s="6">
        <v>9.73</v>
      </c>
      <c r="F1054" s="6">
        <v>2.21</v>
      </c>
      <c r="G1054" s="6">
        <v>-0.1</v>
      </c>
      <c r="H1054" s="6">
        <v>0.0</v>
      </c>
      <c r="I1054" s="6">
        <v>-0.01</v>
      </c>
      <c r="J1054" s="6">
        <v>33.31</v>
      </c>
      <c r="K1054" s="7">
        <f t="shared" ref="K1054:P1054" si="2050">abs(D1054-D1053)/200</f>
        <v>0</v>
      </c>
      <c r="L1054" s="7">
        <f t="shared" si="2050"/>
        <v>0</v>
      </c>
      <c r="M1054" s="7">
        <f t="shared" si="2050"/>
        <v>0.0001</v>
      </c>
      <c r="N1054" s="7">
        <f t="shared" si="2050"/>
        <v>0.00005</v>
      </c>
      <c r="O1054" s="7">
        <f t="shared" si="2050"/>
        <v>0</v>
      </c>
      <c r="P1054" s="7">
        <f t="shared" si="2050"/>
        <v>0</v>
      </c>
      <c r="Q1054" s="7">
        <f t="shared" si="7"/>
        <v>0.00994490483</v>
      </c>
      <c r="R1054" s="7">
        <f t="shared" si="8"/>
        <v>0.004432826949</v>
      </c>
      <c r="S1054" s="7">
        <f t="shared" si="2"/>
        <v>0.2139652486</v>
      </c>
      <c r="T1054" s="7">
        <f t="shared" si="3"/>
        <v>0.1004987562</v>
      </c>
      <c r="U1054" s="7">
        <f t="shared" si="4"/>
        <v>0</v>
      </c>
      <c r="V1054" s="7">
        <f t="shared" si="5"/>
        <v>0</v>
      </c>
      <c r="W1054" s="7">
        <f t="shared" ref="W1054:X1054" si="2051">IF(AVERAGE(U994:U1053) &gt; 0.25, 1, 0)</f>
        <v>0</v>
      </c>
      <c r="X1054" s="7">
        <f t="shared" si="2051"/>
        <v>0</v>
      </c>
      <c r="Y1054" s="8">
        <v>0.0</v>
      </c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</row>
    <row r="1055" ht="22.5" customHeight="1">
      <c r="B1055" s="6">
        <v>1054.0</v>
      </c>
      <c r="C1055" s="6">
        <v>36551.0</v>
      </c>
      <c r="D1055" s="6">
        <v>0.83</v>
      </c>
      <c r="E1055" s="6">
        <v>9.73</v>
      </c>
      <c r="F1055" s="6">
        <v>2.18</v>
      </c>
      <c r="G1055" s="6">
        <v>-0.09</v>
      </c>
      <c r="H1055" s="6">
        <v>0.0</v>
      </c>
      <c r="I1055" s="6">
        <v>-0.01</v>
      </c>
      <c r="J1055" s="6">
        <v>33.32</v>
      </c>
      <c r="K1055" s="7">
        <f t="shared" ref="K1055:P1055" si="2052">abs(D1055-D1054)/200</f>
        <v>0.0001</v>
      </c>
      <c r="L1055" s="7">
        <f t="shared" si="2052"/>
        <v>0</v>
      </c>
      <c r="M1055" s="7">
        <f t="shared" si="2052"/>
        <v>0.00015</v>
      </c>
      <c r="N1055" s="7">
        <f t="shared" si="2052"/>
        <v>0.00005</v>
      </c>
      <c r="O1055" s="7">
        <f t="shared" si="2052"/>
        <v>0</v>
      </c>
      <c r="P1055" s="7">
        <f t="shared" si="2052"/>
        <v>0</v>
      </c>
      <c r="Q1055" s="7">
        <f t="shared" si="7"/>
        <v>0.00994490483</v>
      </c>
      <c r="R1055" s="7">
        <f t="shared" si="8"/>
        <v>0.008256877866</v>
      </c>
      <c r="S1055" s="7">
        <f t="shared" si="2"/>
        <v>0.2057083707</v>
      </c>
      <c r="T1055" s="7">
        <f t="shared" si="3"/>
        <v>0.09055385138</v>
      </c>
      <c r="U1055" s="7">
        <f t="shared" si="4"/>
        <v>0</v>
      </c>
      <c r="V1055" s="7">
        <f t="shared" si="5"/>
        <v>0</v>
      </c>
      <c r="W1055" s="7">
        <f t="shared" ref="W1055:X1055" si="2053">IF(AVERAGE(U995:U1054) &gt; 0.25, 1, 0)</f>
        <v>0</v>
      </c>
      <c r="X1055" s="7">
        <f t="shared" si="2053"/>
        <v>0</v>
      </c>
      <c r="Y1055" s="8">
        <v>0.0</v>
      </c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</row>
    <row r="1056" ht="22.5" customHeight="1">
      <c r="B1056" s="6">
        <v>1055.0</v>
      </c>
      <c r="C1056" s="6">
        <v>36755.0</v>
      </c>
      <c r="D1056" s="6">
        <v>0.83</v>
      </c>
      <c r="E1056" s="6">
        <v>9.75</v>
      </c>
      <c r="F1056" s="6">
        <v>2.18</v>
      </c>
      <c r="G1056" s="6">
        <v>-0.1</v>
      </c>
      <c r="H1056" s="6">
        <v>0.0</v>
      </c>
      <c r="I1056" s="6">
        <v>-0.01</v>
      </c>
      <c r="J1056" s="6">
        <v>33.32</v>
      </c>
      <c r="K1056" s="7">
        <f t="shared" ref="K1056:P1056" si="2054">abs(D1056-D1055)/200</f>
        <v>0</v>
      </c>
      <c r="L1056" s="7">
        <f t="shared" si="2054"/>
        <v>0.0001</v>
      </c>
      <c r="M1056" s="7">
        <f t="shared" si="2054"/>
        <v>0</v>
      </c>
      <c r="N1056" s="7">
        <f t="shared" si="2054"/>
        <v>0.00005</v>
      </c>
      <c r="O1056" s="7">
        <f t="shared" si="2054"/>
        <v>0</v>
      </c>
      <c r="P1056" s="7">
        <f t="shared" si="2054"/>
        <v>0</v>
      </c>
      <c r="Q1056" s="7">
        <f t="shared" si="7"/>
        <v>0.00994490483</v>
      </c>
      <c r="R1056" s="7">
        <f t="shared" si="8"/>
        <v>0.01944998214</v>
      </c>
      <c r="S1056" s="7">
        <f t="shared" si="2"/>
        <v>0.2251583529</v>
      </c>
      <c r="T1056" s="7">
        <f t="shared" si="3"/>
        <v>0.1004987562</v>
      </c>
      <c r="U1056" s="7">
        <f t="shared" si="4"/>
        <v>0</v>
      </c>
      <c r="V1056" s="7">
        <f t="shared" si="5"/>
        <v>0</v>
      </c>
      <c r="W1056" s="7">
        <f t="shared" ref="W1056:X1056" si="2055">IF(AVERAGE(U996:U1055) &gt; 0.25, 1, 0)</f>
        <v>0</v>
      </c>
      <c r="X1056" s="7">
        <f t="shared" si="2055"/>
        <v>0</v>
      </c>
      <c r="Y1056" s="8">
        <v>0.0</v>
      </c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</row>
    <row r="1057" ht="22.5" customHeight="1">
      <c r="B1057" s="6">
        <v>1056.0</v>
      </c>
      <c r="C1057" s="6">
        <v>36959.0</v>
      </c>
      <c r="D1057" s="6">
        <v>0.89</v>
      </c>
      <c r="E1057" s="6">
        <v>9.72</v>
      </c>
      <c r="F1057" s="6">
        <v>2.18</v>
      </c>
      <c r="G1057" s="6">
        <v>-0.1</v>
      </c>
      <c r="H1057" s="6">
        <v>0.0</v>
      </c>
      <c r="I1057" s="6">
        <v>-0.01</v>
      </c>
      <c r="J1057" s="6">
        <v>33.32</v>
      </c>
      <c r="K1057" s="7">
        <f t="shared" ref="K1057:P1057" si="2056">abs(D1057-D1056)/200</f>
        <v>0.0003</v>
      </c>
      <c r="L1057" s="7">
        <f t="shared" si="2056"/>
        <v>0.00015</v>
      </c>
      <c r="M1057" s="7">
        <f t="shared" si="2056"/>
        <v>0</v>
      </c>
      <c r="N1057" s="7">
        <f t="shared" si="2056"/>
        <v>0</v>
      </c>
      <c r="O1057" s="7">
        <f t="shared" si="2056"/>
        <v>0</v>
      </c>
      <c r="P1057" s="7">
        <f t="shared" si="2056"/>
        <v>0</v>
      </c>
      <c r="Q1057" s="7">
        <f t="shared" si="7"/>
        <v>0</v>
      </c>
      <c r="R1057" s="7">
        <f t="shared" si="8"/>
        <v>0.02401341841</v>
      </c>
      <c r="S1057" s="7">
        <f t="shared" si="2"/>
        <v>0.2011449345</v>
      </c>
      <c r="T1057" s="7">
        <f t="shared" si="3"/>
        <v>0.1004987562</v>
      </c>
      <c r="U1057" s="7">
        <f t="shared" si="4"/>
        <v>0</v>
      </c>
      <c r="V1057" s="7">
        <f t="shared" si="5"/>
        <v>0</v>
      </c>
      <c r="W1057" s="7">
        <f t="shared" ref="W1057:X1057" si="2057">IF(AVERAGE(U997:U1056) &gt; 0.25, 1, 0)</f>
        <v>0</v>
      </c>
      <c r="X1057" s="7">
        <f t="shared" si="2057"/>
        <v>0</v>
      </c>
      <c r="Y1057" s="8">
        <v>0.0</v>
      </c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</row>
    <row r="1058" ht="22.5" customHeight="1">
      <c r="B1058" s="6">
        <v>1057.0</v>
      </c>
      <c r="C1058" s="6">
        <v>37163.0</v>
      </c>
      <c r="D1058" s="6">
        <v>0.88</v>
      </c>
      <c r="E1058" s="6">
        <v>9.71</v>
      </c>
      <c r="F1058" s="6">
        <v>2.19</v>
      </c>
      <c r="G1058" s="6">
        <v>-0.1</v>
      </c>
      <c r="H1058" s="6">
        <v>0.0</v>
      </c>
      <c r="I1058" s="6">
        <v>-0.02</v>
      </c>
      <c r="J1058" s="6">
        <v>33.32</v>
      </c>
      <c r="K1058" s="7">
        <f t="shared" ref="K1058:P1058" si="2058">abs(D1058-D1057)/200</f>
        <v>0.00005</v>
      </c>
      <c r="L1058" s="7">
        <f t="shared" si="2058"/>
        <v>0.00005</v>
      </c>
      <c r="M1058" s="7">
        <f t="shared" si="2058"/>
        <v>0.00005</v>
      </c>
      <c r="N1058" s="7">
        <f t="shared" si="2058"/>
        <v>0</v>
      </c>
      <c r="O1058" s="7">
        <f t="shared" si="2058"/>
        <v>0</v>
      </c>
      <c r="P1058" s="7">
        <f t="shared" si="2058"/>
        <v>0.00005</v>
      </c>
      <c r="Q1058" s="7">
        <f t="shared" si="7"/>
        <v>0.001481634061</v>
      </c>
      <c r="R1058" s="7">
        <f t="shared" si="8"/>
        <v>0.008417579024</v>
      </c>
      <c r="S1058" s="7">
        <f t="shared" si="2"/>
        <v>0.1927273554</v>
      </c>
      <c r="T1058" s="7">
        <f t="shared" si="3"/>
        <v>0.1019803903</v>
      </c>
      <c r="U1058" s="7">
        <f t="shared" si="4"/>
        <v>0</v>
      </c>
      <c r="V1058" s="7">
        <f t="shared" si="5"/>
        <v>0</v>
      </c>
      <c r="W1058" s="7">
        <f t="shared" ref="W1058:X1058" si="2059">IF(AVERAGE(U998:U1057) &gt; 0.25, 1, 0)</f>
        <v>0</v>
      </c>
      <c r="X1058" s="7">
        <f t="shared" si="2059"/>
        <v>0</v>
      </c>
      <c r="Y1058" s="8">
        <v>0.0</v>
      </c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</row>
    <row r="1059" ht="22.5" customHeight="1">
      <c r="B1059" s="6">
        <v>1058.0</v>
      </c>
      <c r="C1059" s="6">
        <v>37367.0</v>
      </c>
      <c r="D1059" s="6">
        <v>0.83</v>
      </c>
      <c r="E1059" s="6">
        <v>9.74</v>
      </c>
      <c r="F1059" s="6">
        <v>2.2</v>
      </c>
      <c r="G1059" s="6">
        <v>-0.1</v>
      </c>
      <c r="H1059" s="6">
        <v>0.0</v>
      </c>
      <c r="I1059" s="6">
        <v>-0.01</v>
      </c>
      <c r="J1059" s="6">
        <v>33.32</v>
      </c>
      <c r="K1059" s="7">
        <f t="shared" ref="K1059:P1059" si="2060">abs(D1059-D1058)/200</f>
        <v>0.00025</v>
      </c>
      <c r="L1059" s="7">
        <f t="shared" si="2060"/>
        <v>0.00015</v>
      </c>
      <c r="M1059" s="7">
        <f t="shared" si="2060"/>
        <v>0.00005</v>
      </c>
      <c r="N1059" s="7">
        <f t="shared" si="2060"/>
        <v>0</v>
      </c>
      <c r="O1059" s="7">
        <f t="shared" si="2060"/>
        <v>0</v>
      </c>
      <c r="P1059" s="7">
        <f t="shared" si="2060"/>
        <v>0.00005</v>
      </c>
      <c r="Q1059" s="7">
        <f t="shared" si="7"/>
        <v>0.001481634061</v>
      </c>
      <c r="R1059" s="7">
        <f t="shared" si="8"/>
        <v>0.0270780319</v>
      </c>
      <c r="S1059" s="7">
        <f t="shared" si="2"/>
        <v>0.2198053873</v>
      </c>
      <c r="T1059" s="7">
        <f t="shared" si="3"/>
        <v>0.1004987562</v>
      </c>
      <c r="U1059" s="7">
        <f t="shared" si="4"/>
        <v>0</v>
      </c>
      <c r="V1059" s="7">
        <f t="shared" si="5"/>
        <v>0</v>
      </c>
      <c r="W1059" s="7">
        <f t="shared" ref="W1059:X1059" si="2061">IF(AVERAGE(U999:U1058) &gt; 0.25, 1, 0)</f>
        <v>0</v>
      </c>
      <c r="X1059" s="7">
        <f t="shared" si="2061"/>
        <v>0</v>
      </c>
      <c r="Y1059" s="8">
        <v>0.0</v>
      </c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</row>
    <row r="1060" ht="22.5" customHeight="1">
      <c r="B1060" s="6">
        <v>1059.0</v>
      </c>
      <c r="C1060" s="6">
        <v>37571.0</v>
      </c>
      <c r="D1060" s="6">
        <v>0.85</v>
      </c>
      <c r="E1060" s="6">
        <v>9.73</v>
      </c>
      <c r="F1060" s="6">
        <v>2.17</v>
      </c>
      <c r="G1060" s="6">
        <v>-0.1</v>
      </c>
      <c r="H1060" s="6">
        <v>0.0</v>
      </c>
      <c r="I1060" s="6">
        <v>-0.01</v>
      </c>
      <c r="J1060" s="6">
        <v>33.33</v>
      </c>
      <c r="K1060" s="7">
        <f t="shared" ref="K1060:P1060" si="2062">abs(D1060-D1059)/200</f>
        <v>0.0001</v>
      </c>
      <c r="L1060" s="7">
        <f t="shared" si="2062"/>
        <v>0.00005</v>
      </c>
      <c r="M1060" s="7">
        <f t="shared" si="2062"/>
        <v>0.00015</v>
      </c>
      <c r="N1060" s="7">
        <f t="shared" si="2062"/>
        <v>0</v>
      </c>
      <c r="O1060" s="7">
        <f t="shared" si="2062"/>
        <v>0</v>
      </c>
      <c r="P1060" s="7">
        <f t="shared" si="2062"/>
        <v>0</v>
      </c>
      <c r="Q1060" s="7">
        <f t="shared" si="7"/>
        <v>0</v>
      </c>
      <c r="R1060" s="7">
        <f t="shared" si="8"/>
        <v>0.01459174643</v>
      </c>
      <c r="S1060" s="7">
        <f t="shared" si="2"/>
        <v>0.2052136409</v>
      </c>
      <c r="T1060" s="7">
        <f t="shared" si="3"/>
        <v>0.1004987562</v>
      </c>
      <c r="U1060" s="7">
        <f t="shared" si="4"/>
        <v>0</v>
      </c>
      <c r="V1060" s="7">
        <f t="shared" si="5"/>
        <v>0</v>
      </c>
      <c r="W1060" s="7">
        <f t="shared" ref="W1060:X1060" si="2063">IF(AVERAGE(U1000:U1059) &gt; 0.25, 1, 0)</f>
        <v>0</v>
      </c>
      <c r="X1060" s="7">
        <f t="shared" si="2063"/>
        <v>0</v>
      </c>
      <c r="Y1060" s="8">
        <v>0.0</v>
      </c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</row>
    <row r="1061" ht="22.5" customHeight="1">
      <c r="B1061" s="6">
        <v>1060.0</v>
      </c>
      <c r="C1061" s="6">
        <v>37775.0</v>
      </c>
      <c r="D1061" s="6">
        <v>0.86</v>
      </c>
      <c r="E1061" s="6">
        <v>9.72</v>
      </c>
      <c r="F1061" s="6">
        <v>2.18</v>
      </c>
      <c r="G1061" s="6">
        <v>-0.09</v>
      </c>
      <c r="H1061" s="6">
        <v>0.0</v>
      </c>
      <c r="I1061" s="6">
        <v>-0.01</v>
      </c>
      <c r="J1061" s="6">
        <v>33.32</v>
      </c>
      <c r="K1061" s="7">
        <f t="shared" ref="K1061:P1061" si="2064">abs(D1061-D1060)/200</f>
        <v>0.00005</v>
      </c>
      <c r="L1061" s="7">
        <f t="shared" si="2064"/>
        <v>0.00005</v>
      </c>
      <c r="M1061" s="7">
        <f t="shared" si="2064"/>
        <v>0.00005</v>
      </c>
      <c r="N1061" s="7">
        <f t="shared" si="2064"/>
        <v>0.00005</v>
      </c>
      <c r="O1061" s="7">
        <f t="shared" si="2064"/>
        <v>0</v>
      </c>
      <c r="P1061" s="7">
        <f t="shared" si="2064"/>
        <v>0</v>
      </c>
      <c r="Q1061" s="7">
        <f t="shared" si="7"/>
        <v>0.00994490483</v>
      </c>
      <c r="R1061" s="7">
        <f t="shared" si="8"/>
        <v>0.006693750434</v>
      </c>
      <c r="S1061" s="7">
        <f t="shared" si="2"/>
        <v>0.1985198905</v>
      </c>
      <c r="T1061" s="7">
        <f t="shared" si="3"/>
        <v>0.09055385138</v>
      </c>
      <c r="U1061" s="7">
        <f t="shared" si="4"/>
        <v>0</v>
      </c>
      <c r="V1061" s="7">
        <f t="shared" si="5"/>
        <v>0</v>
      </c>
      <c r="W1061" s="7">
        <f t="shared" ref="W1061:X1061" si="2065">IF(AVERAGE(U1001:U1060) &gt; 0.25, 1, 0)</f>
        <v>0</v>
      </c>
      <c r="X1061" s="7">
        <f t="shared" si="2065"/>
        <v>0</v>
      </c>
      <c r="Y1061" s="8">
        <v>0.0</v>
      </c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</row>
    <row r="1062" ht="22.5" customHeight="1">
      <c r="B1062" s="6">
        <v>1061.0</v>
      </c>
      <c r="C1062" s="6">
        <v>37979.0</v>
      </c>
      <c r="D1062" s="6">
        <v>0.86</v>
      </c>
      <c r="E1062" s="6">
        <v>9.73</v>
      </c>
      <c r="F1062" s="6">
        <v>2.17</v>
      </c>
      <c r="G1062" s="6">
        <v>-0.1</v>
      </c>
      <c r="H1062" s="6">
        <v>0.0</v>
      </c>
      <c r="I1062" s="6">
        <v>-0.01</v>
      </c>
      <c r="J1062" s="6">
        <v>33.33</v>
      </c>
      <c r="K1062" s="7">
        <f t="shared" ref="K1062:P1062" si="2066">abs(D1062-D1061)/200</f>
        <v>0</v>
      </c>
      <c r="L1062" s="7">
        <f t="shared" si="2066"/>
        <v>0.00005</v>
      </c>
      <c r="M1062" s="7">
        <f t="shared" si="2066"/>
        <v>0.00005</v>
      </c>
      <c r="N1062" s="7">
        <f t="shared" si="2066"/>
        <v>0.00005</v>
      </c>
      <c r="O1062" s="7">
        <f t="shared" si="2066"/>
        <v>0</v>
      </c>
      <c r="P1062" s="7">
        <f t="shared" si="2066"/>
        <v>0</v>
      </c>
      <c r="Q1062" s="7">
        <f t="shared" si="7"/>
        <v>0.00994490483</v>
      </c>
      <c r="R1062" s="7">
        <f t="shared" si="8"/>
        <v>0.007548268409</v>
      </c>
      <c r="S1062" s="7">
        <f t="shared" si="2"/>
        <v>0.2060681589</v>
      </c>
      <c r="T1062" s="7">
        <f t="shared" si="3"/>
        <v>0.1004987562</v>
      </c>
      <c r="U1062" s="7">
        <f t="shared" si="4"/>
        <v>0</v>
      </c>
      <c r="V1062" s="7">
        <f t="shared" si="5"/>
        <v>0</v>
      </c>
      <c r="W1062" s="7">
        <f t="shared" ref="W1062:X1062" si="2067">IF(AVERAGE(U1002:U1061) &gt; 0.25, 1, 0)</f>
        <v>0</v>
      </c>
      <c r="X1062" s="7">
        <f t="shared" si="2067"/>
        <v>0</v>
      </c>
      <c r="Y1062" s="8">
        <v>0.0</v>
      </c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</row>
    <row r="1063" ht="22.5" customHeight="1">
      <c r="B1063" s="6">
        <v>1062.0</v>
      </c>
      <c r="C1063" s="6">
        <v>38183.0</v>
      </c>
      <c r="D1063" s="6">
        <v>0.82</v>
      </c>
      <c r="E1063" s="6">
        <v>9.74</v>
      </c>
      <c r="F1063" s="6">
        <v>2.19</v>
      </c>
      <c r="G1063" s="6">
        <v>-0.11</v>
      </c>
      <c r="H1063" s="6">
        <v>0.0</v>
      </c>
      <c r="I1063" s="6">
        <v>-0.02</v>
      </c>
      <c r="J1063" s="6">
        <v>33.33</v>
      </c>
      <c r="K1063" s="7">
        <f t="shared" ref="K1063:P1063" si="2068">abs(D1063-D1062)/200</f>
        <v>0.0002</v>
      </c>
      <c r="L1063" s="7">
        <f t="shared" si="2068"/>
        <v>0.00005</v>
      </c>
      <c r="M1063" s="7">
        <f t="shared" si="2068"/>
        <v>0.0001</v>
      </c>
      <c r="N1063" s="7">
        <f t="shared" si="2068"/>
        <v>0.00005</v>
      </c>
      <c r="O1063" s="7">
        <f t="shared" si="2068"/>
        <v>0</v>
      </c>
      <c r="P1063" s="7">
        <f t="shared" si="2068"/>
        <v>0.00005</v>
      </c>
      <c r="Q1063" s="7">
        <f t="shared" si="7"/>
        <v>0.01130464266</v>
      </c>
      <c r="R1063" s="7">
        <f t="shared" si="8"/>
        <v>0.01072274441</v>
      </c>
      <c r="S1063" s="7">
        <f t="shared" si="2"/>
        <v>0.2167909033</v>
      </c>
      <c r="T1063" s="7">
        <f t="shared" si="3"/>
        <v>0.1118033989</v>
      </c>
      <c r="U1063" s="7">
        <f t="shared" si="4"/>
        <v>0</v>
      </c>
      <c r="V1063" s="7">
        <f t="shared" si="5"/>
        <v>0</v>
      </c>
      <c r="W1063" s="7">
        <f t="shared" ref="W1063:X1063" si="2069">IF(AVERAGE(U1003:U1062) &gt; 0.25, 1, 0)</f>
        <v>0</v>
      </c>
      <c r="X1063" s="7">
        <f t="shared" si="2069"/>
        <v>0</v>
      </c>
      <c r="Y1063" s="8">
        <v>0.0</v>
      </c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</row>
    <row r="1064" ht="22.5" customHeight="1">
      <c r="B1064" s="6">
        <v>1063.0</v>
      </c>
      <c r="C1064" s="6">
        <v>38387.0</v>
      </c>
      <c r="D1064" s="6">
        <v>0.85</v>
      </c>
      <c r="E1064" s="6">
        <v>9.72</v>
      </c>
      <c r="F1064" s="6">
        <v>2.21</v>
      </c>
      <c r="G1064" s="6">
        <v>-0.11</v>
      </c>
      <c r="H1064" s="6">
        <v>0.0</v>
      </c>
      <c r="I1064" s="6">
        <v>-0.01</v>
      </c>
      <c r="J1064" s="6">
        <v>33.32</v>
      </c>
      <c r="K1064" s="7">
        <f t="shared" ref="K1064:P1064" si="2070">abs(D1064-D1063)/200</f>
        <v>0.00015</v>
      </c>
      <c r="L1064" s="7">
        <f t="shared" si="2070"/>
        <v>0.0001</v>
      </c>
      <c r="M1064" s="7">
        <f t="shared" si="2070"/>
        <v>0.0001</v>
      </c>
      <c r="N1064" s="7">
        <f t="shared" si="2070"/>
        <v>0</v>
      </c>
      <c r="O1064" s="7">
        <f t="shared" si="2070"/>
        <v>0</v>
      </c>
      <c r="P1064" s="7">
        <f t="shared" si="2070"/>
        <v>0.00005</v>
      </c>
      <c r="Q1064" s="7">
        <f t="shared" si="7"/>
        <v>0.001349788703</v>
      </c>
      <c r="R1064" s="7">
        <f t="shared" si="8"/>
        <v>0.01254180602</v>
      </c>
      <c r="S1064" s="7">
        <f t="shared" si="2"/>
        <v>0.2042490973</v>
      </c>
      <c r="T1064" s="7">
        <f t="shared" si="3"/>
        <v>0.1104536102</v>
      </c>
      <c r="U1064" s="7">
        <f t="shared" si="4"/>
        <v>0</v>
      </c>
      <c r="V1064" s="7">
        <f t="shared" si="5"/>
        <v>0</v>
      </c>
      <c r="W1064" s="7">
        <f t="shared" ref="W1064:X1064" si="2071">IF(AVERAGE(U1004:U1063) &gt; 0.25, 1, 0)</f>
        <v>0</v>
      </c>
      <c r="X1064" s="7">
        <f t="shared" si="2071"/>
        <v>0</v>
      </c>
      <c r="Y1064" s="8">
        <v>0.0</v>
      </c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</row>
    <row r="1065" ht="22.5" customHeight="1">
      <c r="B1065" s="6">
        <v>1064.0</v>
      </c>
      <c r="C1065" s="6">
        <v>38591.0</v>
      </c>
      <c r="D1065" s="6">
        <v>0.82</v>
      </c>
      <c r="E1065" s="6">
        <v>9.74</v>
      </c>
      <c r="F1065" s="6">
        <v>2.21</v>
      </c>
      <c r="G1065" s="6">
        <v>-0.09</v>
      </c>
      <c r="H1065" s="6">
        <v>0.0</v>
      </c>
      <c r="I1065" s="6">
        <v>-0.02</v>
      </c>
      <c r="J1065" s="6">
        <v>33.32</v>
      </c>
      <c r="K1065" s="7">
        <f t="shared" ref="K1065:P1065" si="2072">abs(D1065-D1064)/200</f>
        <v>0.00015</v>
      </c>
      <c r="L1065" s="7">
        <f t="shared" si="2072"/>
        <v>0.0001</v>
      </c>
      <c r="M1065" s="7">
        <f t="shared" si="2072"/>
        <v>0</v>
      </c>
      <c r="N1065" s="7">
        <f t="shared" si="2072"/>
        <v>0.0001</v>
      </c>
      <c r="O1065" s="7">
        <f t="shared" si="2072"/>
        <v>0</v>
      </c>
      <c r="P1065" s="7">
        <f t="shared" si="2072"/>
        <v>0.00005</v>
      </c>
      <c r="Q1065" s="7">
        <f t="shared" si="7"/>
        <v>0.0182581656</v>
      </c>
      <c r="R1065" s="7">
        <f t="shared" si="8"/>
        <v>0.01693346769</v>
      </c>
      <c r="S1065" s="7">
        <f t="shared" si="2"/>
        <v>0.2211825649</v>
      </c>
      <c r="T1065" s="7">
        <f t="shared" si="3"/>
        <v>0.09219544457</v>
      </c>
      <c r="U1065" s="7">
        <f t="shared" si="4"/>
        <v>0</v>
      </c>
      <c r="V1065" s="7">
        <f t="shared" si="5"/>
        <v>0</v>
      </c>
      <c r="W1065" s="7">
        <f t="shared" ref="W1065:X1065" si="2073">IF(AVERAGE(U1005:U1064) &gt; 0.25, 1, 0)</f>
        <v>0</v>
      </c>
      <c r="X1065" s="7">
        <f t="shared" si="2073"/>
        <v>0</v>
      </c>
      <c r="Y1065" s="8">
        <v>0.0</v>
      </c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</row>
    <row r="1066" ht="22.5" customHeight="1">
      <c r="B1066" s="6">
        <v>1065.0</v>
      </c>
      <c r="C1066" s="6">
        <v>38795.0</v>
      </c>
      <c r="D1066" s="6">
        <v>0.85</v>
      </c>
      <c r="E1066" s="6">
        <v>9.73</v>
      </c>
      <c r="F1066" s="6">
        <v>2.2</v>
      </c>
      <c r="G1066" s="6">
        <v>-0.09</v>
      </c>
      <c r="H1066" s="6">
        <v>0.0</v>
      </c>
      <c r="I1066" s="6">
        <v>-0.01</v>
      </c>
      <c r="J1066" s="6">
        <v>33.32</v>
      </c>
      <c r="K1066" s="7">
        <f t="shared" ref="K1066:P1066" si="2074">abs(D1066-D1065)/200</f>
        <v>0.00015</v>
      </c>
      <c r="L1066" s="7">
        <f t="shared" si="2074"/>
        <v>0.00005</v>
      </c>
      <c r="M1066" s="7">
        <f t="shared" si="2074"/>
        <v>0.00005</v>
      </c>
      <c r="N1066" s="7">
        <f t="shared" si="2074"/>
        <v>0</v>
      </c>
      <c r="O1066" s="7">
        <f t="shared" si="2074"/>
        <v>0</v>
      </c>
      <c r="P1066" s="7">
        <f t="shared" si="2074"/>
        <v>0.00005</v>
      </c>
      <c r="Q1066" s="7">
        <f t="shared" si="7"/>
        <v>0.001641593192</v>
      </c>
      <c r="R1066" s="7">
        <f t="shared" si="8"/>
        <v>0.009419483451</v>
      </c>
      <c r="S1066" s="7">
        <f t="shared" si="2"/>
        <v>0.2117630815</v>
      </c>
      <c r="T1066" s="7">
        <f t="shared" si="3"/>
        <v>0.09055385138</v>
      </c>
      <c r="U1066" s="7">
        <f t="shared" si="4"/>
        <v>0</v>
      </c>
      <c r="V1066" s="7">
        <f t="shared" si="5"/>
        <v>0</v>
      </c>
      <c r="W1066" s="7">
        <f t="shared" ref="W1066:X1066" si="2075">IF(AVERAGE(U1006:U1065) &gt; 0.25, 1, 0)</f>
        <v>0</v>
      </c>
      <c r="X1066" s="7">
        <f t="shared" si="2075"/>
        <v>0</v>
      </c>
      <c r="Y1066" s="8">
        <v>0.0</v>
      </c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</row>
    <row r="1067" ht="22.5" customHeight="1">
      <c r="B1067" s="6">
        <v>1066.0</v>
      </c>
      <c r="C1067" s="6">
        <v>38999.0</v>
      </c>
      <c r="D1067" s="6">
        <v>0.84</v>
      </c>
      <c r="E1067" s="6">
        <v>9.73</v>
      </c>
      <c r="F1067" s="6">
        <v>2.18</v>
      </c>
      <c r="G1067" s="6">
        <v>-0.09</v>
      </c>
      <c r="H1067" s="6">
        <v>0.0</v>
      </c>
      <c r="I1067" s="6">
        <v>-0.01</v>
      </c>
      <c r="J1067" s="6">
        <v>33.32</v>
      </c>
      <c r="K1067" s="7">
        <f t="shared" ref="K1067:P1067" si="2076">abs(D1067-D1066)/200</f>
        <v>0.00005</v>
      </c>
      <c r="L1067" s="7">
        <f t="shared" si="2076"/>
        <v>0</v>
      </c>
      <c r="M1067" s="7">
        <f t="shared" si="2076"/>
        <v>0.0001</v>
      </c>
      <c r="N1067" s="7">
        <f t="shared" si="2076"/>
        <v>0</v>
      </c>
      <c r="O1067" s="7">
        <f t="shared" si="2076"/>
        <v>0</v>
      </c>
      <c r="P1067" s="7">
        <f t="shared" si="2076"/>
        <v>0</v>
      </c>
      <c r="Q1067" s="7">
        <f t="shared" si="7"/>
        <v>0</v>
      </c>
      <c r="R1067" s="7">
        <f t="shared" si="8"/>
        <v>0.005220221946</v>
      </c>
      <c r="S1067" s="7">
        <f t="shared" si="2"/>
        <v>0.2065428595</v>
      </c>
      <c r="T1067" s="7">
        <f t="shared" si="3"/>
        <v>0.09055385138</v>
      </c>
      <c r="U1067" s="7">
        <f t="shared" si="4"/>
        <v>0</v>
      </c>
      <c r="V1067" s="7">
        <f t="shared" si="5"/>
        <v>0</v>
      </c>
      <c r="W1067" s="7">
        <f t="shared" ref="W1067:X1067" si="2077">IF(AVERAGE(U1007:U1066) &gt; 0.25, 1, 0)</f>
        <v>0</v>
      </c>
      <c r="X1067" s="7">
        <f t="shared" si="2077"/>
        <v>0</v>
      </c>
      <c r="Y1067" s="8">
        <v>0.0</v>
      </c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</row>
    <row r="1068" ht="22.5" customHeight="1">
      <c r="B1068" s="6">
        <v>1067.0</v>
      </c>
      <c r="C1068" s="6">
        <v>39203.0</v>
      </c>
      <c r="D1068" s="6">
        <v>0.84</v>
      </c>
      <c r="E1068" s="6">
        <v>9.73</v>
      </c>
      <c r="F1068" s="6">
        <v>2.19</v>
      </c>
      <c r="G1068" s="6">
        <v>-0.1</v>
      </c>
      <c r="H1068" s="6">
        <v>0.0</v>
      </c>
      <c r="I1068" s="6">
        <v>-0.01</v>
      </c>
      <c r="J1068" s="6">
        <v>33.32</v>
      </c>
      <c r="K1068" s="7">
        <f t="shared" ref="K1068:P1068" si="2078">abs(D1068-D1067)/200</f>
        <v>0</v>
      </c>
      <c r="L1068" s="7">
        <f t="shared" si="2078"/>
        <v>0</v>
      </c>
      <c r="M1068" s="7">
        <f t="shared" si="2078"/>
        <v>0.00005</v>
      </c>
      <c r="N1068" s="7">
        <f t="shared" si="2078"/>
        <v>0.00005</v>
      </c>
      <c r="O1068" s="7">
        <f t="shared" si="2078"/>
        <v>0</v>
      </c>
      <c r="P1068" s="7">
        <f t="shared" si="2078"/>
        <v>0</v>
      </c>
      <c r="Q1068" s="7">
        <f t="shared" si="7"/>
        <v>0.00994490483</v>
      </c>
      <c r="R1068" s="7">
        <f t="shared" si="8"/>
        <v>0.002183333129</v>
      </c>
      <c r="S1068" s="7">
        <f t="shared" si="2"/>
        <v>0.2087261927</v>
      </c>
      <c r="T1068" s="7">
        <f t="shared" si="3"/>
        <v>0.1004987562</v>
      </c>
      <c r="U1068" s="7">
        <f t="shared" si="4"/>
        <v>0</v>
      </c>
      <c r="V1068" s="7">
        <f t="shared" si="5"/>
        <v>0</v>
      </c>
      <c r="W1068" s="7">
        <f t="shared" ref="W1068:X1068" si="2079">IF(AVERAGE(U1008:U1067) &gt; 0.25, 1, 0)</f>
        <v>0</v>
      </c>
      <c r="X1068" s="7">
        <f t="shared" si="2079"/>
        <v>0</v>
      </c>
      <c r="Y1068" s="8">
        <v>0.0</v>
      </c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</row>
    <row r="1069" ht="22.5" customHeight="1">
      <c r="B1069" s="6">
        <v>1068.0</v>
      </c>
      <c r="C1069" s="6">
        <v>39407.0</v>
      </c>
      <c r="D1069" s="6">
        <v>0.87</v>
      </c>
      <c r="E1069" s="6">
        <v>9.72</v>
      </c>
      <c r="F1069" s="6">
        <v>2.18</v>
      </c>
      <c r="G1069" s="6">
        <v>-0.09</v>
      </c>
      <c r="H1069" s="6">
        <v>0.0</v>
      </c>
      <c r="I1069" s="6">
        <v>-0.01</v>
      </c>
      <c r="J1069" s="6">
        <v>33.32</v>
      </c>
      <c r="K1069" s="7">
        <f t="shared" ref="K1069:P1069" si="2080">abs(D1069-D1068)/200</f>
        <v>0.00015</v>
      </c>
      <c r="L1069" s="7">
        <f t="shared" si="2080"/>
        <v>0.00005</v>
      </c>
      <c r="M1069" s="7">
        <f t="shared" si="2080"/>
        <v>0.00005</v>
      </c>
      <c r="N1069" s="7">
        <f t="shared" si="2080"/>
        <v>0.00005</v>
      </c>
      <c r="O1069" s="7">
        <f t="shared" si="2080"/>
        <v>0</v>
      </c>
      <c r="P1069" s="7">
        <f t="shared" si="2080"/>
        <v>0</v>
      </c>
      <c r="Q1069" s="7">
        <f t="shared" si="7"/>
        <v>0.00994490483</v>
      </c>
      <c r="R1069" s="7">
        <f t="shared" si="8"/>
        <v>0.00934121159</v>
      </c>
      <c r="S1069" s="7">
        <f t="shared" si="2"/>
        <v>0.1993849811</v>
      </c>
      <c r="T1069" s="7">
        <f t="shared" si="3"/>
        <v>0.09055385138</v>
      </c>
      <c r="U1069" s="7">
        <f t="shared" si="4"/>
        <v>0</v>
      </c>
      <c r="V1069" s="7">
        <f t="shared" si="5"/>
        <v>0</v>
      </c>
      <c r="W1069" s="7">
        <f t="shared" ref="W1069:X1069" si="2081">IF(AVERAGE(U1009:U1068) &gt; 0.25, 1, 0)</f>
        <v>0</v>
      </c>
      <c r="X1069" s="7">
        <f t="shared" si="2081"/>
        <v>0</v>
      </c>
      <c r="Y1069" s="8">
        <v>0.0</v>
      </c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</row>
    <row r="1070" ht="22.5" customHeight="1">
      <c r="B1070" s="6">
        <v>1069.0</v>
      </c>
      <c r="C1070" s="6">
        <v>39611.0</v>
      </c>
      <c r="D1070" s="6">
        <v>0.85</v>
      </c>
      <c r="E1070" s="6">
        <v>9.72</v>
      </c>
      <c r="F1070" s="6">
        <v>2.18</v>
      </c>
      <c r="G1070" s="6">
        <v>-0.09</v>
      </c>
      <c r="H1070" s="6">
        <v>0.0</v>
      </c>
      <c r="I1070" s="6">
        <v>0.0</v>
      </c>
      <c r="J1070" s="6">
        <v>33.33</v>
      </c>
      <c r="K1070" s="7">
        <f t="shared" ref="K1070:P1070" si="2082">abs(D1070-D1069)/200</f>
        <v>0.0001</v>
      </c>
      <c r="L1070" s="7">
        <f t="shared" si="2082"/>
        <v>0</v>
      </c>
      <c r="M1070" s="7">
        <f t="shared" si="2082"/>
        <v>0</v>
      </c>
      <c r="N1070" s="7">
        <f t="shared" si="2082"/>
        <v>0</v>
      </c>
      <c r="O1070" s="7">
        <f t="shared" si="2082"/>
        <v>0</v>
      </c>
      <c r="P1070" s="7">
        <f t="shared" si="2082"/>
        <v>0.00005</v>
      </c>
      <c r="Q1070" s="7">
        <f t="shared" si="7"/>
        <v>0.0005538513814</v>
      </c>
      <c r="R1070" s="7">
        <f t="shared" si="8"/>
        <v>0.001720253763</v>
      </c>
      <c r="S1070" s="7">
        <f t="shared" si="2"/>
        <v>0.1976647273</v>
      </c>
      <c r="T1070" s="7">
        <f t="shared" si="3"/>
        <v>0.09</v>
      </c>
      <c r="U1070" s="7">
        <f t="shared" si="4"/>
        <v>0</v>
      </c>
      <c r="V1070" s="7">
        <f t="shared" si="5"/>
        <v>0</v>
      </c>
      <c r="W1070" s="7">
        <f t="shared" ref="W1070:X1070" si="2083">IF(AVERAGE(U1010:U1069) &gt; 0.25, 1, 0)</f>
        <v>0</v>
      </c>
      <c r="X1070" s="7">
        <f t="shared" si="2083"/>
        <v>0</v>
      </c>
      <c r="Y1070" s="8">
        <v>0.0</v>
      </c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</row>
    <row r="1071" ht="22.5" customHeight="1">
      <c r="B1071" s="6">
        <v>1070.0</v>
      </c>
      <c r="C1071" s="6">
        <v>39815.0</v>
      </c>
      <c r="D1071" s="6">
        <v>0.82</v>
      </c>
      <c r="E1071" s="6">
        <v>9.74</v>
      </c>
      <c r="F1071" s="6">
        <v>2.21</v>
      </c>
      <c r="G1071" s="6">
        <v>-0.09</v>
      </c>
      <c r="H1071" s="6">
        <v>0.0</v>
      </c>
      <c r="I1071" s="6">
        <v>-0.02</v>
      </c>
      <c r="J1071" s="6">
        <v>33.32</v>
      </c>
      <c r="K1071" s="7">
        <f t="shared" ref="K1071:P1071" si="2084">abs(D1071-D1070)/200</f>
        <v>0.00015</v>
      </c>
      <c r="L1071" s="7">
        <f t="shared" si="2084"/>
        <v>0.0001</v>
      </c>
      <c r="M1071" s="7">
        <f t="shared" si="2084"/>
        <v>0.00015</v>
      </c>
      <c r="N1071" s="7">
        <f t="shared" si="2084"/>
        <v>0</v>
      </c>
      <c r="O1071" s="7">
        <f t="shared" si="2084"/>
        <v>0</v>
      </c>
      <c r="P1071" s="7">
        <f t="shared" si="2084"/>
        <v>0.0001</v>
      </c>
      <c r="Q1071" s="7">
        <f t="shared" si="7"/>
        <v>0.002195444573</v>
      </c>
      <c r="R1071" s="7">
        <f t="shared" si="8"/>
        <v>0.02351783762</v>
      </c>
      <c r="S1071" s="7">
        <f t="shared" si="2"/>
        <v>0.2211825649</v>
      </c>
      <c r="T1071" s="7">
        <f t="shared" si="3"/>
        <v>0.09219544457</v>
      </c>
      <c r="U1071" s="7">
        <f t="shared" si="4"/>
        <v>0</v>
      </c>
      <c r="V1071" s="7">
        <f t="shared" si="5"/>
        <v>0</v>
      </c>
      <c r="W1071" s="7">
        <f t="shared" ref="W1071:X1071" si="2085">IF(AVERAGE(U1011:U1070) &gt; 0.25, 1, 0)</f>
        <v>0</v>
      </c>
      <c r="X1071" s="7">
        <f t="shared" si="2085"/>
        <v>0</v>
      </c>
      <c r="Y1071" s="8">
        <v>0.0</v>
      </c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</row>
    <row r="1072" ht="22.5" customHeight="1">
      <c r="B1072" s="6">
        <v>1071.0</v>
      </c>
      <c r="C1072" s="6">
        <v>40019.0</v>
      </c>
      <c r="D1072" s="6">
        <v>0.8</v>
      </c>
      <c r="E1072" s="6">
        <v>9.74</v>
      </c>
      <c r="F1072" s="6">
        <v>2.21</v>
      </c>
      <c r="G1072" s="6">
        <v>-0.1</v>
      </c>
      <c r="H1072" s="6">
        <v>0.0</v>
      </c>
      <c r="I1072" s="6">
        <v>-0.01</v>
      </c>
      <c r="J1072" s="6">
        <v>33.32</v>
      </c>
      <c r="K1072" s="7">
        <f t="shared" ref="K1072:P1072" si="2086">abs(D1072-D1071)/200</f>
        <v>0.0001</v>
      </c>
      <c r="L1072" s="7">
        <f t="shared" si="2086"/>
        <v>0</v>
      </c>
      <c r="M1072" s="7">
        <f t="shared" si="2086"/>
        <v>0</v>
      </c>
      <c r="N1072" s="7">
        <f t="shared" si="2086"/>
        <v>0.00005</v>
      </c>
      <c r="O1072" s="7">
        <f t="shared" si="2086"/>
        <v>0</v>
      </c>
      <c r="P1072" s="7">
        <f t="shared" si="2086"/>
        <v>0.00005</v>
      </c>
      <c r="Q1072" s="7">
        <f t="shared" si="7"/>
        <v>0.008303311638</v>
      </c>
      <c r="R1072" s="7">
        <f t="shared" si="8"/>
        <v>0.001616706089</v>
      </c>
      <c r="S1072" s="7">
        <f t="shared" si="2"/>
        <v>0.2195658589</v>
      </c>
      <c r="T1072" s="7">
        <f t="shared" si="3"/>
        <v>0.1004987562</v>
      </c>
      <c r="U1072" s="7">
        <f t="shared" si="4"/>
        <v>0</v>
      </c>
      <c r="V1072" s="7">
        <f t="shared" si="5"/>
        <v>0</v>
      </c>
      <c r="W1072" s="7">
        <f t="shared" ref="W1072:X1072" si="2087">IF(AVERAGE(U1012:U1071) &gt; 0.25, 1, 0)</f>
        <v>0</v>
      </c>
      <c r="X1072" s="7">
        <f t="shared" si="2087"/>
        <v>0</v>
      </c>
      <c r="Y1072" s="8">
        <v>0.0</v>
      </c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</row>
    <row r="1073" ht="22.5" customHeight="1">
      <c r="B1073" s="6">
        <v>1072.0</v>
      </c>
      <c r="C1073" s="6">
        <v>40223.0</v>
      </c>
      <c r="D1073" s="6">
        <v>0.82</v>
      </c>
      <c r="E1073" s="6">
        <v>9.73</v>
      </c>
      <c r="F1073" s="6">
        <v>2.17</v>
      </c>
      <c r="G1073" s="6">
        <v>-0.1</v>
      </c>
      <c r="H1073" s="6">
        <v>0.0</v>
      </c>
      <c r="I1073" s="6">
        <v>0.0</v>
      </c>
      <c r="J1073" s="6">
        <v>33.32</v>
      </c>
      <c r="K1073" s="7">
        <f t="shared" ref="K1073:P1073" si="2088">abs(D1073-D1072)/200</f>
        <v>0.0001</v>
      </c>
      <c r="L1073" s="7">
        <f t="shared" si="2088"/>
        <v>0.00005</v>
      </c>
      <c r="M1073" s="7">
        <f t="shared" si="2088"/>
        <v>0.0002</v>
      </c>
      <c r="N1073" s="7">
        <f t="shared" si="2088"/>
        <v>0</v>
      </c>
      <c r="O1073" s="7">
        <f t="shared" si="2088"/>
        <v>0</v>
      </c>
      <c r="P1073" s="7">
        <f t="shared" si="2088"/>
        <v>0.00005</v>
      </c>
      <c r="Q1073" s="7">
        <f t="shared" si="7"/>
        <v>0.0004987562112</v>
      </c>
      <c r="R1073" s="7">
        <f t="shared" si="8"/>
        <v>0.01685622596</v>
      </c>
      <c r="S1073" s="7">
        <f t="shared" si="2"/>
        <v>0.2027096329</v>
      </c>
      <c r="T1073" s="7">
        <f t="shared" si="3"/>
        <v>0.1</v>
      </c>
      <c r="U1073" s="7">
        <f t="shared" si="4"/>
        <v>0</v>
      </c>
      <c r="V1073" s="7">
        <f t="shared" si="5"/>
        <v>0</v>
      </c>
      <c r="W1073" s="7">
        <f t="shared" ref="W1073:X1073" si="2089">IF(AVERAGE(U1013:U1072) &gt; 0.25, 1, 0)</f>
        <v>0</v>
      </c>
      <c r="X1073" s="7">
        <f t="shared" si="2089"/>
        <v>0</v>
      </c>
      <c r="Y1073" s="8">
        <v>0.0</v>
      </c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</row>
    <row r="1074" ht="22.5" customHeight="1">
      <c r="B1074" s="6">
        <v>1073.0</v>
      </c>
      <c r="C1074" s="6">
        <v>40427.0</v>
      </c>
      <c r="D1074" s="6">
        <v>0.84</v>
      </c>
      <c r="E1074" s="6">
        <v>9.73</v>
      </c>
      <c r="F1074" s="6">
        <v>2.17</v>
      </c>
      <c r="G1074" s="6">
        <v>-0.1</v>
      </c>
      <c r="H1074" s="6">
        <v>0.0</v>
      </c>
      <c r="I1074" s="6">
        <v>-0.01</v>
      </c>
      <c r="J1074" s="6">
        <v>33.32</v>
      </c>
      <c r="K1074" s="7">
        <f t="shared" ref="K1074:P1074" si="2090">abs(D1074-D1073)/200</f>
        <v>0.0001</v>
      </c>
      <c r="L1074" s="7">
        <f t="shared" si="2090"/>
        <v>0</v>
      </c>
      <c r="M1074" s="7">
        <f t="shared" si="2090"/>
        <v>0</v>
      </c>
      <c r="N1074" s="7">
        <f t="shared" si="2090"/>
        <v>0</v>
      </c>
      <c r="O1074" s="7">
        <f t="shared" si="2090"/>
        <v>0</v>
      </c>
      <c r="P1074" s="7">
        <f t="shared" si="2090"/>
        <v>0.00005</v>
      </c>
      <c r="Q1074" s="7">
        <f t="shared" si="7"/>
        <v>0.0004987562112</v>
      </c>
      <c r="R1074" s="7">
        <f t="shared" si="8"/>
        <v>0.001659412678</v>
      </c>
      <c r="S1074" s="7">
        <f t="shared" si="2"/>
        <v>0.2043690456</v>
      </c>
      <c r="T1074" s="7">
        <f t="shared" si="3"/>
        <v>0.1004987562</v>
      </c>
      <c r="U1074" s="7">
        <f t="shared" si="4"/>
        <v>0</v>
      </c>
      <c r="V1074" s="7">
        <f t="shared" si="5"/>
        <v>0</v>
      </c>
      <c r="W1074" s="7">
        <f t="shared" ref="W1074:X1074" si="2091">IF(AVERAGE(U1014:U1073) &gt; 0.25, 1, 0)</f>
        <v>0</v>
      </c>
      <c r="X1074" s="7">
        <f t="shared" si="2091"/>
        <v>0</v>
      </c>
      <c r="Y1074" s="8">
        <v>0.0</v>
      </c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</row>
    <row r="1075" ht="22.5" customHeight="1">
      <c r="B1075" s="6">
        <v>1074.0</v>
      </c>
      <c r="C1075" s="6">
        <v>40631.0</v>
      </c>
      <c r="D1075" s="6">
        <v>0.83</v>
      </c>
      <c r="E1075" s="6">
        <v>9.73</v>
      </c>
      <c r="F1075" s="6">
        <v>2.16</v>
      </c>
      <c r="G1075" s="6">
        <v>-0.1</v>
      </c>
      <c r="H1075" s="6">
        <v>0.0</v>
      </c>
      <c r="I1075" s="6">
        <v>-0.01</v>
      </c>
      <c r="J1075" s="6">
        <v>33.33</v>
      </c>
      <c r="K1075" s="7">
        <f t="shared" ref="K1075:P1075" si="2092">abs(D1075-D1074)/200</f>
        <v>0.00005</v>
      </c>
      <c r="L1075" s="7">
        <f t="shared" si="2092"/>
        <v>0</v>
      </c>
      <c r="M1075" s="7">
        <f t="shared" si="2092"/>
        <v>0.00005</v>
      </c>
      <c r="N1075" s="7">
        <f t="shared" si="2092"/>
        <v>0</v>
      </c>
      <c r="O1075" s="7">
        <f t="shared" si="2092"/>
        <v>0</v>
      </c>
      <c r="P1075" s="7">
        <f t="shared" si="2092"/>
        <v>0</v>
      </c>
      <c r="Q1075" s="7">
        <f t="shared" si="7"/>
        <v>0</v>
      </c>
      <c r="R1075" s="7">
        <f t="shared" si="8"/>
        <v>0.002999139404</v>
      </c>
      <c r="S1075" s="7">
        <f t="shared" si="2"/>
        <v>0.2013699062</v>
      </c>
      <c r="T1075" s="7">
        <f t="shared" si="3"/>
        <v>0.1004987562</v>
      </c>
      <c r="U1075" s="7">
        <f t="shared" si="4"/>
        <v>0</v>
      </c>
      <c r="V1075" s="7">
        <f t="shared" si="5"/>
        <v>0</v>
      </c>
      <c r="W1075" s="7">
        <f t="shared" ref="W1075:X1075" si="2093">IF(AVERAGE(U1015:U1074) &gt; 0.25, 1, 0)</f>
        <v>0</v>
      </c>
      <c r="X1075" s="7">
        <f t="shared" si="2093"/>
        <v>0</v>
      </c>
      <c r="Y1075" s="8">
        <v>0.0</v>
      </c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</row>
    <row r="1076" ht="22.5" customHeight="1">
      <c r="B1076" s="6">
        <v>1075.0</v>
      </c>
      <c r="C1076" s="6">
        <v>40835.0</v>
      </c>
      <c r="D1076" s="6">
        <v>0.82</v>
      </c>
      <c r="E1076" s="6">
        <v>9.73</v>
      </c>
      <c r="F1076" s="6">
        <v>2.19</v>
      </c>
      <c r="G1076" s="6">
        <v>-0.1</v>
      </c>
      <c r="H1076" s="6">
        <v>0.0</v>
      </c>
      <c r="I1076" s="6">
        <v>-0.01</v>
      </c>
      <c r="J1076" s="6">
        <v>33.32</v>
      </c>
      <c r="K1076" s="7">
        <f t="shared" ref="K1076:P1076" si="2094">abs(D1076-D1075)/200</f>
        <v>0.00005</v>
      </c>
      <c r="L1076" s="7">
        <f t="shared" si="2094"/>
        <v>0</v>
      </c>
      <c r="M1076" s="7">
        <f t="shared" si="2094"/>
        <v>0.00015</v>
      </c>
      <c r="N1076" s="7">
        <f t="shared" si="2094"/>
        <v>0</v>
      </c>
      <c r="O1076" s="7">
        <f t="shared" si="2094"/>
        <v>0</v>
      </c>
      <c r="P1076" s="7">
        <f t="shared" si="2094"/>
        <v>0</v>
      </c>
      <c r="Q1076" s="7">
        <f t="shared" si="7"/>
        <v>0</v>
      </c>
      <c r="R1076" s="7">
        <f t="shared" si="8"/>
        <v>0.005697596353</v>
      </c>
      <c r="S1076" s="7">
        <f t="shared" si="2"/>
        <v>0.2070675025</v>
      </c>
      <c r="T1076" s="7">
        <f t="shared" si="3"/>
        <v>0.1004987562</v>
      </c>
      <c r="U1076" s="7">
        <f t="shared" si="4"/>
        <v>0</v>
      </c>
      <c r="V1076" s="7">
        <f t="shared" si="5"/>
        <v>0</v>
      </c>
      <c r="W1076" s="7">
        <f t="shared" ref="W1076:X1076" si="2095">IF(AVERAGE(U1016:U1075) &gt; 0.25, 1, 0)</f>
        <v>0</v>
      </c>
      <c r="X1076" s="7">
        <f t="shared" si="2095"/>
        <v>0</v>
      </c>
      <c r="Y1076" s="8">
        <v>0.0</v>
      </c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</row>
    <row r="1077" ht="22.5" customHeight="1">
      <c r="B1077" s="6">
        <v>1076.0</v>
      </c>
      <c r="C1077" s="6">
        <v>41039.0</v>
      </c>
      <c r="D1077" s="6">
        <v>0.82</v>
      </c>
      <c r="E1077" s="6">
        <v>9.74</v>
      </c>
      <c r="F1077" s="6">
        <v>2.18</v>
      </c>
      <c r="G1077" s="6">
        <v>-0.1</v>
      </c>
      <c r="H1077" s="6">
        <v>0.0</v>
      </c>
      <c r="I1077" s="6">
        <v>-0.01</v>
      </c>
      <c r="J1077" s="6">
        <v>33.33</v>
      </c>
      <c r="K1077" s="7">
        <f t="shared" ref="K1077:P1077" si="2096">abs(D1077-D1076)/200</f>
        <v>0</v>
      </c>
      <c r="L1077" s="7">
        <f t="shared" si="2096"/>
        <v>0.00005</v>
      </c>
      <c r="M1077" s="7">
        <f t="shared" si="2096"/>
        <v>0.00005</v>
      </c>
      <c r="N1077" s="7">
        <f t="shared" si="2096"/>
        <v>0</v>
      </c>
      <c r="O1077" s="7">
        <f t="shared" si="2096"/>
        <v>0</v>
      </c>
      <c r="P1077" s="7">
        <f t="shared" si="2096"/>
        <v>0</v>
      </c>
      <c r="Q1077" s="7">
        <f t="shared" si="7"/>
        <v>0</v>
      </c>
      <c r="R1077" s="7">
        <f t="shared" si="8"/>
        <v>0.007541825856</v>
      </c>
      <c r="S1077" s="7">
        <f t="shared" si="2"/>
        <v>0.2146093284</v>
      </c>
      <c r="T1077" s="7">
        <f t="shared" si="3"/>
        <v>0.1004987562</v>
      </c>
      <c r="U1077" s="7">
        <f t="shared" si="4"/>
        <v>0</v>
      </c>
      <c r="V1077" s="7">
        <f t="shared" si="5"/>
        <v>0</v>
      </c>
      <c r="W1077" s="7">
        <f t="shared" ref="W1077:X1077" si="2097">IF(AVERAGE(U1017:U1076) &gt; 0.25, 1, 0)</f>
        <v>0</v>
      </c>
      <c r="X1077" s="7">
        <f t="shared" si="2097"/>
        <v>0</v>
      </c>
      <c r="Y1077" s="8">
        <v>0.0</v>
      </c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</row>
    <row r="1078" ht="22.5" customHeight="1">
      <c r="B1078" s="6">
        <v>1077.0</v>
      </c>
      <c r="C1078" s="6">
        <v>41243.0</v>
      </c>
      <c r="D1078" s="6">
        <v>0.82</v>
      </c>
      <c r="E1078" s="6">
        <v>9.72</v>
      </c>
      <c r="F1078" s="6">
        <v>2.2</v>
      </c>
      <c r="G1078" s="6">
        <v>-0.1</v>
      </c>
      <c r="H1078" s="6">
        <v>0.0</v>
      </c>
      <c r="I1078" s="6">
        <v>-0.01</v>
      </c>
      <c r="J1078" s="6">
        <v>33.32</v>
      </c>
      <c r="K1078" s="7">
        <f t="shared" ref="K1078:P1078" si="2098">abs(D1078-D1077)/200</f>
        <v>0</v>
      </c>
      <c r="L1078" s="7">
        <f t="shared" si="2098"/>
        <v>0.0001</v>
      </c>
      <c r="M1078" s="7">
        <f t="shared" si="2098"/>
        <v>0.0001</v>
      </c>
      <c r="N1078" s="7">
        <f t="shared" si="2098"/>
        <v>0</v>
      </c>
      <c r="O1078" s="7">
        <f t="shared" si="2098"/>
        <v>0</v>
      </c>
      <c r="P1078" s="7">
        <f t="shared" si="2098"/>
        <v>0</v>
      </c>
      <c r="Q1078" s="7">
        <f t="shared" si="7"/>
        <v>0</v>
      </c>
      <c r="R1078" s="7">
        <f t="shared" si="8"/>
        <v>0.01506933896</v>
      </c>
      <c r="S1078" s="7">
        <f t="shared" si="2"/>
        <v>0.1995399894</v>
      </c>
      <c r="T1078" s="7">
        <f t="shared" si="3"/>
        <v>0.1004987562</v>
      </c>
      <c r="U1078" s="7">
        <f t="shared" si="4"/>
        <v>0</v>
      </c>
      <c r="V1078" s="7">
        <f t="shared" si="5"/>
        <v>0</v>
      </c>
      <c r="W1078" s="7">
        <f t="shared" ref="W1078:X1078" si="2099">IF(AVERAGE(U1018:U1077) &gt; 0.25, 1, 0)</f>
        <v>0</v>
      </c>
      <c r="X1078" s="7">
        <f t="shared" si="2099"/>
        <v>0</v>
      </c>
      <c r="Y1078" s="8">
        <v>0.0</v>
      </c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</row>
    <row r="1079" ht="22.5" customHeight="1">
      <c r="B1079" s="6">
        <v>1078.0</v>
      </c>
      <c r="C1079" s="6">
        <v>41447.0</v>
      </c>
      <c r="D1079" s="6">
        <v>0.82</v>
      </c>
      <c r="E1079" s="6">
        <v>9.73</v>
      </c>
      <c r="F1079" s="6">
        <v>2.17</v>
      </c>
      <c r="G1079" s="6">
        <v>-0.09</v>
      </c>
      <c r="H1079" s="6">
        <v>0.0</v>
      </c>
      <c r="I1079" s="6">
        <v>-0.01</v>
      </c>
      <c r="J1079" s="6">
        <v>33.32</v>
      </c>
      <c r="K1079" s="7">
        <f t="shared" ref="K1079:P1079" si="2100">abs(D1079-D1078)/200</f>
        <v>0</v>
      </c>
      <c r="L1079" s="7">
        <f t="shared" si="2100"/>
        <v>0.00005</v>
      </c>
      <c r="M1079" s="7">
        <f t="shared" si="2100"/>
        <v>0.00015</v>
      </c>
      <c r="N1079" s="7">
        <f t="shared" si="2100"/>
        <v>0.00005</v>
      </c>
      <c r="O1079" s="7">
        <f t="shared" si="2100"/>
        <v>0</v>
      </c>
      <c r="P1079" s="7">
        <f t="shared" si="2100"/>
        <v>0</v>
      </c>
      <c r="Q1079" s="7">
        <f t="shared" si="7"/>
        <v>0.00994490483</v>
      </c>
      <c r="R1079" s="7">
        <f t="shared" si="8"/>
        <v>0.003169643475</v>
      </c>
      <c r="S1079" s="7">
        <f t="shared" si="2"/>
        <v>0.2027096329</v>
      </c>
      <c r="T1079" s="7">
        <f t="shared" si="3"/>
        <v>0.09055385138</v>
      </c>
      <c r="U1079" s="7">
        <f t="shared" si="4"/>
        <v>0</v>
      </c>
      <c r="V1079" s="7">
        <f t="shared" si="5"/>
        <v>0</v>
      </c>
      <c r="W1079" s="7">
        <f t="shared" ref="W1079:X1079" si="2101">IF(AVERAGE(U1019:U1078) &gt; 0.25, 1, 0)</f>
        <v>0</v>
      </c>
      <c r="X1079" s="7">
        <f t="shared" si="2101"/>
        <v>0</v>
      </c>
      <c r="Y1079" s="8">
        <v>0.0</v>
      </c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</row>
    <row r="1080" ht="22.5" customHeight="1">
      <c r="B1080" s="6">
        <v>1079.0</v>
      </c>
      <c r="C1080" s="6">
        <v>41651.0</v>
      </c>
      <c r="D1080" s="6">
        <v>0.82</v>
      </c>
      <c r="E1080" s="6">
        <v>9.73</v>
      </c>
      <c r="F1080" s="6">
        <v>2.18</v>
      </c>
      <c r="G1080" s="6">
        <v>-0.1</v>
      </c>
      <c r="H1080" s="6">
        <v>0.0</v>
      </c>
      <c r="I1080" s="6">
        <v>-0.01</v>
      </c>
      <c r="J1080" s="6">
        <v>33.32</v>
      </c>
      <c r="K1080" s="7">
        <f t="shared" ref="K1080:P1080" si="2102">abs(D1080-D1079)/200</f>
        <v>0</v>
      </c>
      <c r="L1080" s="7">
        <f t="shared" si="2102"/>
        <v>0</v>
      </c>
      <c r="M1080" s="7">
        <f t="shared" si="2102"/>
        <v>0.00005</v>
      </c>
      <c r="N1080" s="7">
        <f t="shared" si="2102"/>
        <v>0.00005</v>
      </c>
      <c r="O1080" s="7">
        <f t="shared" si="2102"/>
        <v>0</v>
      </c>
      <c r="P1080" s="7">
        <f t="shared" si="2102"/>
        <v>0</v>
      </c>
      <c r="Q1080" s="7">
        <f t="shared" si="7"/>
        <v>0.00994490483</v>
      </c>
      <c r="R1080" s="7">
        <f t="shared" si="8"/>
        <v>0.002174174527</v>
      </c>
      <c r="S1080" s="7">
        <f t="shared" si="2"/>
        <v>0.2048838074</v>
      </c>
      <c r="T1080" s="7">
        <f t="shared" si="3"/>
        <v>0.1004987562</v>
      </c>
      <c r="U1080" s="7">
        <f t="shared" si="4"/>
        <v>0</v>
      </c>
      <c r="V1080" s="7">
        <f t="shared" si="5"/>
        <v>0</v>
      </c>
      <c r="W1080" s="7">
        <f t="shared" ref="W1080:X1080" si="2103">IF(AVERAGE(U1020:U1079) &gt; 0.25, 1, 0)</f>
        <v>0</v>
      </c>
      <c r="X1080" s="7">
        <f t="shared" si="2103"/>
        <v>0</v>
      </c>
      <c r="Y1080" s="8">
        <v>0.0</v>
      </c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</row>
    <row r="1081" ht="22.5" customHeight="1">
      <c r="B1081" s="6">
        <v>1080.0</v>
      </c>
      <c r="C1081" s="6">
        <v>41855.0</v>
      </c>
      <c r="D1081" s="6">
        <v>0.83</v>
      </c>
      <c r="E1081" s="6">
        <v>9.73</v>
      </c>
      <c r="F1081" s="6">
        <v>2.18</v>
      </c>
      <c r="G1081" s="6">
        <v>-0.1</v>
      </c>
      <c r="H1081" s="6">
        <v>0.0</v>
      </c>
      <c r="I1081" s="6">
        <v>-0.02</v>
      </c>
      <c r="J1081" s="6">
        <v>33.32</v>
      </c>
      <c r="K1081" s="7">
        <f t="shared" ref="K1081:P1081" si="2104">abs(D1081-D1080)/200</f>
        <v>0.00005</v>
      </c>
      <c r="L1081" s="7">
        <f t="shared" si="2104"/>
        <v>0</v>
      </c>
      <c r="M1081" s="7">
        <f t="shared" si="2104"/>
        <v>0</v>
      </c>
      <c r="N1081" s="7">
        <f t="shared" si="2104"/>
        <v>0</v>
      </c>
      <c r="O1081" s="7">
        <f t="shared" si="2104"/>
        <v>0</v>
      </c>
      <c r="P1081" s="7">
        <f t="shared" si="2104"/>
        <v>0.00005</v>
      </c>
      <c r="Q1081" s="7">
        <f t="shared" si="7"/>
        <v>0.001481634061</v>
      </c>
      <c r="R1081" s="7">
        <f t="shared" si="8"/>
        <v>0.0008245633039</v>
      </c>
      <c r="S1081" s="7">
        <f t="shared" si="2"/>
        <v>0.2057083707</v>
      </c>
      <c r="T1081" s="7">
        <f t="shared" si="3"/>
        <v>0.1019803903</v>
      </c>
      <c r="U1081" s="7">
        <f t="shared" si="4"/>
        <v>0</v>
      </c>
      <c r="V1081" s="7">
        <f t="shared" si="5"/>
        <v>0</v>
      </c>
      <c r="W1081" s="7">
        <f t="shared" ref="W1081:X1081" si="2105">IF(AVERAGE(U1021:U1080) &gt; 0.25, 1, 0)</f>
        <v>0</v>
      </c>
      <c r="X1081" s="7">
        <f t="shared" si="2105"/>
        <v>0</v>
      </c>
      <c r="Y1081" s="8">
        <v>0.0</v>
      </c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</row>
    <row r="1082" ht="22.5" customHeight="1">
      <c r="B1082" s="6">
        <v>1081.0</v>
      </c>
      <c r="C1082" s="6">
        <v>42059.0</v>
      </c>
      <c r="D1082" s="6">
        <v>0.8</v>
      </c>
      <c r="E1082" s="6">
        <v>9.73</v>
      </c>
      <c r="F1082" s="6">
        <v>2.2</v>
      </c>
      <c r="G1082" s="6">
        <v>-0.09</v>
      </c>
      <c r="H1082" s="6">
        <v>0.0</v>
      </c>
      <c r="I1082" s="6">
        <v>-0.01</v>
      </c>
      <c r="J1082" s="6">
        <v>33.32</v>
      </c>
      <c r="K1082" s="7">
        <f t="shared" ref="K1082:P1082" si="2106">abs(D1082-D1081)/200</f>
        <v>0.00015</v>
      </c>
      <c r="L1082" s="7">
        <f t="shared" si="2106"/>
        <v>0</v>
      </c>
      <c r="M1082" s="7">
        <f t="shared" si="2106"/>
        <v>0.0001</v>
      </c>
      <c r="N1082" s="7">
        <f t="shared" si="2106"/>
        <v>0.00005</v>
      </c>
      <c r="O1082" s="7">
        <f t="shared" si="2106"/>
        <v>0</v>
      </c>
      <c r="P1082" s="7">
        <f t="shared" si="2106"/>
        <v>0.00005</v>
      </c>
      <c r="Q1082" s="7">
        <f t="shared" si="7"/>
        <v>0.01142653889</v>
      </c>
      <c r="R1082" s="7">
        <f t="shared" si="8"/>
        <v>0.001933709206</v>
      </c>
      <c r="S1082" s="7">
        <f t="shared" si="2"/>
        <v>0.2076420799</v>
      </c>
      <c r="T1082" s="7">
        <f t="shared" si="3"/>
        <v>0.09055385138</v>
      </c>
      <c r="U1082" s="7">
        <f t="shared" si="4"/>
        <v>0</v>
      </c>
      <c r="V1082" s="7">
        <f t="shared" si="5"/>
        <v>0</v>
      </c>
      <c r="W1082" s="7">
        <f t="shared" ref="W1082:X1082" si="2107">IF(AVERAGE(U1022:U1081) &gt; 0.25, 1, 0)</f>
        <v>0</v>
      </c>
      <c r="X1082" s="7">
        <f t="shared" si="2107"/>
        <v>0</v>
      </c>
      <c r="Y1082" s="8">
        <v>0.0</v>
      </c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</row>
    <row r="1083" ht="22.5" customHeight="1">
      <c r="B1083" s="6">
        <v>1082.0</v>
      </c>
      <c r="C1083" s="6">
        <v>42263.0</v>
      </c>
      <c r="D1083" s="6">
        <v>0.82</v>
      </c>
      <c r="E1083" s="6">
        <v>9.73</v>
      </c>
      <c r="F1083" s="6">
        <v>2.18</v>
      </c>
      <c r="G1083" s="6">
        <v>-0.1</v>
      </c>
      <c r="H1083" s="6">
        <v>0.0</v>
      </c>
      <c r="I1083" s="6">
        <v>0.0</v>
      </c>
      <c r="J1083" s="6">
        <v>33.32</v>
      </c>
      <c r="K1083" s="7">
        <f t="shared" ref="K1083:P1083" si="2108">abs(D1083-D1082)/200</f>
        <v>0.0001</v>
      </c>
      <c r="L1083" s="7">
        <f t="shared" si="2108"/>
        <v>0</v>
      </c>
      <c r="M1083" s="7">
        <f t="shared" si="2108"/>
        <v>0.0001</v>
      </c>
      <c r="N1083" s="7">
        <f t="shared" si="2108"/>
        <v>0.00005</v>
      </c>
      <c r="O1083" s="7">
        <f t="shared" si="2108"/>
        <v>0</v>
      </c>
      <c r="P1083" s="7">
        <f t="shared" si="2108"/>
        <v>0.00005</v>
      </c>
      <c r="Q1083" s="7">
        <f t="shared" si="7"/>
        <v>0.009446148619</v>
      </c>
      <c r="R1083" s="7">
        <f t="shared" si="8"/>
        <v>0.002758272509</v>
      </c>
      <c r="S1083" s="7">
        <f t="shared" si="2"/>
        <v>0.2048838074</v>
      </c>
      <c r="T1083" s="7">
        <f t="shared" si="3"/>
        <v>0.1</v>
      </c>
      <c r="U1083" s="7">
        <f t="shared" si="4"/>
        <v>0</v>
      </c>
      <c r="V1083" s="7">
        <f t="shared" si="5"/>
        <v>0</v>
      </c>
      <c r="W1083" s="7">
        <f t="shared" ref="W1083:X1083" si="2109">IF(AVERAGE(U1023:U1082) &gt; 0.25, 1, 0)</f>
        <v>0</v>
      </c>
      <c r="X1083" s="7">
        <f t="shared" si="2109"/>
        <v>0</v>
      </c>
      <c r="Y1083" s="8">
        <v>0.0</v>
      </c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</row>
    <row r="1084" ht="22.5" customHeight="1">
      <c r="B1084" s="6">
        <v>1083.0</v>
      </c>
      <c r="C1084" s="6">
        <v>42467.0</v>
      </c>
      <c r="D1084" s="6">
        <v>0.82</v>
      </c>
      <c r="E1084" s="6">
        <v>9.72</v>
      </c>
      <c r="F1084" s="6">
        <v>2.19</v>
      </c>
      <c r="G1084" s="6">
        <v>-0.1</v>
      </c>
      <c r="H1084" s="6">
        <v>0.0</v>
      </c>
      <c r="I1084" s="6">
        <v>-0.02</v>
      </c>
      <c r="J1084" s="6">
        <v>33.33</v>
      </c>
      <c r="K1084" s="7">
        <f t="shared" ref="K1084:P1084" si="2110">abs(D1084-D1083)/200</f>
        <v>0</v>
      </c>
      <c r="L1084" s="7">
        <f t="shared" si="2110"/>
        <v>0.00005</v>
      </c>
      <c r="M1084" s="7">
        <f t="shared" si="2110"/>
        <v>0.00005</v>
      </c>
      <c r="N1084" s="7">
        <f t="shared" si="2110"/>
        <v>0</v>
      </c>
      <c r="O1084" s="7">
        <f t="shared" si="2110"/>
        <v>0</v>
      </c>
      <c r="P1084" s="7">
        <f t="shared" si="2110"/>
        <v>0.0001</v>
      </c>
      <c r="Q1084" s="7">
        <f t="shared" si="7"/>
        <v>0.001980390272</v>
      </c>
      <c r="R1084" s="7">
        <f t="shared" si="8"/>
        <v>0.007539159966</v>
      </c>
      <c r="S1084" s="7">
        <f t="shared" si="2"/>
        <v>0.1973446475</v>
      </c>
      <c r="T1084" s="7">
        <f t="shared" si="3"/>
        <v>0.1019803903</v>
      </c>
      <c r="U1084" s="7">
        <f t="shared" si="4"/>
        <v>0</v>
      </c>
      <c r="V1084" s="7">
        <f t="shared" si="5"/>
        <v>0</v>
      </c>
      <c r="W1084" s="7">
        <f t="shared" ref="W1084:X1084" si="2111">IF(AVERAGE(U1024:U1083) &gt; 0.25, 1, 0)</f>
        <v>0</v>
      </c>
      <c r="X1084" s="7">
        <f t="shared" si="2111"/>
        <v>0</v>
      </c>
      <c r="Y1084" s="8">
        <v>0.0</v>
      </c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</row>
    <row r="1085" ht="22.5" customHeight="1">
      <c r="B1085" s="6">
        <v>1084.0</v>
      </c>
      <c r="C1085" s="6">
        <v>42671.0</v>
      </c>
      <c r="D1085" s="6">
        <v>0.82</v>
      </c>
      <c r="E1085" s="6">
        <v>9.73</v>
      </c>
      <c r="F1085" s="6">
        <v>2.2</v>
      </c>
      <c r="G1085" s="6">
        <v>-0.1</v>
      </c>
      <c r="H1085" s="6">
        <v>0.0</v>
      </c>
      <c r="I1085" s="6">
        <v>-0.01</v>
      </c>
      <c r="J1085" s="6">
        <v>33.32</v>
      </c>
      <c r="K1085" s="7">
        <f t="shared" ref="K1085:P1085" si="2112">abs(D1085-D1084)/200</f>
        <v>0</v>
      </c>
      <c r="L1085" s="7">
        <f t="shared" si="2112"/>
        <v>0.00005</v>
      </c>
      <c r="M1085" s="7">
        <f t="shared" si="2112"/>
        <v>0.00005</v>
      </c>
      <c r="N1085" s="7">
        <f t="shared" si="2112"/>
        <v>0</v>
      </c>
      <c r="O1085" s="7">
        <f t="shared" si="2112"/>
        <v>0</v>
      </c>
      <c r="P1085" s="7">
        <f t="shared" si="2112"/>
        <v>0.00005</v>
      </c>
      <c r="Q1085" s="7">
        <f t="shared" si="7"/>
        <v>0.001481634061</v>
      </c>
      <c r="R1085" s="7">
        <f t="shared" si="8"/>
        <v>0.01191606451</v>
      </c>
      <c r="S1085" s="7">
        <f t="shared" si="2"/>
        <v>0.209260712</v>
      </c>
      <c r="T1085" s="7">
        <f t="shared" si="3"/>
        <v>0.1004987562</v>
      </c>
      <c r="U1085" s="7">
        <f t="shared" si="4"/>
        <v>0</v>
      </c>
      <c r="V1085" s="7">
        <f t="shared" si="5"/>
        <v>0</v>
      </c>
      <c r="W1085" s="7">
        <f t="shared" ref="W1085:X1085" si="2113">IF(AVERAGE(U1025:U1084) &gt; 0.25, 1, 0)</f>
        <v>0</v>
      </c>
      <c r="X1085" s="7">
        <f t="shared" si="2113"/>
        <v>0</v>
      </c>
      <c r="Y1085" s="8">
        <v>0.0</v>
      </c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</row>
    <row r="1086" ht="22.5" customHeight="1">
      <c r="B1086" s="6">
        <v>1085.0</v>
      </c>
      <c r="C1086" s="6">
        <v>42875.0</v>
      </c>
      <c r="D1086" s="6">
        <v>0.83</v>
      </c>
      <c r="E1086" s="6">
        <v>9.73</v>
      </c>
      <c r="F1086" s="6">
        <v>2.21</v>
      </c>
      <c r="G1086" s="6">
        <v>-0.1</v>
      </c>
      <c r="H1086" s="6">
        <v>0.0</v>
      </c>
      <c r="I1086" s="6">
        <v>-0.01</v>
      </c>
      <c r="J1086" s="6">
        <v>33.33</v>
      </c>
      <c r="K1086" s="7">
        <f t="shared" ref="K1086:P1086" si="2114">abs(D1086-D1085)/200</f>
        <v>0.00005</v>
      </c>
      <c r="L1086" s="7">
        <f t="shared" si="2114"/>
        <v>0</v>
      </c>
      <c r="M1086" s="7">
        <f t="shared" si="2114"/>
        <v>0.00005</v>
      </c>
      <c r="N1086" s="7">
        <f t="shared" si="2114"/>
        <v>0</v>
      </c>
      <c r="O1086" s="7">
        <f t="shared" si="2114"/>
        <v>0</v>
      </c>
      <c r="P1086" s="7">
        <f t="shared" si="2114"/>
        <v>0</v>
      </c>
      <c r="Q1086" s="7">
        <f t="shared" si="7"/>
        <v>0</v>
      </c>
      <c r="R1086" s="7">
        <f t="shared" si="8"/>
        <v>0.003026738967</v>
      </c>
      <c r="S1086" s="7">
        <f t="shared" si="2"/>
        <v>0.2122874509</v>
      </c>
      <c r="T1086" s="7">
        <f t="shared" si="3"/>
        <v>0.1004987562</v>
      </c>
      <c r="U1086" s="7">
        <f t="shared" si="4"/>
        <v>0</v>
      </c>
      <c r="V1086" s="7">
        <f t="shared" si="5"/>
        <v>0</v>
      </c>
      <c r="W1086" s="7">
        <f t="shared" ref="W1086:X1086" si="2115">IF(AVERAGE(U1026:U1085) &gt; 0.25, 1, 0)</f>
        <v>0</v>
      </c>
      <c r="X1086" s="7">
        <f t="shared" si="2115"/>
        <v>0</v>
      </c>
      <c r="Y1086" s="8">
        <v>0.0</v>
      </c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</row>
    <row r="1087" ht="22.5" customHeight="1">
      <c r="B1087" s="6">
        <v>1086.0</v>
      </c>
      <c r="C1087" s="6">
        <v>45323.0</v>
      </c>
      <c r="D1087" s="6">
        <v>0.82</v>
      </c>
      <c r="E1087" s="6">
        <v>9.73</v>
      </c>
      <c r="F1087" s="6">
        <v>2.18</v>
      </c>
      <c r="G1087" s="6">
        <v>-0.1</v>
      </c>
      <c r="H1087" s="6">
        <v>0.0</v>
      </c>
      <c r="I1087" s="6">
        <v>-0.01</v>
      </c>
      <c r="J1087" s="6">
        <v>33.33</v>
      </c>
      <c r="K1087" s="7">
        <f t="shared" ref="K1087:P1087" si="2116">abs(D1087-D1086)/200</f>
        <v>0.00005</v>
      </c>
      <c r="L1087" s="7">
        <f t="shared" si="2116"/>
        <v>0</v>
      </c>
      <c r="M1087" s="7">
        <f t="shared" si="2116"/>
        <v>0.00015</v>
      </c>
      <c r="N1087" s="7">
        <f t="shared" si="2116"/>
        <v>0</v>
      </c>
      <c r="O1087" s="7">
        <f t="shared" si="2116"/>
        <v>0</v>
      </c>
      <c r="P1087" s="7">
        <f t="shared" si="2116"/>
        <v>0</v>
      </c>
      <c r="Q1087" s="7">
        <f t="shared" si="7"/>
        <v>0</v>
      </c>
      <c r="R1087" s="7">
        <f t="shared" si="8"/>
        <v>0.007403643506</v>
      </c>
      <c r="S1087" s="7">
        <f t="shared" si="2"/>
        <v>0.2048838074</v>
      </c>
      <c r="T1087" s="7">
        <f t="shared" si="3"/>
        <v>0.1004987562</v>
      </c>
      <c r="U1087" s="7">
        <f t="shared" si="4"/>
        <v>0</v>
      </c>
      <c r="V1087" s="7">
        <f t="shared" si="5"/>
        <v>0</v>
      </c>
      <c r="W1087" s="7">
        <f t="shared" ref="W1087:X1087" si="2117">IF(AVERAGE(U1027:U1086) &gt; 0.25, 1, 0)</f>
        <v>0</v>
      </c>
      <c r="X1087" s="7">
        <f t="shared" si="2117"/>
        <v>0</v>
      </c>
      <c r="Y1087" s="8">
        <v>0.0</v>
      </c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</row>
    <row r="1088" ht="22.5" customHeight="1">
      <c r="B1088" s="6">
        <v>1087.0</v>
      </c>
      <c r="C1088" s="6">
        <v>45527.0</v>
      </c>
      <c r="D1088" s="6">
        <v>0.82</v>
      </c>
      <c r="E1088" s="6">
        <v>9.72</v>
      </c>
      <c r="F1088" s="6">
        <v>2.17</v>
      </c>
      <c r="G1088" s="6">
        <v>-0.09</v>
      </c>
      <c r="H1088" s="6">
        <v>0.0</v>
      </c>
      <c r="I1088" s="6">
        <v>-0.01</v>
      </c>
      <c r="J1088" s="6">
        <v>33.33</v>
      </c>
      <c r="K1088" s="7">
        <f t="shared" ref="K1088:P1088" si="2118">abs(D1088-D1087)/200</f>
        <v>0</v>
      </c>
      <c r="L1088" s="7">
        <f t="shared" si="2118"/>
        <v>0.00005</v>
      </c>
      <c r="M1088" s="7">
        <f t="shared" si="2118"/>
        <v>0.00005</v>
      </c>
      <c r="N1088" s="7">
        <f t="shared" si="2118"/>
        <v>0.00005</v>
      </c>
      <c r="O1088" s="7">
        <f t="shared" si="2118"/>
        <v>0</v>
      </c>
      <c r="P1088" s="7">
        <f t="shared" si="2118"/>
        <v>0</v>
      </c>
      <c r="Q1088" s="7">
        <f t="shared" si="7"/>
        <v>0.00994490483</v>
      </c>
      <c r="R1088" s="7">
        <f t="shared" si="8"/>
        <v>0.01190126966</v>
      </c>
      <c r="S1088" s="7">
        <f t="shared" si="2"/>
        <v>0.1929825378</v>
      </c>
      <c r="T1088" s="7">
        <f t="shared" si="3"/>
        <v>0.09055385138</v>
      </c>
      <c r="U1088" s="7">
        <f t="shared" si="4"/>
        <v>0</v>
      </c>
      <c r="V1088" s="7">
        <f t="shared" si="5"/>
        <v>0</v>
      </c>
      <c r="W1088" s="7">
        <f t="shared" ref="W1088:X1088" si="2119">IF(AVERAGE(U1028:U1087) &gt; 0.25, 1, 0)</f>
        <v>0</v>
      </c>
      <c r="X1088" s="7">
        <f t="shared" si="2119"/>
        <v>0</v>
      </c>
      <c r="Y1088" s="8">
        <v>0.0</v>
      </c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</row>
    <row r="1089" ht="22.5" customHeight="1">
      <c r="B1089" s="6">
        <v>1088.0</v>
      </c>
      <c r="C1089" s="6">
        <v>45731.0</v>
      </c>
      <c r="D1089" s="6">
        <v>0.83</v>
      </c>
      <c r="E1089" s="6">
        <v>9.73</v>
      </c>
      <c r="F1089" s="6">
        <v>2.17</v>
      </c>
      <c r="G1089" s="6">
        <v>-0.09</v>
      </c>
      <c r="H1089" s="6">
        <v>0.0</v>
      </c>
      <c r="I1089" s="6">
        <v>0.0</v>
      </c>
      <c r="J1089" s="6">
        <v>33.33</v>
      </c>
      <c r="K1089" s="7">
        <f t="shared" ref="K1089:P1089" si="2120">abs(D1089-D1088)/200</f>
        <v>0.00005</v>
      </c>
      <c r="L1089" s="7">
        <f t="shared" si="2120"/>
        <v>0.00005</v>
      </c>
      <c r="M1089" s="7">
        <f t="shared" si="2120"/>
        <v>0</v>
      </c>
      <c r="N1089" s="7">
        <f t="shared" si="2120"/>
        <v>0</v>
      </c>
      <c r="O1089" s="7">
        <f t="shared" si="2120"/>
        <v>0</v>
      </c>
      <c r="P1089" s="7">
        <f t="shared" si="2120"/>
        <v>0.00005</v>
      </c>
      <c r="Q1089" s="7">
        <f t="shared" si="7"/>
        <v>0.0005538513814</v>
      </c>
      <c r="R1089" s="7">
        <f t="shared" si="8"/>
        <v>0.01055183765</v>
      </c>
      <c r="S1089" s="7">
        <f t="shared" si="2"/>
        <v>0.2035343754</v>
      </c>
      <c r="T1089" s="7">
        <f t="shared" si="3"/>
        <v>0.09</v>
      </c>
      <c r="U1089" s="7">
        <f t="shared" si="4"/>
        <v>0</v>
      </c>
      <c r="V1089" s="7">
        <f t="shared" si="5"/>
        <v>0</v>
      </c>
      <c r="W1089" s="7">
        <f t="shared" ref="W1089:X1089" si="2121">IF(AVERAGE(U1029:U1088) &gt; 0.25, 1, 0)</f>
        <v>0</v>
      </c>
      <c r="X1089" s="7">
        <f t="shared" si="2121"/>
        <v>0</v>
      </c>
      <c r="Y1089" s="8">
        <v>0.0</v>
      </c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</row>
    <row r="1090" ht="22.5" customHeight="1">
      <c r="B1090" s="6">
        <v>1089.0</v>
      </c>
      <c r="C1090" s="6">
        <v>45935.0</v>
      </c>
      <c r="D1090" s="6">
        <v>0.83</v>
      </c>
      <c r="E1090" s="6">
        <v>9.73</v>
      </c>
      <c r="F1090" s="6">
        <v>2.17</v>
      </c>
      <c r="G1090" s="6">
        <v>-0.1</v>
      </c>
      <c r="H1090" s="6">
        <v>0.0</v>
      </c>
      <c r="I1090" s="6">
        <v>-0.01</v>
      </c>
      <c r="J1090" s="6">
        <v>33.33</v>
      </c>
      <c r="K1090" s="7">
        <f t="shared" ref="K1090:P1090" si="2122">abs(D1090-D1089)/200</f>
        <v>0</v>
      </c>
      <c r="L1090" s="7">
        <f t="shared" si="2122"/>
        <v>0</v>
      </c>
      <c r="M1090" s="7">
        <f t="shared" si="2122"/>
        <v>0</v>
      </c>
      <c r="N1090" s="7">
        <f t="shared" si="2122"/>
        <v>0.00005</v>
      </c>
      <c r="O1090" s="7">
        <f t="shared" si="2122"/>
        <v>0</v>
      </c>
      <c r="P1090" s="7">
        <f t="shared" si="2122"/>
        <v>0.00005</v>
      </c>
      <c r="Q1090" s="7">
        <f t="shared" si="7"/>
        <v>0.01049875621</v>
      </c>
      <c r="R1090" s="7">
        <f t="shared" si="8"/>
        <v>0</v>
      </c>
      <c r="S1090" s="7">
        <f t="shared" si="2"/>
        <v>0.2035343754</v>
      </c>
      <c r="T1090" s="7">
        <f t="shared" si="3"/>
        <v>0.1004987562</v>
      </c>
      <c r="U1090" s="7">
        <f t="shared" si="4"/>
        <v>0</v>
      </c>
      <c r="V1090" s="7">
        <f t="shared" si="5"/>
        <v>0</v>
      </c>
      <c r="W1090" s="7">
        <f t="shared" ref="W1090:X1090" si="2123">IF(AVERAGE(U1030:U1089) &gt; 0.25, 1, 0)</f>
        <v>0</v>
      </c>
      <c r="X1090" s="7">
        <f t="shared" si="2123"/>
        <v>0</v>
      </c>
      <c r="Y1090" s="8">
        <v>0.0</v>
      </c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</row>
    <row r="1091" ht="22.5" customHeight="1">
      <c r="B1091" s="6">
        <v>1090.0</v>
      </c>
      <c r="C1091" s="6">
        <v>46139.0</v>
      </c>
      <c r="D1091" s="6">
        <v>0.83</v>
      </c>
      <c r="E1091" s="6">
        <v>9.73</v>
      </c>
      <c r="F1091" s="6">
        <v>2.16</v>
      </c>
      <c r="G1091" s="6">
        <v>-0.1</v>
      </c>
      <c r="H1091" s="6">
        <v>0.0</v>
      </c>
      <c r="I1091" s="6">
        <v>-0.01</v>
      </c>
      <c r="J1091" s="6">
        <v>33.34</v>
      </c>
      <c r="K1091" s="7">
        <f t="shared" ref="K1091:P1091" si="2124">abs(D1091-D1090)/200</f>
        <v>0</v>
      </c>
      <c r="L1091" s="7">
        <f t="shared" si="2124"/>
        <v>0</v>
      </c>
      <c r="M1091" s="7">
        <f t="shared" si="2124"/>
        <v>0.00005</v>
      </c>
      <c r="N1091" s="7">
        <f t="shared" si="2124"/>
        <v>0</v>
      </c>
      <c r="O1091" s="7">
        <f t="shared" si="2124"/>
        <v>0</v>
      </c>
      <c r="P1091" s="7">
        <f t="shared" si="2124"/>
        <v>0</v>
      </c>
      <c r="Q1091" s="7">
        <f t="shared" si="7"/>
        <v>0</v>
      </c>
      <c r="R1091" s="7">
        <f t="shared" si="8"/>
        <v>0.002164469242</v>
      </c>
      <c r="S1091" s="7">
        <f t="shared" si="2"/>
        <v>0.2013699062</v>
      </c>
      <c r="T1091" s="7">
        <f t="shared" si="3"/>
        <v>0.1004987562</v>
      </c>
      <c r="U1091" s="7">
        <f t="shared" si="4"/>
        <v>0</v>
      </c>
      <c r="V1091" s="7">
        <f t="shared" si="5"/>
        <v>0</v>
      </c>
      <c r="W1091" s="7">
        <f t="shared" ref="W1091:X1091" si="2125">IF(AVERAGE(U1031:U1090) &gt; 0.25, 1, 0)</f>
        <v>0</v>
      </c>
      <c r="X1091" s="7">
        <f t="shared" si="2125"/>
        <v>0</v>
      </c>
      <c r="Y1091" s="8">
        <v>0.0</v>
      </c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</row>
    <row r="1092" ht="22.5" customHeight="1">
      <c r="B1092" s="6">
        <v>1091.0</v>
      </c>
      <c r="C1092" s="6">
        <v>46343.0</v>
      </c>
      <c r="D1092" s="6">
        <v>0.83</v>
      </c>
      <c r="E1092" s="6">
        <v>9.74</v>
      </c>
      <c r="F1092" s="6">
        <v>2.16</v>
      </c>
      <c r="G1092" s="6">
        <v>-0.1</v>
      </c>
      <c r="H1092" s="6">
        <v>0.0</v>
      </c>
      <c r="I1092" s="6">
        <v>-0.02</v>
      </c>
      <c r="J1092" s="6">
        <v>33.33</v>
      </c>
      <c r="K1092" s="7">
        <f t="shared" ref="K1092:P1092" si="2126">abs(D1092-D1091)/200</f>
        <v>0</v>
      </c>
      <c r="L1092" s="7">
        <f t="shared" si="2126"/>
        <v>0.00005</v>
      </c>
      <c r="M1092" s="7">
        <f t="shared" si="2126"/>
        <v>0</v>
      </c>
      <c r="N1092" s="7">
        <f t="shared" si="2126"/>
        <v>0</v>
      </c>
      <c r="O1092" s="7">
        <f t="shared" si="2126"/>
        <v>0</v>
      </c>
      <c r="P1092" s="7">
        <f t="shared" si="2126"/>
        <v>0.00005</v>
      </c>
      <c r="Q1092" s="7">
        <f t="shared" si="7"/>
        <v>0.001481634061</v>
      </c>
      <c r="R1092" s="7">
        <f t="shared" si="8"/>
        <v>0.009728934619</v>
      </c>
      <c r="S1092" s="7">
        <f t="shared" si="2"/>
        <v>0.2110988408</v>
      </c>
      <c r="T1092" s="7">
        <f t="shared" si="3"/>
        <v>0.1019803903</v>
      </c>
      <c r="U1092" s="7">
        <f t="shared" si="4"/>
        <v>0</v>
      </c>
      <c r="V1092" s="7">
        <f t="shared" si="5"/>
        <v>0</v>
      </c>
      <c r="W1092" s="7">
        <f t="shared" ref="W1092:X1092" si="2127">IF(AVERAGE(U1032:U1091) &gt; 0.25, 1, 0)</f>
        <v>0</v>
      </c>
      <c r="X1092" s="7">
        <f t="shared" si="2127"/>
        <v>0</v>
      </c>
      <c r="Y1092" s="8">
        <v>0.0</v>
      </c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</row>
    <row r="1093" ht="22.5" customHeight="1">
      <c r="B1093" s="6">
        <v>1092.0</v>
      </c>
      <c r="C1093" s="6">
        <v>46547.0</v>
      </c>
      <c r="D1093" s="6">
        <v>0.84</v>
      </c>
      <c r="E1093" s="6">
        <v>9.73</v>
      </c>
      <c r="F1093" s="6">
        <v>2.17</v>
      </c>
      <c r="G1093" s="6">
        <v>-0.1</v>
      </c>
      <c r="H1093" s="6">
        <v>0.0</v>
      </c>
      <c r="I1093" s="6">
        <v>-0.01</v>
      </c>
      <c r="J1093" s="6">
        <v>33.34</v>
      </c>
      <c r="K1093" s="7">
        <f t="shared" ref="K1093:P1093" si="2128">abs(D1093-D1092)/200</f>
        <v>0.00005</v>
      </c>
      <c r="L1093" s="7">
        <f t="shared" si="2128"/>
        <v>0.00005</v>
      </c>
      <c r="M1093" s="7">
        <f t="shared" si="2128"/>
        <v>0.00005</v>
      </c>
      <c r="N1093" s="7">
        <f t="shared" si="2128"/>
        <v>0</v>
      </c>
      <c r="O1093" s="7">
        <f t="shared" si="2128"/>
        <v>0</v>
      </c>
      <c r="P1093" s="7">
        <f t="shared" si="2128"/>
        <v>0.00005</v>
      </c>
      <c r="Q1093" s="7">
        <f t="shared" si="7"/>
        <v>0.001481634061</v>
      </c>
      <c r="R1093" s="7">
        <f t="shared" si="8"/>
        <v>0.006729795215</v>
      </c>
      <c r="S1093" s="7">
        <f t="shared" si="2"/>
        <v>0.2043690456</v>
      </c>
      <c r="T1093" s="7">
        <f t="shared" si="3"/>
        <v>0.1004987562</v>
      </c>
      <c r="U1093" s="7">
        <f t="shared" si="4"/>
        <v>0</v>
      </c>
      <c r="V1093" s="7">
        <f t="shared" si="5"/>
        <v>0</v>
      </c>
      <c r="W1093" s="7">
        <f t="shared" ref="W1093:X1093" si="2129">IF(AVERAGE(U1033:U1092) &gt; 0.25, 1, 0)</f>
        <v>0</v>
      </c>
      <c r="X1093" s="7">
        <f t="shared" si="2129"/>
        <v>0</v>
      </c>
      <c r="Y1093" s="8">
        <v>0.0</v>
      </c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</row>
    <row r="1094" ht="22.5" customHeight="1">
      <c r="B1094" s="6">
        <v>1093.0</v>
      </c>
      <c r="C1094" s="6">
        <v>46751.0</v>
      </c>
      <c r="D1094" s="6">
        <v>0.83</v>
      </c>
      <c r="E1094" s="6">
        <v>9.73</v>
      </c>
      <c r="F1094" s="6">
        <v>2.17</v>
      </c>
      <c r="G1094" s="6">
        <v>-0.1</v>
      </c>
      <c r="H1094" s="6">
        <v>0.0</v>
      </c>
      <c r="I1094" s="6">
        <v>-0.01</v>
      </c>
      <c r="J1094" s="6">
        <v>33.34</v>
      </c>
      <c r="K1094" s="7">
        <f t="shared" ref="K1094:P1094" si="2130">abs(D1094-D1093)/200</f>
        <v>0.00005</v>
      </c>
      <c r="L1094" s="7">
        <f t="shared" si="2130"/>
        <v>0</v>
      </c>
      <c r="M1094" s="7">
        <f t="shared" si="2130"/>
        <v>0</v>
      </c>
      <c r="N1094" s="7">
        <f t="shared" si="2130"/>
        <v>0</v>
      </c>
      <c r="O1094" s="7">
        <f t="shared" si="2130"/>
        <v>0</v>
      </c>
      <c r="P1094" s="7">
        <f t="shared" si="2130"/>
        <v>0</v>
      </c>
      <c r="Q1094" s="7">
        <f t="shared" si="7"/>
        <v>0</v>
      </c>
      <c r="R1094" s="7">
        <f t="shared" si="8"/>
        <v>0.0008346701625</v>
      </c>
      <c r="S1094" s="7">
        <f t="shared" si="2"/>
        <v>0.2035343754</v>
      </c>
      <c r="T1094" s="7">
        <f t="shared" si="3"/>
        <v>0.1004987562</v>
      </c>
      <c r="U1094" s="7">
        <f t="shared" si="4"/>
        <v>0</v>
      </c>
      <c r="V1094" s="7">
        <f t="shared" si="5"/>
        <v>0</v>
      </c>
      <c r="W1094" s="7">
        <f t="shared" ref="W1094:X1094" si="2131">IF(AVERAGE(U1034:U1093) &gt; 0.25, 1, 0)</f>
        <v>0</v>
      </c>
      <c r="X1094" s="7">
        <f t="shared" si="2131"/>
        <v>0</v>
      </c>
      <c r="Y1094" s="8">
        <v>0.0</v>
      </c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</row>
    <row r="1095" ht="22.5" customHeight="1">
      <c r="B1095" s="6">
        <v>1094.0</v>
      </c>
      <c r="C1095" s="6">
        <v>46955.0</v>
      </c>
      <c r="D1095" s="6">
        <v>0.84</v>
      </c>
      <c r="E1095" s="6">
        <v>9.73</v>
      </c>
      <c r="F1095" s="6">
        <v>2.16</v>
      </c>
      <c r="G1095" s="6">
        <v>-0.1</v>
      </c>
      <c r="H1095" s="6">
        <v>0.0</v>
      </c>
      <c r="I1095" s="6">
        <v>-0.01</v>
      </c>
      <c r="J1095" s="6">
        <v>33.34</v>
      </c>
      <c r="K1095" s="7">
        <f t="shared" ref="K1095:P1095" si="2132">abs(D1095-D1094)/200</f>
        <v>0.00005</v>
      </c>
      <c r="L1095" s="7">
        <f t="shared" si="2132"/>
        <v>0</v>
      </c>
      <c r="M1095" s="7">
        <f t="shared" si="2132"/>
        <v>0.00005</v>
      </c>
      <c r="N1095" s="7">
        <f t="shared" si="2132"/>
        <v>0</v>
      </c>
      <c r="O1095" s="7">
        <f t="shared" si="2132"/>
        <v>0</v>
      </c>
      <c r="P1095" s="7">
        <f t="shared" si="2132"/>
        <v>0</v>
      </c>
      <c r="Q1095" s="7">
        <f t="shared" si="7"/>
        <v>0</v>
      </c>
      <c r="R1095" s="7">
        <f t="shared" si="8"/>
        <v>0.001329618457</v>
      </c>
      <c r="S1095" s="7">
        <f t="shared" si="2"/>
        <v>0.202204757</v>
      </c>
      <c r="T1095" s="7">
        <f t="shared" si="3"/>
        <v>0.1004987562</v>
      </c>
      <c r="U1095" s="7">
        <f t="shared" si="4"/>
        <v>0</v>
      </c>
      <c r="V1095" s="7">
        <f t="shared" si="5"/>
        <v>0</v>
      </c>
      <c r="W1095" s="7">
        <f t="shared" ref="W1095:X1095" si="2133">IF(AVERAGE(U1035:U1094) &gt; 0.25, 1, 0)</f>
        <v>0</v>
      </c>
      <c r="X1095" s="7">
        <f t="shared" si="2133"/>
        <v>0</v>
      </c>
      <c r="Y1095" s="8">
        <v>0.0</v>
      </c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</row>
    <row r="1096" ht="22.5" customHeight="1">
      <c r="B1096" s="6">
        <v>1095.0</v>
      </c>
      <c r="C1096" s="6">
        <v>47159.0</v>
      </c>
      <c r="D1096" s="6">
        <v>0.82</v>
      </c>
      <c r="E1096" s="6">
        <v>9.73</v>
      </c>
      <c r="F1096" s="6">
        <v>2.17</v>
      </c>
      <c r="G1096" s="6">
        <v>-0.1</v>
      </c>
      <c r="H1096" s="6">
        <v>0.0</v>
      </c>
      <c r="I1096" s="6">
        <v>-0.01</v>
      </c>
      <c r="J1096" s="6">
        <v>33.34</v>
      </c>
      <c r="K1096" s="7">
        <f t="shared" ref="K1096:P1096" si="2134">abs(D1096-D1095)/200</f>
        <v>0.0001</v>
      </c>
      <c r="L1096" s="7">
        <f t="shared" si="2134"/>
        <v>0</v>
      </c>
      <c r="M1096" s="7">
        <f t="shared" si="2134"/>
        <v>0.00005</v>
      </c>
      <c r="N1096" s="7">
        <f t="shared" si="2134"/>
        <v>0</v>
      </c>
      <c r="O1096" s="7">
        <f t="shared" si="2134"/>
        <v>0</v>
      </c>
      <c r="P1096" s="7">
        <f t="shared" si="2134"/>
        <v>0</v>
      </c>
      <c r="Q1096" s="7">
        <f t="shared" si="7"/>
        <v>0</v>
      </c>
      <c r="R1096" s="7">
        <f t="shared" si="8"/>
        <v>0.0005048759421</v>
      </c>
      <c r="S1096" s="7">
        <f t="shared" si="2"/>
        <v>0.2027096329</v>
      </c>
      <c r="T1096" s="7">
        <f t="shared" si="3"/>
        <v>0.1004987562</v>
      </c>
      <c r="U1096" s="7">
        <f t="shared" si="4"/>
        <v>0</v>
      </c>
      <c r="V1096" s="7">
        <f t="shared" si="5"/>
        <v>0</v>
      </c>
      <c r="W1096" s="7">
        <f t="shared" ref="W1096:X1096" si="2135">IF(AVERAGE(U1036:U1095) &gt; 0.25, 1, 0)</f>
        <v>0</v>
      </c>
      <c r="X1096" s="7">
        <f t="shared" si="2135"/>
        <v>0</v>
      </c>
      <c r="Y1096" s="8">
        <v>0.0</v>
      </c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</row>
    <row r="1097" ht="22.5" customHeight="1">
      <c r="B1097" s="6">
        <v>1096.0</v>
      </c>
      <c r="C1097" s="6">
        <v>47363.0</v>
      </c>
      <c r="D1097" s="6">
        <v>0.82</v>
      </c>
      <c r="E1097" s="6">
        <v>9.73</v>
      </c>
      <c r="F1097" s="6">
        <v>2.18</v>
      </c>
      <c r="G1097" s="6">
        <v>-0.1</v>
      </c>
      <c r="H1097" s="6">
        <v>0.0</v>
      </c>
      <c r="I1097" s="6">
        <v>-0.02</v>
      </c>
      <c r="J1097" s="6">
        <v>33.34</v>
      </c>
      <c r="K1097" s="7">
        <f t="shared" ref="K1097:P1097" si="2136">abs(D1097-D1096)/200</f>
        <v>0</v>
      </c>
      <c r="L1097" s="7">
        <f t="shared" si="2136"/>
        <v>0</v>
      </c>
      <c r="M1097" s="7">
        <f t="shared" si="2136"/>
        <v>0.00005</v>
      </c>
      <c r="N1097" s="7">
        <f t="shared" si="2136"/>
        <v>0</v>
      </c>
      <c r="O1097" s="7">
        <f t="shared" si="2136"/>
        <v>0</v>
      </c>
      <c r="P1097" s="7">
        <f t="shared" si="2136"/>
        <v>0.00005</v>
      </c>
      <c r="Q1097" s="7">
        <f t="shared" si="7"/>
        <v>0.001481634061</v>
      </c>
      <c r="R1097" s="7">
        <f t="shared" si="8"/>
        <v>0.002174174527</v>
      </c>
      <c r="S1097" s="7">
        <f t="shared" si="2"/>
        <v>0.2048838074</v>
      </c>
      <c r="T1097" s="7">
        <f t="shared" si="3"/>
        <v>0.1019803903</v>
      </c>
      <c r="U1097" s="7">
        <f t="shared" si="4"/>
        <v>0</v>
      </c>
      <c r="V1097" s="7">
        <f t="shared" si="5"/>
        <v>0</v>
      </c>
      <c r="W1097" s="7">
        <f t="shared" ref="W1097:X1097" si="2137">IF(AVERAGE(U1037:U1096) &gt; 0.25, 1, 0)</f>
        <v>0</v>
      </c>
      <c r="X1097" s="7">
        <f t="shared" si="2137"/>
        <v>0</v>
      </c>
      <c r="Y1097" s="8">
        <v>0.0</v>
      </c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</row>
    <row r="1098" ht="22.5" customHeight="1">
      <c r="B1098" s="6">
        <v>1097.0</v>
      </c>
      <c r="C1098" s="6">
        <v>47567.0</v>
      </c>
      <c r="D1098" s="6">
        <v>0.83</v>
      </c>
      <c r="E1098" s="6">
        <v>9.74</v>
      </c>
      <c r="F1098" s="6">
        <v>2.17</v>
      </c>
      <c r="G1098" s="6">
        <v>-0.09</v>
      </c>
      <c r="H1098" s="6">
        <v>0.0</v>
      </c>
      <c r="I1098" s="6">
        <v>-0.02</v>
      </c>
      <c r="J1098" s="6">
        <v>33.34</v>
      </c>
      <c r="K1098" s="7">
        <f t="shared" ref="K1098:P1098" si="2138">abs(D1098-D1097)/200</f>
        <v>0.00005</v>
      </c>
      <c r="L1098" s="7">
        <f t="shared" si="2138"/>
        <v>0.00005</v>
      </c>
      <c r="M1098" s="7">
        <f t="shared" si="2138"/>
        <v>0.00005</v>
      </c>
      <c r="N1098" s="7">
        <f t="shared" si="2138"/>
        <v>0.00005</v>
      </c>
      <c r="O1098" s="7">
        <f t="shared" si="2138"/>
        <v>0</v>
      </c>
      <c r="P1098" s="7">
        <f t="shared" si="2138"/>
        <v>0</v>
      </c>
      <c r="Q1098" s="7">
        <f t="shared" si="7"/>
        <v>0.009784945699</v>
      </c>
      <c r="R1098" s="7">
        <f t="shared" si="8"/>
        <v>0.008377399598</v>
      </c>
      <c r="S1098" s="7">
        <f t="shared" si="2"/>
        <v>0.213261207</v>
      </c>
      <c r="T1098" s="7">
        <f t="shared" si="3"/>
        <v>0.09219544457</v>
      </c>
      <c r="U1098" s="7">
        <f t="shared" si="4"/>
        <v>0</v>
      </c>
      <c r="V1098" s="7">
        <f t="shared" si="5"/>
        <v>0</v>
      </c>
      <c r="W1098" s="7">
        <f t="shared" ref="W1098:X1098" si="2139">IF(AVERAGE(U1038:U1097) &gt; 0.25, 1, 0)</f>
        <v>0</v>
      </c>
      <c r="X1098" s="7">
        <f t="shared" si="2139"/>
        <v>0</v>
      </c>
      <c r="Y1098" s="8">
        <v>0.0</v>
      </c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</row>
    <row r="1099" ht="22.5" customHeight="1">
      <c r="B1099" s="6">
        <v>1098.0</v>
      </c>
      <c r="C1099" s="6">
        <v>47771.0</v>
      </c>
      <c r="D1099" s="6">
        <v>0.82</v>
      </c>
      <c r="E1099" s="6">
        <v>9.73</v>
      </c>
      <c r="F1099" s="6">
        <v>2.18</v>
      </c>
      <c r="G1099" s="6">
        <v>-0.09</v>
      </c>
      <c r="H1099" s="6">
        <v>0.0</v>
      </c>
      <c r="I1099" s="6">
        <v>-0.01</v>
      </c>
      <c r="J1099" s="6">
        <v>33.33</v>
      </c>
      <c r="K1099" s="7">
        <f t="shared" ref="K1099:P1099" si="2140">abs(D1099-D1098)/200</f>
        <v>0.00005</v>
      </c>
      <c r="L1099" s="7">
        <f t="shared" si="2140"/>
        <v>0.00005</v>
      </c>
      <c r="M1099" s="7">
        <f t="shared" si="2140"/>
        <v>0.00005</v>
      </c>
      <c r="N1099" s="7">
        <f t="shared" si="2140"/>
        <v>0</v>
      </c>
      <c r="O1099" s="7">
        <f t="shared" si="2140"/>
        <v>0</v>
      </c>
      <c r="P1099" s="7">
        <f t="shared" si="2140"/>
        <v>0.00005</v>
      </c>
      <c r="Q1099" s="7">
        <f t="shared" si="7"/>
        <v>0.001641593192</v>
      </c>
      <c r="R1099" s="7">
        <f t="shared" si="8"/>
        <v>0.008377399598</v>
      </c>
      <c r="S1099" s="7">
        <f t="shared" si="2"/>
        <v>0.2048838074</v>
      </c>
      <c r="T1099" s="7">
        <f t="shared" si="3"/>
        <v>0.09055385138</v>
      </c>
      <c r="U1099" s="7">
        <f t="shared" si="4"/>
        <v>0</v>
      </c>
      <c r="V1099" s="7">
        <f t="shared" si="5"/>
        <v>0</v>
      </c>
      <c r="W1099" s="7">
        <f t="shared" ref="W1099:X1099" si="2141">IF(AVERAGE(U1039:U1098) &gt; 0.25, 1, 0)</f>
        <v>0</v>
      </c>
      <c r="X1099" s="7">
        <f t="shared" si="2141"/>
        <v>0</v>
      </c>
      <c r="Y1099" s="8">
        <v>0.0</v>
      </c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</row>
    <row r="1100" ht="22.5" customHeight="1">
      <c r="B1100" s="6">
        <v>1099.0</v>
      </c>
      <c r="C1100" s="6">
        <v>47975.0</v>
      </c>
      <c r="D1100" s="6">
        <v>0.87</v>
      </c>
      <c r="E1100" s="6">
        <v>9.71</v>
      </c>
      <c r="F1100" s="6">
        <v>2.15</v>
      </c>
      <c r="G1100" s="6">
        <v>-0.1</v>
      </c>
      <c r="H1100" s="6">
        <v>0.0</v>
      </c>
      <c r="I1100" s="6">
        <v>-0.01</v>
      </c>
      <c r="J1100" s="6">
        <v>33.34</v>
      </c>
      <c r="K1100" s="7">
        <f t="shared" ref="K1100:P1100" si="2142">abs(D1100-D1099)/200</f>
        <v>0.00025</v>
      </c>
      <c r="L1100" s="7">
        <f t="shared" si="2142"/>
        <v>0.0001</v>
      </c>
      <c r="M1100" s="7">
        <f t="shared" si="2142"/>
        <v>0.00015</v>
      </c>
      <c r="N1100" s="7">
        <f t="shared" si="2142"/>
        <v>0.00005</v>
      </c>
      <c r="O1100" s="7">
        <f t="shared" si="2142"/>
        <v>0</v>
      </c>
      <c r="P1100" s="7">
        <f t="shared" si="2142"/>
        <v>0</v>
      </c>
      <c r="Q1100" s="7">
        <f t="shared" si="7"/>
        <v>0.00994490483</v>
      </c>
      <c r="R1100" s="7">
        <f t="shared" si="8"/>
        <v>0.02172298532</v>
      </c>
      <c r="S1100" s="7">
        <f t="shared" si="2"/>
        <v>0.1831608221</v>
      </c>
      <c r="T1100" s="7">
        <f t="shared" si="3"/>
        <v>0.1004987562</v>
      </c>
      <c r="U1100" s="7">
        <f t="shared" si="4"/>
        <v>0</v>
      </c>
      <c r="V1100" s="7">
        <f t="shared" si="5"/>
        <v>0</v>
      </c>
      <c r="W1100" s="7">
        <f t="shared" ref="W1100:X1100" si="2143">IF(AVERAGE(U1040:U1099) &gt; 0.25, 1, 0)</f>
        <v>0</v>
      </c>
      <c r="X1100" s="7">
        <f t="shared" si="2143"/>
        <v>0</v>
      </c>
      <c r="Y1100" s="8">
        <v>0.0</v>
      </c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</row>
    <row r="1101" ht="22.5" customHeight="1">
      <c r="B1101" s="6">
        <v>1100.0</v>
      </c>
      <c r="C1101" s="6">
        <v>48179.0</v>
      </c>
      <c r="D1101" s="6">
        <v>0.83</v>
      </c>
      <c r="E1101" s="6">
        <v>9.74</v>
      </c>
      <c r="F1101" s="6">
        <v>2.17</v>
      </c>
      <c r="G1101" s="6">
        <v>-0.1</v>
      </c>
      <c r="H1101" s="6">
        <v>0.0</v>
      </c>
      <c r="I1101" s="6">
        <v>-0.01</v>
      </c>
      <c r="J1101" s="6">
        <v>33.34</v>
      </c>
      <c r="K1101" s="7">
        <f t="shared" ref="K1101:P1101" si="2144">abs(D1101-D1100)/200</f>
        <v>0.0002</v>
      </c>
      <c r="L1101" s="7">
        <f t="shared" si="2144"/>
        <v>0.00015</v>
      </c>
      <c r="M1101" s="7">
        <f t="shared" si="2144"/>
        <v>0.0001</v>
      </c>
      <c r="N1101" s="7">
        <f t="shared" si="2144"/>
        <v>0</v>
      </c>
      <c r="O1101" s="7">
        <f t="shared" si="2144"/>
        <v>0</v>
      </c>
      <c r="P1101" s="7">
        <f t="shared" si="2144"/>
        <v>0</v>
      </c>
      <c r="Q1101" s="7">
        <f t="shared" si="7"/>
        <v>0</v>
      </c>
      <c r="R1101" s="7">
        <f t="shared" si="8"/>
        <v>0.03010038492</v>
      </c>
      <c r="S1101" s="7">
        <f t="shared" si="2"/>
        <v>0.213261207</v>
      </c>
      <c r="T1101" s="7">
        <f t="shared" si="3"/>
        <v>0.1004987562</v>
      </c>
      <c r="U1101" s="7">
        <f t="shared" si="4"/>
        <v>0</v>
      </c>
      <c r="V1101" s="7">
        <f t="shared" si="5"/>
        <v>0</v>
      </c>
      <c r="W1101" s="7">
        <f t="shared" ref="W1101:X1101" si="2145">IF(AVERAGE(U1041:U1100) &gt; 0.25, 1, 0)</f>
        <v>0</v>
      </c>
      <c r="X1101" s="7">
        <f t="shared" si="2145"/>
        <v>0</v>
      </c>
      <c r="Y1101" s="8">
        <v>0.0</v>
      </c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</row>
    <row r="1102" ht="22.5" customHeight="1">
      <c r="B1102" s="6">
        <v>1101.0</v>
      </c>
      <c r="C1102" s="6">
        <v>48383.0</v>
      </c>
      <c r="D1102" s="6">
        <v>0.83</v>
      </c>
      <c r="E1102" s="6">
        <v>9.74</v>
      </c>
      <c r="F1102" s="6">
        <v>2.15</v>
      </c>
      <c r="G1102" s="6">
        <v>-0.1</v>
      </c>
      <c r="H1102" s="6">
        <v>0.0</v>
      </c>
      <c r="I1102" s="6">
        <v>-0.01</v>
      </c>
      <c r="J1102" s="6">
        <v>33.34</v>
      </c>
      <c r="K1102" s="7">
        <f t="shared" ref="K1102:P1102" si="2146">abs(D1102-D1101)/200</f>
        <v>0</v>
      </c>
      <c r="L1102" s="7">
        <f t="shared" si="2146"/>
        <v>0</v>
      </c>
      <c r="M1102" s="7">
        <f t="shared" si="2146"/>
        <v>0.0001</v>
      </c>
      <c r="N1102" s="7">
        <f t="shared" si="2146"/>
        <v>0</v>
      </c>
      <c r="O1102" s="7">
        <f t="shared" si="2146"/>
        <v>0</v>
      </c>
      <c r="P1102" s="7">
        <f t="shared" si="2146"/>
        <v>0</v>
      </c>
      <c r="Q1102" s="7">
        <f t="shared" si="7"/>
        <v>0</v>
      </c>
      <c r="R1102" s="7">
        <f t="shared" si="8"/>
        <v>0.004315208564</v>
      </c>
      <c r="S1102" s="7">
        <f t="shared" si="2"/>
        <v>0.2089459985</v>
      </c>
      <c r="T1102" s="7">
        <f t="shared" si="3"/>
        <v>0.1004987562</v>
      </c>
      <c r="U1102" s="7">
        <f t="shared" si="4"/>
        <v>0</v>
      </c>
      <c r="V1102" s="7">
        <f t="shared" si="5"/>
        <v>0</v>
      </c>
      <c r="W1102" s="7">
        <f t="shared" ref="W1102:X1102" si="2147">IF(AVERAGE(U1042:U1101) &gt; 0.25, 1, 0)</f>
        <v>0</v>
      </c>
      <c r="X1102" s="7">
        <f t="shared" si="2147"/>
        <v>0</v>
      </c>
      <c r="Y1102" s="8">
        <v>0.0</v>
      </c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</row>
    <row r="1103" ht="22.5" customHeight="1">
      <c r="B1103" s="6">
        <v>1102.0</v>
      </c>
      <c r="C1103" s="6">
        <v>48587.0</v>
      </c>
      <c r="D1103" s="6">
        <v>0.83</v>
      </c>
      <c r="E1103" s="6">
        <v>9.73</v>
      </c>
      <c r="F1103" s="6">
        <v>2.17</v>
      </c>
      <c r="G1103" s="6">
        <v>-0.1</v>
      </c>
      <c r="H1103" s="6">
        <v>0.0</v>
      </c>
      <c r="I1103" s="6">
        <v>-0.02</v>
      </c>
      <c r="J1103" s="6">
        <v>33.33</v>
      </c>
      <c r="K1103" s="7">
        <f t="shared" ref="K1103:P1103" si="2148">abs(D1103-D1102)/200</f>
        <v>0</v>
      </c>
      <c r="L1103" s="7">
        <f t="shared" si="2148"/>
        <v>0.00005</v>
      </c>
      <c r="M1103" s="7">
        <f t="shared" si="2148"/>
        <v>0.0001</v>
      </c>
      <c r="N1103" s="7">
        <f t="shared" si="2148"/>
        <v>0</v>
      </c>
      <c r="O1103" s="7">
        <f t="shared" si="2148"/>
        <v>0</v>
      </c>
      <c r="P1103" s="7">
        <f t="shared" si="2148"/>
        <v>0.00005</v>
      </c>
      <c r="Q1103" s="7">
        <f t="shared" si="7"/>
        <v>0.001481634061</v>
      </c>
      <c r="R1103" s="7">
        <f t="shared" si="8"/>
        <v>0.005411623046</v>
      </c>
      <c r="S1103" s="7">
        <f t="shared" si="2"/>
        <v>0.2035343754</v>
      </c>
      <c r="T1103" s="7">
        <f t="shared" si="3"/>
        <v>0.1019803903</v>
      </c>
      <c r="U1103" s="7">
        <f t="shared" si="4"/>
        <v>0</v>
      </c>
      <c r="V1103" s="7">
        <f t="shared" si="5"/>
        <v>0</v>
      </c>
      <c r="W1103" s="7">
        <f t="shared" ref="W1103:X1103" si="2149">IF(AVERAGE(U1043:U1102) &gt; 0.25, 1, 0)</f>
        <v>0</v>
      </c>
      <c r="X1103" s="7">
        <f t="shared" si="2149"/>
        <v>0</v>
      </c>
      <c r="Y1103" s="8">
        <v>0.0</v>
      </c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</row>
    <row r="1104" ht="22.5" customHeight="1">
      <c r="B1104" s="6">
        <v>1103.0</v>
      </c>
      <c r="C1104" s="6">
        <v>48791.0</v>
      </c>
      <c r="D1104" s="6">
        <v>0.83</v>
      </c>
      <c r="E1104" s="6">
        <v>9.74</v>
      </c>
      <c r="F1104" s="6">
        <v>2.16</v>
      </c>
      <c r="G1104" s="6">
        <v>-0.1</v>
      </c>
      <c r="H1104" s="6">
        <v>0.0</v>
      </c>
      <c r="I1104" s="6">
        <v>-0.01</v>
      </c>
      <c r="J1104" s="6">
        <v>33.34</v>
      </c>
      <c r="K1104" s="7">
        <f t="shared" ref="K1104:P1104" si="2150">abs(D1104-D1103)/200</f>
        <v>0</v>
      </c>
      <c r="L1104" s="7">
        <f t="shared" si="2150"/>
        <v>0.00005</v>
      </c>
      <c r="M1104" s="7">
        <f t="shared" si="2150"/>
        <v>0.00005</v>
      </c>
      <c r="N1104" s="7">
        <f t="shared" si="2150"/>
        <v>0</v>
      </c>
      <c r="O1104" s="7">
        <f t="shared" si="2150"/>
        <v>0</v>
      </c>
      <c r="P1104" s="7">
        <f t="shared" si="2150"/>
        <v>0.00005</v>
      </c>
      <c r="Q1104" s="7">
        <f t="shared" si="7"/>
        <v>0.001481634061</v>
      </c>
      <c r="R1104" s="7">
        <f t="shared" si="8"/>
        <v>0.007564465377</v>
      </c>
      <c r="S1104" s="7">
        <f t="shared" si="2"/>
        <v>0.2110988408</v>
      </c>
      <c r="T1104" s="7">
        <f t="shared" si="3"/>
        <v>0.1004987562</v>
      </c>
      <c r="U1104" s="7">
        <f t="shared" si="4"/>
        <v>0</v>
      </c>
      <c r="V1104" s="7">
        <f t="shared" si="5"/>
        <v>0</v>
      </c>
      <c r="W1104" s="7">
        <f t="shared" ref="W1104:X1104" si="2151">IF(AVERAGE(U1044:U1103) &gt; 0.25, 1, 0)</f>
        <v>0</v>
      </c>
      <c r="X1104" s="7">
        <f t="shared" si="2151"/>
        <v>0</v>
      </c>
      <c r="Y1104" s="8">
        <v>0.0</v>
      </c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</row>
    <row r="1105" ht="22.5" customHeight="1">
      <c r="B1105" s="6">
        <v>1104.0</v>
      </c>
      <c r="C1105" s="6">
        <v>48995.0</v>
      </c>
      <c r="D1105" s="6">
        <v>0.85</v>
      </c>
      <c r="E1105" s="6">
        <v>9.73</v>
      </c>
      <c r="F1105" s="6">
        <v>2.17</v>
      </c>
      <c r="G1105" s="6">
        <v>-0.1</v>
      </c>
      <c r="H1105" s="6">
        <v>0.0</v>
      </c>
      <c r="I1105" s="6">
        <v>-0.01</v>
      </c>
      <c r="J1105" s="6">
        <v>33.34</v>
      </c>
      <c r="K1105" s="7">
        <f t="shared" ref="K1105:P1105" si="2152">abs(D1105-D1104)/200</f>
        <v>0.0001</v>
      </c>
      <c r="L1105" s="7">
        <f t="shared" si="2152"/>
        <v>0.00005</v>
      </c>
      <c r="M1105" s="7">
        <f t="shared" si="2152"/>
        <v>0.00005</v>
      </c>
      <c r="N1105" s="7">
        <f t="shared" si="2152"/>
        <v>0</v>
      </c>
      <c r="O1105" s="7">
        <f t="shared" si="2152"/>
        <v>0</v>
      </c>
      <c r="P1105" s="7">
        <f t="shared" si="2152"/>
        <v>0</v>
      </c>
      <c r="Q1105" s="7">
        <f t="shared" si="7"/>
        <v>0</v>
      </c>
      <c r="R1105" s="7">
        <f t="shared" si="8"/>
        <v>0.005885199889</v>
      </c>
      <c r="S1105" s="7">
        <f t="shared" si="2"/>
        <v>0.2052136409</v>
      </c>
      <c r="T1105" s="7">
        <f t="shared" si="3"/>
        <v>0.1004987562</v>
      </c>
      <c r="U1105" s="7">
        <f t="shared" si="4"/>
        <v>0</v>
      </c>
      <c r="V1105" s="7">
        <f t="shared" si="5"/>
        <v>0</v>
      </c>
      <c r="W1105" s="7">
        <f t="shared" ref="W1105:X1105" si="2153">IF(AVERAGE(U1045:U1104) &gt; 0.25, 1, 0)</f>
        <v>0</v>
      </c>
      <c r="X1105" s="7">
        <f t="shared" si="2153"/>
        <v>0</v>
      </c>
      <c r="Y1105" s="8">
        <v>0.0</v>
      </c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</row>
    <row r="1106" ht="22.5" customHeight="1">
      <c r="B1106" s="6">
        <v>1105.0</v>
      </c>
      <c r="C1106" s="6">
        <v>49199.0</v>
      </c>
      <c r="D1106" s="6">
        <v>0.85</v>
      </c>
      <c r="E1106" s="6">
        <v>9.73</v>
      </c>
      <c r="F1106" s="6">
        <v>2.15</v>
      </c>
      <c r="G1106" s="6">
        <v>-0.1</v>
      </c>
      <c r="H1106" s="6">
        <v>0.0</v>
      </c>
      <c r="I1106" s="6">
        <v>-0.01</v>
      </c>
      <c r="J1106" s="6">
        <v>33.34</v>
      </c>
      <c r="K1106" s="7">
        <f t="shared" ref="K1106:P1106" si="2154">abs(D1106-D1105)/200</f>
        <v>0</v>
      </c>
      <c r="L1106" s="7">
        <f t="shared" si="2154"/>
        <v>0</v>
      </c>
      <c r="M1106" s="7">
        <f t="shared" si="2154"/>
        <v>0.0001</v>
      </c>
      <c r="N1106" s="7">
        <f t="shared" si="2154"/>
        <v>0</v>
      </c>
      <c r="O1106" s="7">
        <f t="shared" si="2154"/>
        <v>0</v>
      </c>
      <c r="P1106" s="7">
        <f t="shared" si="2154"/>
        <v>0</v>
      </c>
      <c r="Q1106" s="7">
        <f t="shared" si="7"/>
        <v>0</v>
      </c>
      <c r="R1106" s="7">
        <f t="shared" si="8"/>
        <v>0.004318680945</v>
      </c>
      <c r="S1106" s="7">
        <f t="shared" si="2"/>
        <v>0.20089496</v>
      </c>
      <c r="T1106" s="7">
        <f t="shared" si="3"/>
        <v>0.1004987562</v>
      </c>
      <c r="U1106" s="7">
        <f t="shared" si="4"/>
        <v>0</v>
      </c>
      <c r="V1106" s="7">
        <f t="shared" si="5"/>
        <v>0</v>
      </c>
      <c r="W1106" s="7">
        <f t="shared" ref="W1106:X1106" si="2155">IF(AVERAGE(U1046:U1105) &gt; 0.25, 1, 0)</f>
        <v>0</v>
      </c>
      <c r="X1106" s="7">
        <f t="shared" si="2155"/>
        <v>0</v>
      </c>
      <c r="Y1106" s="8">
        <v>0.0</v>
      </c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</row>
    <row r="1107" ht="22.5" customHeight="1">
      <c r="B1107" s="6">
        <v>1106.0</v>
      </c>
      <c r="C1107" s="6">
        <v>49403.0</v>
      </c>
      <c r="D1107" s="6">
        <v>0.81</v>
      </c>
      <c r="E1107" s="6">
        <v>9.75</v>
      </c>
      <c r="F1107" s="6">
        <v>2.16</v>
      </c>
      <c r="G1107" s="6">
        <v>-0.09</v>
      </c>
      <c r="H1107" s="6">
        <v>0.0</v>
      </c>
      <c r="I1107" s="6">
        <v>-0.01</v>
      </c>
      <c r="J1107" s="6">
        <v>33.34</v>
      </c>
      <c r="K1107" s="7">
        <f t="shared" ref="K1107:P1107" si="2156">abs(D1107-D1106)/200</f>
        <v>0.0002</v>
      </c>
      <c r="L1107" s="7">
        <f t="shared" si="2156"/>
        <v>0.0001</v>
      </c>
      <c r="M1107" s="7">
        <f t="shared" si="2156"/>
        <v>0.00005</v>
      </c>
      <c r="N1107" s="7">
        <f t="shared" si="2156"/>
        <v>0.00005</v>
      </c>
      <c r="O1107" s="7">
        <f t="shared" si="2156"/>
        <v>0</v>
      </c>
      <c r="P1107" s="7">
        <f t="shared" si="2156"/>
        <v>0</v>
      </c>
      <c r="Q1107" s="7">
        <f t="shared" si="7"/>
        <v>0.00994490483</v>
      </c>
      <c r="R1107" s="7">
        <f t="shared" si="8"/>
        <v>0.0182966242</v>
      </c>
      <c r="S1107" s="7">
        <f t="shared" si="2"/>
        <v>0.2191915842</v>
      </c>
      <c r="T1107" s="7">
        <f t="shared" si="3"/>
        <v>0.09055385138</v>
      </c>
      <c r="U1107" s="7">
        <f t="shared" si="4"/>
        <v>0</v>
      </c>
      <c r="V1107" s="7">
        <f t="shared" si="5"/>
        <v>0</v>
      </c>
      <c r="W1107" s="7">
        <f t="shared" ref="W1107:X1107" si="2157">IF(AVERAGE(U1047:U1106) &gt; 0.25, 1, 0)</f>
        <v>0</v>
      </c>
      <c r="X1107" s="7">
        <f t="shared" si="2157"/>
        <v>0</v>
      </c>
      <c r="Y1107" s="8">
        <v>0.0</v>
      </c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</row>
    <row r="1108" ht="22.5" customHeight="1">
      <c r="B1108" s="6">
        <v>1107.0</v>
      </c>
      <c r="C1108" s="6">
        <v>49607.0</v>
      </c>
      <c r="D1108" s="6">
        <v>0.83</v>
      </c>
      <c r="E1108" s="6">
        <v>9.73</v>
      </c>
      <c r="F1108" s="6">
        <v>2.16</v>
      </c>
      <c r="G1108" s="6">
        <v>-0.1</v>
      </c>
      <c r="H1108" s="6">
        <v>0.0</v>
      </c>
      <c r="I1108" s="6">
        <v>-0.01</v>
      </c>
      <c r="J1108" s="6">
        <v>33.33</v>
      </c>
      <c r="K1108" s="7">
        <f t="shared" ref="K1108:P1108" si="2158">abs(D1108-D1107)/200</f>
        <v>0.0001</v>
      </c>
      <c r="L1108" s="7">
        <f t="shared" si="2158"/>
        <v>0.0001</v>
      </c>
      <c r="M1108" s="7">
        <f t="shared" si="2158"/>
        <v>0</v>
      </c>
      <c r="N1108" s="7">
        <f t="shared" si="2158"/>
        <v>0.00005</v>
      </c>
      <c r="O1108" s="7">
        <f t="shared" si="2158"/>
        <v>0</v>
      </c>
      <c r="P1108" s="7">
        <f t="shared" si="2158"/>
        <v>0</v>
      </c>
      <c r="Q1108" s="7">
        <f t="shared" si="7"/>
        <v>0.00994490483</v>
      </c>
      <c r="R1108" s="7">
        <f t="shared" si="8"/>
        <v>0.01782167799</v>
      </c>
      <c r="S1108" s="7">
        <f t="shared" si="2"/>
        <v>0.2013699062</v>
      </c>
      <c r="T1108" s="7">
        <f t="shared" si="3"/>
        <v>0.1004987562</v>
      </c>
      <c r="U1108" s="7">
        <f t="shared" si="4"/>
        <v>0</v>
      </c>
      <c r="V1108" s="7">
        <f t="shared" si="5"/>
        <v>0</v>
      </c>
      <c r="W1108" s="7">
        <f t="shared" ref="W1108:X1108" si="2159">IF(AVERAGE(U1048:U1107) &gt; 0.25, 1, 0)</f>
        <v>0</v>
      </c>
      <c r="X1108" s="7">
        <f t="shared" si="2159"/>
        <v>0</v>
      </c>
      <c r="Y1108" s="8">
        <v>0.0</v>
      </c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</row>
    <row r="1109" ht="22.5" customHeight="1">
      <c r="B1109" s="6">
        <v>1108.0</v>
      </c>
      <c r="C1109" s="6">
        <v>49811.0</v>
      </c>
      <c r="D1109" s="6">
        <v>0.83</v>
      </c>
      <c r="E1109" s="6">
        <v>9.74</v>
      </c>
      <c r="F1109" s="6">
        <v>2.18</v>
      </c>
      <c r="G1109" s="6">
        <v>-0.1</v>
      </c>
      <c r="H1109" s="6">
        <v>0.0</v>
      </c>
      <c r="I1109" s="6">
        <v>-0.01</v>
      </c>
      <c r="J1109" s="6">
        <v>33.34</v>
      </c>
      <c r="K1109" s="7">
        <f t="shared" ref="K1109:P1109" si="2160">abs(D1109-D1108)/200</f>
        <v>0</v>
      </c>
      <c r="L1109" s="7">
        <f t="shared" si="2160"/>
        <v>0.00005</v>
      </c>
      <c r="M1109" s="7">
        <f t="shared" si="2160"/>
        <v>0.0001</v>
      </c>
      <c r="N1109" s="7">
        <f t="shared" si="2160"/>
        <v>0</v>
      </c>
      <c r="O1109" s="7">
        <f t="shared" si="2160"/>
        <v>0</v>
      </c>
      <c r="P1109" s="7">
        <f t="shared" si="2160"/>
        <v>0</v>
      </c>
      <c r="Q1109" s="7">
        <f t="shared" si="7"/>
        <v>0</v>
      </c>
      <c r="R1109" s="7">
        <f t="shared" si="8"/>
        <v>0.01406318482</v>
      </c>
      <c r="S1109" s="7">
        <f t="shared" si="2"/>
        <v>0.215433091</v>
      </c>
      <c r="T1109" s="7">
        <f t="shared" si="3"/>
        <v>0.1004987562</v>
      </c>
      <c r="U1109" s="7">
        <f t="shared" si="4"/>
        <v>0</v>
      </c>
      <c r="V1109" s="7">
        <f t="shared" si="5"/>
        <v>0</v>
      </c>
      <c r="W1109" s="7">
        <f t="shared" ref="W1109:X1109" si="2161">IF(AVERAGE(U1049:U1108) &gt; 0.25, 1, 0)</f>
        <v>0</v>
      </c>
      <c r="X1109" s="7">
        <f t="shared" si="2161"/>
        <v>0</v>
      </c>
      <c r="Y1109" s="8">
        <v>0.0</v>
      </c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</row>
    <row r="1110" ht="22.5" customHeight="1">
      <c r="B1110" s="6">
        <v>1109.0</v>
      </c>
      <c r="C1110" s="6">
        <v>50015.0</v>
      </c>
      <c r="D1110" s="6">
        <v>0.83</v>
      </c>
      <c r="E1110" s="6">
        <v>9.74</v>
      </c>
      <c r="F1110" s="6">
        <v>2.18</v>
      </c>
      <c r="G1110" s="6">
        <v>-0.1</v>
      </c>
      <c r="H1110" s="6">
        <v>0.0</v>
      </c>
      <c r="I1110" s="6">
        <v>-0.01</v>
      </c>
      <c r="J1110" s="6">
        <v>33.34</v>
      </c>
      <c r="K1110" s="7">
        <f t="shared" ref="K1110:P1110" si="2162">abs(D1110-D1109)/200</f>
        <v>0</v>
      </c>
      <c r="L1110" s="7">
        <f t="shared" si="2162"/>
        <v>0</v>
      </c>
      <c r="M1110" s="7">
        <f t="shared" si="2162"/>
        <v>0</v>
      </c>
      <c r="N1110" s="7">
        <f t="shared" si="2162"/>
        <v>0</v>
      </c>
      <c r="O1110" s="7">
        <f t="shared" si="2162"/>
        <v>0</v>
      </c>
      <c r="P1110" s="7">
        <f t="shared" si="2162"/>
        <v>0</v>
      </c>
      <c r="Q1110" s="7">
        <f t="shared" si="7"/>
        <v>0</v>
      </c>
      <c r="R1110" s="7">
        <f t="shared" si="8"/>
        <v>0</v>
      </c>
      <c r="S1110" s="7">
        <f t="shared" si="2"/>
        <v>0.215433091</v>
      </c>
      <c r="T1110" s="7">
        <f t="shared" si="3"/>
        <v>0.1004987562</v>
      </c>
      <c r="U1110" s="7">
        <f t="shared" si="4"/>
        <v>0</v>
      </c>
      <c r="V1110" s="7">
        <f t="shared" si="5"/>
        <v>0</v>
      </c>
      <c r="W1110" s="7">
        <f t="shared" ref="W1110:X1110" si="2163">IF(AVERAGE(U1050:U1109) &gt; 0.25, 1, 0)</f>
        <v>0</v>
      </c>
      <c r="X1110" s="7">
        <f t="shared" si="2163"/>
        <v>0</v>
      </c>
      <c r="Y1110" s="8">
        <v>0.0</v>
      </c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</row>
    <row r="1111" ht="22.5" customHeight="1">
      <c r="B1111" s="6">
        <v>1110.0</v>
      </c>
      <c r="C1111" s="6">
        <v>50219.0</v>
      </c>
      <c r="D1111" s="6">
        <v>0.84</v>
      </c>
      <c r="E1111" s="6">
        <v>9.73</v>
      </c>
      <c r="F1111" s="6">
        <v>2.15</v>
      </c>
      <c r="G1111" s="6">
        <v>-0.09</v>
      </c>
      <c r="H1111" s="6">
        <v>0.0</v>
      </c>
      <c r="I1111" s="6">
        <v>-0.01</v>
      </c>
      <c r="J1111" s="6">
        <v>33.33</v>
      </c>
      <c r="K1111" s="7">
        <f t="shared" ref="K1111:P1111" si="2164">abs(D1111-D1110)/200</f>
        <v>0.00005</v>
      </c>
      <c r="L1111" s="7">
        <f t="shared" si="2164"/>
        <v>0.00005</v>
      </c>
      <c r="M1111" s="7">
        <f t="shared" si="2164"/>
        <v>0.00015</v>
      </c>
      <c r="N1111" s="7">
        <f t="shared" si="2164"/>
        <v>0.00005</v>
      </c>
      <c r="O1111" s="7">
        <f t="shared" si="2164"/>
        <v>0</v>
      </c>
      <c r="P1111" s="7">
        <f t="shared" si="2164"/>
        <v>0</v>
      </c>
      <c r="Q1111" s="7">
        <f t="shared" si="7"/>
        <v>0.00994490483</v>
      </c>
      <c r="R1111" s="7">
        <f t="shared" si="8"/>
        <v>0.01538309111</v>
      </c>
      <c r="S1111" s="7">
        <f t="shared" si="2"/>
        <v>0.2000499999</v>
      </c>
      <c r="T1111" s="7">
        <f t="shared" si="3"/>
        <v>0.09055385138</v>
      </c>
      <c r="U1111" s="7">
        <f t="shared" si="4"/>
        <v>0</v>
      </c>
      <c r="V1111" s="7">
        <f t="shared" si="5"/>
        <v>0</v>
      </c>
      <c r="W1111" s="7">
        <f t="shared" ref="W1111:X1111" si="2165">IF(AVERAGE(U1051:U1110) &gt; 0.25, 1, 0)</f>
        <v>0</v>
      </c>
      <c r="X1111" s="7">
        <f t="shared" si="2165"/>
        <v>0</v>
      </c>
      <c r="Y1111" s="8">
        <v>0.0</v>
      </c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</row>
    <row r="1112" ht="22.5" customHeight="1">
      <c r="B1112" s="6">
        <v>1111.0</v>
      </c>
      <c r="C1112" s="6">
        <v>50423.0</v>
      </c>
      <c r="D1112" s="6">
        <v>0.82</v>
      </c>
      <c r="E1112" s="6">
        <v>9.72</v>
      </c>
      <c r="F1112" s="6">
        <v>2.18</v>
      </c>
      <c r="G1112" s="6">
        <v>-0.1</v>
      </c>
      <c r="H1112" s="6">
        <v>0.0</v>
      </c>
      <c r="I1112" s="6">
        <v>-0.01</v>
      </c>
      <c r="J1112" s="6">
        <v>33.35</v>
      </c>
      <c r="K1112" s="7">
        <f t="shared" ref="K1112:P1112" si="2166">abs(D1112-D1111)/200</f>
        <v>0.0001</v>
      </c>
      <c r="L1112" s="7">
        <f t="shared" si="2166"/>
        <v>0.00005</v>
      </c>
      <c r="M1112" s="7">
        <f t="shared" si="2166"/>
        <v>0.00015</v>
      </c>
      <c r="N1112" s="7">
        <f t="shared" si="2166"/>
        <v>0.00005</v>
      </c>
      <c r="O1112" s="7">
        <f t="shared" si="2166"/>
        <v>0</v>
      </c>
      <c r="P1112" s="7">
        <f t="shared" si="2166"/>
        <v>0</v>
      </c>
      <c r="Q1112" s="7">
        <f t="shared" si="7"/>
        <v>0.00994490483</v>
      </c>
      <c r="R1112" s="7">
        <f t="shared" si="8"/>
        <v>0.004891171722</v>
      </c>
      <c r="S1112" s="7">
        <f t="shared" si="2"/>
        <v>0.1951588282</v>
      </c>
      <c r="T1112" s="7">
        <f t="shared" si="3"/>
        <v>0.1004987562</v>
      </c>
      <c r="U1112" s="7">
        <f t="shared" si="4"/>
        <v>0</v>
      </c>
      <c r="V1112" s="7">
        <f t="shared" si="5"/>
        <v>0</v>
      </c>
      <c r="W1112" s="7">
        <f t="shared" ref="W1112:X1112" si="2167">IF(AVERAGE(U1052:U1111) &gt; 0.25, 1, 0)</f>
        <v>0</v>
      </c>
      <c r="X1112" s="7">
        <f t="shared" si="2167"/>
        <v>0</v>
      </c>
      <c r="Y1112" s="8">
        <v>0.0</v>
      </c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</row>
    <row r="1113" ht="22.5" customHeight="1">
      <c r="B1113" s="6">
        <v>1112.0</v>
      </c>
      <c r="C1113" s="6">
        <v>50627.0</v>
      </c>
      <c r="D1113" s="6">
        <v>0.84</v>
      </c>
      <c r="E1113" s="6">
        <v>9.72</v>
      </c>
      <c r="F1113" s="6">
        <v>2.14</v>
      </c>
      <c r="G1113" s="6">
        <v>-0.09</v>
      </c>
      <c r="H1113" s="6">
        <v>0.0</v>
      </c>
      <c r="I1113" s="6">
        <v>0.0</v>
      </c>
      <c r="J1113" s="6">
        <v>33.35</v>
      </c>
      <c r="K1113" s="7">
        <f t="shared" ref="K1113:P1113" si="2168">abs(D1113-D1112)/200</f>
        <v>0.0001</v>
      </c>
      <c r="L1113" s="7">
        <f t="shared" si="2168"/>
        <v>0</v>
      </c>
      <c r="M1113" s="7">
        <f t="shared" si="2168"/>
        <v>0.0002</v>
      </c>
      <c r="N1113" s="7">
        <f t="shared" si="2168"/>
        <v>0.00005</v>
      </c>
      <c r="O1113" s="7">
        <f t="shared" si="2168"/>
        <v>0</v>
      </c>
      <c r="P1113" s="7">
        <f t="shared" si="2168"/>
        <v>0.00005</v>
      </c>
      <c r="Q1113" s="7">
        <f t="shared" si="7"/>
        <v>0.01049875621</v>
      </c>
      <c r="R1113" s="7">
        <f t="shared" si="8"/>
        <v>0.006985822042</v>
      </c>
      <c r="S1113" s="7">
        <f t="shared" si="2"/>
        <v>0.1881730061</v>
      </c>
      <c r="T1113" s="7">
        <f t="shared" si="3"/>
        <v>0.09</v>
      </c>
      <c r="U1113" s="7">
        <f t="shared" si="4"/>
        <v>0</v>
      </c>
      <c r="V1113" s="7">
        <f t="shared" si="5"/>
        <v>0</v>
      </c>
      <c r="W1113" s="7">
        <f t="shared" ref="W1113:X1113" si="2169">IF(AVERAGE(U1053:U1112) &gt; 0.25, 1, 0)</f>
        <v>0</v>
      </c>
      <c r="X1113" s="7">
        <f t="shared" si="2169"/>
        <v>0</v>
      </c>
      <c r="Y1113" s="8">
        <v>0.0</v>
      </c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</row>
    <row r="1114" ht="22.5" customHeight="1">
      <c r="B1114" s="6">
        <v>1113.0</v>
      </c>
      <c r="C1114" s="6">
        <v>50831.0</v>
      </c>
      <c r="D1114" s="6">
        <v>0.83</v>
      </c>
      <c r="E1114" s="6">
        <v>9.73</v>
      </c>
      <c r="F1114" s="6">
        <v>2.17</v>
      </c>
      <c r="G1114" s="6">
        <v>-0.1</v>
      </c>
      <c r="H1114" s="6">
        <v>0.0</v>
      </c>
      <c r="I1114" s="6">
        <v>-0.02</v>
      </c>
      <c r="J1114" s="6">
        <v>33.35</v>
      </c>
      <c r="K1114" s="7">
        <f t="shared" ref="K1114:P1114" si="2170">abs(D1114-D1113)/200</f>
        <v>0.00005</v>
      </c>
      <c r="L1114" s="7">
        <f t="shared" si="2170"/>
        <v>0.00005</v>
      </c>
      <c r="M1114" s="7">
        <f t="shared" si="2170"/>
        <v>0.00015</v>
      </c>
      <c r="N1114" s="7">
        <f t="shared" si="2170"/>
        <v>0.00005</v>
      </c>
      <c r="O1114" s="7">
        <f t="shared" si="2170"/>
        <v>0</v>
      </c>
      <c r="P1114" s="7">
        <f t="shared" si="2170"/>
        <v>0.0001</v>
      </c>
      <c r="Q1114" s="7">
        <f t="shared" si="7"/>
        <v>0.01198039027</v>
      </c>
      <c r="R1114" s="7">
        <f t="shared" si="8"/>
        <v>0.0153613693</v>
      </c>
      <c r="S1114" s="7">
        <f t="shared" si="2"/>
        <v>0.2035343754</v>
      </c>
      <c r="T1114" s="7">
        <f t="shared" si="3"/>
        <v>0.1019803903</v>
      </c>
      <c r="U1114" s="7">
        <f t="shared" si="4"/>
        <v>0</v>
      </c>
      <c r="V1114" s="7">
        <f t="shared" si="5"/>
        <v>0</v>
      </c>
      <c r="W1114" s="7">
        <f t="shared" ref="W1114:X1114" si="2171">IF(AVERAGE(U1054:U1113) &gt; 0.25, 1, 0)</f>
        <v>0</v>
      </c>
      <c r="X1114" s="7">
        <f t="shared" si="2171"/>
        <v>0</v>
      </c>
      <c r="Y1114" s="8">
        <v>0.0</v>
      </c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</row>
    <row r="1115" ht="22.5" customHeight="1">
      <c r="B1115" s="6">
        <v>1114.0</v>
      </c>
      <c r="C1115" s="6">
        <v>51035.0</v>
      </c>
      <c r="D1115" s="6">
        <v>0.83</v>
      </c>
      <c r="E1115" s="6">
        <v>9.73</v>
      </c>
      <c r="F1115" s="6">
        <v>2.15</v>
      </c>
      <c r="G1115" s="6">
        <v>-0.1</v>
      </c>
      <c r="H1115" s="6">
        <v>0.0</v>
      </c>
      <c r="I1115" s="6">
        <v>-0.01</v>
      </c>
      <c r="J1115" s="6">
        <v>33.34</v>
      </c>
      <c r="K1115" s="7">
        <f t="shared" ref="K1115:P1115" si="2172">abs(D1115-D1114)/200</f>
        <v>0</v>
      </c>
      <c r="L1115" s="7">
        <f t="shared" si="2172"/>
        <v>0</v>
      </c>
      <c r="M1115" s="7">
        <f t="shared" si="2172"/>
        <v>0.0001</v>
      </c>
      <c r="N1115" s="7">
        <f t="shared" si="2172"/>
        <v>0</v>
      </c>
      <c r="O1115" s="7">
        <f t="shared" si="2172"/>
        <v>0</v>
      </c>
      <c r="P1115" s="7">
        <f t="shared" si="2172"/>
        <v>0.00005</v>
      </c>
      <c r="Q1115" s="7">
        <f t="shared" si="7"/>
        <v>0.001481634061</v>
      </c>
      <c r="R1115" s="7">
        <f t="shared" si="8"/>
        <v>0.004319406223</v>
      </c>
      <c r="S1115" s="7">
        <f t="shared" si="2"/>
        <v>0.1992149692</v>
      </c>
      <c r="T1115" s="7">
        <f t="shared" si="3"/>
        <v>0.1004987562</v>
      </c>
      <c r="U1115" s="7">
        <f t="shared" si="4"/>
        <v>0</v>
      </c>
      <c r="V1115" s="7">
        <f t="shared" si="5"/>
        <v>0</v>
      </c>
      <c r="W1115" s="7">
        <f t="shared" ref="W1115:X1115" si="2173">IF(AVERAGE(U1055:U1114) &gt; 0.25, 1, 0)</f>
        <v>0</v>
      </c>
      <c r="X1115" s="7">
        <f t="shared" si="2173"/>
        <v>0</v>
      </c>
      <c r="Y1115" s="8">
        <v>0.0</v>
      </c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</row>
    <row r="1116" ht="22.5" customHeight="1">
      <c r="B1116" s="6">
        <v>1115.0</v>
      </c>
      <c r="C1116" s="6">
        <v>51239.0</v>
      </c>
      <c r="D1116" s="6">
        <v>0.84</v>
      </c>
      <c r="E1116" s="6">
        <v>9.73</v>
      </c>
      <c r="F1116" s="6">
        <v>2.15</v>
      </c>
      <c r="G1116" s="6">
        <v>-0.09</v>
      </c>
      <c r="H1116" s="6">
        <v>0.0</v>
      </c>
      <c r="I1116" s="6">
        <v>-0.01</v>
      </c>
      <c r="J1116" s="6">
        <v>33.34</v>
      </c>
      <c r="K1116" s="7">
        <f t="shared" ref="K1116:P1116" si="2174">abs(D1116-D1115)/200</f>
        <v>0.00005</v>
      </c>
      <c r="L1116" s="7">
        <f t="shared" si="2174"/>
        <v>0</v>
      </c>
      <c r="M1116" s="7">
        <f t="shared" si="2174"/>
        <v>0</v>
      </c>
      <c r="N1116" s="7">
        <f t="shared" si="2174"/>
        <v>0.00005</v>
      </c>
      <c r="O1116" s="7">
        <f t="shared" si="2174"/>
        <v>0</v>
      </c>
      <c r="P1116" s="7">
        <f t="shared" si="2174"/>
        <v>0</v>
      </c>
      <c r="Q1116" s="7">
        <f t="shared" si="7"/>
        <v>0.00994490483</v>
      </c>
      <c r="R1116" s="7">
        <f t="shared" si="8"/>
        <v>0.0008350306887</v>
      </c>
      <c r="S1116" s="7">
        <f t="shared" si="2"/>
        <v>0.2000499999</v>
      </c>
      <c r="T1116" s="7">
        <f t="shared" si="3"/>
        <v>0.09055385138</v>
      </c>
      <c r="U1116" s="7">
        <f t="shared" si="4"/>
        <v>0</v>
      </c>
      <c r="V1116" s="7">
        <f t="shared" si="5"/>
        <v>0</v>
      </c>
      <c r="W1116" s="7">
        <f t="shared" ref="W1116:X1116" si="2175">IF(AVERAGE(U1056:U1115) &gt; 0.25, 1, 0)</f>
        <v>0</v>
      </c>
      <c r="X1116" s="7">
        <f t="shared" si="2175"/>
        <v>0</v>
      </c>
      <c r="Y1116" s="8">
        <v>0.0</v>
      </c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</row>
    <row r="1117" ht="22.5" customHeight="1">
      <c r="B1117" s="6">
        <v>1116.0</v>
      </c>
      <c r="C1117" s="6">
        <v>51443.0</v>
      </c>
      <c r="D1117" s="6">
        <v>0.84</v>
      </c>
      <c r="E1117" s="6">
        <v>9.74</v>
      </c>
      <c r="F1117" s="6">
        <v>2.15</v>
      </c>
      <c r="G1117" s="6">
        <v>-0.1</v>
      </c>
      <c r="H1117" s="6">
        <v>0.0</v>
      </c>
      <c r="I1117" s="6">
        <v>-0.01</v>
      </c>
      <c r="J1117" s="6">
        <v>33.34</v>
      </c>
      <c r="K1117" s="7">
        <f t="shared" ref="K1117:P1117" si="2176">abs(D1117-D1116)/200</f>
        <v>0</v>
      </c>
      <c r="L1117" s="7">
        <f t="shared" si="2176"/>
        <v>0.00005</v>
      </c>
      <c r="M1117" s="7">
        <f t="shared" si="2176"/>
        <v>0</v>
      </c>
      <c r="N1117" s="7">
        <f t="shared" si="2176"/>
        <v>0.00005</v>
      </c>
      <c r="O1117" s="7">
        <f t="shared" si="2176"/>
        <v>0</v>
      </c>
      <c r="P1117" s="7">
        <f t="shared" si="2176"/>
        <v>0</v>
      </c>
      <c r="Q1117" s="7">
        <f t="shared" si="7"/>
        <v>0.00994490483</v>
      </c>
      <c r="R1117" s="7">
        <f t="shared" si="8"/>
        <v>0.009730217492</v>
      </c>
      <c r="S1117" s="7">
        <f t="shared" si="2"/>
        <v>0.2097802174</v>
      </c>
      <c r="T1117" s="7">
        <f t="shared" si="3"/>
        <v>0.1004987562</v>
      </c>
      <c r="U1117" s="7">
        <f t="shared" si="4"/>
        <v>0</v>
      </c>
      <c r="V1117" s="7">
        <f t="shared" si="5"/>
        <v>0</v>
      </c>
      <c r="W1117" s="7">
        <f t="shared" ref="W1117:X1117" si="2177">IF(AVERAGE(U1057:U1116) &gt; 0.25, 1, 0)</f>
        <v>0</v>
      </c>
      <c r="X1117" s="7">
        <f t="shared" si="2177"/>
        <v>0</v>
      </c>
      <c r="Y1117" s="8">
        <v>0.0</v>
      </c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</row>
    <row r="1118" ht="22.5" customHeight="1">
      <c r="B1118" s="6">
        <v>1117.0</v>
      </c>
      <c r="C1118" s="6">
        <v>51647.0</v>
      </c>
      <c r="D1118" s="6">
        <v>0.81</v>
      </c>
      <c r="E1118" s="6">
        <v>9.75</v>
      </c>
      <c r="F1118" s="6">
        <v>2.15</v>
      </c>
      <c r="G1118" s="6">
        <v>-0.1</v>
      </c>
      <c r="H1118" s="6">
        <v>0.0</v>
      </c>
      <c r="I1118" s="6">
        <v>-0.01</v>
      </c>
      <c r="J1118" s="6">
        <v>33.34</v>
      </c>
      <c r="K1118" s="7">
        <f t="shared" ref="K1118:P1118" si="2178">abs(D1118-D1117)/200</f>
        <v>0.00015</v>
      </c>
      <c r="L1118" s="7">
        <f t="shared" si="2178"/>
        <v>0.00005</v>
      </c>
      <c r="M1118" s="7">
        <f t="shared" si="2178"/>
        <v>0</v>
      </c>
      <c r="N1118" s="7">
        <f t="shared" si="2178"/>
        <v>0</v>
      </c>
      <c r="O1118" s="7">
        <f t="shared" si="2178"/>
        <v>0</v>
      </c>
      <c r="P1118" s="7">
        <f t="shared" si="2178"/>
        <v>0</v>
      </c>
      <c r="Q1118" s="7">
        <f t="shared" si="7"/>
        <v>0</v>
      </c>
      <c r="R1118" s="7">
        <f t="shared" si="8"/>
        <v>0.007260263733</v>
      </c>
      <c r="S1118" s="7">
        <f t="shared" si="2"/>
        <v>0.2170404811</v>
      </c>
      <c r="T1118" s="7">
        <f t="shared" si="3"/>
        <v>0.1004987562</v>
      </c>
      <c r="U1118" s="7">
        <f t="shared" si="4"/>
        <v>0</v>
      </c>
      <c r="V1118" s="7">
        <f t="shared" si="5"/>
        <v>0</v>
      </c>
      <c r="W1118" s="7">
        <f t="shared" ref="W1118:X1118" si="2179">IF(AVERAGE(U1058:U1117) &gt; 0.25, 1, 0)</f>
        <v>0</v>
      </c>
      <c r="X1118" s="7">
        <f t="shared" si="2179"/>
        <v>0</v>
      </c>
      <c r="Y1118" s="8">
        <v>0.0</v>
      </c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</row>
    <row r="1119" ht="22.5" customHeight="1">
      <c r="B1119" s="6">
        <v>1118.0</v>
      </c>
      <c r="C1119" s="6">
        <v>51851.0</v>
      </c>
      <c r="D1119" s="6">
        <v>0.85</v>
      </c>
      <c r="E1119" s="6">
        <v>9.73</v>
      </c>
      <c r="F1119" s="6">
        <v>2.14</v>
      </c>
      <c r="G1119" s="6">
        <v>-0.1</v>
      </c>
      <c r="H1119" s="6">
        <v>0.0</v>
      </c>
      <c r="I1119" s="6">
        <v>-0.01</v>
      </c>
      <c r="J1119" s="6">
        <v>33.34</v>
      </c>
      <c r="K1119" s="7">
        <f t="shared" ref="K1119:P1119" si="2180">abs(D1119-D1118)/200</f>
        <v>0.0002</v>
      </c>
      <c r="L1119" s="7">
        <f t="shared" si="2180"/>
        <v>0.0001</v>
      </c>
      <c r="M1119" s="7">
        <f t="shared" si="2180"/>
        <v>0.00005</v>
      </c>
      <c r="N1119" s="7">
        <f t="shared" si="2180"/>
        <v>0</v>
      </c>
      <c r="O1119" s="7">
        <f t="shared" si="2180"/>
        <v>0</v>
      </c>
      <c r="P1119" s="7">
        <f t="shared" si="2180"/>
        <v>0</v>
      </c>
      <c r="Q1119" s="7">
        <f t="shared" si="7"/>
        <v>0</v>
      </c>
      <c r="R1119" s="7">
        <f t="shared" si="8"/>
        <v>0.01829055923</v>
      </c>
      <c r="S1119" s="7">
        <f t="shared" si="2"/>
        <v>0.1987499219</v>
      </c>
      <c r="T1119" s="7">
        <f t="shared" si="3"/>
        <v>0.1004987562</v>
      </c>
      <c r="U1119" s="7">
        <f t="shared" si="4"/>
        <v>0</v>
      </c>
      <c r="V1119" s="7">
        <f t="shared" si="5"/>
        <v>0</v>
      </c>
      <c r="W1119" s="7">
        <f t="shared" ref="W1119:X1119" si="2181">IF(AVERAGE(U1059:U1118) &gt; 0.25, 1, 0)</f>
        <v>0</v>
      </c>
      <c r="X1119" s="7">
        <f t="shared" si="2181"/>
        <v>0</v>
      </c>
      <c r="Y1119" s="8">
        <v>0.0</v>
      </c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</row>
    <row r="1120" ht="22.5" customHeight="1">
      <c r="B1120" s="6">
        <v>1119.0</v>
      </c>
      <c r="C1120" s="6">
        <v>52055.0</v>
      </c>
      <c r="D1120" s="6">
        <v>0.84</v>
      </c>
      <c r="E1120" s="6">
        <v>9.74</v>
      </c>
      <c r="F1120" s="6">
        <v>2.16</v>
      </c>
      <c r="G1120" s="6">
        <v>-0.1</v>
      </c>
      <c r="H1120" s="6">
        <v>0.0</v>
      </c>
      <c r="I1120" s="6">
        <v>-0.02</v>
      </c>
      <c r="J1120" s="6">
        <v>33.33</v>
      </c>
      <c r="K1120" s="7">
        <f t="shared" ref="K1120:P1120" si="2182">abs(D1120-D1119)/200</f>
        <v>0.00005</v>
      </c>
      <c r="L1120" s="7">
        <f t="shared" si="2182"/>
        <v>0.00005</v>
      </c>
      <c r="M1120" s="7">
        <f t="shared" si="2182"/>
        <v>0.0001</v>
      </c>
      <c r="N1120" s="7">
        <f t="shared" si="2182"/>
        <v>0</v>
      </c>
      <c r="O1120" s="7">
        <f t="shared" si="2182"/>
        <v>0</v>
      </c>
      <c r="P1120" s="7">
        <f t="shared" si="2182"/>
        <v>0.00005</v>
      </c>
      <c r="Q1120" s="7">
        <f t="shared" si="7"/>
        <v>0.001481634061</v>
      </c>
      <c r="R1120" s="7">
        <f t="shared" si="8"/>
        <v>0.01318295845</v>
      </c>
      <c r="S1120" s="7">
        <f t="shared" si="2"/>
        <v>0.2119328803</v>
      </c>
      <c r="T1120" s="7">
        <f t="shared" si="3"/>
        <v>0.1019803903</v>
      </c>
      <c r="U1120" s="7">
        <f t="shared" si="4"/>
        <v>0</v>
      </c>
      <c r="V1120" s="7">
        <f t="shared" si="5"/>
        <v>0</v>
      </c>
      <c r="W1120" s="7">
        <f t="shared" ref="W1120:X1120" si="2183">IF(AVERAGE(U1060:U1119) &gt; 0.25, 1, 0)</f>
        <v>0</v>
      </c>
      <c r="X1120" s="7">
        <f t="shared" si="2183"/>
        <v>0</v>
      </c>
      <c r="Y1120" s="8">
        <v>0.0</v>
      </c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</row>
    <row r="1121" ht="22.5" customHeight="1">
      <c r="B1121" s="6">
        <v>1120.0</v>
      </c>
      <c r="C1121" s="6">
        <v>52259.0</v>
      </c>
      <c r="D1121" s="6">
        <v>0.86</v>
      </c>
      <c r="E1121" s="6">
        <v>9.73</v>
      </c>
      <c r="F1121" s="6">
        <v>2.16</v>
      </c>
      <c r="G1121" s="6">
        <v>-0.1</v>
      </c>
      <c r="H1121" s="6">
        <v>0.0</v>
      </c>
      <c r="I1121" s="6">
        <v>-0.02</v>
      </c>
      <c r="J1121" s="6">
        <v>33.33</v>
      </c>
      <c r="K1121" s="7">
        <f t="shared" ref="K1121:P1121" si="2184">abs(D1121-D1120)/200</f>
        <v>0.0001</v>
      </c>
      <c r="L1121" s="7">
        <f t="shared" si="2184"/>
        <v>0.00005</v>
      </c>
      <c r="M1121" s="7">
        <f t="shared" si="2184"/>
        <v>0</v>
      </c>
      <c r="N1121" s="7">
        <f t="shared" si="2184"/>
        <v>0</v>
      </c>
      <c r="O1121" s="7">
        <f t="shared" si="2184"/>
        <v>0</v>
      </c>
      <c r="P1121" s="7">
        <f t="shared" si="2184"/>
        <v>0</v>
      </c>
      <c r="Q1121" s="7">
        <f t="shared" si="7"/>
        <v>0</v>
      </c>
      <c r="R1121" s="7">
        <f t="shared" si="8"/>
        <v>0.008028642472</v>
      </c>
      <c r="S1121" s="7">
        <f t="shared" si="2"/>
        <v>0.2039042378</v>
      </c>
      <c r="T1121" s="7">
        <f t="shared" si="3"/>
        <v>0.1019803903</v>
      </c>
      <c r="U1121" s="7">
        <f t="shared" si="4"/>
        <v>0</v>
      </c>
      <c r="V1121" s="7">
        <f t="shared" si="5"/>
        <v>0</v>
      </c>
      <c r="W1121" s="7">
        <f t="shared" ref="W1121:X1121" si="2185">IF(AVERAGE(U1061:U1120) &gt; 0.25, 1, 0)</f>
        <v>0</v>
      </c>
      <c r="X1121" s="7">
        <f t="shared" si="2185"/>
        <v>0</v>
      </c>
      <c r="Y1121" s="8">
        <v>0.0</v>
      </c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</row>
    <row r="1122" ht="22.5" customHeight="1">
      <c r="B1122" s="6">
        <v>1121.0</v>
      </c>
      <c r="C1122" s="6">
        <v>52463.0</v>
      </c>
      <c r="D1122" s="6">
        <v>0.84</v>
      </c>
      <c r="E1122" s="6">
        <v>9.73</v>
      </c>
      <c r="F1122" s="6">
        <v>2.16</v>
      </c>
      <c r="G1122" s="6">
        <v>-0.1</v>
      </c>
      <c r="H1122" s="6">
        <v>0.0</v>
      </c>
      <c r="I1122" s="6">
        <v>-0.02</v>
      </c>
      <c r="J1122" s="6">
        <v>33.34</v>
      </c>
      <c r="K1122" s="7">
        <f t="shared" ref="K1122:P1122" si="2186">abs(D1122-D1121)/200</f>
        <v>0.0001</v>
      </c>
      <c r="L1122" s="7">
        <f t="shared" si="2186"/>
        <v>0</v>
      </c>
      <c r="M1122" s="7">
        <f t="shared" si="2186"/>
        <v>0</v>
      </c>
      <c r="N1122" s="7">
        <f t="shared" si="2186"/>
        <v>0</v>
      </c>
      <c r="O1122" s="7">
        <f t="shared" si="2186"/>
        <v>0</v>
      </c>
      <c r="P1122" s="7">
        <f t="shared" si="2186"/>
        <v>0</v>
      </c>
      <c r="Q1122" s="7">
        <f t="shared" si="7"/>
        <v>0</v>
      </c>
      <c r="R1122" s="7">
        <f t="shared" si="8"/>
        <v>0.001699480894</v>
      </c>
      <c r="S1122" s="7">
        <f t="shared" si="2"/>
        <v>0.202204757</v>
      </c>
      <c r="T1122" s="7">
        <f t="shared" si="3"/>
        <v>0.1019803903</v>
      </c>
      <c r="U1122" s="7">
        <f t="shared" si="4"/>
        <v>0</v>
      </c>
      <c r="V1122" s="7">
        <f t="shared" si="5"/>
        <v>0</v>
      </c>
      <c r="W1122" s="7">
        <f t="shared" ref="W1122:X1122" si="2187">IF(AVERAGE(U1062:U1121) &gt; 0.25, 1, 0)</f>
        <v>0</v>
      </c>
      <c r="X1122" s="7">
        <f t="shared" si="2187"/>
        <v>0</v>
      </c>
      <c r="Y1122" s="8">
        <v>0.0</v>
      </c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</row>
    <row r="1123" ht="22.5" customHeight="1">
      <c r="B1123" s="6">
        <v>1122.0</v>
      </c>
      <c r="C1123" s="6">
        <v>52667.0</v>
      </c>
      <c r="D1123" s="6">
        <v>0.85</v>
      </c>
      <c r="E1123" s="6">
        <v>9.72</v>
      </c>
      <c r="F1123" s="6">
        <v>2.17</v>
      </c>
      <c r="G1123" s="6">
        <v>-0.1</v>
      </c>
      <c r="H1123" s="6">
        <v>0.0</v>
      </c>
      <c r="I1123" s="6">
        <v>-0.01</v>
      </c>
      <c r="J1123" s="6">
        <v>33.32</v>
      </c>
      <c r="K1123" s="7">
        <f t="shared" ref="K1123:P1123" si="2188">abs(D1123-D1122)/200</f>
        <v>0.00005</v>
      </c>
      <c r="L1123" s="7">
        <f t="shared" si="2188"/>
        <v>0.00005</v>
      </c>
      <c r="M1123" s="7">
        <f t="shared" si="2188"/>
        <v>0.00005</v>
      </c>
      <c r="N1123" s="7">
        <f t="shared" si="2188"/>
        <v>0</v>
      </c>
      <c r="O1123" s="7">
        <f t="shared" si="2188"/>
        <v>0</v>
      </c>
      <c r="P1123" s="7">
        <f t="shared" si="2188"/>
        <v>0.00005</v>
      </c>
      <c r="Q1123" s="7">
        <f t="shared" si="7"/>
        <v>0.001481634061</v>
      </c>
      <c r="R1123" s="7">
        <f t="shared" si="8"/>
        <v>0.006715774416</v>
      </c>
      <c r="S1123" s="7">
        <f t="shared" si="2"/>
        <v>0.1954889825</v>
      </c>
      <c r="T1123" s="7">
        <f t="shared" si="3"/>
        <v>0.1004987562</v>
      </c>
      <c r="U1123" s="7">
        <f t="shared" si="4"/>
        <v>0</v>
      </c>
      <c r="V1123" s="7">
        <f t="shared" si="5"/>
        <v>0</v>
      </c>
      <c r="W1123" s="7">
        <f t="shared" ref="W1123:X1123" si="2189">IF(AVERAGE(U1063:U1122) &gt; 0.25, 1, 0)</f>
        <v>0</v>
      </c>
      <c r="X1123" s="7">
        <f t="shared" si="2189"/>
        <v>0</v>
      </c>
      <c r="Y1123" s="8">
        <v>0.0</v>
      </c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</row>
    <row r="1124" ht="22.5" customHeight="1">
      <c r="B1124" s="6">
        <v>1123.0</v>
      </c>
      <c r="C1124" s="6">
        <v>52871.0</v>
      </c>
      <c r="D1124" s="6">
        <v>0.84</v>
      </c>
      <c r="E1124" s="6">
        <v>9.74</v>
      </c>
      <c r="F1124" s="6">
        <v>2.15</v>
      </c>
      <c r="G1124" s="6">
        <v>-0.1</v>
      </c>
      <c r="H1124" s="6">
        <v>0.0</v>
      </c>
      <c r="I1124" s="6">
        <v>-0.01</v>
      </c>
      <c r="J1124" s="6">
        <v>33.33</v>
      </c>
      <c r="K1124" s="7">
        <f t="shared" ref="K1124:P1124" si="2190">abs(D1124-D1123)/200</f>
        <v>0.00005</v>
      </c>
      <c r="L1124" s="7">
        <f t="shared" si="2190"/>
        <v>0.0001</v>
      </c>
      <c r="M1124" s="7">
        <f t="shared" si="2190"/>
        <v>0.0001</v>
      </c>
      <c r="N1124" s="7">
        <f t="shared" si="2190"/>
        <v>0</v>
      </c>
      <c r="O1124" s="7">
        <f t="shared" si="2190"/>
        <v>0</v>
      </c>
      <c r="P1124" s="7">
        <f t="shared" si="2190"/>
        <v>0</v>
      </c>
      <c r="Q1124" s="7">
        <f t="shared" si="7"/>
        <v>0</v>
      </c>
      <c r="R1124" s="7">
        <f t="shared" si="8"/>
        <v>0.01429123483</v>
      </c>
      <c r="S1124" s="7">
        <f t="shared" si="2"/>
        <v>0.2097802174</v>
      </c>
      <c r="T1124" s="7">
        <f t="shared" si="3"/>
        <v>0.1004987562</v>
      </c>
      <c r="U1124" s="7">
        <f t="shared" si="4"/>
        <v>0</v>
      </c>
      <c r="V1124" s="7">
        <f t="shared" si="5"/>
        <v>0</v>
      </c>
      <c r="W1124" s="7">
        <f t="shared" ref="W1124:X1124" si="2191">IF(AVERAGE(U1064:U1123) &gt; 0.25, 1, 0)</f>
        <v>0</v>
      </c>
      <c r="X1124" s="7">
        <f t="shared" si="2191"/>
        <v>0</v>
      </c>
      <c r="Y1124" s="8">
        <v>0.0</v>
      </c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</row>
    <row r="1125" ht="22.5" customHeight="1">
      <c r="B1125" s="6">
        <v>1124.0</v>
      </c>
      <c r="C1125" s="6">
        <v>53075.0</v>
      </c>
      <c r="D1125" s="6">
        <v>0.83</v>
      </c>
      <c r="E1125" s="6">
        <v>9.74</v>
      </c>
      <c r="F1125" s="6">
        <v>2.17</v>
      </c>
      <c r="G1125" s="6">
        <v>-0.09</v>
      </c>
      <c r="H1125" s="6">
        <v>0.0</v>
      </c>
      <c r="I1125" s="6">
        <v>-0.02</v>
      </c>
      <c r="J1125" s="6">
        <v>33.34</v>
      </c>
      <c r="K1125" s="7">
        <f t="shared" ref="K1125:P1125" si="2192">abs(D1125-D1124)/200</f>
        <v>0.00005</v>
      </c>
      <c r="L1125" s="7">
        <f t="shared" si="2192"/>
        <v>0</v>
      </c>
      <c r="M1125" s="7">
        <f t="shared" si="2192"/>
        <v>0.0001</v>
      </c>
      <c r="N1125" s="7">
        <f t="shared" si="2192"/>
        <v>0.00005</v>
      </c>
      <c r="O1125" s="7">
        <f t="shared" si="2192"/>
        <v>0</v>
      </c>
      <c r="P1125" s="7">
        <f t="shared" si="2192"/>
        <v>0.00005</v>
      </c>
      <c r="Q1125" s="7">
        <f t="shared" si="7"/>
        <v>0.008303311638</v>
      </c>
      <c r="R1125" s="7">
        <f t="shared" si="8"/>
        <v>0.003480989652</v>
      </c>
      <c r="S1125" s="7">
        <f t="shared" si="2"/>
        <v>0.213261207</v>
      </c>
      <c r="T1125" s="7">
        <f t="shared" si="3"/>
        <v>0.09219544457</v>
      </c>
      <c r="U1125" s="7">
        <f t="shared" si="4"/>
        <v>0</v>
      </c>
      <c r="V1125" s="7">
        <f t="shared" si="5"/>
        <v>0</v>
      </c>
      <c r="W1125" s="7">
        <f t="shared" ref="W1125:X1125" si="2193">IF(AVERAGE(U1065:U1124) &gt; 0.25, 1, 0)</f>
        <v>0</v>
      </c>
      <c r="X1125" s="7">
        <f t="shared" si="2193"/>
        <v>0</v>
      </c>
      <c r="Y1125" s="8">
        <v>0.0</v>
      </c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</row>
    <row r="1126" ht="22.5" customHeight="1">
      <c r="B1126" s="6">
        <v>1125.0</v>
      </c>
      <c r="C1126" s="6">
        <v>53279.0</v>
      </c>
      <c r="D1126" s="6">
        <v>0.82</v>
      </c>
      <c r="E1126" s="6">
        <v>9.74</v>
      </c>
      <c r="F1126" s="6">
        <v>2.16</v>
      </c>
      <c r="G1126" s="6">
        <v>-0.1</v>
      </c>
      <c r="H1126" s="6">
        <v>0.0</v>
      </c>
      <c r="I1126" s="6">
        <v>-0.01</v>
      </c>
      <c r="J1126" s="6">
        <v>33.34</v>
      </c>
      <c r="K1126" s="7">
        <f t="shared" ref="K1126:P1126" si="2194">abs(D1126-D1125)/200</f>
        <v>0.00005</v>
      </c>
      <c r="L1126" s="7">
        <f t="shared" si="2194"/>
        <v>0</v>
      </c>
      <c r="M1126" s="7">
        <f t="shared" si="2194"/>
        <v>0.00005</v>
      </c>
      <c r="N1126" s="7">
        <f t="shared" si="2194"/>
        <v>0.00005</v>
      </c>
      <c r="O1126" s="7">
        <f t="shared" si="2194"/>
        <v>0</v>
      </c>
      <c r="P1126" s="7">
        <f t="shared" si="2194"/>
        <v>0.00005</v>
      </c>
      <c r="Q1126" s="7">
        <f t="shared" si="7"/>
        <v>0.008303311638</v>
      </c>
      <c r="R1126" s="7">
        <f t="shared" si="8"/>
        <v>0.002986485515</v>
      </c>
      <c r="S1126" s="7">
        <f t="shared" si="2"/>
        <v>0.2102747215</v>
      </c>
      <c r="T1126" s="7">
        <f t="shared" si="3"/>
        <v>0.1004987562</v>
      </c>
      <c r="U1126" s="7">
        <f t="shared" si="4"/>
        <v>0</v>
      </c>
      <c r="V1126" s="7">
        <f t="shared" si="5"/>
        <v>0</v>
      </c>
      <c r="W1126" s="7">
        <f t="shared" ref="W1126:X1126" si="2195">IF(AVERAGE(U1066:U1125) &gt; 0.25, 1, 0)</f>
        <v>0</v>
      </c>
      <c r="X1126" s="7">
        <f t="shared" si="2195"/>
        <v>0</v>
      </c>
      <c r="Y1126" s="8">
        <v>0.0</v>
      </c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</row>
    <row r="1127" ht="22.5" customHeight="1">
      <c r="B1127" s="6">
        <v>1126.0</v>
      </c>
      <c r="C1127" s="6">
        <v>53483.0</v>
      </c>
      <c r="D1127" s="6">
        <v>0.84</v>
      </c>
      <c r="E1127" s="6">
        <v>9.74</v>
      </c>
      <c r="F1127" s="6">
        <v>2.16</v>
      </c>
      <c r="G1127" s="6">
        <v>-0.1</v>
      </c>
      <c r="H1127" s="6">
        <v>0.0</v>
      </c>
      <c r="I1127" s="6">
        <v>-0.01</v>
      </c>
      <c r="J1127" s="6">
        <v>33.34</v>
      </c>
      <c r="K1127" s="7">
        <f t="shared" ref="K1127:P1127" si="2196">abs(D1127-D1126)/200</f>
        <v>0.0001</v>
      </c>
      <c r="L1127" s="7">
        <f t="shared" si="2196"/>
        <v>0</v>
      </c>
      <c r="M1127" s="7">
        <f t="shared" si="2196"/>
        <v>0</v>
      </c>
      <c r="N1127" s="7">
        <f t="shared" si="2196"/>
        <v>0</v>
      </c>
      <c r="O1127" s="7">
        <f t="shared" si="2196"/>
        <v>0</v>
      </c>
      <c r="P1127" s="7">
        <f t="shared" si="2196"/>
        <v>0</v>
      </c>
      <c r="Q1127" s="7">
        <f t="shared" si="7"/>
        <v>0</v>
      </c>
      <c r="R1127" s="7">
        <f t="shared" si="8"/>
        <v>0.001658158813</v>
      </c>
      <c r="S1127" s="7">
        <f t="shared" si="2"/>
        <v>0.2119328803</v>
      </c>
      <c r="T1127" s="7">
        <f t="shared" si="3"/>
        <v>0.1004987562</v>
      </c>
      <c r="U1127" s="7">
        <f t="shared" si="4"/>
        <v>0</v>
      </c>
      <c r="V1127" s="7">
        <f t="shared" si="5"/>
        <v>0</v>
      </c>
      <c r="W1127" s="7">
        <f t="shared" ref="W1127:X1127" si="2197">IF(AVERAGE(U1067:U1126) &gt; 0.25, 1, 0)</f>
        <v>0</v>
      </c>
      <c r="X1127" s="7">
        <f t="shared" si="2197"/>
        <v>0</v>
      </c>
      <c r="Y1127" s="8">
        <v>0.0</v>
      </c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</row>
    <row r="1128" ht="22.5" customHeight="1">
      <c r="B1128" s="6">
        <v>1127.0</v>
      </c>
      <c r="C1128" s="6">
        <v>53687.0</v>
      </c>
      <c r="D1128" s="6">
        <v>0.84</v>
      </c>
      <c r="E1128" s="6">
        <v>9.73</v>
      </c>
      <c r="F1128" s="6">
        <v>2.17</v>
      </c>
      <c r="G1128" s="6">
        <v>-0.09</v>
      </c>
      <c r="H1128" s="6">
        <v>0.0</v>
      </c>
      <c r="I1128" s="6">
        <v>-0.01</v>
      </c>
      <c r="J1128" s="6">
        <v>33.34</v>
      </c>
      <c r="K1128" s="7">
        <f t="shared" ref="K1128:P1128" si="2198">abs(D1128-D1127)/200</f>
        <v>0</v>
      </c>
      <c r="L1128" s="7">
        <f t="shared" si="2198"/>
        <v>0.00005</v>
      </c>
      <c r="M1128" s="7">
        <f t="shared" si="2198"/>
        <v>0.00005</v>
      </c>
      <c r="N1128" s="7">
        <f t="shared" si="2198"/>
        <v>0.00005</v>
      </c>
      <c r="O1128" s="7">
        <f t="shared" si="2198"/>
        <v>0</v>
      </c>
      <c r="P1128" s="7">
        <f t="shared" si="2198"/>
        <v>0</v>
      </c>
      <c r="Q1128" s="7">
        <f t="shared" si="7"/>
        <v>0.00994490483</v>
      </c>
      <c r="R1128" s="7">
        <f t="shared" si="8"/>
        <v>0.007563834746</v>
      </c>
      <c r="S1128" s="7">
        <f t="shared" si="2"/>
        <v>0.2043690456</v>
      </c>
      <c r="T1128" s="7">
        <f t="shared" si="3"/>
        <v>0.09055385138</v>
      </c>
      <c r="U1128" s="7">
        <f t="shared" si="4"/>
        <v>0</v>
      </c>
      <c r="V1128" s="7">
        <f t="shared" si="5"/>
        <v>0</v>
      </c>
      <c r="W1128" s="7">
        <f t="shared" ref="W1128:X1128" si="2199">IF(AVERAGE(U1068:U1127) &gt; 0.25, 1, 0)</f>
        <v>0</v>
      </c>
      <c r="X1128" s="7">
        <f t="shared" si="2199"/>
        <v>0</v>
      </c>
      <c r="Y1128" s="8">
        <v>0.0</v>
      </c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</row>
    <row r="1129" ht="22.5" customHeight="1">
      <c r="B1129" s="6">
        <v>1128.0</v>
      </c>
      <c r="C1129" s="6">
        <v>53891.0</v>
      </c>
      <c r="D1129" s="6">
        <v>0.85</v>
      </c>
      <c r="E1129" s="6">
        <v>9.72</v>
      </c>
      <c r="F1129" s="6">
        <v>2.14</v>
      </c>
      <c r="G1129" s="6">
        <v>-0.09</v>
      </c>
      <c r="H1129" s="6">
        <v>0.0</v>
      </c>
      <c r="I1129" s="6">
        <v>-0.01</v>
      </c>
      <c r="J1129" s="6">
        <v>33.34</v>
      </c>
      <c r="K1129" s="7">
        <f t="shared" ref="K1129:P1129" si="2200">abs(D1129-D1128)/200</f>
        <v>0.00005</v>
      </c>
      <c r="L1129" s="7">
        <f t="shared" si="2200"/>
        <v>0.00005</v>
      </c>
      <c r="M1129" s="7">
        <f t="shared" si="2200"/>
        <v>0.00015</v>
      </c>
      <c r="N1129" s="7">
        <f t="shared" si="2200"/>
        <v>0</v>
      </c>
      <c r="O1129" s="7">
        <f t="shared" si="2200"/>
        <v>0</v>
      </c>
      <c r="P1129" s="7">
        <f t="shared" si="2200"/>
        <v>0</v>
      </c>
      <c r="Q1129" s="7">
        <f t="shared" si="7"/>
        <v>0</v>
      </c>
      <c r="R1129" s="7">
        <f t="shared" si="8"/>
        <v>0.01535007472</v>
      </c>
      <c r="S1129" s="7">
        <f t="shared" si="2"/>
        <v>0.1890189708</v>
      </c>
      <c r="T1129" s="7">
        <f t="shared" si="3"/>
        <v>0.09055385138</v>
      </c>
      <c r="U1129" s="7">
        <f t="shared" si="4"/>
        <v>0</v>
      </c>
      <c r="V1129" s="7">
        <f t="shared" si="5"/>
        <v>0</v>
      </c>
      <c r="W1129" s="7">
        <f t="shared" ref="W1129:X1129" si="2201">IF(AVERAGE(U1069:U1128) &gt; 0.25, 1, 0)</f>
        <v>0</v>
      </c>
      <c r="X1129" s="7">
        <f t="shared" si="2201"/>
        <v>0</v>
      </c>
      <c r="Y1129" s="8">
        <v>0.0</v>
      </c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</row>
    <row r="1130" ht="22.5" customHeight="1">
      <c r="B1130" s="6">
        <v>1129.0</v>
      </c>
      <c r="C1130" s="6">
        <v>54095.0</v>
      </c>
      <c r="D1130" s="6">
        <v>0.83</v>
      </c>
      <c r="E1130" s="6">
        <v>9.73</v>
      </c>
      <c r="F1130" s="6">
        <v>2.15</v>
      </c>
      <c r="G1130" s="6">
        <v>-0.1</v>
      </c>
      <c r="H1130" s="6">
        <v>0.0</v>
      </c>
      <c r="I1130" s="6">
        <v>-0.01</v>
      </c>
      <c r="J1130" s="6">
        <v>33.34</v>
      </c>
      <c r="K1130" s="7">
        <f t="shared" ref="K1130:P1130" si="2202">abs(D1130-D1129)/200</f>
        <v>0.0001</v>
      </c>
      <c r="L1130" s="7">
        <f t="shared" si="2202"/>
        <v>0.00005</v>
      </c>
      <c r="M1130" s="7">
        <f t="shared" si="2202"/>
        <v>0.00005</v>
      </c>
      <c r="N1130" s="7">
        <f t="shared" si="2202"/>
        <v>0.00005</v>
      </c>
      <c r="O1130" s="7">
        <f t="shared" si="2202"/>
        <v>0</v>
      </c>
      <c r="P1130" s="7">
        <f t="shared" si="2202"/>
        <v>0</v>
      </c>
      <c r="Q1130" s="7">
        <f t="shared" si="7"/>
        <v>0.00994490483</v>
      </c>
      <c r="R1130" s="7">
        <f t="shared" si="8"/>
        <v>0.01019599834</v>
      </c>
      <c r="S1130" s="7">
        <f t="shared" si="2"/>
        <v>0.1992149692</v>
      </c>
      <c r="T1130" s="7">
        <f t="shared" si="3"/>
        <v>0.1004987562</v>
      </c>
      <c r="U1130" s="7">
        <f t="shared" si="4"/>
        <v>0</v>
      </c>
      <c r="V1130" s="7">
        <f t="shared" si="5"/>
        <v>0</v>
      </c>
      <c r="W1130" s="7">
        <f t="shared" ref="W1130:X1130" si="2203">IF(AVERAGE(U1070:U1129) &gt; 0.25, 1, 0)</f>
        <v>0</v>
      </c>
      <c r="X1130" s="7">
        <f t="shared" si="2203"/>
        <v>0</v>
      </c>
      <c r="Y1130" s="8">
        <v>0.0</v>
      </c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</row>
    <row r="1131" ht="22.5" customHeight="1">
      <c r="B1131" s="6">
        <v>1130.0</v>
      </c>
      <c r="C1131" s="6">
        <v>54299.0</v>
      </c>
      <c r="D1131" s="6">
        <v>0.87</v>
      </c>
      <c r="E1131" s="6">
        <v>9.73</v>
      </c>
      <c r="F1131" s="6">
        <v>2.11</v>
      </c>
      <c r="G1131" s="6">
        <v>-0.1</v>
      </c>
      <c r="H1131" s="6">
        <v>0.0</v>
      </c>
      <c r="I1131" s="6">
        <v>-0.01</v>
      </c>
      <c r="J1131" s="6">
        <v>33.33</v>
      </c>
      <c r="K1131" s="7">
        <f t="shared" ref="K1131:P1131" si="2204">abs(D1131-D1130)/200</f>
        <v>0.0002</v>
      </c>
      <c r="L1131" s="7">
        <f t="shared" si="2204"/>
        <v>0</v>
      </c>
      <c r="M1131" s="7">
        <f t="shared" si="2204"/>
        <v>0.0002</v>
      </c>
      <c r="N1131" s="7">
        <f t="shared" si="2204"/>
        <v>0</v>
      </c>
      <c r="O1131" s="7">
        <f t="shared" si="2204"/>
        <v>0</v>
      </c>
      <c r="P1131" s="7">
        <f t="shared" si="2204"/>
        <v>0</v>
      </c>
      <c r="Q1131" s="7">
        <f t="shared" si="7"/>
        <v>0</v>
      </c>
      <c r="R1131" s="7">
        <f t="shared" si="8"/>
        <v>0.005121713668</v>
      </c>
      <c r="S1131" s="7">
        <f t="shared" si="2"/>
        <v>0.1940932555</v>
      </c>
      <c r="T1131" s="7">
        <f t="shared" si="3"/>
        <v>0.1004987562</v>
      </c>
      <c r="U1131" s="7">
        <f t="shared" si="4"/>
        <v>0</v>
      </c>
      <c r="V1131" s="7">
        <f t="shared" si="5"/>
        <v>0</v>
      </c>
      <c r="W1131" s="7">
        <f t="shared" ref="W1131:X1131" si="2205">IF(AVERAGE(U1071:U1130) &gt; 0.25, 1, 0)</f>
        <v>0</v>
      </c>
      <c r="X1131" s="7">
        <f t="shared" si="2205"/>
        <v>0</v>
      </c>
      <c r="Y1131" s="8">
        <v>0.0</v>
      </c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</row>
    <row r="1132" ht="22.5" customHeight="1">
      <c r="B1132" s="6">
        <v>1131.0</v>
      </c>
      <c r="C1132" s="6">
        <v>54503.0</v>
      </c>
      <c r="D1132" s="6">
        <v>0.83</v>
      </c>
      <c r="E1132" s="6">
        <v>9.74</v>
      </c>
      <c r="F1132" s="6">
        <v>2.15</v>
      </c>
      <c r="G1132" s="6">
        <v>-0.09</v>
      </c>
      <c r="H1132" s="6">
        <v>0.0</v>
      </c>
      <c r="I1132" s="6">
        <v>-0.01</v>
      </c>
      <c r="J1132" s="6">
        <v>33.35</v>
      </c>
      <c r="K1132" s="7">
        <f t="shared" ref="K1132:P1132" si="2206">abs(D1132-D1131)/200</f>
        <v>0.0002</v>
      </c>
      <c r="L1132" s="7">
        <f t="shared" si="2206"/>
        <v>0.00005</v>
      </c>
      <c r="M1132" s="7">
        <f t="shared" si="2206"/>
        <v>0.0002</v>
      </c>
      <c r="N1132" s="7">
        <f t="shared" si="2206"/>
        <v>0.00005</v>
      </c>
      <c r="O1132" s="7">
        <f t="shared" si="2206"/>
        <v>0</v>
      </c>
      <c r="P1132" s="7">
        <f t="shared" si="2206"/>
        <v>0</v>
      </c>
      <c r="Q1132" s="7">
        <f t="shared" si="7"/>
        <v>0.00994490483</v>
      </c>
      <c r="R1132" s="7">
        <f t="shared" si="8"/>
        <v>0.01485274294</v>
      </c>
      <c r="S1132" s="7">
        <f t="shared" si="2"/>
        <v>0.2089459985</v>
      </c>
      <c r="T1132" s="7">
        <f t="shared" si="3"/>
        <v>0.09055385138</v>
      </c>
      <c r="U1132" s="7">
        <f t="shared" si="4"/>
        <v>0</v>
      </c>
      <c r="V1132" s="7">
        <f t="shared" si="5"/>
        <v>0</v>
      </c>
      <c r="W1132" s="7">
        <f t="shared" ref="W1132:X1132" si="2207">IF(AVERAGE(U1072:U1131) &gt; 0.25, 1, 0)</f>
        <v>0</v>
      </c>
      <c r="X1132" s="7">
        <f t="shared" si="2207"/>
        <v>0</v>
      </c>
      <c r="Y1132" s="8">
        <v>0.0</v>
      </c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</row>
    <row r="1133" ht="22.5" customHeight="1">
      <c r="B1133" s="6">
        <v>1132.0</v>
      </c>
      <c r="C1133" s="6">
        <v>54707.0</v>
      </c>
      <c r="D1133" s="6">
        <v>0.84</v>
      </c>
      <c r="E1133" s="6">
        <v>9.74</v>
      </c>
      <c r="F1133" s="6">
        <v>2.16</v>
      </c>
      <c r="G1133" s="6">
        <v>-0.1</v>
      </c>
      <c r="H1133" s="6">
        <v>0.0</v>
      </c>
      <c r="I1133" s="6">
        <v>-0.01</v>
      </c>
      <c r="J1133" s="6">
        <v>33.34</v>
      </c>
      <c r="K1133" s="7">
        <f t="shared" ref="K1133:P1133" si="2208">abs(D1133-D1132)/200</f>
        <v>0.00005</v>
      </c>
      <c r="L1133" s="7">
        <f t="shared" si="2208"/>
        <v>0</v>
      </c>
      <c r="M1133" s="7">
        <f t="shared" si="2208"/>
        <v>0.00005</v>
      </c>
      <c r="N1133" s="7">
        <f t="shared" si="2208"/>
        <v>0.00005</v>
      </c>
      <c r="O1133" s="7">
        <f t="shared" si="2208"/>
        <v>0</v>
      </c>
      <c r="P1133" s="7">
        <f t="shared" si="2208"/>
        <v>0</v>
      </c>
      <c r="Q1133" s="7">
        <f t="shared" si="7"/>
        <v>0.00994490483</v>
      </c>
      <c r="R1133" s="7">
        <f t="shared" si="8"/>
        <v>0.002986881863</v>
      </c>
      <c r="S1133" s="7">
        <f t="shared" si="2"/>
        <v>0.2119328803</v>
      </c>
      <c r="T1133" s="7">
        <f t="shared" si="3"/>
        <v>0.1004987562</v>
      </c>
      <c r="U1133" s="7">
        <f t="shared" si="4"/>
        <v>0</v>
      </c>
      <c r="V1133" s="7">
        <f t="shared" si="5"/>
        <v>0</v>
      </c>
      <c r="W1133" s="7">
        <f t="shared" ref="W1133:X1133" si="2209">IF(AVERAGE(U1073:U1132) &gt; 0.25, 1, 0)</f>
        <v>0</v>
      </c>
      <c r="X1133" s="7">
        <f t="shared" si="2209"/>
        <v>0</v>
      </c>
      <c r="Y1133" s="8">
        <v>0.0</v>
      </c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</row>
    <row r="1134" ht="22.5" customHeight="1">
      <c r="B1134" s="6">
        <v>1133.0</v>
      </c>
      <c r="C1134" s="6">
        <v>54911.0</v>
      </c>
      <c r="D1134" s="6">
        <v>0.86</v>
      </c>
      <c r="E1134" s="6">
        <v>9.73</v>
      </c>
      <c r="F1134" s="6">
        <v>2.17</v>
      </c>
      <c r="G1134" s="6">
        <v>-0.1</v>
      </c>
      <c r="H1134" s="6">
        <v>0.0</v>
      </c>
      <c r="I1134" s="6">
        <v>-0.01</v>
      </c>
      <c r="J1134" s="6">
        <v>33.35</v>
      </c>
      <c r="K1134" s="7">
        <f t="shared" ref="K1134:P1134" si="2210">abs(D1134-D1133)/200</f>
        <v>0.0001</v>
      </c>
      <c r="L1134" s="7">
        <f t="shared" si="2210"/>
        <v>0.00005</v>
      </c>
      <c r="M1134" s="7">
        <f t="shared" si="2210"/>
        <v>0.00005</v>
      </c>
      <c r="N1134" s="7">
        <f t="shared" si="2210"/>
        <v>0</v>
      </c>
      <c r="O1134" s="7">
        <f t="shared" si="2210"/>
        <v>0</v>
      </c>
      <c r="P1134" s="7">
        <f t="shared" si="2210"/>
        <v>0</v>
      </c>
      <c r="Q1134" s="7">
        <f t="shared" si="7"/>
        <v>0</v>
      </c>
      <c r="R1134" s="7">
        <f t="shared" si="8"/>
        <v>0.005864721446</v>
      </c>
      <c r="S1134" s="7">
        <f t="shared" si="2"/>
        <v>0.2060681589</v>
      </c>
      <c r="T1134" s="7">
        <f t="shared" si="3"/>
        <v>0.1004987562</v>
      </c>
      <c r="U1134" s="7">
        <f t="shared" si="4"/>
        <v>0</v>
      </c>
      <c r="V1134" s="7">
        <f t="shared" si="5"/>
        <v>0</v>
      </c>
      <c r="W1134" s="7">
        <f t="shared" ref="W1134:X1134" si="2211">IF(AVERAGE(U1074:U1133) &gt; 0.25, 1, 0)</f>
        <v>0</v>
      </c>
      <c r="X1134" s="7">
        <f t="shared" si="2211"/>
        <v>0</v>
      </c>
      <c r="Y1134" s="8">
        <v>0.0</v>
      </c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</row>
    <row r="1135" ht="22.5" customHeight="1">
      <c r="B1135" s="6">
        <v>1134.0</v>
      </c>
      <c r="C1135" s="6">
        <v>55115.0</v>
      </c>
      <c r="D1135" s="6">
        <v>0.84</v>
      </c>
      <c r="E1135" s="6">
        <v>9.74</v>
      </c>
      <c r="F1135" s="6">
        <v>2.18</v>
      </c>
      <c r="G1135" s="6">
        <v>-0.1</v>
      </c>
      <c r="H1135" s="6">
        <v>0.0</v>
      </c>
      <c r="I1135" s="6">
        <v>-0.01</v>
      </c>
      <c r="J1135" s="6">
        <v>33.35</v>
      </c>
      <c r="K1135" s="7">
        <f t="shared" ref="K1135:P1135" si="2212">abs(D1135-D1134)/200</f>
        <v>0.0001</v>
      </c>
      <c r="L1135" s="7">
        <f t="shared" si="2212"/>
        <v>0.00005</v>
      </c>
      <c r="M1135" s="7">
        <f t="shared" si="2212"/>
        <v>0.00005</v>
      </c>
      <c r="N1135" s="7">
        <f t="shared" si="2212"/>
        <v>0</v>
      </c>
      <c r="O1135" s="7">
        <f t="shared" si="2212"/>
        <v>0</v>
      </c>
      <c r="P1135" s="7">
        <f t="shared" si="2212"/>
        <v>0</v>
      </c>
      <c r="Q1135" s="7">
        <f t="shared" si="7"/>
        <v>0</v>
      </c>
      <c r="R1135" s="7">
        <f t="shared" si="8"/>
        <v>0.01019861074</v>
      </c>
      <c r="S1135" s="7">
        <f t="shared" si="2"/>
        <v>0.2162667696</v>
      </c>
      <c r="T1135" s="7">
        <f t="shared" si="3"/>
        <v>0.1004987562</v>
      </c>
      <c r="U1135" s="7">
        <f t="shared" si="4"/>
        <v>0</v>
      </c>
      <c r="V1135" s="7">
        <f t="shared" si="5"/>
        <v>0</v>
      </c>
      <c r="W1135" s="7">
        <f t="shared" ref="W1135:X1135" si="2213">IF(AVERAGE(U1075:U1134) &gt; 0.25, 1, 0)</f>
        <v>0</v>
      </c>
      <c r="X1135" s="7">
        <f t="shared" si="2213"/>
        <v>0</v>
      </c>
      <c r="Y1135" s="8">
        <v>0.0</v>
      </c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</row>
    <row r="1136" ht="22.5" customHeight="1">
      <c r="B1136" s="6">
        <v>1135.0</v>
      </c>
      <c r="C1136" s="6">
        <v>55319.0</v>
      </c>
      <c r="D1136" s="6">
        <v>0.85</v>
      </c>
      <c r="E1136" s="6">
        <v>9.73</v>
      </c>
      <c r="F1136" s="6">
        <v>2.16</v>
      </c>
      <c r="G1136" s="6">
        <v>-0.1</v>
      </c>
      <c r="H1136" s="6">
        <v>0.0</v>
      </c>
      <c r="I1136" s="6">
        <v>-0.01</v>
      </c>
      <c r="J1136" s="6">
        <v>33.35</v>
      </c>
      <c r="K1136" s="7">
        <f t="shared" ref="K1136:P1136" si="2214">abs(D1136-D1135)/200</f>
        <v>0.00005</v>
      </c>
      <c r="L1136" s="7">
        <f t="shared" si="2214"/>
        <v>0.00005</v>
      </c>
      <c r="M1136" s="7">
        <f t="shared" si="2214"/>
        <v>0.0001</v>
      </c>
      <c r="N1136" s="7">
        <f t="shared" si="2214"/>
        <v>0</v>
      </c>
      <c r="O1136" s="7">
        <f t="shared" si="2214"/>
        <v>0</v>
      </c>
      <c r="P1136" s="7">
        <f t="shared" si="2214"/>
        <v>0</v>
      </c>
      <c r="Q1136" s="7">
        <f t="shared" si="7"/>
        <v>0</v>
      </c>
      <c r="R1136" s="7">
        <f t="shared" si="8"/>
        <v>0.01321723459</v>
      </c>
      <c r="S1136" s="7">
        <f t="shared" si="2"/>
        <v>0.203049535</v>
      </c>
      <c r="T1136" s="7">
        <f t="shared" si="3"/>
        <v>0.1004987562</v>
      </c>
      <c r="U1136" s="7">
        <f t="shared" si="4"/>
        <v>0</v>
      </c>
      <c r="V1136" s="7">
        <f t="shared" si="5"/>
        <v>0</v>
      </c>
      <c r="W1136" s="7">
        <f t="shared" ref="W1136:X1136" si="2215">IF(AVERAGE(U1076:U1135) &gt; 0.25, 1, 0)</f>
        <v>0</v>
      </c>
      <c r="X1136" s="7">
        <f t="shared" si="2215"/>
        <v>0</v>
      </c>
      <c r="Y1136" s="8">
        <v>0.0</v>
      </c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</row>
    <row r="1137" ht="22.5" customHeight="1">
      <c r="B1137" s="6">
        <v>1136.0</v>
      </c>
      <c r="C1137" s="6">
        <v>55523.0</v>
      </c>
      <c r="D1137" s="6">
        <v>0.85</v>
      </c>
      <c r="E1137" s="6">
        <v>9.74</v>
      </c>
      <c r="F1137" s="6">
        <v>2.16</v>
      </c>
      <c r="G1137" s="6">
        <v>-0.09</v>
      </c>
      <c r="H1137" s="6">
        <v>0.0</v>
      </c>
      <c r="I1137" s="6">
        <v>-0.01</v>
      </c>
      <c r="J1137" s="6">
        <v>33.36</v>
      </c>
      <c r="K1137" s="7">
        <f t="shared" ref="K1137:P1137" si="2216">abs(D1137-D1136)/200</f>
        <v>0</v>
      </c>
      <c r="L1137" s="7">
        <f t="shared" si="2216"/>
        <v>0.00005</v>
      </c>
      <c r="M1137" s="7">
        <f t="shared" si="2216"/>
        <v>0</v>
      </c>
      <c r="N1137" s="7">
        <f t="shared" si="2216"/>
        <v>0.00005</v>
      </c>
      <c r="O1137" s="7">
        <f t="shared" si="2216"/>
        <v>0</v>
      </c>
      <c r="P1137" s="7">
        <f t="shared" si="2216"/>
        <v>0</v>
      </c>
      <c r="Q1137" s="7">
        <f t="shared" si="7"/>
        <v>0.00994490483</v>
      </c>
      <c r="R1137" s="7">
        <f t="shared" si="8"/>
        <v>0.009727302604</v>
      </c>
      <c r="S1137" s="7">
        <f t="shared" si="2"/>
        <v>0.2127768376</v>
      </c>
      <c r="T1137" s="7">
        <f t="shared" si="3"/>
        <v>0.09055385138</v>
      </c>
      <c r="U1137" s="7">
        <f t="shared" si="4"/>
        <v>0</v>
      </c>
      <c r="V1137" s="7">
        <f t="shared" si="5"/>
        <v>0</v>
      </c>
      <c r="W1137" s="7">
        <f t="shared" ref="W1137:X1137" si="2217">IF(AVERAGE(U1077:U1136) &gt; 0.25, 1, 0)</f>
        <v>0</v>
      </c>
      <c r="X1137" s="7">
        <f t="shared" si="2217"/>
        <v>0</v>
      </c>
      <c r="Y1137" s="8">
        <v>0.0</v>
      </c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</row>
    <row r="1138" ht="22.5" customHeight="1">
      <c r="B1138" s="6">
        <v>1137.0</v>
      </c>
      <c r="C1138" s="6">
        <v>55727.0</v>
      </c>
      <c r="D1138" s="6">
        <v>0.85</v>
      </c>
      <c r="E1138" s="6">
        <v>9.74</v>
      </c>
      <c r="F1138" s="6">
        <v>2.15</v>
      </c>
      <c r="G1138" s="6">
        <v>-0.1</v>
      </c>
      <c r="H1138" s="6">
        <v>0.0</v>
      </c>
      <c r="I1138" s="6">
        <v>-0.02</v>
      </c>
      <c r="J1138" s="6">
        <v>33.35</v>
      </c>
      <c r="K1138" s="7">
        <f t="shared" ref="K1138:P1138" si="2218">abs(D1138-D1137)/200</f>
        <v>0</v>
      </c>
      <c r="L1138" s="7">
        <f t="shared" si="2218"/>
        <v>0</v>
      </c>
      <c r="M1138" s="7">
        <f t="shared" si="2218"/>
        <v>0.00005</v>
      </c>
      <c r="N1138" s="7">
        <f t="shared" si="2218"/>
        <v>0.00005</v>
      </c>
      <c r="O1138" s="7">
        <f t="shared" si="2218"/>
        <v>0</v>
      </c>
      <c r="P1138" s="7">
        <f t="shared" si="2218"/>
        <v>0.00005</v>
      </c>
      <c r="Q1138" s="7">
        <f t="shared" si="7"/>
        <v>0.01142653889</v>
      </c>
      <c r="R1138" s="7">
        <f t="shared" si="8"/>
        <v>0.002152481468</v>
      </c>
      <c r="S1138" s="7">
        <f t="shared" si="2"/>
        <v>0.2106243562</v>
      </c>
      <c r="T1138" s="7">
        <f t="shared" si="3"/>
        <v>0.1019803903</v>
      </c>
      <c r="U1138" s="7">
        <f t="shared" si="4"/>
        <v>0</v>
      </c>
      <c r="V1138" s="7">
        <f t="shared" si="5"/>
        <v>0</v>
      </c>
      <c r="W1138" s="7">
        <f t="shared" ref="W1138:X1138" si="2219">IF(AVERAGE(U1078:U1137) &gt; 0.25, 1, 0)</f>
        <v>0</v>
      </c>
      <c r="X1138" s="7">
        <f t="shared" si="2219"/>
        <v>0</v>
      </c>
      <c r="Y1138" s="8">
        <v>0.0</v>
      </c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</row>
    <row r="1139" ht="22.5" customHeight="1">
      <c r="B1139" s="6">
        <v>1138.0</v>
      </c>
      <c r="C1139" s="6">
        <v>55931.0</v>
      </c>
      <c r="D1139" s="6">
        <v>0.82</v>
      </c>
      <c r="E1139" s="6">
        <v>9.75</v>
      </c>
      <c r="F1139" s="6">
        <v>2.15</v>
      </c>
      <c r="G1139" s="6">
        <v>-0.09</v>
      </c>
      <c r="H1139" s="6">
        <v>0.0</v>
      </c>
      <c r="I1139" s="6">
        <v>-0.01</v>
      </c>
      <c r="J1139" s="6">
        <v>33.35</v>
      </c>
      <c r="K1139" s="7">
        <f t="shared" ref="K1139:P1139" si="2220">abs(D1139-D1138)/200</f>
        <v>0.00015</v>
      </c>
      <c r="L1139" s="7">
        <f t="shared" si="2220"/>
        <v>0.00005</v>
      </c>
      <c r="M1139" s="7">
        <f t="shared" si="2220"/>
        <v>0</v>
      </c>
      <c r="N1139" s="7">
        <f t="shared" si="2220"/>
        <v>0.00005</v>
      </c>
      <c r="O1139" s="7">
        <f t="shared" si="2220"/>
        <v>0</v>
      </c>
      <c r="P1139" s="7">
        <f t="shared" si="2220"/>
        <v>0.00005</v>
      </c>
      <c r="Q1139" s="7">
        <f t="shared" si="7"/>
        <v>0.01142653889</v>
      </c>
      <c r="R1139" s="7">
        <f t="shared" si="8"/>
        <v>0.007229705471</v>
      </c>
      <c r="S1139" s="7">
        <f t="shared" si="2"/>
        <v>0.2178540616</v>
      </c>
      <c r="T1139" s="7">
        <f t="shared" si="3"/>
        <v>0.09055385138</v>
      </c>
      <c r="U1139" s="7">
        <f t="shared" si="4"/>
        <v>0</v>
      </c>
      <c r="V1139" s="7">
        <f t="shared" si="5"/>
        <v>0</v>
      </c>
      <c r="W1139" s="7">
        <f t="shared" ref="W1139:X1139" si="2221">IF(AVERAGE(U1079:U1138) &gt; 0.25, 1, 0)</f>
        <v>0</v>
      </c>
      <c r="X1139" s="7">
        <f t="shared" si="2221"/>
        <v>0</v>
      </c>
      <c r="Y1139" s="8">
        <v>0.0</v>
      </c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</row>
    <row r="1140" ht="22.5" customHeight="1">
      <c r="B1140" s="6">
        <v>1139.0</v>
      </c>
      <c r="C1140" s="6">
        <v>56135.0</v>
      </c>
      <c r="D1140" s="6">
        <v>0.84</v>
      </c>
      <c r="E1140" s="6">
        <v>9.73</v>
      </c>
      <c r="F1140" s="6">
        <v>2.16</v>
      </c>
      <c r="G1140" s="6">
        <v>-0.1</v>
      </c>
      <c r="H1140" s="6">
        <v>0.0</v>
      </c>
      <c r="I1140" s="6">
        <v>-0.01</v>
      </c>
      <c r="J1140" s="6">
        <v>33.34</v>
      </c>
      <c r="K1140" s="7">
        <f t="shared" ref="K1140:P1140" si="2222">abs(D1140-D1139)/200</f>
        <v>0.0001</v>
      </c>
      <c r="L1140" s="7">
        <f t="shared" si="2222"/>
        <v>0.0001</v>
      </c>
      <c r="M1140" s="7">
        <f t="shared" si="2222"/>
        <v>0.00005</v>
      </c>
      <c r="N1140" s="7">
        <f t="shared" si="2222"/>
        <v>0.00005</v>
      </c>
      <c r="O1140" s="7">
        <f t="shared" si="2222"/>
        <v>0</v>
      </c>
      <c r="P1140" s="7">
        <f t="shared" si="2222"/>
        <v>0</v>
      </c>
      <c r="Q1140" s="7">
        <f t="shared" si="7"/>
        <v>0.00994490483</v>
      </c>
      <c r="R1140" s="7">
        <f t="shared" si="8"/>
        <v>0.01564930467</v>
      </c>
      <c r="S1140" s="7">
        <f t="shared" si="2"/>
        <v>0.202204757</v>
      </c>
      <c r="T1140" s="7">
        <f t="shared" si="3"/>
        <v>0.1004987562</v>
      </c>
      <c r="U1140" s="7">
        <f t="shared" si="4"/>
        <v>0</v>
      </c>
      <c r="V1140" s="7">
        <f t="shared" si="5"/>
        <v>0</v>
      </c>
      <c r="W1140" s="7">
        <f t="shared" ref="W1140:X1140" si="2223">IF(AVERAGE(U1080:U1139) &gt; 0.25, 1, 0)</f>
        <v>0</v>
      </c>
      <c r="X1140" s="7">
        <f t="shared" si="2223"/>
        <v>0</v>
      </c>
      <c r="Y1140" s="8">
        <v>0.0</v>
      </c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</row>
    <row r="1141" ht="22.5" customHeight="1">
      <c r="B1141" s="6">
        <v>1140.0</v>
      </c>
      <c r="C1141" s="6">
        <v>56339.0</v>
      </c>
      <c r="D1141" s="6">
        <v>0.84</v>
      </c>
      <c r="E1141" s="6">
        <v>9.74</v>
      </c>
      <c r="F1141" s="6">
        <v>2.16</v>
      </c>
      <c r="G1141" s="6">
        <v>-0.1</v>
      </c>
      <c r="H1141" s="6">
        <v>0.0</v>
      </c>
      <c r="I1141" s="6">
        <v>-0.01</v>
      </c>
      <c r="J1141" s="6">
        <v>33.34</v>
      </c>
      <c r="K1141" s="7">
        <f t="shared" ref="K1141:P1141" si="2224">abs(D1141-D1140)/200</f>
        <v>0</v>
      </c>
      <c r="L1141" s="7">
        <f t="shared" si="2224"/>
        <v>0.00005</v>
      </c>
      <c r="M1141" s="7">
        <f t="shared" si="2224"/>
        <v>0</v>
      </c>
      <c r="N1141" s="7">
        <f t="shared" si="2224"/>
        <v>0</v>
      </c>
      <c r="O1141" s="7">
        <f t="shared" si="2224"/>
        <v>0</v>
      </c>
      <c r="P1141" s="7">
        <f t="shared" si="2224"/>
        <v>0</v>
      </c>
      <c r="Q1141" s="7">
        <f t="shared" si="7"/>
        <v>0</v>
      </c>
      <c r="R1141" s="7">
        <f t="shared" si="8"/>
        <v>0.009728123366</v>
      </c>
      <c r="S1141" s="7">
        <f t="shared" si="2"/>
        <v>0.2119328803</v>
      </c>
      <c r="T1141" s="7">
        <f t="shared" si="3"/>
        <v>0.1004987562</v>
      </c>
      <c r="U1141" s="7">
        <f t="shared" si="4"/>
        <v>0</v>
      </c>
      <c r="V1141" s="7">
        <f t="shared" si="5"/>
        <v>0</v>
      </c>
      <c r="W1141" s="7">
        <f t="shared" ref="W1141:X1141" si="2225">IF(AVERAGE(U1081:U1140) &gt; 0.25, 1, 0)</f>
        <v>0</v>
      </c>
      <c r="X1141" s="7">
        <f t="shared" si="2225"/>
        <v>0</v>
      </c>
      <c r="Y1141" s="8">
        <v>0.0</v>
      </c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</row>
    <row r="1142" ht="22.5" customHeight="1">
      <c r="B1142" s="6">
        <v>1141.0</v>
      </c>
      <c r="C1142" s="6">
        <v>56543.0</v>
      </c>
      <c r="D1142" s="6">
        <v>0.85</v>
      </c>
      <c r="E1142" s="6">
        <v>9.73</v>
      </c>
      <c r="F1142" s="6">
        <v>2.14</v>
      </c>
      <c r="G1142" s="6">
        <v>-0.09</v>
      </c>
      <c r="H1142" s="6">
        <v>0.0</v>
      </c>
      <c r="I1142" s="6">
        <v>-0.01</v>
      </c>
      <c r="J1142" s="6">
        <v>33.35</v>
      </c>
      <c r="K1142" s="7">
        <f t="shared" ref="K1142:P1142" si="2226">abs(D1142-D1141)/200</f>
        <v>0.00005</v>
      </c>
      <c r="L1142" s="7">
        <f t="shared" si="2226"/>
        <v>0.00005</v>
      </c>
      <c r="M1142" s="7">
        <f t="shared" si="2226"/>
        <v>0.0001</v>
      </c>
      <c r="N1142" s="7">
        <f t="shared" si="2226"/>
        <v>0.00005</v>
      </c>
      <c r="O1142" s="7">
        <f t="shared" si="2226"/>
        <v>0</v>
      </c>
      <c r="P1142" s="7">
        <f t="shared" si="2226"/>
        <v>0</v>
      </c>
      <c r="Q1142" s="7">
        <f t="shared" si="7"/>
        <v>0.00994490483</v>
      </c>
      <c r="R1142" s="7">
        <f t="shared" si="8"/>
        <v>0.01318295845</v>
      </c>
      <c r="S1142" s="7">
        <f t="shared" si="2"/>
        <v>0.1987499219</v>
      </c>
      <c r="T1142" s="7">
        <f t="shared" si="3"/>
        <v>0.09055385138</v>
      </c>
      <c r="U1142" s="7">
        <f t="shared" si="4"/>
        <v>0</v>
      </c>
      <c r="V1142" s="7">
        <f t="shared" si="5"/>
        <v>0</v>
      </c>
      <c r="W1142" s="7">
        <f t="shared" ref="W1142:X1142" si="2227">IF(AVERAGE(U1082:U1141) &gt; 0.25, 1, 0)</f>
        <v>0</v>
      </c>
      <c r="X1142" s="7">
        <f t="shared" si="2227"/>
        <v>0</v>
      </c>
      <c r="Y1142" s="8">
        <v>0.0</v>
      </c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</row>
    <row r="1143" ht="22.5" customHeight="1">
      <c r="B1143" s="6">
        <v>1142.0</v>
      </c>
      <c r="C1143" s="6">
        <v>56747.0</v>
      </c>
      <c r="D1143" s="6">
        <v>0.86</v>
      </c>
      <c r="E1143" s="6">
        <v>9.72</v>
      </c>
      <c r="F1143" s="6">
        <v>2.12</v>
      </c>
      <c r="G1143" s="6">
        <v>-0.09</v>
      </c>
      <c r="H1143" s="6">
        <v>0.0</v>
      </c>
      <c r="I1143" s="6">
        <v>-0.01</v>
      </c>
      <c r="J1143" s="6">
        <v>33.34</v>
      </c>
      <c r="K1143" s="7">
        <f t="shared" ref="K1143:P1143" si="2228">abs(D1143-D1142)/200</f>
        <v>0.00005</v>
      </c>
      <c r="L1143" s="7">
        <f t="shared" si="2228"/>
        <v>0.00005</v>
      </c>
      <c r="M1143" s="7">
        <f t="shared" si="2228"/>
        <v>0.0001</v>
      </c>
      <c r="N1143" s="7">
        <f t="shared" si="2228"/>
        <v>0</v>
      </c>
      <c r="O1143" s="7">
        <f t="shared" si="2228"/>
        <v>0</v>
      </c>
      <c r="P1143" s="7">
        <f t="shared" si="2228"/>
        <v>0</v>
      </c>
      <c r="Q1143" s="7">
        <f t="shared" si="7"/>
        <v>0</v>
      </c>
      <c r="R1143" s="7">
        <f t="shared" si="8"/>
        <v>0.01314027598</v>
      </c>
      <c r="S1143" s="7">
        <f t="shared" si="2"/>
        <v>0.1856096459</v>
      </c>
      <c r="T1143" s="7">
        <f t="shared" si="3"/>
        <v>0.09055385138</v>
      </c>
      <c r="U1143" s="7">
        <f t="shared" si="4"/>
        <v>0</v>
      </c>
      <c r="V1143" s="7">
        <f t="shared" si="5"/>
        <v>0</v>
      </c>
      <c r="W1143" s="7">
        <f t="shared" ref="W1143:X1143" si="2229">IF(AVERAGE(U1083:U1142) &gt; 0.25, 1, 0)</f>
        <v>0</v>
      </c>
      <c r="X1143" s="7">
        <f t="shared" si="2229"/>
        <v>0</v>
      </c>
      <c r="Y1143" s="8">
        <v>0.0</v>
      </c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</row>
    <row r="1144" ht="22.5" customHeight="1">
      <c r="B1144" s="6">
        <v>1143.0</v>
      </c>
      <c r="C1144" s="6">
        <v>56951.0</v>
      </c>
      <c r="D1144" s="6">
        <v>0.83</v>
      </c>
      <c r="E1144" s="6">
        <v>9.74</v>
      </c>
      <c r="F1144" s="6">
        <v>2.14</v>
      </c>
      <c r="G1144" s="6">
        <v>-0.1</v>
      </c>
      <c r="H1144" s="6">
        <v>0.0</v>
      </c>
      <c r="I1144" s="6">
        <v>-0.01</v>
      </c>
      <c r="J1144" s="6">
        <v>33.35</v>
      </c>
      <c r="K1144" s="7">
        <f t="shared" ref="K1144:P1144" si="2230">abs(D1144-D1143)/200</f>
        <v>0.00015</v>
      </c>
      <c r="L1144" s="7">
        <f t="shared" si="2230"/>
        <v>0.0001</v>
      </c>
      <c r="M1144" s="7">
        <f t="shared" si="2230"/>
        <v>0.0001</v>
      </c>
      <c r="N1144" s="7">
        <f t="shared" si="2230"/>
        <v>0.00005</v>
      </c>
      <c r="O1144" s="7">
        <f t="shared" si="2230"/>
        <v>0</v>
      </c>
      <c r="P1144" s="7">
        <f t="shared" si="2230"/>
        <v>0</v>
      </c>
      <c r="Q1144" s="7">
        <f t="shared" si="7"/>
        <v>0.00994490483</v>
      </c>
      <c r="R1144" s="7">
        <f t="shared" si="8"/>
        <v>0.02119304029</v>
      </c>
      <c r="S1144" s="7">
        <f t="shared" si="2"/>
        <v>0.2068026862</v>
      </c>
      <c r="T1144" s="7">
        <f t="shared" si="3"/>
        <v>0.1004987562</v>
      </c>
      <c r="U1144" s="7">
        <f t="shared" si="4"/>
        <v>0</v>
      </c>
      <c r="V1144" s="7">
        <f t="shared" si="5"/>
        <v>0</v>
      </c>
      <c r="W1144" s="7">
        <f t="shared" ref="W1144:X1144" si="2231">IF(AVERAGE(U1084:U1143) &gt; 0.25, 1, 0)</f>
        <v>0</v>
      </c>
      <c r="X1144" s="7">
        <f t="shared" si="2231"/>
        <v>0</v>
      </c>
      <c r="Y1144" s="8">
        <v>0.0</v>
      </c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</row>
    <row r="1145" ht="22.5" customHeight="1">
      <c r="B1145" s="6">
        <v>1144.0</v>
      </c>
      <c r="C1145" s="6">
        <v>57155.0</v>
      </c>
      <c r="D1145" s="6">
        <v>0.86</v>
      </c>
      <c r="E1145" s="6">
        <v>9.73</v>
      </c>
      <c r="F1145" s="6">
        <v>2.14</v>
      </c>
      <c r="G1145" s="6">
        <v>-0.1</v>
      </c>
      <c r="H1145" s="6">
        <v>0.0</v>
      </c>
      <c r="I1145" s="6">
        <v>-0.01</v>
      </c>
      <c r="J1145" s="6">
        <v>33.35</v>
      </c>
      <c r="K1145" s="7">
        <f t="shared" ref="K1145:P1145" si="2232">abs(D1145-D1144)/200</f>
        <v>0.00015</v>
      </c>
      <c r="L1145" s="7">
        <f t="shared" si="2232"/>
        <v>0.00005</v>
      </c>
      <c r="M1145" s="7">
        <f t="shared" si="2232"/>
        <v>0</v>
      </c>
      <c r="N1145" s="7">
        <f t="shared" si="2232"/>
        <v>0</v>
      </c>
      <c r="O1145" s="7">
        <f t="shared" si="2232"/>
        <v>0</v>
      </c>
      <c r="P1145" s="7">
        <f t="shared" si="2232"/>
        <v>0</v>
      </c>
      <c r="Q1145" s="7">
        <f t="shared" si="7"/>
        <v>0</v>
      </c>
      <c r="R1145" s="7">
        <f t="shared" si="8"/>
        <v>0.007197693975</v>
      </c>
      <c r="S1145" s="7">
        <f t="shared" si="2"/>
        <v>0.1996049922</v>
      </c>
      <c r="T1145" s="7">
        <f t="shared" si="3"/>
        <v>0.1004987562</v>
      </c>
      <c r="U1145" s="7">
        <f t="shared" si="4"/>
        <v>0</v>
      </c>
      <c r="V1145" s="7">
        <f t="shared" si="5"/>
        <v>0</v>
      </c>
      <c r="W1145" s="7">
        <f t="shared" ref="W1145:X1145" si="2233">IF(AVERAGE(U1085:U1144) &gt; 0.25, 1, 0)</f>
        <v>0</v>
      </c>
      <c r="X1145" s="7">
        <f t="shared" si="2233"/>
        <v>0</v>
      </c>
      <c r="Y1145" s="8">
        <v>0.0</v>
      </c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</row>
    <row r="1146" ht="22.5" customHeight="1">
      <c r="B1146" s="6">
        <v>1145.0</v>
      </c>
      <c r="C1146" s="6">
        <v>57359.0</v>
      </c>
      <c r="D1146" s="6">
        <v>0.86</v>
      </c>
      <c r="E1146" s="6">
        <v>9.73</v>
      </c>
      <c r="F1146" s="6">
        <v>2.14</v>
      </c>
      <c r="G1146" s="6">
        <v>-0.1</v>
      </c>
      <c r="H1146" s="6">
        <v>0.0</v>
      </c>
      <c r="I1146" s="6">
        <v>-0.01</v>
      </c>
      <c r="J1146" s="6">
        <v>33.36</v>
      </c>
      <c r="K1146" s="7">
        <f t="shared" ref="K1146:P1146" si="2234">abs(D1146-D1145)/200</f>
        <v>0</v>
      </c>
      <c r="L1146" s="7">
        <f t="shared" si="2234"/>
        <v>0</v>
      </c>
      <c r="M1146" s="7">
        <f t="shared" si="2234"/>
        <v>0</v>
      </c>
      <c r="N1146" s="7">
        <f t="shared" si="2234"/>
        <v>0</v>
      </c>
      <c r="O1146" s="7">
        <f t="shared" si="2234"/>
        <v>0</v>
      </c>
      <c r="P1146" s="7">
        <f t="shared" si="2234"/>
        <v>0</v>
      </c>
      <c r="Q1146" s="7">
        <f t="shared" si="7"/>
        <v>0</v>
      </c>
      <c r="R1146" s="7">
        <f t="shared" si="8"/>
        <v>0</v>
      </c>
      <c r="S1146" s="7">
        <f t="shared" si="2"/>
        <v>0.1996049922</v>
      </c>
      <c r="T1146" s="7">
        <f t="shared" si="3"/>
        <v>0.1004987562</v>
      </c>
      <c r="U1146" s="7">
        <f t="shared" si="4"/>
        <v>0</v>
      </c>
      <c r="V1146" s="7">
        <f t="shared" si="5"/>
        <v>0</v>
      </c>
      <c r="W1146" s="7">
        <f t="shared" ref="W1146:X1146" si="2235">IF(AVERAGE(U1086:U1145) &gt; 0.25, 1, 0)</f>
        <v>0</v>
      </c>
      <c r="X1146" s="7">
        <f t="shared" si="2235"/>
        <v>0</v>
      </c>
      <c r="Y1146" s="8">
        <v>0.0</v>
      </c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</row>
    <row r="1147" ht="22.5" customHeight="1">
      <c r="B1147" s="6">
        <v>1146.0</v>
      </c>
      <c r="C1147" s="6">
        <v>57563.0</v>
      </c>
      <c r="D1147" s="6">
        <v>0.87</v>
      </c>
      <c r="E1147" s="6">
        <v>9.72</v>
      </c>
      <c r="F1147" s="6">
        <v>2.14</v>
      </c>
      <c r="G1147" s="6">
        <v>-0.1</v>
      </c>
      <c r="H1147" s="6">
        <v>0.0</v>
      </c>
      <c r="I1147" s="6">
        <v>-0.01</v>
      </c>
      <c r="J1147" s="6">
        <v>33.35</v>
      </c>
      <c r="K1147" s="7">
        <f t="shared" ref="K1147:P1147" si="2236">abs(D1147-D1146)/200</f>
        <v>0.00005</v>
      </c>
      <c r="L1147" s="7">
        <f t="shared" si="2236"/>
        <v>0.00005</v>
      </c>
      <c r="M1147" s="7">
        <f t="shared" si="2236"/>
        <v>0</v>
      </c>
      <c r="N1147" s="7">
        <f t="shared" si="2236"/>
        <v>0</v>
      </c>
      <c r="O1147" s="7">
        <f t="shared" si="2236"/>
        <v>0</v>
      </c>
      <c r="P1147" s="7">
        <f t="shared" si="2236"/>
        <v>0</v>
      </c>
      <c r="Q1147" s="7">
        <f t="shared" si="7"/>
        <v>0</v>
      </c>
      <c r="R1147" s="7">
        <f t="shared" si="8"/>
        <v>0.008864278918</v>
      </c>
      <c r="S1147" s="7">
        <f t="shared" si="2"/>
        <v>0.1907407133</v>
      </c>
      <c r="T1147" s="7">
        <f t="shared" si="3"/>
        <v>0.1004987562</v>
      </c>
      <c r="U1147" s="7">
        <f t="shared" si="4"/>
        <v>0</v>
      </c>
      <c r="V1147" s="7">
        <f t="shared" si="5"/>
        <v>0</v>
      </c>
      <c r="W1147" s="7">
        <f t="shared" ref="W1147:X1147" si="2237">IF(AVERAGE(U1087:U1146) &gt; 0.25, 1, 0)</f>
        <v>0</v>
      </c>
      <c r="X1147" s="7">
        <f t="shared" si="2237"/>
        <v>0</v>
      </c>
      <c r="Y1147" s="8">
        <v>0.0</v>
      </c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</row>
    <row r="1148" ht="22.5" customHeight="1">
      <c r="B1148" s="6">
        <v>1147.0</v>
      </c>
      <c r="C1148" s="6">
        <v>57767.0</v>
      </c>
      <c r="D1148" s="6">
        <v>0.84</v>
      </c>
      <c r="E1148" s="6">
        <v>9.74</v>
      </c>
      <c r="F1148" s="6">
        <v>2.17</v>
      </c>
      <c r="G1148" s="6">
        <v>-0.1</v>
      </c>
      <c r="H1148" s="6">
        <v>0.0</v>
      </c>
      <c r="I1148" s="6">
        <v>-0.01</v>
      </c>
      <c r="J1148" s="6">
        <v>33.35</v>
      </c>
      <c r="K1148" s="7">
        <f t="shared" ref="K1148:P1148" si="2238">abs(D1148-D1147)/200</f>
        <v>0.00015</v>
      </c>
      <c r="L1148" s="7">
        <f t="shared" si="2238"/>
        <v>0.0001</v>
      </c>
      <c r="M1148" s="7">
        <f t="shared" si="2238"/>
        <v>0.00015</v>
      </c>
      <c r="N1148" s="7">
        <f t="shared" si="2238"/>
        <v>0</v>
      </c>
      <c r="O1148" s="7">
        <f t="shared" si="2238"/>
        <v>0</v>
      </c>
      <c r="P1148" s="7">
        <f t="shared" si="2238"/>
        <v>0</v>
      </c>
      <c r="Q1148" s="7">
        <f t="shared" si="7"/>
        <v>0</v>
      </c>
      <c r="R1148" s="7">
        <f t="shared" si="8"/>
        <v>0.02335435317</v>
      </c>
      <c r="S1148" s="7">
        <f t="shared" si="2"/>
        <v>0.2140950665</v>
      </c>
      <c r="T1148" s="7">
        <f t="shared" si="3"/>
        <v>0.1004987562</v>
      </c>
      <c r="U1148" s="7">
        <f t="shared" si="4"/>
        <v>0</v>
      </c>
      <c r="V1148" s="7">
        <f t="shared" si="5"/>
        <v>0</v>
      </c>
      <c r="W1148" s="7">
        <f t="shared" ref="W1148:X1148" si="2239">IF(AVERAGE(U1088:U1147) &gt; 0.25, 1, 0)</f>
        <v>0</v>
      </c>
      <c r="X1148" s="7">
        <f t="shared" si="2239"/>
        <v>0</v>
      </c>
      <c r="Y1148" s="8">
        <v>0.0</v>
      </c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</row>
    <row r="1149" ht="22.5" customHeight="1">
      <c r="B1149" s="6">
        <v>1148.0</v>
      </c>
      <c r="C1149" s="6">
        <v>57971.0</v>
      </c>
      <c r="D1149" s="6">
        <v>0.84</v>
      </c>
      <c r="E1149" s="6">
        <v>9.74</v>
      </c>
      <c r="F1149" s="6">
        <v>2.15</v>
      </c>
      <c r="G1149" s="6">
        <v>-0.09</v>
      </c>
      <c r="H1149" s="6">
        <v>0.0</v>
      </c>
      <c r="I1149" s="6">
        <v>-0.01</v>
      </c>
      <c r="J1149" s="6">
        <v>33.35</v>
      </c>
      <c r="K1149" s="7">
        <f t="shared" ref="K1149:P1149" si="2240">abs(D1149-D1148)/200</f>
        <v>0</v>
      </c>
      <c r="L1149" s="7">
        <f t="shared" si="2240"/>
        <v>0</v>
      </c>
      <c r="M1149" s="7">
        <f t="shared" si="2240"/>
        <v>0.0001</v>
      </c>
      <c r="N1149" s="7">
        <f t="shared" si="2240"/>
        <v>0.00005</v>
      </c>
      <c r="O1149" s="7">
        <f t="shared" si="2240"/>
        <v>0</v>
      </c>
      <c r="P1149" s="7">
        <f t="shared" si="2240"/>
        <v>0</v>
      </c>
      <c r="Q1149" s="7">
        <f t="shared" si="7"/>
        <v>0.00994490483</v>
      </c>
      <c r="R1149" s="7">
        <f t="shared" si="8"/>
        <v>0.004314849088</v>
      </c>
      <c r="S1149" s="7">
        <f t="shared" si="2"/>
        <v>0.2097802174</v>
      </c>
      <c r="T1149" s="7">
        <f t="shared" si="3"/>
        <v>0.09055385138</v>
      </c>
      <c r="U1149" s="7">
        <f t="shared" si="4"/>
        <v>0</v>
      </c>
      <c r="V1149" s="7">
        <f t="shared" si="5"/>
        <v>0</v>
      </c>
      <c r="W1149" s="7">
        <f t="shared" ref="W1149:X1149" si="2241">IF(AVERAGE(U1089:U1148) &gt; 0.25, 1, 0)</f>
        <v>0</v>
      </c>
      <c r="X1149" s="7">
        <f t="shared" si="2241"/>
        <v>0</v>
      </c>
      <c r="Y1149" s="8">
        <v>0.0</v>
      </c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</row>
    <row r="1150" ht="22.5" customHeight="1">
      <c r="B1150" s="6">
        <v>1149.0</v>
      </c>
      <c r="C1150" s="6">
        <v>58175.0</v>
      </c>
      <c r="D1150" s="6">
        <v>0.86</v>
      </c>
      <c r="E1150" s="6">
        <v>9.73</v>
      </c>
      <c r="F1150" s="6">
        <v>2.15</v>
      </c>
      <c r="G1150" s="6">
        <v>-0.09</v>
      </c>
      <c r="H1150" s="6">
        <v>0.0</v>
      </c>
      <c r="I1150" s="6">
        <v>-0.01</v>
      </c>
      <c r="J1150" s="6">
        <v>33.34</v>
      </c>
      <c r="K1150" s="7">
        <f t="shared" ref="K1150:P1150" si="2242">abs(D1150-D1149)/200</f>
        <v>0.0001</v>
      </c>
      <c r="L1150" s="7">
        <f t="shared" si="2242"/>
        <v>0.00005</v>
      </c>
      <c r="M1150" s="7">
        <f t="shared" si="2242"/>
        <v>0</v>
      </c>
      <c r="N1150" s="7">
        <f t="shared" si="2242"/>
        <v>0</v>
      </c>
      <c r="O1150" s="7">
        <f t="shared" si="2242"/>
        <v>0</v>
      </c>
      <c r="P1150" s="7">
        <f t="shared" si="2242"/>
        <v>0</v>
      </c>
      <c r="Q1150" s="7">
        <f t="shared" si="7"/>
        <v>0</v>
      </c>
      <c r="R1150" s="7">
        <f t="shared" si="8"/>
        <v>0.008030370466</v>
      </c>
      <c r="S1150" s="7">
        <f t="shared" si="2"/>
        <v>0.2017498469</v>
      </c>
      <c r="T1150" s="7">
        <f t="shared" si="3"/>
        <v>0.09055385138</v>
      </c>
      <c r="U1150" s="7">
        <f t="shared" si="4"/>
        <v>0</v>
      </c>
      <c r="V1150" s="7">
        <f t="shared" si="5"/>
        <v>0</v>
      </c>
      <c r="W1150" s="7">
        <f t="shared" ref="W1150:X1150" si="2243">IF(AVERAGE(U1090:U1149) &gt; 0.25, 1, 0)</f>
        <v>0</v>
      </c>
      <c r="X1150" s="7">
        <f t="shared" si="2243"/>
        <v>0</v>
      </c>
      <c r="Y1150" s="8">
        <v>0.0</v>
      </c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</row>
    <row r="1151" ht="22.5" customHeight="1">
      <c r="B1151" s="6">
        <v>1150.0</v>
      </c>
      <c r="C1151" s="6">
        <v>58379.0</v>
      </c>
      <c r="D1151" s="6">
        <v>0.85</v>
      </c>
      <c r="E1151" s="6">
        <v>9.74</v>
      </c>
      <c r="F1151" s="6">
        <v>2.14</v>
      </c>
      <c r="G1151" s="6">
        <v>-0.1</v>
      </c>
      <c r="H1151" s="6">
        <v>0.0</v>
      </c>
      <c r="I1151" s="6">
        <v>-0.01</v>
      </c>
      <c r="J1151" s="6">
        <v>33.35</v>
      </c>
      <c r="K1151" s="7">
        <f t="shared" ref="K1151:P1151" si="2244">abs(D1151-D1150)/200</f>
        <v>0.00005</v>
      </c>
      <c r="L1151" s="7">
        <f t="shared" si="2244"/>
        <v>0.00005</v>
      </c>
      <c r="M1151" s="7">
        <f t="shared" si="2244"/>
        <v>0.00005</v>
      </c>
      <c r="N1151" s="7">
        <f t="shared" si="2244"/>
        <v>0.00005</v>
      </c>
      <c r="O1151" s="7">
        <f t="shared" si="2244"/>
        <v>0</v>
      </c>
      <c r="P1151" s="7">
        <f t="shared" si="2244"/>
        <v>0</v>
      </c>
      <c r="Q1151" s="7">
        <f t="shared" si="7"/>
        <v>0.00994490483</v>
      </c>
      <c r="R1151" s="7">
        <f t="shared" si="8"/>
        <v>0.006731556388</v>
      </c>
      <c r="S1151" s="7">
        <f t="shared" si="2"/>
        <v>0.2084814033</v>
      </c>
      <c r="T1151" s="7">
        <f t="shared" si="3"/>
        <v>0.1004987562</v>
      </c>
      <c r="U1151" s="7">
        <f t="shared" si="4"/>
        <v>0</v>
      </c>
      <c r="V1151" s="7">
        <f t="shared" si="5"/>
        <v>0</v>
      </c>
      <c r="W1151" s="7">
        <f t="shared" ref="W1151:X1151" si="2245">IF(AVERAGE(U1091:U1150) &gt; 0.25, 1, 0)</f>
        <v>0</v>
      </c>
      <c r="X1151" s="7">
        <f t="shared" si="2245"/>
        <v>0</v>
      </c>
      <c r="Y1151" s="8">
        <v>0.0</v>
      </c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</row>
    <row r="1152" ht="22.5" customHeight="1">
      <c r="B1152" s="6">
        <v>1151.0</v>
      </c>
      <c r="C1152" s="6">
        <v>58583.0</v>
      </c>
      <c r="D1152" s="6">
        <v>0.85</v>
      </c>
      <c r="E1152" s="6">
        <v>9.73</v>
      </c>
      <c r="F1152" s="6">
        <v>2.13</v>
      </c>
      <c r="G1152" s="6">
        <v>-0.09</v>
      </c>
      <c r="H1152" s="6">
        <v>0.0</v>
      </c>
      <c r="I1152" s="6">
        <v>-0.01</v>
      </c>
      <c r="J1152" s="6">
        <v>33.34</v>
      </c>
      <c r="K1152" s="7">
        <f t="shared" ref="K1152:P1152" si="2246">abs(D1152-D1151)/200</f>
        <v>0</v>
      </c>
      <c r="L1152" s="7">
        <f t="shared" si="2246"/>
        <v>0.00005</v>
      </c>
      <c r="M1152" s="7">
        <f t="shared" si="2246"/>
        <v>0.00005</v>
      </c>
      <c r="N1152" s="7">
        <f t="shared" si="2246"/>
        <v>0.00005</v>
      </c>
      <c r="O1152" s="7">
        <f t="shared" si="2246"/>
        <v>0</v>
      </c>
      <c r="P1152" s="7">
        <f t="shared" si="2246"/>
        <v>0</v>
      </c>
      <c r="Q1152" s="7">
        <f t="shared" si="7"/>
        <v>0.00994490483</v>
      </c>
      <c r="R1152" s="7">
        <f t="shared" si="8"/>
        <v>0.0118669764</v>
      </c>
      <c r="S1152" s="7">
        <f t="shared" si="2"/>
        <v>0.1966144269</v>
      </c>
      <c r="T1152" s="7">
        <f t="shared" si="3"/>
        <v>0.09055385138</v>
      </c>
      <c r="U1152" s="7">
        <f t="shared" si="4"/>
        <v>0</v>
      </c>
      <c r="V1152" s="7">
        <f t="shared" si="5"/>
        <v>0</v>
      </c>
      <c r="W1152" s="7">
        <f t="shared" ref="W1152:X1152" si="2247">IF(AVERAGE(U1092:U1151) &gt; 0.25, 1, 0)</f>
        <v>0</v>
      </c>
      <c r="X1152" s="7">
        <f t="shared" si="2247"/>
        <v>0</v>
      </c>
      <c r="Y1152" s="8">
        <v>0.0</v>
      </c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</row>
    <row r="1153" ht="22.5" customHeight="1">
      <c r="B1153" s="6">
        <v>1152.0</v>
      </c>
      <c r="C1153" s="6">
        <v>58787.0</v>
      </c>
      <c r="D1153" s="6">
        <v>0.85</v>
      </c>
      <c r="E1153" s="6">
        <v>9.73</v>
      </c>
      <c r="F1153" s="6">
        <v>2.13</v>
      </c>
      <c r="G1153" s="6">
        <v>-0.09</v>
      </c>
      <c r="H1153" s="6">
        <v>0.0</v>
      </c>
      <c r="I1153" s="6">
        <v>-0.01</v>
      </c>
      <c r="J1153" s="6">
        <v>33.35</v>
      </c>
      <c r="K1153" s="7">
        <f t="shared" ref="K1153:P1153" si="2248">abs(D1153-D1152)/200</f>
        <v>0</v>
      </c>
      <c r="L1153" s="7">
        <f t="shared" si="2248"/>
        <v>0</v>
      </c>
      <c r="M1153" s="7">
        <f t="shared" si="2248"/>
        <v>0</v>
      </c>
      <c r="N1153" s="7">
        <f t="shared" si="2248"/>
        <v>0</v>
      </c>
      <c r="O1153" s="7">
        <f t="shared" si="2248"/>
        <v>0</v>
      </c>
      <c r="P1153" s="7">
        <f t="shared" si="2248"/>
        <v>0</v>
      </c>
      <c r="Q1153" s="7">
        <f t="shared" si="7"/>
        <v>0</v>
      </c>
      <c r="R1153" s="7">
        <f t="shared" si="8"/>
        <v>0</v>
      </c>
      <c r="S1153" s="7">
        <f t="shared" si="2"/>
        <v>0.1966144269</v>
      </c>
      <c r="T1153" s="7">
        <f t="shared" si="3"/>
        <v>0.09055385138</v>
      </c>
      <c r="U1153" s="7">
        <f t="shared" si="4"/>
        <v>0</v>
      </c>
      <c r="V1153" s="7">
        <f t="shared" si="5"/>
        <v>0</v>
      </c>
      <c r="W1153" s="7">
        <f t="shared" ref="W1153:X1153" si="2249">IF(AVERAGE(U1093:U1152) &gt; 0.25, 1, 0)</f>
        <v>0</v>
      </c>
      <c r="X1153" s="7">
        <f t="shared" si="2249"/>
        <v>0</v>
      </c>
      <c r="Y1153" s="8">
        <v>0.0</v>
      </c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</row>
    <row r="1154" ht="22.5" customHeight="1">
      <c r="B1154" s="6">
        <v>1153.0</v>
      </c>
      <c r="C1154" s="6">
        <v>58991.0</v>
      </c>
      <c r="D1154" s="6">
        <v>0.85</v>
      </c>
      <c r="E1154" s="6">
        <v>9.74</v>
      </c>
      <c r="F1154" s="6">
        <v>2.14</v>
      </c>
      <c r="G1154" s="6">
        <v>-0.09</v>
      </c>
      <c r="H1154" s="6">
        <v>0.0</v>
      </c>
      <c r="I1154" s="6">
        <v>-0.02</v>
      </c>
      <c r="J1154" s="6">
        <v>33.35</v>
      </c>
      <c r="K1154" s="7">
        <f t="shared" ref="K1154:P1154" si="2250">abs(D1154-D1153)/200</f>
        <v>0</v>
      </c>
      <c r="L1154" s="7">
        <f t="shared" si="2250"/>
        <v>0.00005</v>
      </c>
      <c r="M1154" s="7">
        <f t="shared" si="2250"/>
        <v>0.00005</v>
      </c>
      <c r="N1154" s="7">
        <f t="shared" si="2250"/>
        <v>0</v>
      </c>
      <c r="O1154" s="7">
        <f t="shared" si="2250"/>
        <v>0</v>
      </c>
      <c r="P1154" s="7">
        <f t="shared" si="2250"/>
        <v>0.00005</v>
      </c>
      <c r="Q1154" s="7">
        <f t="shared" si="7"/>
        <v>0.001641593192</v>
      </c>
      <c r="R1154" s="7">
        <f t="shared" si="8"/>
        <v>0.0118669764</v>
      </c>
      <c r="S1154" s="7">
        <f t="shared" si="2"/>
        <v>0.2084814033</v>
      </c>
      <c r="T1154" s="7">
        <f t="shared" si="3"/>
        <v>0.09219544457</v>
      </c>
      <c r="U1154" s="7">
        <f t="shared" si="4"/>
        <v>0</v>
      </c>
      <c r="V1154" s="7">
        <f t="shared" si="5"/>
        <v>0</v>
      </c>
      <c r="W1154" s="7">
        <f t="shared" ref="W1154:X1154" si="2251">IF(AVERAGE(U1094:U1153) &gt; 0.25, 1, 0)</f>
        <v>0</v>
      </c>
      <c r="X1154" s="7">
        <f t="shared" si="2251"/>
        <v>0</v>
      </c>
      <c r="Y1154" s="8">
        <v>0.0</v>
      </c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</row>
    <row r="1155" ht="22.5" customHeight="1">
      <c r="B1155" s="6">
        <v>1154.0</v>
      </c>
      <c r="C1155" s="6">
        <v>59195.0</v>
      </c>
      <c r="D1155" s="6">
        <v>0.84</v>
      </c>
      <c r="E1155" s="6">
        <v>9.72</v>
      </c>
      <c r="F1155" s="6">
        <v>2.11</v>
      </c>
      <c r="G1155" s="6">
        <v>-0.12</v>
      </c>
      <c r="H1155" s="6">
        <v>0.0</v>
      </c>
      <c r="I1155" s="6">
        <v>-0.02</v>
      </c>
      <c r="J1155" s="6">
        <v>33.35</v>
      </c>
      <c r="K1155" s="7">
        <f t="shared" ref="K1155:P1155" si="2252">abs(D1155-D1154)/200</f>
        <v>0.00005</v>
      </c>
      <c r="L1155" s="7">
        <f t="shared" si="2252"/>
        <v>0.0001</v>
      </c>
      <c r="M1155" s="7">
        <f t="shared" si="2252"/>
        <v>0.00015</v>
      </c>
      <c r="N1155" s="7">
        <f t="shared" si="2252"/>
        <v>0.00015</v>
      </c>
      <c r="O1155" s="7">
        <f t="shared" si="2252"/>
        <v>0</v>
      </c>
      <c r="P1155" s="7">
        <f t="shared" si="2252"/>
        <v>0</v>
      </c>
      <c r="Q1155" s="7">
        <f t="shared" si="7"/>
        <v>0.02945980603</v>
      </c>
      <c r="R1155" s="7">
        <f t="shared" si="8"/>
        <v>0.02669298638</v>
      </c>
      <c r="S1155" s="7">
        <f t="shared" si="2"/>
        <v>0.1817884169</v>
      </c>
      <c r="T1155" s="7">
        <f t="shared" si="3"/>
        <v>0.1216552506</v>
      </c>
      <c r="U1155" s="7">
        <f t="shared" si="4"/>
        <v>0</v>
      </c>
      <c r="V1155" s="7">
        <f t="shared" si="5"/>
        <v>0</v>
      </c>
      <c r="W1155" s="7">
        <f t="shared" ref="W1155:X1155" si="2253">IF(AVERAGE(U1095:U1154) &gt; 0.25, 1, 0)</f>
        <v>0</v>
      </c>
      <c r="X1155" s="7">
        <f t="shared" si="2253"/>
        <v>0</v>
      </c>
      <c r="Y1155" s="8">
        <v>0.0</v>
      </c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</row>
    <row r="1156" ht="22.5" customHeight="1">
      <c r="B1156" s="6">
        <v>1155.0</v>
      </c>
      <c r="C1156" s="6">
        <v>59399.0</v>
      </c>
      <c r="D1156" s="6">
        <v>0.85</v>
      </c>
      <c r="E1156" s="6">
        <v>9.73</v>
      </c>
      <c r="F1156" s="6">
        <v>2.14</v>
      </c>
      <c r="G1156" s="6">
        <v>-0.1</v>
      </c>
      <c r="H1156" s="6">
        <v>0.0</v>
      </c>
      <c r="I1156" s="6">
        <v>-0.01</v>
      </c>
      <c r="J1156" s="6">
        <v>33.35</v>
      </c>
      <c r="K1156" s="7">
        <f t="shared" ref="K1156:P1156" si="2254">abs(D1156-D1155)/200</f>
        <v>0.00005</v>
      </c>
      <c r="L1156" s="7">
        <f t="shared" si="2254"/>
        <v>0.00005</v>
      </c>
      <c r="M1156" s="7">
        <f t="shared" si="2254"/>
        <v>0.00015</v>
      </c>
      <c r="N1156" s="7">
        <f t="shared" si="2254"/>
        <v>0.0001</v>
      </c>
      <c r="O1156" s="7">
        <f t="shared" si="2254"/>
        <v>0</v>
      </c>
      <c r="P1156" s="7">
        <f t="shared" si="2254"/>
        <v>0.00005</v>
      </c>
      <c r="Q1156" s="7">
        <f t="shared" si="7"/>
        <v>0.02115649439</v>
      </c>
      <c r="R1156" s="7">
        <f t="shared" si="8"/>
        <v>0.01696150495</v>
      </c>
      <c r="S1156" s="7">
        <f t="shared" si="2"/>
        <v>0.1987499219</v>
      </c>
      <c r="T1156" s="7">
        <f t="shared" si="3"/>
        <v>0.1004987562</v>
      </c>
      <c r="U1156" s="7">
        <f t="shared" si="4"/>
        <v>0</v>
      </c>
      <c r="V1156" s="7">
        <f t="shared" si="5"/>
        <v>0</v>
      </c>
      <c r="W1156" s="7">
        <f t="shared" ref="W1156:X1156" si="2255">IF(AVERAGE(U1096:U1155) &gt; 0.25, 1, 0)</f>
        <v>0</v>
      </c>
      <c r="X1156" s="7">
        <f t="shared" si="2255"/>
        <v>0</v>
      </c>
      <c r="Y1156" s="8">
        <v>0.0</v>
      </c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</row>
    <row r="1157" ht="22.5" customHeight="1">
      <c r="B1157" s="6">
        <v>1156.0</v>
      </c>
      <c r="C1157" s="6">
        <v>59603.0</v>
      </c>
      <c r="D1157" s="6">
        <v>0.92</v>
      </c>
      <c r="E1157" s="6">
        <v>9.7</v>
      </c>
      <c r="F1157" s="6">
        <v>2.09</v>
      </c>
      <c r="G1157" s="6">
        <v>-0.08</v>
      </c>
      <c r="H1157" s="6">
        <v>0.0</v>
      </c>
      <c r="I1157" s="6">
        <v>0.01</v>
      </c>
      <c r="J1157" s="6">
        <v>33.35</v>
      </c>
      <c r="K1157" s="7">
        <f t="shared" ref="K1157:P1157" si="2256">abs(D1157-D1156)/200</f>
        <v>0.00035</v>
      </c>
      <c r="L1157" s="7">
        <f t="shared" si="2256"/>
        <v>0.00015</v>
      </c>
      <c r="M1157" s="7">
        <f t="shared" si="2256"/>
        <v>0.00025</v>
      </c>
      <c r="N1157" s="7">
        <f t="shared" si="2256"/>
        <v>0.0001</v>
      </c>
      <c r="O1157" s="7">
        <f t="shared" si="2256"/>
        <v>0</v>
      </c>
      <c r="P1157" s="7">
        <f t="shared" si="2256"/>
        <v>0.0001</v>
      </c>
      <c r="Q1157" s="7">
        <f t="shared" si="7"/>
        <v>0.01987617873</v>
      </c>
      <c r="R1157" s="7">
        <f t="shared" si="8"/>
        <v>0.03358559808</v>
      </c>
      <c r="S1157" s="7">
        <f t="shared" si="2"/>
        <v>0.1651643238</v>
      </c>
      <c r="T1157" s="7">
        <f t="shared" si="3"/>
        <v>0.08062257748</v>
      </c>
      <c r="U1157" s="7">
        <f t="shared" si="4"/>
        <v>1</v>
      </c>
      <c r="V1157" s="7">
        <f t="shared" si="5"/>
        <v>0</v>
      </c>
      <c r="W1157" s="7">
        <f t="shared" ref="W1157:X1157" si="2257">IF(AVERAGE(U1097:U1156) &gt; 0.25, 1, 0)</f>
        <v>0</v>
      </c>
      <c r="X1157" s="7">
        <f t="shared" si="2257"/>
        <v>0</v>
      </c>
      <c r="Y1157" s="8">
        <v>0.0</v>
      </c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</row>
    <row r="1158" ht="22.5" customHeight="1">
      <c r="B1158" s="6">
        <v>1157.0</v>
      </c>
      <c r="C1158" s="6">
        <v>59807.0</v>
      </c>
      <c r="D1158" s="6">
        <v>0.88</v>
      </c>
      <c r="E1158" s="6">
        <v>9.72</v>
      </c>
      <c r="F1158" s="6">
        <v>2.17</v>
      </c>
      <c r="G1158" s="6">
        <v>-0.1</v>
      </c>
      <c r="H1158" s="6">
        <v>0.0</v>
      </c>
      <c r="I1158" s="6">
        <v>-0.03</v>
      </c>
      <c r="J1158" s="6">
        <v>33.35</v>
      </c>
      <c r="K1158" s="7">
        <f t="shared" ref="K1158:P1158" si="2258">abs(D1158-D1157)/200</f>
        <v>0.0002</v>
      </c>
      <c r="L1158" s="7">
        <f t="shared" si="2258"/>
        <v>0.0001</v>
      </c>
      <c r="M1158" s="7">
        <f t="shared" si="2258"/>
        <v>0.0004</v>
      </c>
      <c r="N1158" s="7">
        <f t="shared" si="2258"/>
        <v>0.0001</v>
      </c>
      <c r="O1158" s="7">
        <f t="shared" si="2258"/>
        <v>0</v>
      </c>
      <c r="P1158" s="7">
        <f t="shared" si="2258"/>
        <v>0.0002</v>
      </c>
      <c r="Q1158" s="7">
        <f t="shared" si="7"/>
        <v>0.02378048761</v>
      </c>
      <c r="R1158" s="7">
        <f t="shared" si="8"/>
        <v>0.03292049282</v>
      </c>
      <c r="S1158" s="7">
        <f t="shared" si="2"/>
        <v>0.1980848166</v>
      </c>
      <c r="T1158" s="7">
        <f t="shared" si="3"/>
        <v>0.1044030651</v>
      </c>
      <c r="U1158" s="7">
        <f t="shared" si="4"/>
        <v>1</v>
      </c>
      <c r="V1158" s="7">
        <f t="shared" si="5"/>
        <v>0</v>
      </c>
      <c r="W1158" s="7">
        <f t="shared" ref="W1158:X1158" si="2259">IF(AVERAGE(U1098:U1157) &gt; 0.25, 1, 0)</f>
        <v>0</v>
      </c>
      <c r="X1158" s="7">
        <f t="shared" si="2259"/>
        <v>0</v>
      </c>
      <c r="Y1158" s="8">
        <v>0.0</v>
      </c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</row>
    <row r="1159" ht="22.5" customHeight="1">
      <c r="B1159" s="6">
        <v>1158.0</v>
      </c>
      <c r="C1159" s="6">
        <v>60011.0</v>
      </c>
      <c r="D1159" s="6">
        <v>0.68</v>
      </c>
      <c r="E1159" s="6">
        <v>9.78</v>
      </c>
      <c r="F1159" s="6">
        <v>2.26</v>
      </c>
      <c r="G1159" s="6">
        <v>-0.14</v>
      </c>
      <c r="H1159" s="6">
        <v>0.0</v>
      </c>
      <c r="I1159" s="6">
        <v>-0.02</v>
      </c>
      <c r="J1159" s="6">
        <v>33.35</v>
      </c>
      <c r="K1159" s="7">
        <f t="shared" ref="K1159:P1159" si="2260">abs(D1159-D1158)/200</f>
        <v>0.001</v>
      </c>
      <c r="L1159" s="7">
        <f t="shared" si="2260"/>
        <v>0.0003</v>
      </c>
      <c r="M1159" s="7">
        <f t="shared" si="2260"/>
        <v>0.00045</v>
      </c>
      <c r="N1159" s="7">
        <f t="shared" si="2260"/>
        <v>0.0002</v>
      </c>
      <c r="O1159" s="7">
        <f t="shared" si="2260"/>
        <v>0</v>
      </c>
      <c r="P1159" s="7">
        <f t="shared" si="2260"/>
        <v>0.00005</v>
      </c>
      <c r="Q1159" s="7">
        <f t="shared" si="7"/>
        <v>0.03701829115</v>
      </c>
      <c r="R1159" s="7">
        <f t="shared" si="8"/>
        <v>0.06265074299</v>
      </c>
      <c r="S1159" s="7">
        <f t="shared" si="2"/>
        <v>0.2607355596</v>
      </c>
      <c r="T1159" s="7">
        <f t="shared" si="3"/>
        <v>0.1414213562</v>
      </c>
      <c r="U1159" s="7">
        <f t="shared" si="4"/>
        <v>1</v>
      </c>
      <c r="V1159" s="7">
        <f t="shared" si="5"/>
        <v>0</v>
      </c>
      <c r="W1159" s="7">
        <f t="shared" ref="W1159:X1159" si="2261">IF(AVERAGE(U1099:U1158) &gt; 0.25, 1, 0)</f>
        <v>0</v>
      </c>
      <c r="X1159" s="7">
        <f t="shared" si="2261"/>
        <v>0</v>
      </c>
      <c r="Y1159" s="8">
        <v>0.0</v>
      </c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</row>
    <row r="1160" ht="22.5" customHeight="1">
      <c r="B1160" s="6">
        <v>1159.0</v>
      </c>
      <c r="C1160" s="6">
        <v>60215.0</v>
      </c>
      <c r="D1160" s="6">
        <v>0.85</v>
      </c>
      <c r="E1160" s="6">
        <v>9.72</v>
      </c>
      <c r="F1160" s="6">
        <v>2.1</v>
      </c>
      <c r="G1160" s="6">
        <v>-0.05</v>
      </c>
      <c r="H1160" s="6">
        <v>0.0</v>
      </c>
      <c r="I1160" s="6">
        <v>-0.03</v>
      </c>
      <c r="J1160" s="6">
        <v>33.34</v>
      </c>
      <c r="K1160" s="7">
        <f t="shared" ref="K1160:P1160" si="2262">abs(D1160-D1159)/200</f>
        <v>0.00085</v>
      </c>
      <c r="L1160" s="7">
        <f t="shared" si="2262"/>
        <v>0.0003</v>
      </c>
      <c r="M1160" s="7">
        <f t="shared" si="2262"/>
        <v>0.0008</v>
      </c>
      <c r="N1160" s="7">
        <f t="shared" si="2262"/>
        <v>0.00045</v>
      </c>
      <c r="O1160" s="7">
        <f t="shared" si="2262"/>
        <v>0</v>
      </c>
      <c r="P1160" s="7">
        <f t="shared" si="2262"/>
        <v>0.00005</v>
      </c>
      <c r="Q1160" s="7">
        <f t="shared" si="7"/>
        <v>0.08311183729</v>
      </c>
      <c r="R1160" s="7">
        <f t="shared" si="8"/>
        <v>0.08020952135</v>
      </c>
      <c r="S1160" s="7">
        <f t="shared" si="2"/>
        <v>0.1805260382</v>
      </c>
      <c r="T1160" s="7">
        <f t="shared" si="3"/>
        <v>0.05830951895</v>
      </c>
      <c r="U1160" s="7">
        <f t="shared" si="4"/>
        <v>1</v>
      </c>
      <c r="V1160" s="7">
        <f t="shared" si="5"/>
        <v>1</v>
      </c>
      <c r="W1160" s="7">
        <f t="shared" ref="W1160:X1160" si="2263">IF(AVERAGE(U1100:U1159) &gt; 0.25, 1, 0)</f>
        <v>0</v>
      </c>
      <c r="X1160" s="7">
        <f t="shared" si="2263"/>
        <v>0</v>
      </c>
      <c r="Y1160" s="8">
        <v>0.0</v>
      </c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</row>
    <row r="1161" ht="22.5" customHeight="1">
      <c r="B1161" s="6">
        <v>1160.0</v>
      </c>
      <c r="C1161" s="6">
        <v>60419.0</v>
      </c>
      <c r="D1161" s="6">
        <v>0.86</v>
      </c>
      <c r="E1161" s="6">
        <v>9.71</v>
      </c>
      <c r="F1161" s="6">
        <v>2.15</v>
      </c>
      <c r="G1161" s="6">
        <v>-0.18</v>
      </c>
      <c r="H1161" s="6">
        <v>0.0</v>
      </c>
      <c r="I1161" s="6">
        <v>-0.03</v>
      </c>
      <c r="J1161" s="6">
        <v>33.34</v>
      </c>
      <c r="K1161" s="7">
        <f t="shared" ref="K1161:P1161" si="2264">abs(D1161-D1160)/200</f>
        <v>0.00005</v>
      </c>
      <c r="L1161" s="7">
        <f t="shared" si="2264"/>
        <v>0.00005</v>
      </c>
      <c r="M1161" s="7">
        <f t="shared" si="2264"/>
        <v>0.00025</v>
      </c>
      <c r="N1161" s="7">
        <f t="shared" si="2264"/>
        <v>0.00065</v>
      </c>
      <c r="O1161" s="7">
        <f t="shared" si="2264"/>
        <v>0</v>
      </c>
      <c r="P1161" s="7">
        <f t="shared" si="2264"/>
        <v>0</v>
      </c>
      <c r="Q1161" s="7">
        <f t="shared" si="7"/>
        <v>0.124173357</v>
      </c>
      <c r="R1161" s="7">
        <f t="shared" si="8"/>
        <v>0.001768287214</v>
      </c>
      <c r="S1161" s="7">
        <f t="shared" si="2"/>
        <v>0.1822943255</v>
      </c>
      <c r="T1161" s="7">
        <f t="shared" si="3"/>
        <v>0.1824828759</v>
      </c>
      <c r="U1161" s="7">
        <f t="shared" si="4"/>
        <v>0</v>
      </c>
      <c r="V1161" s="7">
        <f t="shared" si="5"/>
        <v>1</v>
      </c>
      <c r="W1161" s="7">
        <f t="shared" ref="W1161:X1161" si="2265">IF(AVERAGE(U1101:U1160) &gt; 0.25, 1, 0)</f>
        <v>0</v>
      </c>
      <c r="X1161" s="7">
        <f t="shared" si="2265"/>
        <v>0</v>
      </c>
      <c r="Y1161" s="8">
        <v>0.0</v>
      </c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</row>
    <row r="1162" ht="22.5" customHeight="1">
      <c r="B1162" s="6">
        <v>1161.0</v>
      </c>
      <c r="C1162" s="6">
        <v>60623.0</v>
      </c>
      <c r="D1162" s="6">
        <v>0.78</v>
      </c>
      <c r="E1162" s="6">
        <v>9.7</v>
      </c>
      <c r="F1162" s="6">
        <v>2.27</v>
      </c>
      <c r="G1162" s="6">
        <v>-0.09</v>
      </c>
      <c r="H1162" s="6">
        <v>0.0</v>
      </c>
      <c r="I1162" s="6">
        <v>-0.03</v>
      </c>
      <c r="J1162" s="6">
        <v>33.35</v>
      </c>
      <c r="K1162" s="7">
        <f t="shared" ref="K1162:P1162" si="2266">abs(D1162-D1161)/200</f>
        <v>0.0004</v>
      </c>
      <c r="L1162" s="7">
        <f t="shared" si="2266"/>
        <v>0.00005</v>
      </c>
      <c r="M1162" s="7">
        <f t="shared" si="2266"/>
        <v>0.0006</v>
      </c>
      <c r="N1162" s="7">
        <f t="shared" si="2266"/>
        <v>0.00045</v>
      </c>
      <c r="O1162" s="7">
        <f t="shared" si="2266"/>
        <v>0</v>
      </c>
      <c r="P1162" s="7">
        <f t="shared" si="2266"/>
        <v>0</v>
      </c>
      <c r="Q1162" s="7">
        <f t="shared" si="7"/>
        <v>0.0876145461</v>
      </c>
      <c r="R1162" s="7">
        <f t="shared" si="8"/>
        <v>0.01026790853</v>
      </c>
      <c r="S1162" s="7">
        <f t="shared" si="2"/>
        <v>0.192562234</v>
      </c>
      <c r="T1162" s="7">
        <f t="shared" si="3"/>
        <v>0.09486832981</v>
      </c>
      <c r="U1162" s="7">
        <f t="shared" si="4"/>
        <v>1</v>
      </c>
      <c r="V1162" s="7">
        <f t="shared" si="5"/>
        <v>1</v>
      </c>
      <c r="W1162" s="7">
        <f t="shared" ref="W1162:X1162" si="2267">IF(AVERAGE(U1102:U1161) &gt; 0.25, 1, 0)</f>
        <v>0</v>
      </c>
      <c r="X1162" s="7">
        <f t="shared" si="2267"/>
        <v>0</v>
      </c>
      <c r="Y1162" s="8">
        <v>0.0</v>
      </c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</row>
    <row r="1163" ht="22.5" customHeight="1">
      <c r="B1163" s="6">
        <v>1162.0</v>
      </c>
      <c r="C1163" s="6">
        <v>60827.0</v>
      </c>
      <c r="D1163" s="6">
        <v>0.74</v>
      </c>
      <c r="E1163" s="6">
        <v>9.73</v>
      </c>
      <c r="F1163" s="6">
        <v>2.18</v>
      </c>
      <c r="G1163" s="6">
        <v>-0.11</v>
      </c>
      <c r="H1163" s="6">
        <v>0.0</v>
      </c>
      <c r="I1163" s="6">
        <v>0.01</v>
      </c>
      <c r="J1163" s="6">
        <v>33.34</v>
      </c>
      <c r="K1163" s="7">
        <f t="shared" ref="K1163:P1163" si="2268">abs(D1163-D1162)/200</f>
        <v>0.0002</v>
      </c>
      <c r="L1163" s="7">
        <f t="shared" si="2268"/>
        <v>0.00015</v>
      </c>
      <c r="M1163" s="7">
        <f t="shared" si="2268"/>
        <v>0.00045</v>
      </c>
      <c r="N1163" s="7">
        <f t="shared" si="2268"/>
        <v>0.0001</v>
      </c>
      <c r="O1163" s="7">
        <f t="shared" si="2268"/>
        <v>0</v>
      </c>
      <c r="P1163" s="7">
        <f t="shared" si="2268"/>
        <v>0.0002</v>
      </c>
      <c r="Q1163" s="7">
        <f t="shared" si="7"/>
        <v>0.01558528037</v>
      </c>
      <c r="R1163" s="7">
        <f t="shared" si="8"/>
        <v>0.006082674204</v>
      </c>
      <c r="S1163" s="7">
        <f t="shared" si="2"/>
        <v>0.1986449082</v>
      </c>
      <c r="T1163" s="7">
        <f t="shared" si="3"/>
        <v>0.1104536102</v>
      </c>
      <c r="U1163" s="7">
        <f t="shared" si="4"/>
        <v>1</v>
      </c>
      <c r="V1163" s="7">
        <f t="shared" si="5"/>
        <v>0</v>
      </c>
      <c r="W1163" s="7">
        <f t="shared" ref="W1163:X1163" si="2269">IF(AVERAGE(U1103:U1162) &gt; 0.25, 1, 0)</f>
        <v>0</v>
      </c>
      <c r="X1163" s="7">
        <f t="shared" si="2269"/>
        <v>0</v>
      </c>
      <c r="Y1163" s="8">
        <v>0.0</v>
      </c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</row>
    <row r="1164" ht="22.5" customHeight="1">
      <c r="B1164" s="6">
        <v>1163.0</v>
      </c>
      <c r="C1164" s="6">
        <v>61031.0</v>
      </c>
      <c r="D1164" s="6">
        <v>0.74</v>
      </c>
      <c r="E1164" s="6">
        <v>9.72</v>
      </c>
      <c r="F1164" s="6">
        <v>2.22</v>
      </c>
      <c r="G1164" s="6">
        <v>-0.05</v>
      </c>
      <c r="H1164" s="6">
        <v>0.0</v>
      </c>
      <c r="I1164" s="6">
        <v>-0.02</v>
      </c>
      <c r="J1164" s="6">
        <v>33.34</v>
      </c>
      <c r="K1164" s="7">
        <f t="shared" ref="K1164:P1164" si="2270">abs(D1164-D1163)/200</f>
        <v>0</v>
      </c>
      <c r="L1164" s="7">
        <f t="shared" si="2270"/>
        <v>0.00005</v>
      </c>
      <c r="M1164" s="7">
        <f t="shared" si="2270"/>
        <v>0.0002</v>
      </c>
      <c r="N1164" s="7">
        <f t="shared" si="2270"/>
        <v>0.0003</v>
      </c>
      <c r="O1164" s="7">
        <f t="shared" si="2270"/>
        <v>0</v>
      </c>
      <c r="P1164" s="7">
        <f t="shared" si="2270"/>
        <v>0.00015</v>
      </c>
      <c r="Q1164" s="7">
        <f t="shared" si="7"/>
        <v>0.0566019621</v>
      </c>
      <c r="R1164" s="7">
        <f t="shared" si="8"/>
        <v>0.0009251681656</v>
      </c>
      <c r="S1164" s="7">
        <f t="shared" si="2"/>
        <v>0.19771974</v>
      </c>
      <c r="T1164" s="7">
        <f t="shared" si="3"/>
        <v>0.05385164807</v>
      </c>
      <c r="U1164" s="7">
        <f t="shared" si="4"/>
        <v>0</v>
      </c>
      <c r="V1164" s="7">
        <f t="shared" si="5"/>
        <v>0</v>
      </c>
      <c r="W1164" s="7">
        <f t="shared" ref="W1164:X1164" si="2271">IF(AVERAGE(U1104:U1163) &gt; 0.25, 1, 0)</f>
        <v>0</v>
      </c>
      <c r="X1164" s="7">
        <f t="shared" si="2271"/>
        <v>0</v>
      </c>
      <c r="Y1164" s="8">
        <v>0.0</v>
      </c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</row>
    <row r="1165" ht="22.5" customHeight="1">
      <c r="B1165" s="6">
        <v>1164.0</v>
      </c>
      <c r="C1165" s="6">
        <v>61235.0</v>
      </c>
      <c r="D1165" s="6">
        <v>0.78</v>
      </c>
      <c r="E1165" s="6">
        <v>9.73</v>
      </c>
      <c r="F1165" s="6">
        <v>2.22</v>
      </c>
      <c r="G1165" s="6">
        <v>-0.14</v>
      </c>
      <c r="H1165" s="6">
        <v>0.0</v>
      </c>
      <c r="I1165" s="6">
        <v>0.01</v>
      </c>
      <c r="J1165" s="6">
        <v>33.35</v>
      </c>
      <c r="K1165" s="7">
        <f t="shared" ref="K1165:P1165" si="2272">abs(D1165-D1164)/200</f>
        <v>0.0002</v>
      </c>
      <c r="L1165" s="7">
        <f t="shared" si="2272"/>
        <v>0.00005</v>
      </c>
      <c r="M1165" s="7">
        <f t="shared" si="2272"/>
        <v>0</v>
      </c>
      <c r="N1165" s="7">
        <f t="shared" si="2272"/>
        <v>0.00045</v>
      </c>
      <c r="O1165" s="7">
        <f t="shared" si="2272"/>
        <v>0</v>
      </c>
      <c r="P1165" s="7">
        <f t="shared" si="2272"/>
        <v>0.00015</v>
      </c>
      <c r="Q1165" s="7">
        <f t="shared" si="7"/>
        <v>0.0865050404</v>
      </c>
      <c r="R1165" s="7">
        <f t="shared" si="8"/>
        <v>0.01275976897</v>
      </c>
      <c r="S1165" s="7">
        <f t="shared" si="2"/>
        <v>0.210479509</v>
      </c>
      <c r="T1165" s="7">
        <f t="shared" si="3"/>
        <v>0.1403566885</v>
      </c>
      <c r="U1165" s="7">
        <f t="shared" si="4"/>
        <v>0</v>
      </c>
      <c r="V1165" s="7">
        <f t="shared" si="5"/>
        <v>1</v>
      </c>
      <c r="W1165" s="7">
        <f t="shared" ref="W1165:X1165" si="2273">IF(AVERAGE(U1105:U1164) &gt; 0.25, 1, 0)</f>
        <v>0</v>
      </c>
      <c r="X1165" s="7">
        <f t="shared" si="2273"/>
        <v>0</v>
      </c>
      <c r="Y1165" s="8">
        <v>0.0</v>
      </c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</row>
    <row r="1166" ht="22.5" customHeight="1">
      <c r="B1166" s="6">
        <v>1165.0</v>
      </c>
      <c r="C1166" s="6">
        <v>61439.0</v>
      </c>
      <c r="D1166" s="6">
        <v>0.79</v>
      </c>
      <c r="E1166" s="6">
        <v>9.73</v>
      </c>
      <c r="F1166" s="6">
        <v>2.25</v>
      </c>
      <c r="G1166" s="6">
        <v>-0.11</v>
      </c>
      <c r="H1166" s="6">
        <v>0.0</v>
      </c>
      <c r="I1166" s="6">
        <v>-0.01</v>
      </c>
      <c r="J1166" s="6">
        <v>33.35</v>
      </c>
      <c r="K1166" s="7">
        <f t="shared" ref="K1166:P1166" si="2274">abs(D1166-D1165)/200</f>
        <v>0.00005</v>
      </c>
      <c r="L1166" s="7">
        <f t="shared" si="2274"/>
        <v>0</v>
      </c>
      <c r="M1166" s="7">
        <f t="shared" si="2274"/>
        <v>0.00015</v>
      </c>
      <c r="N1166" s="7">
        <f t="shared" si="2274"/>
        <v>0.00015</v>
      </c>
      <c r="O1166" s="7">
        <f t="shared" si="2274"/>
        <v>0</v>
      </c>
      <c r="P1166" s="7">
        <f t="shared" si="2274"/>
        <v>0.0001</v>
      </c>
      <c r="Q1166" s="7">
        <f t="shared" si="7"/>
        <v>0.0299030783</v>
      </c>
      <c r="R1166" s="7">
        <f t="shared" si="8"/>
        <v>0.007479364948</v>
      </c>
      <c r="S1166" s="7">
        <f t="shared" si="2"/>
        <v>0.2179588739</v>
      </c>
      <c r="T1166" s="7">
        <f t="shared" si="3"/>
        <v>0.1104536102</v>
      </c>
      <c r="U1166" s="7">
        <f t="shared" si="4"/>
        <v>0</v>
      </c>
      <c r="V1166" s="7">
        <f t="shared" si="5"/>
        <v>0</v>
      </c>
      <c r="W1166" s="7">
        <f t="shared" ref="W1166:X1166" si="2275">IF(AVERAGE(U1106:U1165) &gt; 0.25, 1, 0)</f>
        <v>0</v>
      </c>
      <c r="X1166" s="7">
        <f t="shared" si="2275"/>
        <v>0</v>
      </c>
      <c r="Y1166" s="8">
        <v>0.0</v>
      </c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</row>
    <row r="1167" ht="22.5" customHeight="1">
      <c r="B1167" s="6">
        <v>1166.0</v>
      </c>
      <c r="C1167" s="6">
        <v>61643.0</v>
      </c>
      <c r="D1167" s="6">
        <v>0.78</v>
      </c>
      <c r="E1167" s="6">
        <v>9.73</v>
      </c>
      <c r="F1167" s="6">
        <v>2.26</v>
      </c>
      <c r="G1167" s="6">
        <v>-0.07</v>
      </c>
      <c r="H1167" s="6">
        <v>0.0</v>
      </c>
      <c r="I1167" s="6">
        <v>0.0</v>
      </c>
      <c r="J1167" s="6">
        <v>33.35</v>
      </c>
      <c r="K1167" s="7">
        <f t="shared" ref="K1167:P1167" si="2276">abs(D1167-D1166)/200</f>
        <v>0.00005</v>
      </c>
      <c r="L1167" s="7">
        <f t="shared" si="2276"/>
        <v>0</v>
      </c>
      <c r="M1167" s="7">
        <f t="shared" si="2276"/>
        <v>0.00005</v>
      </c>
      <c r="N1167" s="7">
        <f t="shared" si="2276"/>
        <v>0.0002</v>
      </c>
      <c r="O1167" s="7">
        <f t="shared" si="2276"/>
        <v>0</v>
      </c>
      <c r="P1167" s="7">
        <f t="shared" si="2276"/>
        <v>0.00005</v>
      </c>
      <c r="Q1167" s="7">
        <f t="shared" si="7"/>
        <v>0.04045361017</v>
      </c>
      <c r="R1167" s="7">
        <f t="shared" si="8"/>
        <v>0.001467257329</v>
      </c>
      <c r="S1167" s="7">
        <f t="shared" si="2"/>
        <v>0.2194261313</v>
      </c>
      <c r="T1167" s="7">
        <f t="shared" si="3"/>
        <v>0.07</v>
      </c>
      <c r="U1167" s="7">
        <f t="shared" si="4"/>
        <v>0</v>
      </c>
      <c r="V1167" s="7">
        <f t="shared" si="5"/>
        <v>0</v>
      </c>
      <c r="W1167" s="7">
        <f t="shared" ref="W1167:X1167" si="2277">IF(AVERAGE(U1107:U1166) &gt; 0.25, 1, 0)</f>
        <v>0</v>
      </c>
      <c r="X1167" s="7">
        <f t="shared" si="2277"/>
        <v>0</v>
      </c>
      <c r="Y1167" s="8">
        <v>0.0</v>
      </c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</row>
    <row r="1168" ht="22.5" customHeight="1">
      <c r="B1168" s="6">
        <v>1167.0</v>
      </c>
      <c r="C1168" s="6">
        <v>61847.0</v>
      </c>
      <c r="D1168" s="6">
        <v>0.81</v>
      </c>
      <c r="E1168" s="6">
        <v>9.72</v>
      </c>
      <c r="F1168" s="6">
        <v>2.17</v>
      </c>
      <c r="G1168" s="6">
        <v>-0.08</v>
      </c>
      <c r="H1168" s="6">
        <v>0.0</v>
      </c>
      <c r="I1168" s="6">
        <v>-0.01</v>
      </c>
      <c r="J1168" s="6">
        <v>33.35</v>
      </c>
      <c r="K1168" s="7">
        <f t="shared" ref="K1168:P1168" si="2278">abs(D1168-D1167)/200</f>
        <v>0.00015</v>
      </c>
      <c r="L1168" s="7">
        <f t="shared" si="2278"/>
        <v>0.00005</v>
      </c>
      <c r="M1168" s="7">
        <f t="shared" si="2278"/>
        <v>0.00045</v>
      </c>
      <c r="N1168" s="7">
        <f t="shared" si="2278"/>
        <v>0.00005</v>
      </c>
      <c r="O1168" s="7">
        <f t="shared" si="2278"/>
        <v>0</v>
      </c>
      <c r="P1168" s="7">
        <f t="shared" si="2278"/>
        <v>0.00005</v>
      </c>
      <c r="Q1168" s="7">
        <f t="shared" si="7"/>
        <v>0.01062257748</v>
      </c>
      <c r="R1168" s="7">
        <f t="shared" si="8"/>
        <v>0.02725919912</v>
      </c>
      <c r="S1168" s="7">
        <f t="shared" si="2"/>
        <v>0.1921669322</v>
      </c>
      <c r="T1168" s="7">
        <f t="shared" si="3"/>
        <v>0.08062257748</v>
      </c>
      <c r="U1168" s="7">
        <f t="shared" si="4"/>
        <v>1</v>
      </c>
      <c r="V1168" s="7">
        <f t="shared" si="5"/>
        <v>0</v>
      </c>
      <c r="W1168" s="7">
        <f t="shared" ref="W1168:X1168" si="2279">IF(AVERAGE(U1108:U1167) &gt; 0.25, 1, 0)</f>
        <v>0</v>
      </c>
      <c r="X1168" s="7">
        <f t="shared" si="2279"/>
        <v>0</v>
      </c>
      <c r="Y1168" s="8">
        <v>0.0</v>
      </c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</row>
    <row r="1169" ht="22.5" customHeight="1">
      <c r="B1169" s="6">
        <v>1168.0</v>
      </c>
      <c r="C1169" s="6">
        <v>62051.0</v>
      </c>
      <c r="D1169" s="6">
        <v>0.81</v>
      </c>
      <c r="E1169" s="6">
        <v>9.73</v>
      </c>
      <c r="F1169" s="6">
        <v>2.16</v>
      </c>
      <c r="G1169" s="6">
        <v>-0.11</v>
      </c>
      <c r="H1169" s="6">
        <v>0.0</v>
      </c>
      <c r="I1169" s="6">
        <v>-0.01</v>
      </c>
      <c r="J1169" s="6">
        <v>33.35</v>
      </c>
      <c r="K1169" s="7">
        <f t="shared" ref="K1169:P1169" si="2280">abs(D1169-D1168)/200</f>
        <v>0</v>
      </c>
      <c r="L1169" s="7">
        <f t="shared" si="2280"/>
        <v>0.00005</v>
      </c>
      <c r="M1169" s="7">
        <f t="shared" si="2280"/>
        <v>0.00005</v>
      </c>
      <c r="N1169" s="7">
        <f t="shared" si="2280"/>
        <v>0.00015</v>
      </c>
      <c r="O1169" s="7">
        <f t="shared" si="2280"/>
        <v>0</v>
      </c>
      <c r="P1169" s="7">
        <f t="shared" si="2280"/>
        <v>0</v>
      </c>
      <c r="Q1169" s="7">
        <f t="shared" si="7"/>
        <v>0.02983103269</v>
      </c>
      <c r="R1169" s="7">
        <f t="shared" si="8"/>
        <v>0.007563064202</v>
      </c>
      <c r="S1169" s="7">
        <f t="shared" si="2"/>
        <v>0.1997299964</v>
      </c>
      <c r="T1169" s="7">
        <f t="shared" si="3"/>
        <v>0.1104536102</v>
      </c>
      <c r="U1169" s="7">
        <f t="shared" si="4"/>
        <v>0</v>
      </c>
      <c r="V1169" s="7">
        <f t="shared" si="5"/>
        <v>0</v>
      </c>
      <c r="W1169" s="7">
        <f t="shared" ref="W1169:X1169" si="2281">IF(AVERAGE(U1109:U1168) &gt; 0.25, 1, 0)</f>
        <v>0</v>
      </c>
      <c r="X1169" s="7">
        <f t="shared" si="2281"/>
        <v>0</v>
      </c>
      <c r="Y1169" s="8">
        <v>0.0</v>
      </c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</row>
    <row r="1170" ht="22.5" customHeight="1">
      <c r="B1170" s="6">
        <v>1169.0</v>
      </c>
      <c r="C1170" s="6">
        <v>62255.0</v>
      </c>
      <c r="D1170" s="6">
        <v>0.83</v>
      </c>
      <c r="E1170" s="6">
        <v>9.72</v>
      </c>
      <c r="F1170" s="6">
        <v>2.21</v>
      </c>
      <c r="G1170" s="6">
        <v>-0.12</v>
      </c>
      <c r="H1170" s="6">
        <v>0.0</v>
      </c>
      <c r="I1170" s="6">
        <v>-0.01</v>
      </c>
      <c r="J1170" s="6">
        <v>33.34</v>
      </c>
      <c r="K1170" s="7">
        <f t="shared" ref="K1170:P1170" si="2282">abs(D1170-D1169)/200</f>
        <v>0.0001</v>
      </c>
      <c r="L1170" s="7">
        <f t="shared" si="2282"/>
        <v>0.00005</v>
      </c>
      <c r="M1170" s="7">
        <f t="shared" si="2282"/>
        <v>0.00025</v>
      </c>
      <c r="N1170" s="7">
        <f t="shared" si="2282"/>
        <v>0.00005</v>
      </c>
      <c r="O1170" s="7">
        <f t="shared" si="2282"/>
        <v>0</v>
      </c>
      <c r="P1170" s="7">
        <f t="shared" si="2282"/>
        <v>0</v>
      </c>
      <c r="Q1170" s="7">
        <f t="shared" si="7"/>
        <v>0.009962335616</v>
      </c>
      <c r="R1170" s="7">
        <f t="shared" si="8"/>
        <v>0.002839673485</v>
      </c>
      <c r="S1170" s="7">
        <f t="shared" si="2"/>
        <v>0.2025696698</v>
      </c>
      <c r="T1170" s="7">
        <f t="shared" si="3"/>
        <v>0.1204159458</v>
      </c>
      <c r="U1170" s="7">
        <f t="shared" si="4"/>
        <v>0</v>
      </c>
      <c r="V1170" s="7">
        <f t="shared" si="5"/>
        <v>0</v>
      </c>
      <c r="W1170" s="7">
        <f t="shared" ref="W1170:X1170" si="2283">IF(AVERAGE(U1110:U1169) &gt; 0.25, 1, 0)</f>
        <v>0</v>
      </c>
      <c r="X1170" s="7">
        <f t="shared" si="2283"/>
        <v>0</v>
      </c>
      <c r="Y1170" s="8">
        <v>0.0</v>
      </c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</row>
    <row r="1171" ht="22.5" customHeight="1">
      <c r="B1171" s="6">
        <v>1170.0</v>
      </c>
      <c r="C1171" s="6">
        <v>62459.0</v>
      </c>
      <c r="D1171" s="6">
        <v>0.8</v>
      </c>
      <c r="E1171" s="6">
        <v>9.72</v>
      </c>
      <c r="F1171" s="6">
        <v>2.27</v>
      </c>
      <c r="G1171" s="6">
        <v>-0.11</v>
      </c>
      <c r="H1171" s="6">
        <v>0.0</v>
      </c>
      <c r="I1171" s="6">
        <v>-0.02</v>
      </c>
      <c r="J1171" s="6">
        <v>33.35</v>
      </c>
      <c r="K1171" s="7">
        <f t="shared" ref="K1171:P1171" si="2284">abs(D1171-D1170)/200</f>
        <v>0.00015</v>
      </c>
      <c r="L1171" s="7">
        <f t="shared" si="2284"/>
        <v>0</v>
      </c>
      <c r="M1171" s="7">
        <f t="shared" si="2284"/>
        <v>0.0003</v>
      </c>
      <c r="N1171" s="7">
        <f t="shared" si="2284"/>
        <v>0.00005</v>
      </c>
      <c r="O1171" s="7">
        <f t="shared" si="2284"/>
        <v>0</v>
      </c>
      <c r="P1171" s="7">
        <f t="shared" si="2284"/>
        <v>0.00005</v>
      </c>
      <c r="Q1171" s="7">
        <f t="shared" si="7"/>
        <v>0.008612546913</v>
      </c>
      <c r="R1171" s="7">
        <f t="shared" si="8"/>
        <v>0.01098614216</v>
      </c>
      <c r="S1171" s="7">
        <f t="shared" si="2"/>
        <v>0.213555812</v>
      </c>
      <c r="T1171" s="7">
        <f t="shared" si="3"/>
        <v>0.1118033989</v>
      </c>
      <c r="U1171" s="7">
        <f t="shared" si="4"/>
        <v>0</v>
      </c>
      <c r="V1171" s="7">
        <f t="shared" si="5"/>
        <v>0</v>
      </c>
      <c r="W1171" s="7">
        <f t="shared" ref="W1171:X1171" si="2285">IF(AVERAGE(U1111:U1170) &gt; 0.25, 1, 0)</f>
        <v>0</v>
      </c>
      <c r="X1171" s="7">
        <f t="shared" si="2285"/>
        <v>0</v>
      </c>
      <c r="Y1171" s="8">
        <v>0.0</v>
      </c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</row>
    <row r="1172" ht="22.5" customHeight="1">
      <c r="B1172" s="6">
        <v>1171.0</v>
      </c>
      <c r="C1172" s="6">
        <v>62663.0</v>
      </c>
      <c r="D1172" s="6">
        <v>0.79</v>
      </c>
      <c r="E1172" s="6">
        <v>9.72</v>
      </c>
      <c r="F1172" s="6">
        <v>2.26</v>
      </c>
      <c r="G1172" s="6">
        <v>-0.09</v>
      </c>
      <c r="H1172" s="6">
        <v>0.0</v>
      </c>
      <c r="I1172" s="6">
        <v>-0.01</v>
      </c>
      <c r="J1172" s="6">
        <v>33.34</v>
      </c>
      <c r="K1172" s="7">
        <f t="shared" ref="K1172:P1172" si="2286">abs(D1172-D1171)/200</f>
        <v>0.00005</v>
      </c>
      <c r="L1172" s="7">
        <f t="shared" si="2286"/>
        <v>0</v>
      </c>
      <c r="M1172" s="7">
        <f t="shared" si="2286"/>
        <v>0.00005</v>
      </c>
      <c r="N1172" s="7">
        <f t="shared" si="2286"/>
        <v>0.0001</v>
      </c>
      <c r="O1172" s="7">
        <f t="shared" si="2286"/>
        <v>0</v>
      </c>
      <c r="P1172" s="7">
        <f t="shared" si="2286"/>
        <v>0.00005</v>
      </c>
      <c r="Q1172" s="7">
        <f t="shared" si="7"/>
        <v>0.02124954749</v>
      </c>
      <c r="R1172" s="7">
        <f t="shared" si="8"/>
        <v>0.003056323961</v>
      </c>
      <c r="S1172" s="7">
        <f t="shared" si="2"/>
        <v>0.210499488</v>
      </c>
      <c r="T1172" s="7">
        <f t="shared" si="3"/>
        <v>0.09055385138</v>
      </c>
      <c r="U1172" s="7">
        <f t="shared" si="4"/>
        <v>0</v>
      </c>
      <c r="V1172" s="7">
        <f t="shared" si="5"/>
        <v>0</v>
      </c>
      <c r="W1172" s="7">
        <f t="shared" ref="W1172:X1172" si="2287">IF(AVERAGE(U1112:U1171) &gt; 0.25, 1, 0)</f>
        <v>0</v>
      </c>
      <c r="X1172" s="7">
        <f t="shared" si="2287"/>
        <v>0</v>
      </c>
      <c r="Y1172" s="8">
        <v>0.0</v>
      </c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</row>
    <row r="1173" ht="22.5" customHeight="1">
      <c r="B1173" s="6">
        <v>1172.0</v>
      </c>
      <c r="C1173" s="6">
        <v>62867.0</v>
      </c>
      <c r="D1173" s="6">
        <v>0.8</v>
      </c>
      <c r="E1173" s="6">
        <v>9.72</v>
      </c>
      <c r="F1173" s="6">
        <v>2.24</v>
      </c>
      <c r="G1173" s="6">
        <v>-0.1</v>
      </c>
      <c r="H1173" s="6">
        <v>0.0</v>
      </c>
      <c r="I1173" s="6">
        <v>-0.02</v>
      </c>
      <c r="J1173" s="6">
        <v>33.34</v>
      </c>
      <c r="K1173" s="7">
        <f t="shared" ref="K1173:P1173" si="2288">abs(D1173-D1172)/200</f>
        <v>0.00005</v>
      </c>
      <c r="L1173" s="7">
        <f t="shared" si="2288"/>
        <v>0</v>
      </c>
      <c r="M1173" s="7">
        <f t="shared" si="2288"/>
        <v>0.0001</v>
      </c>
      <c r="N1173" s="7">
        <f t="shared" si="2288"/>
        <v>0.00005</v>
      </c>
      <c r="O1173" s="7">
        <f t="shared" si="2288"/>
        <v>0</v>
      </c>
      <c r="P1173" s="7">
        <f t="shared" si="2288"/>
        <v>0.00005</v>
      </c>
      <c r="Q1173" s="7">
        <f t="shared" si="7"/>
        <v>0.01142653889</v>
      </c>
      <c r="R1173" s="7">
        <f t="shared" si="8"/>
        <v>0.003701798467</v>
      </c>
      <c r="S1173" s="7">
        <f t="shared" si="2"/>
        <v>0.2067976896</v>
      </c>
      <c r="T1173" s="7">
        <f t="shared" si="3"/>
        <v>0.1019803903</v>
      </c>
      <c r="U1173" s="7">
        <f t="shared" si="4"/>
        <v>0</v>
      </c>
      <c r="V1173" s="7">
        <f t="shared" si="5"/>
        <v>0</v>
      </c>
      <c r="W1173" s="7">
        <f t="shared" ref="W1173:X1173" si="2289">IF(AVERAGE(U1113:U1172) &gt; 0.25, 1, 0)</f>
        <v>0</v>
      </c>
      <c r="X1173" s="7">
        <f t="shared" si="2289"/>
        <v>0</v>
      </c>
      <c r="Y1173" s="8">
        <v>0.0</v>
      </c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</row>
    <row r="1174" ht="22.5" customHeight="1">
      <c r="B1174" s="6">
        <v>1173.0</v>
      </c>
      <c r="C1174" s="6">
        <v>63071.0</v>
      </c>
      <c r="D1174" s="6">
        <v>0.77</v>
      </c>
      <c r="E1174" s="6">
        <v>9.73</v>
      </c>
      <c r="F1174" s="6">
        <v>2.27</v>
      </c>
      <c r="G1174" s="6">
        <v>-0.1</v>
      </c>
      <c r="H1174" s="6">
        <v>0.0</v>
      </c>
      <c r="I1174" s="6">
        <v>-0.01</v>
      </c>
      <c r="J1174" s="6">
        <v>33.35</v>
      </c>
      <c r="K1174" s="7">
        <f t="shared" ref="K1174:P1174" si="2290">abs(D1174-D1173)/200</f>
        <v>0.00015</v>
      </c>
      <c r="L1174" s="7">
        <f t="shared" si="2290"/>
        <v>0.00005</v>
      </c>
      <c r="M1174" s="7">
        <f t="shared" si="2290"/>
        <v>0.00015</v>
      </c>
      <c r="N1174" s="7">
        <f t="shared" si="2290"/>
        <v>0</v>
      </c>
      <c r="O1174" s="7">
        <f t="shared" si="2290"/>
        <v>0</v>
      </c>
      <c r="P1174" s="7">
        <f t="shared" si="2290"/>
        <v>0.00005</v>
      </c>
      <c r="Q1174" s="7">
        <f t="shared" si="7"/>
        <v>0.001481634061</v>
      </c>
      <c r="R1174" s="7">
        <f t="shared" si="8"/>
        <v>0.01411544247</v>
      </c>
      <c r="S1174" s="7">
        <f t="shared" si="2"/>
        <v>0.220913132</v>
      </c>
      <c r="T1174" s="7">
        <f t="shared" si="3"/>
        <v>0.1004987562</v>
      </c>
      <c r="U1174" s="7">
        <f t="shared" si="4"/>
        <v>0</v>
      </c>
      <c r="V1174" s="7">
        <f t="shared" si="5"/>
        <v>0</v>
      </c>
      <c r="W1174" s="7">
        <f t="shared" ref="W1174:X1174" si="2291">IF(AVERAGE(U1114:U1173) &gt; 0.25, 1, 0)</f>
        <v>0</v>
      </c>
      <c r="X1174" s="7">
        <f t="shared" si="2291"/>
        <v>0</v>
      </c>
      <c r="Y1174" s="8">
        <v>0.0</v>
      </c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</row>
    <row r="1175" ht="22.5" customHeight="1">
      <c r="B1175" s="6">
        <v>1174.0</v>
      </c>
      <c r="C1175" s="6">
        <v>63275.0</v>
      </c>
      <c r="D1175" s="6">
        <v>0.79</v>
      </c>
      <c r="E1175" s="6">
        <v>9.72</v>
      </c>
      <c r="F1175" s="6">
        <v>2.24</v>
      </c>
      <c r="G1175" s="6">
        <v>-0.1</v>
      </c>
      <c r="H1175" s="6">
        <v>0.0</v>
      </c>
      <c r="I1175" s="6">
        <v>-0.01</v>
      </c>
      <c r="J1175" s="6">
        <v>33.36</v>
      </c>
      <c r="K1175" s="7">
        <f t="shared" ref="K1175:P1175" si="2292">abs(D1175-D1174)/200</f>
        <v>0.0001</v>
      </c>
      <c r="L1175" s="7">
        <f t="shared" si="2292"/>
        <v>0.00005</v>
      </c>
      <c r="M1175" s="7">
        <f t="shared" si="2292"/>
        <v>0.00015</v>
      </c>
      <c r="N1175" s="7">
        <f t="shared" si="2292"/>
        <v>0</v>
      </c>
      <c r="O1175" s="7">
        <f t="shared" si="2292"/>
        <v>0</v>
      </c>
      <c r="P1175" s="7">
        <f t="shared" si="2292"/>
        <v>0</v>
      </c>
      <c r="Q1175" s="7">
        <f t="shared" si="7"/>
        <v>0</v>
      </c>
      <c r="R1175" s="7">
        <f t="shared" si="8"/>
        <v>0.01490993396</v>
      </c>
      <c r="S1175" s="7">
        <f t="shared" si="2"/>
        <v>0.2060031981</v>
      </c>
      <c r="T1175" s="7">
        <f t="shared" si="3"/>
        <v>0.1004987562</v>
      </c>
      <c r="U1175" s="7">
        <f t="shared" si="4"/>
        <v>0</v>
      </c>
      <c r="V1175" s="7">
        <f t="shared" si="5"/>
        <v>0</v>
      </c>
      <c r="W1175" s="7">
        <f t="shared" ref="W1175:X1175" si="2293">IF(AVERAGE(U1115:U1174) &gt; 0.25, 1, 0)</f>
        <v>0</v>
      </c>
      <c r="X1175" s="7">
        <f t="shared" si="2293"/>
        <v>0</v>
      </c>
      <c r="Y1175" s="8">
        <v>0.0</v>
      </c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</row>
    <row r="1176" ht="22.5" customHeight="1">
      <c r="B1176" s="6">
        <v>1175.0</v>
      </c>
      <c r="C1176" s="6">
        <v>63479.0</v>
      </c>
      <c r="D1176" s="6">
        <v>0.78</v>
      </c>
      <c r="E1176" s="6">
        <v>9.73</v>
      </c>
      <c r="F1176" s="6">
        <v>2.25</v>
      </c>
      <c r="G1176" s="6">
        <v>-0.09</v>
      </c>
      <c r="H1176" s="6">
        <v>0.0</v>
      </c>
      <c r="I1176" s="6">
        <v>-0.01</v>
      </c>
      <c r="J1176" s="6">
        <v>33.35</v>
      </c>
      <c r="K1176" s="7">
        <f t="shared" ref="K1176:P1176" si="2294">abs(D1176-D1175)/200</f>
        <v>0.00005</v>
      </c>
      <c r="L1176" s="7">
        <f t="shared" si="2294"/>
        <v>0.00005</v>
      </c>
      <c r="M1176" s="7">
        <f t="shared" si="2294"/>
        <v>0.00005</v>
      </c>
      <c r="N1176" s="7">
        <f t="shared" si="2294"/>
        <v>0.00005</v>
      </c>
      <c r="O1176" s="7">
        <f t="shared" si="2294"/>
        <v>0</v>
      </c>
      <c r="P1176" s="7">
        <f t="shared" si="2294"/>
        <v>0</v>
      </c>
      <c r="Q1176" s="7">
        <f t="shared" si="7"/>
        <v>0.00994490483</v>
      </c>
      <c r="R1176" s="7">
        <f t="shared" si="8"/>
        <v>0.01117205246</v>
      </c>
      <c r="S1176" s="7">
        <f t="shared" si="2"/>
        <v>0.2171752505</v>
      </c>
      <c r="T1176" s="7">
        <f t="shared" si="3"/>
        <v>0.09055385138</v>
      </c>
      <c r="U1176" s="7">
        <f t="shared" si="4"/>
        <v>0</v>
      </c>
      <c r="V1176" s="7">
        <f t="shared" si="5"/>
        <v>0</v>
      </c>
      <c r="W1176" s="7">
        <f t="shared" ref="W1176:X1176" si="2295">IF(AVERAGE(U1116:U1175) &gt; 0.25, 1, 0)</f>
        <v>0</v>
      </c>
      <c r="X1176" s="7">
        <f t="shared" si="2295"/>
        <v>0</v>
      </c>
      <c r="Y1176" s="8">
        <v>0.0</v>
      </c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</row>
    <row r="1177" ht="22.5" customHeight="1">
      <c r="B1177" s="6">
        <v>1176.0</v>
      </c>
      <c r="C1177" s="6">
        <v>63683.0</v>
      </c>
      <c r="D1177" s="6">
        <v>0.78</v>
      </c>
      <c r="E1177" s="6">
        <v>9.72</v>
      </c>
      <c r="F1177" s="6">
        <v>2.25</v>
      </c>
      <c r="G1177" s="6">
        <v>-0.1</v>
      </c>
      <c r="H1177" s="6">
        <v>0.0</v>
      </c>
      <c r="I1177" s="6">
        <v>-0.01</v>
      </c>
      <c r="J1177" s="6">
        <v>33.36</v>
      </c>
      <c r="K1177" s="7">
        <f t="shared" ref="K1177:P1177" si="2296">abs(D1177-D1176)/200</f>
        <v>0</v>
      </c>
      <c r="L1177" s="7">
        <f t="shared" si="2296"/>
        <v>0.00005</v>
      </c>
      <c r="M1177" s="7">
        <f t="shared" si="2296"/>
        <v>0</v>
      </c>
      <c r="N1177" s="7">
        <f t="shared" si="2296"/>
        <v>0.00005</v>
      </c>
      <c r="O1177" s="7">
        <f t="shared" si="2296"/>
        <v>0</v>
      </c>
      <c r="P1177" s="7">
        <f t="shared" si="2296"/>
        <v>0</v>
      </c>
      <c r="Q1177" s="7">
        <f t="shared" si="7"/>
        <v>0.00994490483</v>
      </c>
      <c r="R1177" s="7">
        <f t="shared" si="8"/>
        <v>0.009713034772</v>
      </c>
      <c r="S1177" s="7">
        <f t="shared" si="2"/>
        <v>0.2074622158</v>
      </c>
      <c r="T1177" s="7">
        <f t="shared" si="3"/>
        <v>0.1004987562</v>
      </c>
      <c r="U1177" s="7">
        <f t="shared" si="4"/>
        <v>0</v>
      </c>
      <c r="V1177" s="7">
        <f t="shared" si="5"/>
        <v>0</v>
      </c>
      <c r="W1177" s="7">
        <f t="shared" ref="W1177:X1177" si="2297">IF(AVERAGE(U1117:U1176) &gt; 0.25, 1, 0)</f>
        <v>0</v>
      </c>
      <c r="X1177" s="7">
        <f t="shared" si="2297"/>
        <v>0</v>
      </c>
      <c r="Y1177" s="8">
        <v>0.0</v>
      </c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</row>
    <row r="1178" ht="22.5" customHeight="1">
      <c r="B1178" s="6">
        <v>1177.0</v>
      </c>
      <c r="C1178" s="6">
        <v>63887.0</v>
      </c>
      <c r="D1178" s="6">
        <v>0.76</v>
      </c>
      <c r="E1178" s="6">
        <v>9.73</v>
      </c>
      <c r="F1178" s="6">
        <v>2.26</v>
      </c>
      <c r="G1178" s="6">
        <v>-0.09</v>
      </c>
      <c r="H1178" s="6">
        <v>0.0</v>
      </c>
      <c r="I1178" s="6">
        <v>-0.01</v>
      </c>
      <c r="J1178" s="6">
        <v>33.36</v>
      </c>
      <c r="K1178" s="7">
        <f t="shared" ref="K1178:P1178" si="2298">abs(D1178-D1177)/200</f>
        <v>0.0001</v>
      </c>
      <c r="L1178" s="7">
        <f t="shared" si="2298"/>
        <v>0.00005</v>
      </c>
      <c r="M1178" s="7">
        <f t="shared" si="2298"/>
        <v>0.00005</v>
      </c>
      <c r="N1178" s="7">
        <f t="shared" si="2298"/>
        <v>0.00005</v>
      </c>
      <c r="O1178" s="7">
        <f t="shared" si="2298"/>
        <v>0</v>
      </c>
      <c r="P1178" s="7">
        <f t="shared" si="2298"/>
        <v>0</v>
      </c>
      <c r="Q1178" s="7">
        <f t="shared" si="7"/>
        <v>0.00994490483</v>
      </c>
      <c r="R1178" s="7">
        <f t="shared" si="8"/>
        <v>0.01042678342</v>
      </c>
      <c r="S1178" s="7">
        <f t="shared" si="2"/>
        <v>0.2178889992</v>
      </c>
      <c r="T1178" s="7">
        <f t="shared" si="3"/>
        <v>0.09055385138</v>
      </c>
      <c r="U1178" s="7">
        <f t="shared" si="4"/>
        <v>0</v>
      </c>
      <c r="V1178" s="7">
        <f t="shared" si="5"/>
        <v>0</v>
      </c>
      <c r="W1178" s="7">
        <f t="shared" ref="W1178:X1178" si="2299">IF(AVERAGE(U1118:U1177) &gt; 0.25, 1, 0)</f>
        <v>0</v>
      </c>
      <c r="X1178" s="7">
        <f t="shared" si="2299"/>
        <v>0</v>
      </c>
      <c r="Y1178" s="8">
        <v>0.0</v>
      </c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</row>
    <row r="1179" ht="22.5" customHeight="1">
      <c r="B1179" s="6">
        <v>1178.0</v>
      </c>
      <c r="C1179" s="6">
        <v>64091.0</v>
      </c>
      <c r="D1179" s="6">
        <v>0.77</v>
      </c>
      <c r="E1179" s="6">
        <v>9.73</v>
      </c>
      <c r="F1179" s="6">
        <v>2.27</v>
      </c>
      <c r="G1179" s="6">
        <v>-0.09</v>
      </c>
      <c r="H1179" s="6">
        <v>0.0</v>
      </c>
      <c r="I1179" s="6">
        <v>-0.01</v>
      </c>
      <c r="J1179" s="6">
        <v>33.35</v>
      </c>
      <c r="K1179" s="7">
        <f t="shared" ref="K1179:P1179" si="2300">abs(D1179-D1178)/200</f>
        <v>0.00005</v>
      </c>
      <c r="L1179" s="7">
        <f t="shared" si="2300"/>
        <v>0</v>
      </c>
      <c r="M1179" s="7">
        <f t="shared" si="2300"/>
        <v>0.00005</v>
      </c>
      <c r="N1179" s="7">
        <f t="shared" si="2300"/>
        <v>0</v>
      </c>
      <c r="O1179" s="7">
        <f t="shared" si="2300"/>
        <v>0</v>
      </c>
      <c r="P1179" s="7">
        <f t="shared" si="2300"/>
        <v>0</v>
      </c>
      <c r="Q1179" s="7">
        <f t="shared" si="7"/>
        <v>0</v>
      </c>
      <c r="R1179" s="7">
        <f t="shared" si="8"/>
        <v>0.00302413286</v>
      </c>
      <c r="S1179" s="7">
        <f t="shared" si="2"/>
        <v>0.220913132</v>
      </c>
      <c r="T1179" s="7">
        <f t="shared" si="3"/>
        <v>0.09055385138</v>
      </c>
      <c r="U1179" s="7">
        <f t="shared" si="4"/>
        <v>0</v>
      </c>
      <c r="V1179" s="7">
        <f t="shared" si="5"/>
        <v>0</v>
      </c>
      <c r="W1179" s="7">
        <f t="shared" ref="W1179:X1179" si="2301">IF(AVERAGE(U1119:U1178) &gt; 0.25, 1, 0)</f>
        <v>0</v>
      </c>
      <c r="X1179" s="7">
        <f t="shared" si="2301"/>
        <v>0</v>
      </c>
      <c r="Y1179" s="8">
        <v>0.0</v>
      </c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</row>
    <row r="1180" ht="22.5" customHeight="1">
      <c r="B1180" s="6">
        <v>1179.0</v>
      </c>
      <c r="C1180" s="6">
        <v>64295.0</v>
      </c>
      <c r="D1180" s="6">
        <v>0.79</v>
      </c>
      <c r="E1180" s="6">
        <v>9.73</v>
      </c>
      <c r="F1180" s="6">
        <v>2.22</v>
      </c>
      <c r="G1180" s="6">
        <v>-0.1</v>
      </c>
      <c r="H1180" s="6">
        <v>0.0</v>
      </c>
      <c r="I1180" s="6">
        <v>-0.02</v>
      </c>
      <c r="J1180" s="6">
        <v>33.35</v>
      </c>
      <c r="K1180" s="7">
        <f t="shared" ref="K1180:P1180" si="2302">abs(D1180-D1179)/200</f>
        <v>0.0001</v>
      </c>
      <c r="L1180" s="7">
        <f t="shared" si="2302"/>
        <v>0</v>
      </c>
      <c r="M1180" s="7">
        <f t="shared" si="2302"/>
        <v>0.00025</v>
      </c>
      <c r="N1180" s="7">
        <f t="shared" si="2302"/>
        <v>0.00005</v>
      </c>
      <c r="O1180" s="7">
        <f t="shared" si="2302"/>
        <v>0</v>
      </c>
      <c r="P1180" s="7">
        <f t="shared" si="2302"/>
        <v>0.00005</v>
      </c>
      <c r="Q1180" s="7">
        <f t="shared" si="7"/>
        <v>0.01142653889</v>
      </c>
      <c r="R1180" s="7">
        <f t="shared" si="8"/>
        <v>0.009649475543</v>
      </c>
      <c r="S1180" s="7">
        <f t="shared" si="2"/>
        <v>0.2112636565</v>
      </c>
      <c r="T1180" s="7">
        <f t="shared" si="3"/>
        <v>0.1019803903</v>
      </c>
      <c r="U1180" s="7">
        <f t="shared" si="4"/>
        <v>0</v>
      </c>
      <c r="V1180" s="7">
        <f t="shared" si="5"/>
        <v>0</v>
      </c>
      <c r="W1180" s="7">
        <f t="shared" ref="W1180:X1180" si="2303">IF(AVERAGE(U1120:U1179) &gt; 0.25, 1, 0)</f>
        <v>0</v>
      </c>
      <c r="X1180" s="7">
        <f t="shared" si="2303"/>
        <v>0</v>
      </c>
      <c r="Y1180" s="8">
        <v>0.0</v>
      </c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</row>
    <row r="1181" ht="22.5" customHeight="1">
      <c r="B1181" s="6">
        <v>1180.0</v>
      </c>
      <c r="C1181" s="6">
        <v>64499.0</v>
      </c>
      <c r="D1181" s="6">
        <v>0.76</v>
      </c>
      <c r="E1181" s="6">
        <v>9.72</v>
      </c>
      <c r="F1181" s="6">
        <v>2.23</v>
      </c>
      <c r="G1181" s="6">
        <v>-0.09</v>
      </c>
      <c r="H1181" s="6">
        <v>0.0</v>
      </c>
      <c r="I1181" s="6">
        <v>-0.01</v>
      </c>
      <c r="J1181" s="6">
        <v>33.36</v>
      </c>
      <c r="K1181" s="7">
        <f t="shared" ref="K1181:P1181" si="2304">abs(D1181-D1180)/200</f>
        <v>0.00015</v>
      </c>
      <c r="L1181" s="7">
        <f t="shared" si="2304"/>
        <v>0.00005</v>
      </c>
      <c r="M1181" s="7">
        <f t="shared" si="2304"/>
        <v>0.00005</v>
      </c>
      <c r="N1181" s="7">
        <f t="shared" si="2304"/>
        <v>0.00005</v>
      </c>
      <c r="O1181" s="7">
        <f t="shared" si="2304"/>
        <v>0</v>
      </c>
      <c r="P1181" s="7">
        <f t="shared" si="2304"/>
        <v>0.00005</v>
      </c>
      <c r="Q1181" s="7">
        <f t="shared" si="7"/>
        <v>0.01142653889</v>
      </c>
      <c r="R1181" s="7">
        <f t="shared" si="8"/>
        <v>0.009818760888</v>
      </c>
      <c r="S1181" s="7">
        <f t="shared" si="2"/>
        <v>0.2014448956</v>
      </c>
      <c r="T1181" s="7">
        <f t="shared" si="3"/>
        <v>0.09055385138</v>
      </c>
      <c r="U1181" s="7">
        <f t="shared" si="4"/>
        <v>0</v>
      </c>
      <c r="V1181" s="7">
        <f t="shared" si="5"/>
        <v>0</v>
      </c>
      <c r="W1181" s="7">
        <f t="shared" ref="W1181:X1181" si="2305">IF(AVERAGE(U1121:U1180) &gt; 0.25, 1, 0)</f>
        <v>0</v>
      </c>
      <c r="X1181" s="7">
        <f t="shared" si="2305"/>
        <v>0</v>
      </c>
      <c r="Y1181" s="8">
        <v>0.0</v>
      </c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</row>
    <row r="1182" ht="22.5" customHeight="1">
      <c r="B1182" s="6">
        <v>1181.0</v>
      </c>
      <c r="C1182" s="6">
        <v>64703.0</v>
      </c>
      <c r="D1182" s="6">
        <v>0.77</v>
      </c>
      <c r="E1182" s="6">
        <v>9.74</v>
      </c>
      <c r="F1182" s="6">
        <v>2.22</v>
      </c>
      <c r="G1182" s="6">
        <v>-0.09</v>
      </c>
      <c r="H1182" s="6">
        <v>0.0</v>
      </c>
      <c r="I1182" s="6">
        <v>-0.01</v>
      </c>
      <c r="J1182" s="6">
        <v>33.35</v>
      </c>
      <c r="K1182" s="7">
        <f t="shared" ref="K1182:P1182" si="2306">abs(D1182-D1181)/200</f>
        <v>0.00005</v>
      </c>
      <c r="L1182" s="7">
        <f t="shared" si="2306"/>
        <v>0.0001</v>
      </c>
      <c r="M1182" s="7">
        <f t="shared" si="2306"/>
        <v>0.00005</v>
      </c>
      <c r="N1182" s="7">
        <f t="shared" si="2306"/>
        <v>0</v>
      </c>
      <c r="O1182" s="7">
        <f t="shared" si="2306"/>
        <v>0</v>
      </c>
      <c r="P1182" s="7">
        <f t="shared" si="2306"/>
        <v>0</v>
      </c>
      <c r="Q1182" s="7">
        <f t="shared" si="7"/>
        <v>0</v>
      </c>
      <c r="R1182" s="7">
        <f t="shared" si="8"/>
        <v>0.01798123566</v>
      </c>
      <c r="S1182" s="7">
        <f t="shared" si="2"/>
        <v>0.2194261313</v>
      </c>
      <c r="T1182" s="7">
        <f t="shared" si="3"/>
        <v>0.09055385138</v>
      </c>
      <c r="U1182" s="7">
        <f t="shared" si="4"/>
        <v>0</v>
      </c>
      <c r="V1182" s="7">
        <f t="shared" si="5"/>
        <v>0</v>
      </c>
      <c r="W1182" s="7">
        <f t="shared" ref="W1182:X1182" si="2307">IF(AVERAGE(U1122:U1181) &gt; 0.25, 1, 0)</f>
        <v>0</v>
      </c>
      <c r="X1182" s="7">
        <f t="shared" si="2307"/>
        <v>0</v>
      </c>
      <c r="Y1182" s="8">
        <v>0.0</v>
      </c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</row>
    <row r="1183" ht="22.5" customHeight="1">
      <c r="B1183" s="6">
        <v>1182.0</v>
      </c>
      <c r="C1183" s="6">
        <v>64907.0</v>
      </c>
      <c r="D1183" s="6">
        <v>0.78</v>
      </c>
      <c r="E1183" s="6">
        <v>9.73</v>
      </c>
      <c r="F1183" s="6">
        <v>2.22</v>
      </c>
      <c r="G1183" s="6">
        <v>-0.1</v>
      </c>
      <c r="H1183" s="6">
        <v>0.0</v>
      </c>
      <c r="I1183" s="6">
        <v>-0.01</v>
      </c>
      <c r="J1183" s="6">
        <v>33.35</v>
      </c>
      <c r="K1183" s="7">
        <f t="shared" ref="K1183:P1183" si="2308">abs(D1183-D1182)/200</f>
        <v>0.00005</v>
      </c>
      <c r="L1183" s="7">
        <f t="shared" si="2308"/>
        <v>0.00005</v>
      </c>
      <c r="M1183" s="7">
        <f t="shared" si="2308"/>
        <v>0</v>
      </c>
      <c r="N1183" s="7">
        <f t="shared" si="2308"/>
        <v>0.00005</v>
      </c>
      <c r="O1183" s="7">
        <f t="shared" si="2308"/>
        <v>0</v>
      </c>
      <c r="P1183" s="7">
        <f t="shared" si="2308"/>
        <v>0</v>
      </c>
      <c r="Q1183" s="7">
        <f t="shared" si="7"/>
        <v>0.00994490483</v>
      </c>
      <c r="R1183" s="7">
        <f t="shared" si="8"/>
        <v>0.008946622277</v>
      </c>
      <c r="S1183" s="7">
        <f t="shared" si="2"/>
        <v>0.210479509</v>
      </c>
      <c r="T1183" s="7">
        <f t="shared" si="3"/>
        <v>0.1004987562</v>
      </c>
      <c r="U1183" s="7">
        <f t="shared" si="4"/>
        <v>0</v>
      </c>
      <c r="V1183" s="7">
        <f t="shared" si="5"/>
        <v>0</v>
      </c>
      <c r="W1183" s="7">
        <f t="shared" ref="W1183:X1183" si="2309">IF(AVERAGE(U1123:U1182) &gt; 0.25, 1, 0)</f>
        <v>0</v>
      </c>
      <c r="X1183" s="7">
        <f t="shared" si="2309"/>
        <v>0</v>
      </c>
      <c r="Y1183" s="8">
        <v>0.0</v>
      </c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</row>
    <row r="1184" ht="22.5" customHeight="1">
      <c r="B1184" s="6">
        <v>1183.0</v>
      </c>
      <c r="C1184" s="6">
        <v>65111.0</v>
      </c>
      <c r="D1184" s="6">
        <v>0.78</v>
      </c>
      <c r="E1184" s="6">
        <v>9.73</v>
      </c>
      <c r="F1184" s="6">
        <v>2.22</v>
      </c>
      <c r="G1184" s="6">
        <v>-0.09</v>
      </c>
      <c r="H1184" s="6">
        <v>0.0</v>
      </c>
      <c r="I1184" s="6">
        <v>0.0</v>
      </c>
      <c r="J1184" s="6">
        <v>33.35</v>
      </c>
      <c r="K1184" s="7">
        <f t="shared" ref="K1184:P1184" si="2310">abs(D1184-D1183)/200</f>
        <v>0</v>
      </c>
      <c r="L1184" s="7">
        <f t="shared" si="2310"/>
        <v>0</v>
      </c>
      <c r="M1184" s="7">
        <f t="shared" si="2310"/>
        <v>0</v>
      </c>
      <c r="N1184" s="7">
        <f t="shared" si="2310"/>
        <v>0.00005</v>
      </c>
      <c r="O1184" s="7">
        <f t="shared" si="2310"/>
        <v>0</v>
      </c>
      <c r="P1184" s="7">
        <f t="shared" si="2310"/>
        <v>0.00005</v>
      </c>
      <c r="Q1184" s="7">
        <f t="shared" si="7"/>
        <v>0.01049875621</v>
      </c>
      <c r="R1184" s="7">
        <f t="shared" si="8"/>
        <v>0</v>
      </c>
      <c r="S1184" s="7">
        <f t="shared" si="2"/>
        <v>0.210479509</v>
      </c>
      <c r="T1184" s="7">
        <f t="shared" si="3"/>
        <v>0.09</v>
      </c>
      <c r="U1184" s="7">
        <f t="shared" si="4"/>
        <v>0</v>
      </c>
      <c r="V1184" s="7">
        <f t="shared" si="5"/>
        <v>0</v>
      </c>
      <c r="W1184" s="7">
        <f t="shared" ref="W1184:X1184" si="2311">IF(AVERAGE(U1124:U1183) &gt; 0.25, 1, 0)</f>
        <v>0</v>
      </c>
      <c r="X1184" s="7">
        <f t="shared" si="2311"/>
        <v>0</v>
      </c>
      <c r="Y1184" s="8">
        <v>0.0</v>
      </c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</row>
    <row r="1185" ht="22.5" customHeight="1">
      <c r="B1185" s="6">
        <v>1184.0</v>
      </c>
      <c r="C1185" s="6">
        <v>65315.0</v>
      </c>
      <c r="D1185" s="6">
        <v>0.77</v>
      </c>
      <c r="E1185" s="6">
        <v>9.73</v>
      </c>
      <c r="F1185" s="6">
        <v>2.2</v>
      </c>
      <c r="G1185" s="6">
        <v>-0.09</v>
      </c>
      <c r="H1185" s="6">
        <v>0.0</v>
      </c>
      <c r="I1185" s="6">
        <v>0.0</v>
      </c>
      <c r="J1185" s="6">
        <v>33.35</v>
      </c>
      <c r="K1185" s="7">
        <f t="shared" ref="K1185:P1185" si="2312">abs(D1185-D1184)/200</f>
        <v>0.00005</v>
      </c>
      <c r="L1185" s="7">
        <f t="shared" si="2312"/>
        <v>0</v>
      </c>
      <c r="M1185" s="7">
        <f t="shared" si="2312"/>
        <v>0.0001</v>
      </c>
      <c r="N1185" s="7">
        <f t="shared" si="2312"/>
        <v>0</v>
      </c>
      <c r="O1185" s="7">
        <f t="shared" si="2312"/>
        <v>0</v>
      </c>
      <c r="P1185" s="7">
        <f t="shared" si="2312"/>
        <v>0</v>
      </c>
      <c r="Q1185" s="7">
        <f t="shared" si="7"/>
        <v>0</v>
      </c>
      <c r="R1185" s="7">
        <f t="shared" si="8"/>
        <v>0.00519090746</v>
      </c>
      <c r="S1185" s="7">
        <f t="shared" si="2"/>
        <v>0.2052886015</v>
      </c>
      <c r="T1185" s="7">
        <f t="shared" si="3"/>
        <v>0.09</v>
      </c>
      <c r="U1185" s="7">
        <f t="shared" si="4"/>
        <v>0</v>
      </c>
      <c r="V1185" s="7">
        <f t="shared" si="5"/>
        <v>0</v>
      </c>
      <c r="W1185" s="7">
        <f t="shared" ref="W1185:X1185" si="2313">IF(AVERAGE(U1125:U1184) &gt; 0.25, 1, 0)</f>
        <v>0</v>
      </c>
      <c r="X1185" s="7">
        <f t="shared" si="2313"/>
        <v>0</v>
      </c>
      <c r="Y1185" s="8">
        <v>0.0</v>
      </c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</row>
    <row r="1186" ht="22.5" customHeight="1">
      <c r="B1186" s="6">
        <v>1185.0</v>
      </c>
      <c r="C1186" s="6">
        <v>65519.0</v>
      </c>
      <c r="D1186" s="6">
        <v>0.22</v>
      </c>
      <c r="E1186" s="6">
        <v>9.96</v>
      </c>
      <c r="F1186" s="6">
        <v>1.9</v>
      </c>
      <c r="G1186" s="6">
        <v>-0.71</v>
      </c>
      <c r="H1186" s="6">
        <v>0.0</v>
      </c>
      <c r="I1186" s="6">
        <v>0.02</v>
      </c>
      <c r="J1186" s="6">
        <v>33.34</v>
      </c>
      <c r="K1186" s="7">
        <f t="shared" ref="K1186:P1186" si="2314">abs(D1186-D1185)/200</f>
        <v>0.00275</v>
      </c>
      <c r="L1186" s="7">
        <f t="shared" si="2314"/>
        <v>0.00115</v>
      </c>
      <c r="M1186" s="7">
        <f t="shared" si="2314"/>
        <v>0.0015</v>
      </c>
      <c r="N1186" s="7">
        <f t="shared" si="2314"/>
        <v>0.0031</v>
      </c>
      <c r="O1186" s="7">
        <f t="shared" si="2314"/>
        <v>0</v>
      </c>
      <c r="P1186" s="7">
        <f t="shared" si="2314"/>
        <v>0.0001</v>
      </c>
      <c r="Q1186" s="7">
        <f t="shared" si="7"/>
        <v>0.6202816343</v>
      </c>
      <c r="R1186" s="7">
        <f t="shared" si="8"/>
        <v>0.1367033133</v>
      </c>
      <c r="S1186" s="7">
        <f t="shared" si="2"/>
        <v>0.3419919148</v>
      </c>
      <c r="T1186" s="7">
        <f t="shared" si="3"/>
        <v>0.7102816343</v>
      </c>
      <c r="U1186" s="7">
        <f t="shared" si="4"/>
        <v>1</v>
      </c>
      <c r="V1186" s="7">
        <f t="shared" si="5"/>
        <v>1</v>
      </c>
      <c r="W1186" s="7">
        <f t="shared" ref="W1186:X1186" si="2315">IF(AVERAGE(U1126:U1185) &gt; 0.25, 1, 0)</f>
        <v>0</v>
      </c>
      <c r="X1186" s="7">
        <f t="shared" si="2315"/>
        <v>0</v>
      </c>
      <c r="Y1186" s="8">
        <v>0.0</v>
      </c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</row>
    <row r="1187" ht="22.5" customHeight="1">
      <c r="B1187" s="6">
        <v>1186.0</v>
      </c>
      <c r="C1187" s="6">
        <v>65723.0</v>
      </c>
      <c r="D1187" s="6">
        <v>1.14</v>
      </c>
      <c r="E1187" s="6">
        <v>8.95</v>
      </c>
      <c r="F1187" s="6">
        <v>4.47</v>
      </c>
      <c r="G1187" s="6">
        <v>-1.21</v>
      </c>
      <c r="H1187" s="6">
        <v>0.02</v>
      </c>
      <c r="I1187" s="6">
        <v>0.18</v>
      </c>
      <c r="J1187" s="6">
        <v>33.35</v>
      </c>
      <c r="K1187" s="7">
        <f t="shared" ref="K1187:P1187" si="2316">abs(D1187-D1186)/200</f>
        <v>0.0046</v>
      </c>
      <c r="L1187" s="7">
        <f t="shared" si="2316"/>
        <v>0.00505</v>
      </c>
      <c r="M1187" s="7">
        <f t="shared" si="2316"/>
        <v>0.01285</v>
      </c>
      <c r="N1187" s="7">
        <f t="shared" si="2316"/>
        <v>0.0025</v>
      </c>
      <c r="O1187" s="7">
        <f t="shared" si="2316"/>
        <v>0.0001</v>
      </c>
      <c r="P1187" s="7">
        <f t="shared" si="2316"/>
        <v>0.0008</v>
      </c>
      <c r="Q1187" s="7">
        <f t="shared" si="7"/>
        <v>0.5131970129</v>
      </c>
      <c r="R1187" s="7">
        <f t="shared" si="8"/>
        <v>0.0730793618</v>
      </c>
      <c r="S1187" s="7">
        <f t="shared" si="2"/>
        <v>0.268912553</v>
      </c>
      <c r="T1187" s="7">
        <f t="shared" si="3"/>
        <v>1.223478647</v>
      </c>
      <c r="U1187" s="7">
        <f t="shared" si="4"/>
        <v>1</v>
      </c>
      <c r="V1187" s="7">
        <f t="shared" si="5"/>
        <v>1</v>
      </c>
      <c r="W1187" s="7">
        <f t="shared" ref="W1187:X1187" si="2317">IF(AVERAGE(U1127:U1186) &gt; 0.25, 1, 0)</f>
        <v>0</v>
      </c>
      <c r="X1187" s="7">
        <f t="shared" si="2317"/>
        <v>0</v>
      </c>
      <c r="Y1187" s="8">
        <v>0.0</v>
      </c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</row>
    <row r="1188" ht="22.5" customHeight="1">
      <c r="B1188" s="6">
        <v>1187.0</v>
      </c>
      <c r="C1188" s="6">
        <v>65927.0</v>
      </c>
      <c r="D1188" s="6">
        <v>1.51</v>
      </c>
      <c r="E1188" s="6">
        <v>7.59</v>
      </c>
      <c r="F1188" s="6">
        <v>6.62</v>
      </c>
      <c r="G1188" s="6">
        <v>-1.6</v>
      </c>
      <c r="H1188" s="6">
        <v>0.0</v>
      </c>
      <c r="I1188" s="6">
        <v>0.31</v>
      </c>
      <c r="J1188" s="6">
        <v>33.33</v>
      </c>
      <c r="K1188" s="7">
        <f t="shared" ref="K1188:P1188" si="2318">abs(D1188-D1187)/200</f>
        <v>0.00185</v>
      </c>
      <c r="L1188" s="7">
        <f t="shared" si="2318"/>
        <v>0.0068</v>
      </c>
      <c r="M1188" s="7">
        <f t="shared" si="2318"/>
        <v>0.01075</v>
      </c>
      <c r="N1188" s="7">
        <f t="shared" si="2318"/>
        <v>0.00195</v>
      </c>
      <c r="O1188" s="7">
        <f t="shared" si="2318"/>
        <v>0.0001</v>
      </c>
      <c r="P1188" s="7">
        <f t="shared" si="2318"/>
        <v>0.00065</v>
      </c>
      <c r="Q1188" s="7">
        <f t="shared" si="7"/>
        <v>0.4062759356</v>
      </c>
      <c r="R1188" s="7">
        <f t="shared" si="8"/>
        <v>0.1150257815</v>
      </c>
      <c r="S1188" s="7">
        <f t="shared" si="2"/>
        <v>0.3839383345</v>
      </c>
      <c r="T1188" s="7">
        <f t="shared" si="3"/>
        <v>1.629754583</v>
      </c>
      <c r="U1188" s="7">
        <f t="shared" si="4"/>
        <v>1</v>
      </c>
      <c r="V1188" s="7">
        <f t="shared" si="5"/>
        <v>1</v>
      </c>
      <c r="W1188" s="7">
        <f t="shared" ref="W1188:X1188" si="2319">IF(AVERAGE(U1128:U1187) &gt; 0.25, 1, 0)</f>
        <v>0</v>
      </c>
      <c r="X1188" s="7">
        <f t="shared" si="2319"/>
        <v>0</v>
      </c>
      <c r="Y1188" s="8">
        <v>0.0</v>
      </c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</row>
    <row r="1189" ht="22.5" customHeight="1">
      <c r="B1189" s="6">
        <v>1188.0</v>
      </c>
      <c r="C1189" s="6">
        <v>66131.0</v>
      </c>
      <c r="D1189" s="6">
        <v>1.05</v>
      </c>
      <c r="E1189" s="6">
        <v>5.58</v>
      </c>
      <c r="F1189" s="6">
        <v>7.74</v>
      </c>
      <c r="G1189" s="6">
        <v>-2.3</v>
      </c>
      <c r="H1189" s="6">
        <v>0.06</v>
      </c>
      <c r="I1189" s="6">
        <v>0.33</v>
      </c>
      <c r="J1189" s="6">
        <v>33.35</v>
      </c>
      <c r="K1189" s="7">
        <f t="shared" ref="K1189:P1189" si="2320">abs(D1189-D1188)/200</f>
        <v>0.0023</v>
      </c>
      <c r="L1189" s="7">
        <f t="shared" si="2320"/>
        <v>0.01005</v>
      </c>
      <c r="M1189" s="7">
        <f t="shared" si="2320"/>
        <v>0.0056</v>
      </c>
      <c r="N1189" s="7">
        <f t="shared" si="2320"/>
        <v>0.0035</v>
      </c>
      <c r="O1189" s="7">
        <f t="shared" si="2320"/>
        <v>0.0003</v>
      </c>
      <c r="P1189" s="7">
        <f t="shared" si="2320"/>
        <v>0.0001</v>
      </c>
      <c r="Q1189" s="7">
        <f t="shared" si="7"/>
        <v>0.6945732771</v>
      </c>
      <c r="R1189" s="7">
        <f t="shared" si="8"/>
        <v>0.5846414852</v>
      </c>
      <c r="S1189" s="7">
        <f t="shared" si="2"/>
        <v>-0.2007031508</v>
      </c>
      <c r="T1189" s="7">
        <f t="shared" si="3"/>
        <v>2.32432786</v>
      </c>
      <c r="U1189" s="7">
        <f t="shared" si="4"/>
        <v>1</v>
      </c>
      <c r="V1189" s="7">
        <f t="shared" si="5"/>
        <v>1</v>
      </c>
      <c r="W1189" s="7">
        <f t="shared" ref="W1189:X1189" si="2321">IF(AVERAGE(U1129:U1188) &gt; 0.25, 1, 0)</f>
        <v>0</v>
      </c>
      <c r="X1189" s="7">
        <f t="shared" si="2321"/>
        <v>0</v>
      </c>
      <c r="Y1189" s="8">
        <v>0.0</v>
      </c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</row>
    <row r="1190" ht="22.5" customHeight="1">
      <c r="B1190" s="6">
        <v>1189.0</v>
      </c>
      <c r="C1190" s="6">
        <v>66335.0</v>
      </c>
      <c r="D1190" s="6">
        <v>1.93</v>
      </c>
      <c r="E1190" s="6">
        <v>-0.12</v>
      </c>
      <c r="F1190" s="6">
        <v>12.74</v>
      </c>
      <c r="G1190" s="6">
        <v>-0.32</v>
      </c>
      <c r="H1190" s="6">
        <v>0.23</v>
      </c>
      <c r="I1190" s="6">
        <v>-0.04</v>
      </c>
      <c r="J1190" s="6">
        <v>33.34</v>
      </c>
      <c r="K1190" s="7">
        <f t="shared" ref="K1190:P1190" si="2322">abs(D1190-D1189)/200</f>
        <v>0.0044</v>
      </c>
      <c r="L1190" s="7">
        <f t="shared" si="2322"/>
        <v>0.0285</v>
      </c>
      <c r="M1190" s="7">
        <f t="shared" si="2322"/>
        <v>0.025</v>
      </c>
      <c r="N1190" s="7">
        <f t="shared" si="2322"/>
        <v>0.0099</v>
      </c>
      <c r="O1190" s="7">
        <f t="shared" si="2322"/>
        <v>0.00085</v>
      </c>
      <c r="P1190" s="7">
        <f t="shared" si="2322"/>
        <v>0.00185</v>
      </c>
      <c r="Q1190" s="7">
        <f t="shared" si="7"/>
        <v>1.928221813</v>
      </c>
      <c r="R1190" s="7">
        <f t="shared" si="8"/>
        <v>3.286621822</v>
      </c>
      <c r="S1190" s="7">
        <f t="shared" si="2"/>
        <v>3.085918671</v>
      </c>
      <c r="T1190" s="7">
        <f t="shared" si="3"/>
        <v>0.3961060464</v>
      </c>
      <c r="U1190" s="7">
        <f t="shared" si="4"/>
        <v>1</v>
      </c>
      <c r="V1190" s="7">
        <f t="shared" si="5"/>
        <v>1</v>
      </c>
      <c r="W1190" s="7">
        <f t="shared" ref="W1190:X1190" si="2323">IF(AVERAGE(U1130:U1189) &gt; 0.25, 1, 0)</f>
        <v>0</v>
      </c>
      <c r="X1190" s="7">
        <f t="shared" si="2323"/>
        <v>0</v>
      </c>
      <c r="Y1190" s="8">
        <v>0.0</v>
      </c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</row>
    <row r="1191" ht="22.5" customHeight="1">
      <c r="B1191" s="6">
        <v>1190.0</v>
      </c>
      <c r="C1191" s="6">
        <v>66539.0</v>
      </c>
      <c r="D1191" s="6">
        <v>1.89</v>
      </c>
      <c r="E1191" s="6">
        <v>-0.01</v>
      </c>
      <c r="F1191" s="6">
        <v>10.6</v>
      </c>
      <c r="G1191" s="6">
        <v>-0.1</v>
      </c>
      <c r="H1191" s="6">
        <v>0.0</v>
      </c>
      <c r="I1191" s="6">
        <v>-0.01</v>
      </c>
      <c r="J1191" s="6">
        <v>33.34</v>
      </c>
      <c r="K1191" s="7">
        <f t="shared" ref="K1191:P1191" si="2324">abs(D1191-D1190)/200</f>
        <v>0.0002</v>
      </c>
      <c r="L1191" s="7">
        <f t="shared" si="2324"/>
        <v>0.00055</v>
      </c>
      <c r="M1191" s="7">
        <f t="shared" si="2324"/>
        <v>0.0107</v>
      </c>
      <c r="N1191" s="7">
        <f t="shared" si="2324"/>
        <v>0.0011</v>
      </c>
      <c r="O1191" s="7">
        <f t="shared" si="2324"/>
        <v>0.00115</v>
      </c>
      <c r="P1191" s="7">
        <f t="shared" si="2324"/>
        <v>0.00015</v>
      </c>
      <c r="Q1191" s="7">
        <f t="shared" si="7"/>
        <v>0.2956072902</v>
      </c>
      <c r="R1191" s="7">
        <f t="shared" si="8"/>
        <v>2.118737053</v>
      </c>
      <c r="S1191" s="7">
        <f t="shared" si="2"/>
        <v>0.9671816182</v>
      </c>
      <c r="T1191" s="7">
        <f t="shared" si="3"/>
        <v>0.1004987562</v>
      </c>
      <c r="U1191" s="7">
        <f t="shared" si="4"/>
        <v>1</v>
      </c>
      <c r="V1191" s="7">
        <f t="shared" si="5"/>
        <v>1</v>
      </c>
      <c r="W1191" s="7">
        <f t="shared" ref="W1191:X1191" si="2325">IF(AVERAGE(U1131:U1190) &gt; 0.25, 1, 0)</f>
        <v>0</v>
      </c>
      <c r="X1191" s="7">
        <f t="shared" si="2325"/>
        <v>0</v>
      </c>
      <c r="Y1191" s="8">
        <v>0.0</v>
      </c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</row>
    <row r="1192" ht="22.5" customHeight="1">
      <c r="B1192" s="6">
        <v>1191.0</v>
      </c>
      <c r="C1192" s="6">
        <v>66743.0</v>
      </c>
      <c r="D1192" s="6">
        <v>1.88</v>
      </c>
      <c r="E1192" s="6">
        <v>-0.03</v>
      </c>
      <c r="F1192" s="6">
        <v>10.61</v>
      </c>
      <c r="G1192" s="6">
        <v>-0.1</v>
      </c>
      <c r="H1192" s="6">
        <v>0.0</v>
      </c>
      <c r="I1192" s="6">
        <v>-0.01</v>
      </c>
      <c r="J1192" s="6">
        <v>33.35</v>
      </c>
      <c r="K1192" s="7">
        <f t="shared" ref="K1192:P1192" si="2326">abs(D1192-D1191)/200</f>
        <v>0.00005</v>
      </c>
      <c r="L1192" s="7">
        <f t="shared" si="2326"/>
        <v>0.0001</v>
      </c>
      <c r="M1192" s="7">
        <f t="shared" si="2326"/>
        <v>0.00005</v>
      </c>
      <c r="N1192" s="7">
        <f t="shared" si="2326"/>
        <v>0</v>
      </c>
      <c r="O1192" s="7">
        <f t="shared" si="2326"/>
        <v>0</v>
      </c>
      <c r="P1192" s="7">
        <f t="shared" si="2326"/>
        <v>0</v>
      </c>
      <c r="Q1192" s="7">
        <f t="shared" si="7"/>
        <v>0</v>
      </c>
      <c r="R1192" s="7">
        <f t="shared" si="8"/>
        <v>0.008132762332</v>
      </c>
      <c r="S1192" s="7">
        <f t="shared" si="2"/>
        <v>0.9753143806</v>
      </c>
      <c r="T1192" s="7">
        <f t="shared" si="3"/>
        <v>0.1004987562</v>
      </c>
      <c r="U1192" s="7">
        <f t="shared" si="4"/>
        <v>0</v>
      </c>
      <c r="V1192" s="7">
        <f t="shared" si="5"/>
        <v>0</v>
      </c>
      <c r="W1192" s="7">
        <f t="shared" ref="W1192:X1192" si="2327">IF(AVERAGE(U1132:U1191) &gt; 0.25, 1, 0)</f>
        <v>0</v>
      </c>
      <c r="X1192" s="7">
        <f t="shared" si="2327"/>
        <v>0</v>
      </c>
      <c r="Y1192" s="8">
        <v>0.0</v>
      </c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</row>
    <row r="1193" ht="22.5" customHeight="1">
      <c r="B1193" s="6">
        <v>1192.0</v>
      </c>
      <c r="C1193" s="6">
        <v>66947.0</v>
      </c>
      <c r="D1193" s="6">
        <v>1.9</v>
      </c>
      <c r="E1193" s="6">
        <v>-0.02</v>
      </c>
      <c r="F1193" s="6">
        <v>10.61</v>
      </c>
      <c r="G1193" s="6">
        <v>-0.1</v>
      </c>
      <c r="H1193" s="6">
        <v>0.0</v>
      </c>
      <c r="I1193" s="6">
        <v>-0.01</v>
      </c>
      <c r="J1193" s="6">
        <v>33.34</v>
      </c>
      <c r="K1193" s="7">
        <f t="shared" ref="K1193:P1193" si="2328">abs(D1193-D1192)/200</f>
        <v>0.0001</v>
      </c>
      <c r="L1193" s="7">
        <f t="shared" si="2328"/>
        <v>0.00005</v>
      </c>
      <c r="M1193" s="7">
        <f t="shared" si="2328"/>
        <v>0</v>
      </c>
      <c r="N1193" s="7">
        <f t="shared" si="2328"/>
        <v>0</v>
      </c>
      <c r="O1193" s="7">
        <f t="shared" si="2328"/>
        <v>0</v>
      </c>
      <c r="P1193" s="7">
        <f t="shared" si="2328"/>
        <v>0</v>
      </c>
      <c r="Q1193" s="7">
        <f t="shared" si="7"/>
        <v>0</v>
      </c>
      <c r="R1193" s="7">
        <f t="shared" si="8"/>
        <v>0.003484253792</v>
      </c>
      <c r="S1193" s="7">
        <f t="shared" si="2"/>
        <v>0.9787986344</v>
      </c>
      <c r="T1193" s="7">
        <f t="shared" si="3"/>
        <v>0.1004987562</v>
      </c>
      <c r="U1193" s="7">
        <f t="shared" si="4"/>
        <v>0</v>
      </c>
      <c r="V1193" s="7">
        <f t="shared" si="5"/>
        <v>0</v>
      </c>
      <c r="W1193" s="7">
        <f t="shared" ref="W1193:X1193" si="2329">IF(AVERAGE(U1133:U1192) &gt; 0.25, 1, 0)</f>
        <v>0</v>
      </c>
      <c r="X1193" s="7">
        <f t="shared" si="2329"/>
        <v>0</v>
      </c>
      <c r="Y1193" s="8">
        <v>0.0</v>
      </c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</row>
    <row r="1194" ht="22.5" customHeight="1">
      <c r="B1194" s="6">
        <v>1193.0</v>
      </c>
      <c r="C1194" s="6">
        <v>67151.0</v>
      </c>
      <c r="D1194" s="6">
        <v>1.9</v>
      </c>
      <c r="E1194" s="6">
        <v>-0.02</v>
      </c>
      <c r="F1194" s="6">
        <v>10.59</v>
      </c>
      <c r="G1194" s="6">
        <v>-0.1</v>
      </c>
      <c r="H1194" s="6">
        <v>0.0</v>
      </c>
      <c r="I1194" s="6">
        <v>-0.01</v>
      </c>
      <c r="J1194" s="6">
        <v>33.35</v>
      </c>
      <c r="K1194" s="7">
        <f t="shared" ref="K1194:P1194" si="2330">abs(D1194-D1193)/200</f>
        <v>0</v>
      </c>
      <c r="L1194" s="7">
        <f t="shared" si="2330"/>
        <v>0</v>
      </c>
      <c r="M1194" s="7">
        <f t="shared" si="2330"/>
        <v>0.0001</v>
      </c>
      <c r="N1194" s="7">
        <f t="shared" si="2330"/>
        <v>0</v>
      </c>
      <c r="O1194" s="7">
        <f t="shared" si="2330"/>
        <v>0</v>
      </c>
      <c r="P1194" s="7">
        <f t="shared" si="2330"/>
        <v>0</v>
      </c>
      <c r="Q1194" s="7">
        <f t="shared" si="7"/>
        <v>0</v>
      </c>
      <c r="R1194" s="7">
        <f t="shared" si="8"/>
        <v>0.01968621743</v>
      </c>
      <c r="S1194" s="7">
        <f t="shared" si="2"/>
        <v>0.9591124169</v>
      </c>
      <c r="T1194" s="7">
        <f t="shared" si="3"/>
        <v>0.1004987562</v>
      </c>
      <c r="U1194" s="7">
        <f t="shared" si="4"/>
        <v>0</v>
      </c>
      <c r="V1194" s="7">
        <f t="shared" si="5"/>
        <v>0</v>
      </c>
      <c r="W1194" s="7">
        <f t="shared" ref="W1194:X1194" si="2331">IF(AVERAGE(U1134:U1193) &gt; 0.25, 1, 0)</f>
        <v>0</v>
      </c>
      <c r="X1194" s="7">
        <f t="shared" si="2331"/>
        <v>0</v>
      </c>
      <c r="Y1194" s="8">
        <v>0.0</v>
      </c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</row>
    <row r="1195" ht="22.5" customHeight="1">
      <c r="B1195" s="6">
        <v>1194.0</v>
      </c>
      <c r="C1195" s="6">
        <v>67355.0</v>
      </c>
      <c r="D1195" s="6">
        <v>1.89</v>
      </c>
      <c r="E1195" s="6">
        <v>-0.04</v>
      </c>
      <c r="F1195" s="6">
        <v>10.59</v>
      </c>
      <c r="G1195" s="6">
        <v>-0.1</v>
      </c>
      <c r="H1195" s="6">
        <v>0.0</v>
      </c>
      <c r="I1195" s="6">
        <v>-0.01</v>
      </c>
      <c r="J1195" s="6">
        <v>33.35</v>
      </c>
      <c r="K1195" s="7">
        <f t="shared" ref="K1195:P1195" si="2332">abs(D1195-D1194)/200</f>
        <v>0.00005</v>
      </c>
      <c r="L1195" s="7">
        <f t="shared" si="2332"/>
        <v>0.0001</v>
      </c>
      <c r="M1195" s="7">
        <f t="shared" si="2332"/>
        <v>0</v>
      </c>
      <c r="N1195" s="7">
        <f t="shared" si="2332"/>
        <v>0</v>
      </c>
      <c r="O1195" s="7">
        <f t="shared" si="2332"/>
        <v>0</v>
      </c>
      <c r="P1195" s="7">
        <f t="shared" si="2332"/>
        <v>0</v>
      </c>
      <c r="Q1195" s="7">
        <f t="shared" si="7"/>
        <v>0</v>
      </c>
      <c r="R1195" s="7">
        <f t="shared" si="8"/>
        <v>0.001705666224</v>
      </c>
      <c r="S1195" s="7">
        <f t="shared" si="2"/>
        <v>0.9574067507</v>
      </c>
      <c r="T1195" s="7">
        <f t="shared" si="3"/>
        <v>0.1004987562</v>
      </c>
      <c r="U1195" s="7">
        <f t="shared" si="4"/>
        <v>0</v>
      </c>
      <c r="V1195" s="7">
        <f t="shared" si="5"/>
        <v>0</v>
      </c>
      <c r="W1195" s="7">
        <f t="shared" ref="W1195:X1195" si="2333">IF(AVERAGE(U1135:U1194) &gt; 0.25, 1, 0)</f>
        <v>0</v>
      </c>
      <c r="X1195" s="7">
        <f t="shared" si="2333"/>
        <v>0</v>
      </c>
      <c r="Y1195" s="8">
        <v>0.0</v>
      </c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</row>
    <row r="1196" ht="22.5" customHeight="1">
      <c r="B1196" s="6">
        <v>1195.0</v>
      </c>
      <c r="C1196" s="6">
        <v>67559.0</v>
      </c>
      <c r="D1196" s="6">
        <v>1.9</v>
      </c>
      <c r="E1196" s="6">
        <v>-0.02</v>
      </c>
      <c r="F1196" s="6">
        <v>10.6</v>
      </c>
      <c r="G1196" s="6">
        <v>-0.1</v>
      </c>
      <c r="H1196" s="6">
        <v>0.0</v>
      </c>
      <c r="I1196" s="6">
        <v>-0.01</v>
      </c>
      <c r="J1196" s="6">
        <v>33.35</v>
      </c>
      <c r="K1196" s="7">
        <f t="shared" ref="K1196:P1196" si="2334">abs(D1196-D1195)/200</f>
        <v>0.00005</v>
      </c>
      <c r="L1196" s="7">
        <f t="shared" si="2334"/>
        <v>0.0001</v>
      </c>
      <c r="M1196" s="7">
        <f t="shared" si="2334"/>
        <v>0.00005</v>
      </c>
      <c r="N1196" s="7">
        <f t="shared" si="2334"/>
        <v>0</v>
      </c>
      <c r="O1196" s="7">
        <f t="shared" si="2334"/>
        <v>0</v>
      </c>
      <c r="P1196" s="7">
        <f t="shared" si="2334"/>
        <v>0</v>
      </c>
      <c r="Q1196" s="7">
        <f t="shared" si="7"/>
        <v>0</v>
      </c>
      <c r="R1196" s="7">
        <f t="shared" si="8"/>
        <v>0.01154863039</v>
      </c>
      <c r="S1196" s="7">
        <f t="shared" si="2"/>
        <v>0.9689553811</v>
      </c>
      <c r="T1196" s="7">
        <f t="shared" si="3"/>
        <v>0.1004987562</v>
      </c>
      <c r="U1196" s="7">
        <f t="shared" si="4"/>
        <v>0</v>
      </c>
      <c r="V1196" s="7">
        <f t="shared" si="5"/>
        <v>0</v>
      </c>
      <c r="W1196" s="7">
        <f t="shared" ref="W1196:X1196" si="2335">IF(AVERAGE(U1136:U1195) &gt; 0.25, 1, 0)</f>
        <v>0</v>
      </c>
      <c r="X1196" s="7">
        <f t="shared" si="2335"/>
        <v>0</v>
      </c>
      <c r="Y1196" s="8">
        <v>0.0</v>
      </c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</row>
    <row r="1197" ht="22.5" customHeight="1">
      <c r="B1197" s="6">
        <v>1196.0</v>
      </c>
      <c r="C1197" s="6">
        <v>67763.0</v>
      </c>
      <c r="D1197" s="6">
        <v>1.9</v>
      </c>
      <c r="E1197" s="6">
        <v>-0.03</v>
      </c>
      <c r="F1197" s="6">
        <v>10.61</v>
      </c>
      <c r="G1197" s="6">
        <v>-0.1</v>
      </c>
      <c r="H1197" s="6">
        <v>0.0</v>
      </c>
      <c r="I1197" s="6">
        <v>-0.01</v>
      </c>
      <c r="J1197" s="6">
        <v>33.34</v>
      </c>
      <c r="K1197" s="7">
        <f t="shared" ref="K1197:P1197" si="2336">abs(D1197-D1196)/200</f>
        <v>0</v>
      </c>
      <c r="L1197" s="7">
        <f t="shared" si="2336"/>
        <v>0.00005</v>
      </c>
      <c r="M1197" s="7">
        <f t="shared" si="2336"/>
        <v>0.00005</v>
      </c>
      <c r="N1197" s="7">
        <f t="shared" si="2336"/>
        <v>0</v>
      </c>
      <c r="O1197" s="7">
        <f t="shared" si="2336"/>
        <v>0</v>
      </c>
      <c r="P1197" s="7">
        <f t="shared" si="2336"/>
        <v>0</v>
      </c>
      <c r="Q1197" s="7">
        <f t="shared" si="7"/>
        <v>0</v>
      </c>
      <c r="R1197" s="7">
        <f t="shared" si="8"/>
        <v>0.009866446916</v>
      </c>
      <c r="S1197" s="7">
        <f t="shared" si="2"/>
        <v>0.978821828</v>
      </c>
      <c r="T1197" s="7">
        <f t="shared" si="3"/>
        <v>0.1004987562</v>
      </c>
      <c r="U1197" s="7">
        <f t="shared" si="4"/>
        <v>0</v>
      </c>
      <c r="V1197" s="7">
        <f t="shared" si="5"/>
        <v>0</v>
      </c>
      <c r="W1197" s="7">
        <f t="shared" ref="W1197:X1197" si="2337">IF(AVERAGE(U1137:U1196) &gt; 0.25, 1, 0)</f>
        <v>0</v>
      </c>
      <c r="X1197" s="7">
        <f t="shared" si="2337"/>
        <v>0</v>
      </c>
      <c r="Y1197" s="8">
        <v>0.0</v>
      </c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</row>
    <row r="1198" ht="22.5" customHeight="1">
      <c r="B1198" s="6">
        <v>1197.0</v>
      </c>
      <c r="C1198" s="6">
        <v>67967.0</v>
      </c>
      <c r="D1198" s="6">
        <v>1.89</v>
      </c>
      <c r="E1198" s="6">
        <v>-0.03</v>
      </c>
      <c r="F1198" s="6">
        <v>10.61</v>
      </c>
      <c r="G1198" s="6">
        <v>-0.1</v>
      </c>
      <c r="H1198" s="6">
        <v>0.0</v>
      </c>
      <c r="I1198" s="6">
        <v>-0.01</v>
      </c>
      <c r="J1198" s="6">
        <v>33.36</v>
      </c>
      <c r="K1198" s="7">
        <f t="shared" ref="K1198:P1198" si="2338">abs(D1198-D1197)/200</f>
        <v>0.00005</v>
      </c>
      <c r="L1198" s="7">
        <f t="shared" si="2338"/>
        <v>0</v>
      </c>
      <c r="M1198" s="7">
        <f t="shared" si="2338"/>
        <v>0</v>
      </c>
      <c r="N1198" s="7">
        <f t="shared" si="2338"/>
        <v>0</v>
      </c>
      <c r="O1198" s="7">
        <f t="shared" si="2338"/>
        <v>0</v>
      </c>
      <c r="P1198" s="7">
        <f t="shared" si="2338"/>
        <v>0</v>
      </c>
      <c r="Q1198" s="7">
        <f t="shared" si="7"/>
        <v>0</v>
      </c>
      <c r="R1198" s="7">
        <f t="shared" si="8"/>
        <v>0.001758220515</v>
      </c>
      <c r="S1198" s="7">
        <f t="shared" si="2"/>
        <v>0.9770636075</v>
      </c>
      <c r="T1198" s="7">
        <f t="shared" si="3"/>
        <v>0.1004987562</v>
      </c>
      <c r="U1198" s="7">
        <f t="shared" si="4"/>
        <v>0</v>
      </c>
      <c r="V1198" s="7">
        <f t="shared" si="5"/>
        <v>0</v>
      </c>
      <c r="W1198" s="7">
        <f t="shared" ref="W1198:X1198" si="2339">IF(AVERAGE(U1138:U1197) &gt; 0.25, 1, 0)</f>
        <v>0</v>
      </c>
      <c r="X1198" s="7">
        <f t="shared" si="2339"/>
        <v>0</v>
      </c>
      <c r="Y1198" s="8">
        <v>0.0</v>
      </c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</row>
    <row r="1199" ht="22.5" customHeight="1">
      <c r="B1199" s="6">
        <v>1198.0</v>
      </c>
      <c r="C1199" s="6">
        <v>68171.0</v>
      </c>
      <c r="D1199" s="6">
        <v>1.9</v>
      </c>
      <c r="E1199" s="6">
        <v>-0.02</v>
      </c>
      <c r="F1199" s="6">
        <v>10.6</v>
      </c>
      <c r="G1199" s="6">
        <v>-0.1</v>
      </c>
      <c r="H1199" s="6">
        <v>0.0</v>
      </c>
      <c r="I1199" s="6">
        <v>-0.01</v>
      </c>
      <c r="J1199" s="6">
        <v>33.35</v>
      </c>
      <c r="K1199" s="7">
        <f t="shared" ref="K1199:P1199" si="2340">abs(D1199-D1198)/200</f>
        <v>0.00005</v>
      </c>
      <c r="L1199" s="7">
        <f t="shared" si="2340"/>
        <v>0.00005</v>
      </c>
      <c r="M1199" s="7">
        <f t="shared" si="2340"/>
        <v>0.00005</v>
      </c>
      <c r="N1199" s="7">
        <f t="shared" si="2340"/>
        <v>0</v>
      </c>
      <c r="O1199" s="7">
        <f t="shared" si="2340"/>
        <v>0</v>
      </c>
      <c r="P1199" s="7">
        <f t="shared" si="2340"/>
        <v>0</v>
      </c>
      <c r="Q1199" s="7">
        <f t="shared" si="7"/>
        <v>0</v>
      </c>
      <c r="R1199" s="7">
        <f t="shared" si="8"/>
        <v>0.008108226401</v>
      </c>
      <c r="S1199" s="7">
        <f t="shared" si="2"/>
        <v>0.9689553811</v>
      </c>
      <c r="T1199" s="7">
        <f t="shared" si="3"/>
        <v>0.1004987562</v>
      </c>
      <c r="U1199" s="7">
        <f t="shared" si="4"/>
        <v>0</v>
      </c>
      <c r="V1199" s="7">
        <f t="shared" si="5"/>
        <v>0</v>
      </c>
      <c r="W1199" s="7">
        <f t="shared" ref="W1199:X1199" si="2341">IF(AVERAGE(U1139:U1198) &gt; 0.25, 1, 0)</f>
        <v>0</v>
      </c>
      <c r="X1199" s="7">
        <f t="shared" si="2341"/>
        <v>0</v>
      </c>
      <c r="Y1199" s="8">
        <v>0.0</v>
      </c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</row>
    <row r="1200" ht="22.5" customHeight="1">
      <c r="B1200" s="6">
        <v>1199.0</v>
      </c>
      <c r="C1200" s="6">
        <v>68375.0</v>
      </c>
      <c r="D1200" s="6">
        <v>1.9</v>
      </c>
      <c r="E1200" s="6">
        <v>-0.03</v>
      </c>
      <c r="F1200" s="6">
        <v>10.61</v>
      </c>
      <c r="G1200" s="6">
        <v>-0.1</v>
      </c>
      <c r="H1200" s="6">
        <v>0.0</v>
      </c>
      <c r="I1200" s="6">
        <v>-0.01</v>
      </c>
      <c r="J1200" s="6">
        <v>33.35</v>
      </c>
      <c r="K1200" s="7">
        <f t="shared" ref="K1200:P1200" si="2342">abs(D1200-D1199)/200</f>
        <v>0</v>
      </c>
      <c r="L1200" s="7">
        <f t="shared" si="2342"/>
        <v>0.00005</v>
      </c>
      <c r="M1200" s="7">
        <f t="shared" si="2342"/>
        <v>0.00005</v>
      </c>
      <c r="N1200" s="7">
        <f t="shared" si="2342"/>
        <v>0</v>
      </c>
      <c r="O1200" s="7">
        <f t="shared" si="2342"/>
        <v>0</v>
      </c>
      <c r="P1200" s="7">
        <f t="shared" si="2342"/>
        <v>0</v>
      </c>
      <c r="Q1200" s="7">
        <f t="shared" si="7"/>
        <v>0</v>
      </c>
      <c r="R1200" s="7">
        <f t="shared" si="8"/>
        <v>0.009866446916</v>
      </c>
      <c r="S1200" s="7">
        <f t="shared" si="2"/>
        <v>0.978821828</v>
      </c>
      <c r="T1200" s="7">
        <f t="shared" si="3"/>
        <v>0.1004987562</v>
      </c>
      <c r="U1200" s="7">
        <f t="shared" si="4"/>
        <v>0</v>
      </c>
      <c r="V1200" s="7">
        <f t="shared" si="5"/>
        <v>0</v>
      </c>
      <c r="W1200" s="7">
        <f t="shared" ref="W1200:X1200" si="2343">IF(AVERAGE(U1140:U1199) &gt; 0.25, 1, 0)</f>
        <v>0</v>
      </c>
      <c r="X1200" s="7">
        <f t="shared" si="2343"/>
        <v>0</v>
      </c>
      <c r="Y1200" s="8">
        <v>0.0</v>
      </c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</row>
    <row r="1201" ht="22.5" customHeight="1">
      <c r="B1201" s="6">
        <v>1200.0</v>
      </c>
      <c r="C1201" s="6">
        <v>68579.0</v>
      </c>
      <c r="D1201" s="6">
        <v>1.89</v>
      </c>
      <c r="E1201" s="6">
        <v>-0.03</v>
      </c>
      <c r="F1201" s="6">
        <v>10.61</v>
      </c>
      <c r="G1201" s="6">
        <v>-0.1</v>
      </c>
      <c r="H1201" s="6">
        <v>0.0</v>
      </c>
      <c r="I1201" s="6">
        <v>-0.01</v>
      </c>
      <c r="J1201" s="6">
        <v>33.36</v>
      </c>
      <c r="K1201" s="7">
        <f t="shared" ref="K1201:P1201" si="2344">abs(D1201-D1200)/200</f>
        <v>0.00005</v>
      </c>
      <c r="L1201" s="7">
        <f t="shared" si="2344"/>
        <v>0</v>
      </c>
      <c r="M1201" s="7">
        <f t="shared" si="2344"/>
        <v>0</v>
      </c>
      <c r="N1201" s="7">
        <f t="shared" si="2344"/>
        <v>0</v>
      </c>
      <c r="O1201" s="7">
        <f t="shared" si="2344"/>
        <v>0</v>
      </c>
      <c r="P1201" s="7">
        <f t="shared" si="2344"/>
        <v>0</v>
      </c>
      <c r="Q1201" s="7">
        <f t="shared" si="7"/>
        <v>0</v>
      </c>
      <c r="R1201" s="7">
        <f t="shared" si="8"/>
        <v>0.001758220515</v>
      </c>
      <c r="S1201" s="7">
        <f t="shared" si="2"/>
        <v>0.9770636075</v>
      </c>
      <c r="T1201" s="7">
        <f t="shared" si="3"/>
        <v>0.1004987562</v>
      </c>
      <c r="U1201" s="7">
        <f t="shared" si="4"/>
        <v>0</v>
      </c>
      <c r="V1201" s="7">
        <f t="shared" si="5"/>
        <v>0</v>
      </c>
      <c r="W1201" s="7">
        <f t="shared" ref="W1201:X1201" si="2345">IF(AVERAGE(U1141:U1200) &gt; 0.25, 1, 0)</f>
        <v>0</v>
      </c>
      <c r="X1201" s="7">
        <f t="shared" si="2345"/>
        <v>0</v>
      </c>
      <c r="Y1201" s="8">
        <v>0.0</v>
      </c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</row>
    <row r="1202" ht="22.5" customHeight="1">
      <c r="A1202" s="5" t="s">
        <v>40</v>
      </c>
      <c r="B1202" s="6">
        <v>1201.0</v>
      </c>
      <c r="C1202" s="6">
        <v>443.0</v>
      </c>
      <c r="D1202" s="6">
        <v>1.98</v>
      </c>
      <c r="E1202" s="6">
        <v>-0.04</v>
      </c>
      <c r="F1202" s="6">
        <v>10.23</v>
      </c>
      <c r="G1202" s="6">
        <v>-0.12</v>
      </c>
      <c r="H1202" s="6">
        <v>-0.1</v>
      </c>
      <c r="I1202" s="6">
        <v>-0.16</v>
      </c>
      <c r="J1202" s="6">
        <v>33.19</v>
      </c>
      <c r="K1202" s="7">
        <f t="shared" ref="K1202:P1202" si="2346">abs(D1202-D1201)/200</f>
        <v>0.00045</v>
      </c>
      <c r="L1202" s="7">
        <f t="shared" si="2346"/>
        <v>0.00005</v>
      </c>
      <c r="M1202" s="7">
        <f t="shared" si="2346"/>
        <v>0.0019</v>
      </c>
      <c r="N1202" s="7">
        <f t="shared" si="2346"/>
        <v>0.0001</v>
      </c>
      <c r="O1202" s="7">
        <f t="shared" si="2346"/>
        <v>0.0005</v>
      </c>
      <c r="P1202" s="7">
        <f t="shared" si="2346"/>
        <v>0.00075</v>
      </c>
      <c r="Q1202" s="7">
        <f t="shared" si="7"/>
        <v>0.1231080415</v>
      </c>
      <c r="R1202" s="7">
        <f t="shared" si="8"/>
        <v>0.3571355847</v>
      </c>
      <c r="S1202" s="7">
        <f t="shared" si="2"/>
        <v>0.6199280228</v>
      </c>
      <c r="T1202" s="7">
        <f t="shared" si="3"/>
        <v>0.2236067977</v>
      </c>
      <c r="U1202" s="7">
        <f t="shared" si="4"/>
        <v>1</v>
      </c>
      <c r="V1202" s="7">
        <f t="shared" si="5"/>
        <v>1</v>
      </c>
      <c r="W1202" s="7">
        <f t="shared" ref="W1202:X1202" si="2347">IF(AVERAGE(U1142:U1201) &gt; 0.25, 1, 0)</f>
        <v>0</v>
      </c>
      <c r="X1202" s="7">
        <f t="shared" si="2347"/>
        <v>0</v>
      </c>
      <c r="Y1202" s="8">
        <v>1.0</v>
      </c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</row>
    <row r="1203" ht="22.5" customHeight="1">
      <c r="B1203" s="6">
        <v>1202.0</v>
      </c>
      <c r="C1203" s="6">
        <v>647.0</v>
      </c>
      <c r="D1203" s="6">
        <v>2.32</v>
      </c>
      <c r="E1203" s="6">
        <v>-0.52</v>
      </c>
      <c r="F1203" s="6">
        <v>10.58</v>
      </c>
      <c r="G1203" s="6">
        <v>-0.3</v>
      </c>
      <c r="H1203" s="6">
        <v>0.0</v>
      </c>
      <c r="I1203" s="6">
        <v>-0.98</v>
      </c>
      <c r="J1203" s="6">
        <v>33.21</v>
      </c>
      <c r="K1203" s="7">
        <f t="shared" ref="K1203:P1203" si="2348">abs(D1203-D1202)/200</f>
        <v>0.0017</v>
      </c>
      <c r="L1203" s="7">
        <f t="shared" si="2348"/>
        <v>0.0024</v>
      </c>
      <c r="M1203" s="7">
        <f t="shared" si="2348"/>
        <v>0.00175</v>
      </c>
      <c r="N1203" s="7">
        <f t="shared" si="2348"/>
        <v>0.0009</v>
      </c>
      <c r="O1203" s="7">
        <f t="shared" si="2348"/>
        <v>0.0005</v>
      </c>
      <c r="P1203" s="7">
        <f t="shared" si="2348"/>
        <v>0.0041</v>
      </c>
      <c r="Q1203" s="7">
        <f t="shared" si="7"/>
        <v>0.8012834403</v>
      </c>
      <c r="R1203" s="7">
        <f t="shared" si="8"/>
        <v>0.4239273802</v>
      </c>
      <c r="S1203" s="7">
        <f t="shared" si="2"/>
        <v>1.043855403</v>
      </c>
      <c r="T1203" s="7">
        <f t="shared" si="3"/>
        <v>1.024890238</v>
      </c>
      <c r="U1203" s="7">
        <f t="shared" si="4"/>
        <v>1</v>
      </c>
      <c r="V1203" s="7">
        <f t="shared" si="5"/>
        <v>1</v>
      </c>
      <c r="W1203" s="7">
        <f t="shared" ref="W1203:X1203" si="2349">IF(AVERAGE(U1143:U1202) &gt; 0.25, 1, 0)</f>
        <v>0</v>
      </c>
      <c r="X1203" s="7">
        <f t="shared" si="2349"/>
        <v>0</v>
      </c>
      <c r="Y1203" s="8">
        <v>1.0</v>
      </c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</row>
    <row r="1204" ht="22.5" customHeight="1">
      <c r="B1204" s="6">
        <v>1203.0</v>
      </c>
      <c r="C1204" s="6">
        <v>851.0</v>
      </c>
      <c r="D1204" s="6">
        <v>2.18</v>
      </c>
      <c r="E1204" s="6">
        <v>0.07</v>
      </c>
      <c r="F1204" s="6">
        <v>10.18</v>
      </c>
      <c r="G1204" s="6">
        <v>-0.17</v>
      </c>
      <c r="H1204" s="6">
        <v>-0.04</v>
      </c>
      <c r="I1204" s="6">
        <v>-0.42</v>
      </c>
      <c r="J1204" s="6">
        <v>33.23</v>
      </c>
      <c r="K1204" s="7">
        <f t="shared" ref="K1204:P1204" si="2350">abs(D1204-D1203)/200</f>
        <v>0.0007</v>
      </c>
      <c r="L1204" s="7">
        <f t="shared" si="2350"/>
        <v>0.00295</v>
      </c>
      <c r="M1204" s="7">
        <f t="shared" si="2350"/>
        <v>0.002</v>
      </c>
      <c r="N1204" s="7">
        <f t="shared" si="2350"/>
        <v>0.00065</v>
      </c>
      <c r="O1204" s="7">
        <f t="shared" si="2350"/>
        <v>0.0002</v>
      </c>
      <c r="P1204" s="7">
        <f t="shared" si="2350"/>
        <v>0.0028</v>
      </c>
      <c r="Q1204" s="7">
        <f t="shared" si="7"/>
        <v>0.5700276214</v>
      </c>
      <c r="R1204" s="7">
        <f t="shared" si="8"/>
        <v>0.4328179907</v>
      </c>
      <c r="S1204" s="7">
        <f t="shared" si="2"/>
        <v>0.6110374123</v>
      </c>
      <c r="T1204" s="7">
        <f t="shared" si="3"/>
        <v>0.4548626166</v>
      </c>
      <c r="U1204" s="7">
        <f t="shared" si="4"/>
        <v>1</v>
      </c>
      <c r="V1204" s="7">
        <f t="shared" si="5"/>
        <v>1</v>
      </c>
      <c r="W1204" s="7">
        <f t="shared" ref="W1204:X1204" si="2351">IF(AVERAGE(U1144:U1203) &gt; 0.25, 1, 0)</f>
        <v>0</v>
      </c>
      <c r="X1204" s="7">
        <f t="shared" si="2351"/>
        <v>0</v>
      </c>
      <c r="Y1204" s="8">
        <v>1.0</v>
      </c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</row>
    <row r="1205" ht="22.5" customHeight="1">
      <c r="B1205" s="6">
        <v>1204.0</v>
      </c>
      <c r="C1205" s="6">
        <v>1055.0</v>
      </c>
      <c r="D1205" s="6">
        <v>-0.47</v>
      </c>
      <c r="E1205" s="6">
        <v>0.77</v>
      </c>
      <c r="F1205" s="6">
        <v>11.12</v>
      </c>
      <c r="G1205" s="6">
        <v>0.04</v>
      </c>
      <c r="H1205" s="6">
        <v>0.1</v>
      </c>
      <c r="I1205" s="6">
        <v>0.79</v>
      </c>
      <c r="J1205" s="6">
        <v>33.23</v>
      </c>
      <c r="K1205" s="7">
        <f t="shared" ref="K1205:P1205" si="2352">abs(D1205-D1204)/200</f>
        <v>0.01325</v>
      </c>
      <c r="L1205" s="7">
        <f t="shared" si="2352"/>
        <v>0.0035</v>
      </c>
      <c r="M1205" s="7">
        <f t="shared" si="2352"/>
        <v>0.0047</v>
      </c>
      <c r="N1205" s="7">
        <f t="shared" si="2352"/>
        <v>0.00105</v>
      </c>
      <c r="O1205" s="7">
        <f t="shared" si="2352"/>
        <v>0.0007</v>
      </c>
      <c r="P1205" s="7">
        <f t="shared" si="2352"/>
        <v>0.00605</v>
      </c>
      <c r="Q1205" s="7">
        <f t="shared" si="7"/>
        <v>0.342445354</v>
      </c>
      <c r="R1205" s="7">
        <f t="shared" si="8"/>
        <v>0.7454943068</v>
      </c>
      <c r="S1205" s="7">
        <f t="shared" si="2"/>
        <v>1.356531719</v>
      </c>
      <c r="T1205" s="7">
        <f t="shared" si="3"/>
        <v>0.7973079706</v>
      </c>
      <c r="U1205" s="7">
        <f t="shared" si="4"/>
        <v>1</v>
      </c>
      <c r="V1205" s="7">
        <f t="shared" si="5"/>
        <v>1</v>
      </c>
      <c r="W1205" s="7">
        <f t="shared" ref="W1205:X1205" si="2353">IF(AVERAGE(U1145:U1204) &gt; 0.25, 1, 0)</f>
        <v>1</v>
      </c>
      <c r="X1205" s="7">
        <f t="shared" si="2353"/>
        <v>0</v>
      </c>
      <c r="Y1205" s="8">
        <v>1.0</v>
      </c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</row>
    <row r="1206" ht="22.5" customHeight="1">
      <c r="B1206" s="6">
        <v>1205.0</v>
      </c>
      <c r="C1206" s="6">
        <v>1259.0</v>
      </c>
      <c r="D1206" s="6">
        <v>2.38</v>
      </c>
      <c r="E1206" s="6">
        <v>-0.03</v>
      </c>
      <c r="F1206" s="6">
        <v>10.95</v>
      </c>
      <c r="G1206" s="6">
        <v>-0.08</v>
      </c>
      <c r="H1206" s="6">
        <v>-0.12</v>
      </c>
      <c r="I1206" s="6">
        <v>0.03</v>
      </c>
      <c r="J1206" s="6">
        <v>33.22</v>
      </c>
      <c r="K1206" s="7">
        <f t="shared" ref="K1206:P1206" si="2354">abs(D1206-D1205)/200</f>
        <v>0.01425</v>
      </c>
      <c r="L1206" s="7">
        <f t="shared" si="2354"/>
        <v>0.004</v>
      </c>
      <c r="M1206" s="7">
        <f t="shared" si="2354"/>
        <v>0.00085</v>
      </c>
      <c r="N1206" s="7">
        <f t="shared" si="2354"/>
        <v>0.0006</v>
      </c>
      <c r="O1206" s="7">
        <f t="shared" si="2354"/>
        <v>0.0011</v>
      </c>
      <c r="P1206" s="7">
        <f t="shared" si="2354"/>
        <v>0.0038</v>
      </c>
      <c r="Q1206" s="7">
        <f t="shared" si="7"/>
        <v>0.649998772</v>
      </c>
      <c r="R1206" s="7">
        <f t="shared" si="8"/>
        <v>0.04917218558</v>
      </c>
      <c r="S1206" s="7">
        <f t="shared" si="2"/>
        <v>1.405703905</v>
      </c>
      <c r="T1206" s="7">
        <f t="shared" si="3"/>
        <v>0.1473091986</v>
      </c>
      <c r="U1206" s="7">
        <f t="shared" si="4"/>
        <v>1</v>
      </c>
      <c r="V1206" s="7">
        <f t="shared" si="5"/>
        <v>1</v>
      </c>
      <c r="W1206" s="7">
        <f t="shared" ref="W1206:X1206" si="2355">IF(AVERAGE(U1146:U1205) &gt; 0.25, 1, 0)</f>
        <v>1</v>
      </c>
      <c r="X1206" s="7">
        <f t="shared" si="2355"/>
        <v>0</v>
      </c>
      <c r="Y1206" s="8">
        <v>1.0</v>
      </c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</row>
    <row r="1207" ht="22.5" customHeight="1">
      <c r="B1207" s="6">
        <v>1206.0</v>
      </c>
      <c r="C1207" s="6">
        <v>1463.0</v>
      </c>
      <c r="D1207" s="6">
        <v>2.33</v>
      </c>
      <c r="E1207" s="6">
        <v>-0.05</v>
      </c>
      <c r="F1207" s="6">
        <v>10.55</v>
      </c>
      <c r="G1207" s="6">
        <v>-0.1</v>
      </c>
      <c r="H1207" s="6">
        <v>-0.01</v>
      </c>
      <c r="I1207" s="6">
        <v>-0.01</v>
      </c>
      <c r="J1207" s="6">
        <v>33.23</v>
      </c>
      <c r="K1207" s="7">
        <f t="shared" ref="K1207:P1207" si="2356">abs(D1207-D1206)/200</f>
        <v>0.00025</v>
      </c>
      <c r="L1207" s="7">
        <f t="shared" si="2356"/>
        <v>0.0001</v>
      </c>
      <c r="M1207" s="7">
        <f t="shared" si="2356"/>
        <v>0.002</v>
      </c>
      <c r="N1207" s="7">
        <f t="shared" si="2356"/>
        <v>0.0001</v>
      </c>
      <c r="O1207" s="7">
        <f t="shared" si="2356"/>
        <v>0.00055</v>
      </c>
      <c r="P1207" s="7">
        <f t="shared" si="2356"/>
        <v>0.0002</v>
      </c>
      <c r="Q1207" s="7">
        <f t="shared" si="7"/>
        <v>0.04631414924</v>
      </c>
      <c r="R1207" s="7">
        <f t="shared" si="8"/>
        <v>0.4013575571</v>
      </c>
      <c r="S1207" s="7">
        <f t="shared" si="2"/>
        <v>1.004346348</v>
      </c>
      <c r="T1207" s="7">
        <f t="shared" si="3"/>
        <v>0.1009950494</v>
      </c>
      <c r="U1207" s="7">
        <f t="shared" si="4"/>
        <v>1</v>
      </c>
      <c r="V1207" s="7">
        <f t="shared" si="5"/>
        <v>1</v>
      </c>
      <c r="W1207" s="7">
        <f t="shared" ref="W1207:X1207" si="2357">IF(AVERAGE(U1147:U1206) &gt; 0.25, 1, 0)</f>
        <v>1</v>
      </c>
      <c r="X1207" s="7">
        <f t="shared" si="2357"/>
        <v>0</v>
      </c>
      <c r="Y1207" s="8">
        <v>1.0</v>
      </c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</row>
    <row r="1208" ht="22.5" customHeight="1">
      <c r="B1208" s="6">
        <v>1207.0</v>
      </c>
      <c r="C1208" s="6">
        <v>1667.0</v>
      </c>
      <c r="D1208" s="6">
        <v>2.33</v>
      </c>
      <c r="E1208" s="6">
        <v>-0.04</v>
      </c>
      <c r="F1208" s="6">
        <v>10.53</v>
      </c>
      <c r="G1208" s="6">
        <v>-0.1</v>
      </c>
      <c r="H1208" s="6">
        <v>0.0</v>
      </c>
      <c r="I1208" s="6">
        <v>-0.01</v>
      </c>
      <c r="J1208" s="6">
        <v>33.24</v>
      </c>
      <c r="K1208" s="7">
        <f t="shared" ref="K1208:P1208" si="2358">abs(D1208-D1207)/200</f>
        <v>0</v>
      </c>
      <c r="L1208" s="7">
        <f t="shared" si="2358"/>
        <v>0.00005</v>
      </c>
      <c r="M1208" s="7">
        <f t="shared" si="2358"/>
        <v>0.0001</v>
      </c>
      <c r="N1208" s="7">
        <f t="shared" si="2358"/>
        <v>0</v>
      </c>
      <c r="O1208" s="7">
        <f t="shared" si="2358"/>
        <v>0.00005</v>
      </c>
      <c r="P1208" s="7">
        <f t="shared" si="2358"/>
        <v>0</v>
      </c>
      <c r="Q1208" s="7">
        <f t="shared" si="7"/>
        <v>0.0004962931724</v>
      </c>
      <c r="R1208" s="7">
        <f t="shared" si="8"/>
        <v>0.01957004028</v>
      </c>
      <c r="S1208" s="7">
        <f t="shared" si="2"/>
        <v>0.9847763074</v>
      </c>
      <c r="T1208" s="7">
        <f t="shared" si="3"/>
        <v>0.1004987562</v>
      </c>
      <c r="U1208" s="7">
        <f t="shared" si="4"/>
        <v>0</v>
      </c>
      <c r="V1208" s="7">
        <f t="shared" si="5"/>
        <v>0</v>
      </c>
      <c r="W1208" s="7">
        <f t="shared" ref="W1208:X1208" si="2359">IF(AVERAGE(U1148:U1207) &gt; 0.25, 1, 0)</f>
        <v>1</v>
      </c>
      <c r="X1208" s="7">
        <f t="shared" si="2359"/>
        <v>1</v>
      </c>
      <c r="Y1208" s="8">
        <v>1.0</v>
      </c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</row>
    <row r="1209" ht="22.5" customHeight="1">
      <c r="B1209" s="6">
        <v>1208.0</v>
      </c>
      <c r="C1209" s="6">
        <v>1871.0</v>
      </c>
      <c r="D1209" s="6">
        <v>2.34</v>
      </c>
      <c r="E1209" s="6">
        <v>-0.03</v>
      </c>
      <c r="F1209" s="6">
        <v>10.51</v>
      </c>
      <c r="G1209" s="6">
        <v>-0.1</v>
      </c>
      <c r="H1209" s="6">
        <v>-0.01</v>
      </c>
      <c r="I1209" s="6">
        <v>-0.01</v>
      </c>
      <c r="J1209" s="6">
        <v>33.23</v>
      </c>
      <c r="K1209" s="7">
        <f t="shared" ref="K1209:P1209" si="2360">abs(D1209-D1208)/200</f>
        <v>0.00005</v>
      </c>
      <c r="L1209" s="7">
        <f t="shared" si="2360"/>
        <v>0.00005</v>
      </c>
      <c r="M1209" s="7">
        <f t="shared" si="2360"/>
        <v>0.0001</v>
      </c>
      <c r="N1209" s="7">
        <f t="shared" si="2360"/>
        <v>0</v>
      </c>
      <c r="O1209" s="7">
        <f t="shared" si="2360"/>
        <v>0.00005</v>
      </c>
      <c r="P1209" s="7">
        <f t="shared" si="2360"/>
        <v>0</v>
      </c>
      <c r="Q1209" s="7">
        <f t="shared" si="7"/>
        <v>0.0004962931724</v>
      </c>
      <c r="R1209" s="7">
        <f t="shared" si="8"/>
        <v>0.01739036648</v>
      </c>
      <c r="S1209" s="7">
        <f t="shared" si="2"/>
        <v>0.9673859409</v>
      </c>
      <c r="T1209" s="7">
        <f t="shared" si="3"/>
        <v>0.1009950494</v>
      </c>
      <c r="U1209" s="7">
        <f t="shared" si="4"/>
        <v>0</v>
      </c>
      <c r="V1209" s="7">
        <f t="shared" si="5"/>
        <v>0</v>
      </c>
      <c r="W1209" s="7">
        <f t="shared" ref="W1209:X1209" si="2361">IF(AVERAGE(U1149:U1208) &gt; 0.25, 1, 0)</f>
        <v>1</v>
      </c>
      <c r="X1209" s="7">
        <f t="shared" si="2361"/>
        <v>1</v>
      </c>
      <c r="Y1209" s="8">
        <v>1.0</v>
      </c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</row>
    <row r="1210" ht="22.5" customHeight="1">
      <c r="B1210" s="6">
        <v>1209.0</v>
      </c>
      <c r="C1210" s="6">
        <v>2075.0</v>
      </c>
      <c r="D1210" s="6">
        <v>2.34</v>
      </c>
      <c r="E1210" s="6">
        <v>-0.03</v>
      </c>
      <c r="F1210" s="6">
        <v>10.51</v>
      </c>
      <c r="G1210" s="6">
        <v>-0.1</v>
      </c>
      <c r="H1210" s="6">
        <v>0.0</v>
      </c>
      <c r="I1210" s="6">
        <v>-0.01</v>
      </c>
      <c r="J1210" s="6">
        <v>33.24</v>
      </c>
      <c r="K1210" s="7">
        <f t="shared" ref="K1210:P1210" si="2362">abs(D1210-D1209)/200</f>
        <v>0</v>
      </c>
      <c r="L1210" s="7">
        <f t="shared" si="2362"/>
        <v>0</v>
      </c>
      <c r="M1210" s="7">
        <f t="shared" si="2362"/>
        <v>0</v>
      </c>
      <c r="N1210" s="7">
        <f t="shared" si="2362"/>
        <v>0</v>
      </c>
      <c r="O1210" s="7">
        <f t="shared" si="2362"/>
        <v>0.00005</v>
      </c>
      <c r="P1210" s="7">
        <f t="shared" si="2362"/>
        <v>0</v>
      </c>
      <c r="Q1210" s="7">
        <f t="shared" si="7"/>
        <v>0.0004962931724</v>
      </c>
      <c r="R1210" s="7">
        <f t="shared" si="8"/>
        <v>0</v>
      </c>
      <c r="S1210" s="7">
        <f t="shared" si="2"/>
        <v>0.9673859409</v>
      </c>
      <c r="T1210" s="7">
        <f t="shared" si="3"/>
        <v>0.1004987562</v>
      </c>
      <c r="U1210" s="7">
        <f t="shared" si="4"/>
        <v>0</v>
      </c>
      <c r="V1210" s="7">
        <f t="shared" si="5"/>
        <v>0</v>
      </c>
      <c r="W1210" s="7">
        <f t="shared" ref="W1210:X1210" si="2363">IF(AVERAGE(U1150:U1209) &gt; 0.25, 1, 0)</f>
        <v>1</v>
      </c>
      <c r="X1210" s="7">
        <f t="shared" si="2363"/>
        <v>1</v>
      </c>
      <c r="Y1210" s="8">
        <v>1.0</v>
      </c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</row>
    <row r="1211" ht="22.5" customHeight="1">
      <c r="B1211" s="6">
        <v>1210.0</v>
      </c>
      <c r="C1211" s="6">
        <v>2279.0</v>
      </c>
      <c r="D1211" s="6">
        <v>2.46</v>
      </c>
      <c r="E1211" s="6">
        <v>3.38</v>
      </c>
      <c r="F1211" s="6">
        <v>11.47</v>
      </c>
      <c r="G1211" s="6">
        <v>0.0</v>
      </c>
      <c r="H1211" s="6">
        <v>0.45</v>
      </c>
      <c r="I1211" s="6">
        <v>0.96</v>
      </c>
      <c r="J1211" s="6">
        <v>33.24</v>
      </c>
      <c r="K1211" s="7">
        <f t="shared" ref="K1211:P1211" si="2364">abs(D1211-D1210)/200</f>
        <v>0.0006</v>
      </c>
      <c r="L1211" s="7">
        <f t="shared" si="2364"/>
        <v>0.01705</v>
      </c>
      <c r="M1211" s="7">
        <f t="shared" si="2364"/>
        <v>0.0048</v>
      </c>
      <c r="N1211" s="7">
        <f t="shared" si="2364"/>
        <v>0.0005</v>
      </c>
      <c r="O1211" s="7">
        <f t="shared" si="2364"/>
        <v>0.00225</v>
      </c>
      <c r="P1211" s="7">
        <f t="shared" si="2364"/>
        <v>0.00485</v>
      </c>
      <c r="Q1211" s="7">
        <f t="shared" si="7"/>
        <v>0.9597370666</v>
      </c>
      <c r="R1211" s="7">
        <f t="shared" si="8"/>
        <v>1.440681064</v>
      </c>
      <c r="S1211" s="7">
        <f t="shared" si="2"/>
        <v>2.408067005</v>
      </c>
      <c r="T1211" s="7">
        <f t="shared" si="3"/>
        <v>1.060235823</v>
      </c>
      <c r="U1211" s="7">
        <f t="shared" si="4"/>
        <v>1</v>
      </c>
      <c r="V1211" s="7">
        <f t="shared" si="5"/>
        <v>1</v>
      </c>
      <c r="W1211" s="7">
        <f t="shared" ref="W1211:X1211" si="2365">IF(AVERAGE(U1151:U1210) &gt; 0.25, 1, 0)</f>
        <v>1</v>
      </c>
      <c r="X1211" s="7">
        <f t="shared" si="2365"/>
        <v>1</v>
      </c>
      <c r="Y1211" s="8">
        <v>1.0</v>
      </c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</row>
    <row r="1212" ht="22.5" customHeight="1">
      <c r="B1212" s="6">
        <v>1211.0</v>
      </c>
      <c r="C1212" s="6">
        <v>2483.0</v>
      </c>
      <c r="D1212" s="6">
        <v>1.96</v>
      </c>
      <c r="E1212" s="6">
        <v>-0.15</v>
      </c>
      <c r="F1212" s="6">
        <v>10.63</v>
      </c>
      <c r="G1212" s="6">
        <v>0.02</v>
      </c>
      <c r="H1212" s="6">
        <v>0.03</v>
      </c>
      <c r="I1212" s="6">
        <v>0.56</v>
      </c>
      <c r="J1212" s="6">
        <v>33.24</v>
      </c>
      <c r="K1212" s="7">
        <f t="shared" ref="K1212:P1212" si="2366">abs(D1212-D1211)/200</f>
        <v>0.0025</v>
      </c>
      <c r="L1212" s="7">
        <f t="shared" si="2366"/>
        <v>0.01765</v>
      </c>
      <c r="M1212" s="7">
        <f t="shared" si="2366"/>
        <v>0.0042</v>
      </c>
      <c r="N1212" s="7">
        <f t="shared" si="2366"/>
        <v>0.0001</v>
      </c>
      <c r="O1212" s="7">
        <f t="shared" si="2366"/>
        <v>0.0021</v>
      </c>
      <c r="P1212" s="7">
        <f t="shared" si="2366"/>
        <v>0.002</v>
      </c>
      <c r="Q1212" s="7">
        <f t="shared" si="7"/>
        <v>0.499076309</v>
      </c>
      <c r="R1212" s="7">
        <f t="shared" si="8"/>
        <v>1.397840365</v>
      </c>
      <c r="S1212" s="7">
        <f t="shared" si="2"/>
        <v>1.01022664</v>
      </c>
      <c r="T1212" s="7">
        <f t="shared" si="3"/>
        <v>0.5611595139</v>
      </c>
      <c r="U1212" s="7">
        <f t="shared" si="4"/>
        <v>1</v>
      </c>
      <c r="V1212" s="7">
        <f t="shared" si="5"/>
        <v>1</v>
      </c>
      <c r="W1212" s="7">
        <f t="shared" ref="W1212:X1212" si="2367">IF(AVERAGE(U1152:U1211) &gt; 0.25, 1, 0)</f>
        <v>1</v>
      </c>
      <c r="X1212" s="7">
        <f t="shared" si="2367"/>
        <v>1</v>
      </c>
      <c r="Y1212" s="8">
        <v>1.0</v>
      </c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</row>
    <row r="1213" ht="22.5" customHeight="1">
      <c r="B1213" s="6">
        <v>1212.0</v>
      </c>
      <c r="C1213" s="6">
        <v>2687.0</v>
      </c>
      <c r="D1213" s="6">
        <v>3.14</v>
      </c>
      <c r="E1213" s="6">
        <v>0.69</v>
      </c>
      <c r="F1213" s="6">
        <v>10.54</v>
      </c>
      <c r="G1213" s="6">
        <v>0.36</v>
      </c>
      <c r="H1213" s="6">
        <v>0.04</v>
      </c>
      <c r="I1213" s="6">
        <v>2.64</v>
      </c>
      <c r="J1213" s="6">
        <v>33.24</v>
      </c>
      <c r="K1213" s="7">
        <f t="shared" ref="K1213:P1213" si="2368">abs(D1213-D1212)/200</f>
        <v>0.0059</v>
      </c>
      <c r="L1213" s="7">
        <f t="shared" si="2368"/>
        <v>0.0042</v>
      </c>
      <c r="M1213" s="7">
        <f t="shared" si="2368"/>
        <v>0.00045</v>
      </c>
      <c r="N1213" s="7">
        <f t="shared" si="2368"/>
        <v>0.0017</v>
      </c>
      <c r="O1213" s="7">
        <f t="shared" si="2368"/>
        <v>0.00005</v>
      </c>
      <c r="P1213" s="7">
        <f t="shared" si="2368"/>
        <v>0.0104</v>
      </c>
      <c r="Q1213" s="7">
        <f t="shared" si="7"/>
        <v>2.103573118</v>
      </c>
      <c r="R1213" s="7">
        <f t="shared" si="8"/>
        <v>0.2091789705</v>
      </c>
      <c r="S1213" s="7">
        <f t="shared" si="2"/>
        <v>1.21940561</v>
      </c>
      <c r="T1213" s="7">
        <f t="shared" si="3"/>
        <v>2.664732632</v>
      </c>
      <c r="U1213" s="7">
        <f t="shared" si="4"/>
        <v>1</v>
      </c>
      <c r="V1213" s="7">
        <f t="shared" si="5"/>
        <v>1</v>
      </c>
      <c r="W1213" s="7">
        <f t="shared" ref="W1213:X1213" si="2369">IF(AVERAGE(U1153:U1212) &gt; 0.25, 1, 0)</f>
        <v>1</v>
      </c>
      <c r="X1213" s="7">
        <f t="shared" si="2369"/>
        <v>1</v>
      </c>
      <c r="Y1213" s="8">
        <v>1.0</v>
      </c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</row>
    <row r="1214" ht="22.5" customHeight="1">
      <c r="B1214" s="6">
        <v>1213.0</v>
      </c>
      <c r="C1214" s="6">
        <v>2891.0</v>
      </c>
      <c r="D1214" s="6">
        <v>2.18</v>
      </c>
      <c r="E1214" s="6">
        <v>-0.24</v>
      </c>
      <c r="F1214" s="6">
        <v>10.5</v>
      </c>
      <c r="G1214" s="6">
        <v>-0.1</v>
      </c>
      <c r="H1214" s="6">
        <v>-0.01</v>
      </c>
      <c r="I1214" s="6">
        <v>0.03</v>
      </c>
      <c r="J1214" s="6">
        <v>33.24</v>
      </c>
      <c r="K1214" s="7">
        <f t="shared" ref="K1214:P1214" si="2370">abs(D1214-D1213)/200</f>
        <v>0.0048</v>
      </c>
      <c r="L1214" s="7">
        <f t="shared" si="2370"/>
        <v>0.00465</v>
      </c>
      <c r="M1214" s="7">
        <f t="shared" si="2370"/>
        <v>0.0002</v>
      </c>
      <c r="N1214" s="7">
        <f t="shared" si="2370"/>
        <v>0.0023</v>
      </c>
      <c r="O1214" s="7">
        <f t="shared" si="2370"/>
        <v>0.00025</v>
      </c>
      <c r="P1214" s="7">
        <f t="shared" si="2370"/>
        <v>0.01305</v>
      </c>
      <c r="Q1214" s="7">
        <f t="shared" si="7"/>
        <v>2.559851747</v>
      </c>
      <c r="R1214" s="7">
        <f t="shared" si="8"/>
        <v>0.2928031657</v>
      </c>
      <c r="S1214" s="7">
        <f t="shared" si="2"/>
        <v>0.9266024444</v>
      </c>
      <c r="T1214" s="7">
        <f t="shared" si="3"/>
        <v>0.1048808848</v>
      </c>
      <c r="U1214" s="7">
        <f t="shared" si="4"/>
        <v>1</v>
      </c>
      <c r="V1214" s="7">
        <f t="shared" si="5"/>
        <v>1</v>
      </c>
      <c r="W1214" s="7">
        <f t="shared" ref="W1214:X1214" si="2371">IF(AVERAGE(U1154:U1213) &gt; 0.25, 1, 0)</f>
        <v>1</v>
      </c>
      <c r="X1214" s="7">
        <f t="shared" si="2371"/>
        <v>1</v>
      </c>
      <c r="Y1214" s="8">
        <v>1.0</v>
      </c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</row>
    <row r="1215" ht="22.5" customHeight="1">
      <c r="B1215" s="6">
        <v>1214.0</v>
      </c>
      <c r="C1215" s="6">
        <v>3095.0</v>
      </c>
      <c r="D1215" s="6">
        <v>2.28</v>
      </c>
      <c r="E1215" s="6">
        <v>-0.18</v>
      </c>
      <c r="F1215" s="6">
        <v>10.51</v>
      </c>
      <c r="G1215" s="6">
        <v>-0.09</v>
      </c>
      <c r="H1215" s="6">
        <v>-0.01</v>
      </c>
      <c r="I1215" s="6">
        <v>-0.02</v>
      </c>
      <c r="J1215" s="6">
        <v>33.24</v>
      </c>
      <c r="K1215" s="7">
        <f t="shared" ref="K1215:P1215" si="2372">abs(D1215-D1214)/200</f>
        <v>0.0005</v>
      </c>
      <c r="L1215" s="7">
        <f t="shared" si="2372"/>
        <v>0.0003</v>
      </c>
      <c r="M1215" s="7">
        <f t="shared" si="2372"/>
        <v>0.00005</v>
      </c>
      <c r="N1215" s="7">
        <f t="shared" si="2372"/>
        <v>0.00005</v>
      </c>
      <c r="O1215" s="7">
        <f t="shared" si="2372"/>
        <v>0</v>
      </c>
      <c r="P1215" s="7">
        <f t="shared" si="2372"/>
        <v>0.00025</v>
      </c>
      <c r="Q1215" s="7">
        <f t="shared" si="7"/>
        <v>0.01214469986</v>
      </c>
      <c r="R1215" s="7">
        <f t="shared" si="8"/>
        <v>0.02936799068</v>
      </c>
      <c r="S1215" s="7">
        <f t="shared" si="2"/>
        <v>0.9559704351</v>
      </c>
      <c r="T1215" s="7">
        <f t="shared" si="3"/>
        <v>0.09273618495</v>
      </c>
      <c r="U1215" s="7">
        <f t="shared" si="4"/>
        <v>1</v>
      </c>
      <c r="V1215" s="7">
        <f t="shared" si="5"/>
        <v>0</v>
      </c>
      <c r="W1215" s="7">
        <f t="shared" ref="W1215:X1215" si="2373">IF(AVERAGE(U1155:U1214) &gt; 0.25, 1, 0)</f>
        <v>1</v>
      </c>
      <c r="X1215" s="7">
        <f t="shared" si="2373"/>
        <v>1</v>
      </c>
      <c r="Y1215" s="8">
        <v>1.0</v>
      </c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</row>
    <row r="1216" ht="22.5" customHeight="1">
      <c r="B1216" s="6">
        <v>1215.0</v>
      </c>
      <c r="C1216" s="6">
        <v>3299.0</v>
      </c>
      <c r="D1216" s="6">
        <v>2.27</v>
      </c>
      <c r="E1216" s="6">
        <v>-0.21</v>
      </c>
      <c r="F1216" s="6">
        <v>10.54</v>
      </c>
      <c r="G1216" s="6">
        <v>-0.09</v>
      </c>
      <c r="H1216" s="6">
        <v>-0.04</v>
      </c>
      <c r="I1216" s="6">
        <v>-0.03</v>
      </c>
      <c r="J1216" s="6">
        <v>33.23</v>
      </c>
      <c r="K1216" s="7">
        <f t="shared" ref="K1216:P1216" si="2374">abs(D1216-D1215)/200</f>
        <v>0.00005</v>
      </c>
      <c r="L1216" s="7">
        <f t="shared" si="2374"/>
        <v>0.00015</v>
      </c>
      <c r="M1216" s="7">
        <f t="shared" si="2374"/>
        <v>0.00015</v>
      </c>
      <c r="N1216" s="7">
        <f t="shared" si="2374"/>
        <v>0</v>
      </c>
      <c r="O1216" s="7">
        <f t="shared" si="2374"/>
        <v>0.00015</v>
      </c>
      <c r="P1216" s="7">
        <f t="shared" si="2374"/>
        <v>0.00005</v>
      </c>
      <c r="Q1216" s="7">
        <f t="shared" si="7"/>
        <v>0.01022011645</v>
      </c>
      <c r="R1216" s="7">
        <f t="shared" si="8"/>
        <v>0.02774877493</v>
      </c>
      <c r="S1216" s="7">
        <f t="shared" si="2"/>
        <v>0.98371921</v>
      </c>
      <c r="T1216" s="7">
        <f t="shared" si="3"/>
        <v>0.1029563014</v>
      </c>
      <c r="U1216" s="7">
        <f t="shared" si="4"/>
        <v>0</v>
      </c>
      <c r="V1216" s="7">
        <f t="shared" si="5"/>
        <v>0</v>
      </c>
      <c r="W1216" s="7">
        <f t="shared" ref="W1216:X1216" si="2375">IF(AVERAGE(U1156:U1215) &gt; 0.25, 1, 0)</f>
        <v>1</v>
      </c>
      <c r="X1216" s="7">
        <f t="shared" si="2375"/>
        <v>1</v>
      </c>
      <c r="Y1216" s="8">
        <v>1.0</v>
      </c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</row>
    <row r="1217" ht="22.5" customHeight="1">
      <c r="B1217" s="6">
        <v>1216.0</v>
      </c>
      <c r="C1217" s="6">
        <v>3503.0</v>
      </c>
      <c r="D1217" s="6">
        <v>2.52</v>
      </c>
      <c r="E1217" s="6">
        <v>-0.22</v>
      </c>
      <c r="F1217" s="6">
        <v>10.54</v>
      </c>
      <c r="G1217" s="6">
        <v>-0.07</v>
      </c>
      <c r="H1217" s="6">
        <v>0.1</v>
      </c>
      <c r="I1217" s="6">
        <v>-0.02</v>
      </c>
      <c r="J1217" s="6">
        <v>33.24</v>
      </c>
      <c r="K1217" s="7">
        <f t="shared" ref="K1217:P1217" si="2376">abs(D1217-D1216)/200</f>
        <v>0.00125</v>
      </c>
      <c r="L1217" s="7">
        <f t="shared" si="2376"/>
        <v>0.00005</v>
      </c>
      <c r="M1217" s="7">
        <f t="shared" si="2376"/>
        <v>0</v>
      </c>
      <c r="N1217" s="7">
        <f t="shared" si="2376"/>
        <v>0.0001</v>
      </c>
      <c r="O1217" s="7">
        <f t="shared" si="2376"/>
        <v>0.0007</v>
      </c>
      <c r="P1217" s="7">
        <f t="shared" si="2376"/>
        <v>0.00005</v>
      </c>
      <c r="Q1217" s="7">
        <f t="shared" si="7"/>
        <v>0.02073686736</v>
      </c>
      <c r="R1217" s="7">
        <f t="shared" si="8"/>
        <v>0.05557966032</v>
      </c>
      <c r="S1217" s="7">
        <f t="shared" si="2"/>
        <v>1.03929887</v>
      </c>
      <c r="T1217" s="7">
        <f t="shared" si="3"/>
        <v>0.1236931688</v>
      </c>
      <c r="U1217" s="7">
        <f t="shared" si="4"/>
        <v>1</v>
      </c>
      <c r="V1217" s="7">
        <f t="shared" si="5"/>
        <v>1</v>
      </c>
      <c r="W1217" s="7">
        <f t="shared" ref="W1217:X1217" si="2377">IF(AVERAGE(U1157:U1216) &gt; 0.25, 1, 0)</f>
        <v>1</v>
      </c>
      <c r="X1217" s="7">
        <f t="shared" si="2377"/>
        <v>1</v>
      </c>
      <c r="Y1217" s="8">
        <v>1.0</v>
      </c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</row>
    <row r="1218" ht="22.5" customHeight="1">
      <c r="B1218" s="6">
        <v>1217.0</v>
      </c>
      <c r="C1218" s="6">
        <v>3707.0</v>
      </c>
      <c r="D1218" s="6">
        <v>2.67</v>
      </c>
      <c r="E1218" s="6">
        <v>-0.32</v>
      </c>
      <c r="F1218" s="6">
        <v>10.69</v>
      </c>
      <c r="G1218" s="6">
        <v>0.01</v>
      </c>
      <c r="H1218" s="6">
        <v>0.08</v>
      </c>
      <c r="I1218" s="6">
        <v>0.33</v>
      </c>
      <c r="J1218" s="6">
        <v>33.24</v>
      </c>
      <c r="K1218" s="7">
        <f t="shared" ref="K1218:P1218" si="2378">abs(D1218-D1217)/200</f>
        <v>0.00075</v>
      </c>
      <c r="L1218" s="7">
        <f t="shared" si="2378"/>
        <v>0.0005</v>
      </c>
      <c r="M1218" s="7">
        <f t="shared" si="2378"/>
        <v>0.00075</v>
      </c>
      <c r="N1218" s="7">
        <f t="shared" si="2378"/>
        <v>0.0004</v>
      </c>
      <c r="O1218" s="7">
        <f t="shared" si="2378"/>
        <v>0.0001</v>
      </c>
      <c r="P1218" s="7">
        <f t="shared" si="2378"/>
        <v>0.00175</v>
      </c>
      <c r="Q1218" s="7">
        <f t="shared" si="7"/>
        <v>0.2160125863</v>
      </c>
      <c r="R1218" s="7">
        <f t="shared" si="8"/>
        <v>0.1837406379</v>
      </c>
      <c r="S1218" s="7">
        <f t="shared" si="2"/>
        <v>1.223039508</v>
      </c>
      <c r="T1218" s="7">
        <f t="shared" si="3"/>
        <v>0.339705755</v>
      </c>
      <c r="U1218" s="7">
        <f t="shared" si="4"/>
        <v>1</v>
      </c>
      <c r="V1218" s="7">
        <f t="shared" si="5"/>
        <v>1</v>
      </c>
      <c r="W1218" s="7">
        <f t="shared" ref="W1218:X1218" si="2379">IF(AVERAGE(U1158:U1217) &gt; 0.25, 1, 0)</f>
        <v>1</v>
      </c>
      <c r="X1218" s="7">
        <f t="shared" si="2379"/>
        <v>1</v>
      </c>
      <c r="Y1218" s="8">
        <v>1.0</v>
      </c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</row>
    <row r="1219" ht="22.5" customHeight="1">
      <c r="B1219" s="6">
        <v>1218.0</v>
      </c>
      <c r="C1219" s="6">
        <v>3911.0</v>
      </c>
      <c r="D1219" s="6">
        <v>2.38</v>
      </c>
      <c r="E1219" s="6">
        <v>-0.69</v>
      </c>
      <c r="F1219" s="6">
        <v>10.41</v>
      </c>
      <c r="G1219" s="6">
        <v>0.07</v>
      </c>
      <c r="H1219" s="6">
        <v>-0.08</v>
      </c>
      <c r="I1219" s="6">
        <v>1.25</v>
      </c>
      <c r="J1219" s="6">
        <v>33.24</v>
      </c>
      <c r="K1219" s="7">
        <f t="shared" ref="K1219:P1219" si="2380">abs(D1219-D1218)/200</f>
        <v>0.00145</v>
      </c>
      <c r="L1219" s="7">
        <f t="shared" si="2380"/>
        <v>0.00185</v>
      </c>
      <c r="M1219" s="7">
        <f t="shared" si="2380"/>
        <v>0.0014</v>
      </c>
      <c r="N1219" s="7">
        <f t="shared" si="2380"/>
        <v>0.0003</v>
      </c>
      <c r="O1219" s="7">
        <f t="shared" si="2380"/>
        <v>0.0008</v>
      </c>
      <c r="P1219" s="7">
        <f t="shared" si="2380"/>
        <v>0.0046</v>
      </c>
      <c r="Q1219" s="7">
        <f t="shared" si="7"/>
        <v>0.9148061022</v>
      </c>
      <c r="R1219" s="7">
        <f t="shared" si="8"/>
        <v>0.3221703846</v>
      </c>
      <c r="S1219" s="7">
        <f t="shared" si="2"/>
        <v>0.9008691236</v>
      </c>
      <c r="T1219" s="7">
        <f t="shared" si="3"/>
        <v>1.254511857</v>
      </c>
      <c r="U1219" s="7">
        <f t="shared" si="4"/>
        <v>1</v>
      </c>
      <c r="V1219" s="7">
        <f t="shared" si="5"/>
        <v>1</v>
      </c>
      <c r="W1219" s="7">
        <f t="shared" ref="W1219:X1219" si="2381">IF(AVERAGE(U1159:U1218) &gt; 0.25, 1, 0)</f>
        <v>1</v>
      </c>
      <c r="X1219" s="7">
        <f t="shared" si="2381"/>
        <v>1</v>
      </c>
      <c r="Y1219" s="8">
        <v>1.0</v>
      </c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</row>
    <row r="1220" ht="22.5" customHeight="1">
      <c r="B1220" s="6">
        <v>1219.0</v>
      </c>
      <c r="C1220" s="6">
        <v>4115.0</v>
      </c>
      <c r="D1220" s="6">
        <v>2.25</v>
      </c>
      <c r="E1220" s="6">
        <v>-0.1</v>
      </c>
      <c r="F1220" s="6">
        <v>10.54</v>
      </c>
      <c r="G1220" s="6">
        <v>-0.05</v>
      </c>
      <c r="H1220" s="6">
        <v>0.02</v>
      </c>
      <c r="I1220" s="6">
        <v>0.22</v>
      </c>
      <c r="J1220" s="6">
        <v>33.25</v>
      </c>
      <c r="K1220" s="7">
        <f t="shared" ref="K1220:P1220" si="2382">abs(D1220-D1219)/200</f>
        <v>0.00065</v>
      </c>
      <c r="L1220" s="7">
        <f t="shared" si="2382"/>
        <v>0.00295</v>
      </c>
      <c r="M1220" s="7">
        <f t="shared" si="2382"/>
        <v>0.00065</v>
      </c>
      <c r="N1220" s="7">
        <f t="shared" si="2382"/>
        <v>0.0006</v>
      </c>
      <c r="O1220" s="7">
        <f t="shared" si="2382"/>
        <v>0.0005</v>
      </c>
      <c r="P1220" s="7">
        <f t="shared" si="2382"/>
        <v>0.00515</v>
      </c>
      <c r="Q1220" s="7">
        <f t="shared" si="7"/>
        <v>1.028016824</v>
      </c>
      <c r="R1220" s="7">
        <f t="shared" si="8"/>
        <v>0.07707594958</v>
      </c>
      <c r="S1220" s="7">
        <f t="shared" si="2"/>
        <v>0.9779450732</v>
      </c>
      <c r="T1220" s="7">
        <f t="shared" si="3"/>
        <v>0.2264950331</v>
      </c>
      <c r="U1220" s="7">
        <f t="shared" si="4"/>
        <v>1</v>
      </c>
      <c r="V1220" s="7">
        <f t="shared" si="5"/>
        <v>1</v>
      </c>
      <c r="W1220" s="7">
        <f t="shared" ref="W1220:X1220" si="2383">IF(AVERAGE(U1160:U1219) &gt; 0.25, 1, 0)</f>
        <v>1</v>
      </c>
      <c r="X1220" s="7">
        <f t="shared" si="2383"/>
        <v>1</v>
      </c>
      <c r="Y1220" s="8">
        <v>1.0</v>
      </c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</row>
    <row r="1221" ht="22.5" customHeight="1">
      <c r="B1221" s="6">
        <v>1220.0</v>
      </c>
      <c r="C1221" s="6">
        <v>4319.0</v>
      </c>
      <c r="D1221" s="6">
        <v>2.35</v>
      </c>
      <c r="E1221" s="6">
        <v>-0.23</v>
      </c>
      <c r="F1221" s="6">
        <v>10.52</v>
      </c>
      <c r="G1221" s="6">
        <v>-0.09</v>
      </c>
      <c r="H1221" s="6">
        <v>0.01</v>
      </c>
      <c r="I1221" s="6">
        <v>-0.02</v>
      </c>
      <c r="J1221" s="6">
        <v>33.25</v>
      </c>
      <c r="K1221" s="7">
        <f t="shared" ref="K1221:P1221" si="2384">abs(D1221-D1220)/200</f>
        <v>0.0005</v>
      </c>
      <c r="L1221" s="7">
        <f t="shared" si="2384"/>
        <v>0.00065</v>
      </c>
      <c r="M1221" s="7">
        <f t="shared" si="2384"/>
        <v>0.0001</v>
      </c>
      <c r="N1221" s="7">
        <f t="shared" si="2384"/>
        <v>0.0002</v>
      </c>
      <c r="O1221" s="7">
        <f t="shared" si="2384"/>
        <v>0.00005</v>
      </c>
      <c r="P1221" s="7">
        <f t="shared" si="2384"/>
        <v>0.0012</v>
      </c>
      <c r="Q1221" s="7">
        <f t="shared" si="7"/>
        <v>0.1337588481</v>
      </c>
      <c r="R1221" s="7">
        <f t="shared" si="8"/>
        <v>0.003789481171</v>
      </c>
      <c r="S1221" s="7">
        <f t="shared" si="2"/>
        <v>0.9817345543</v>
      </c>
      <c r="T1221" s="7">
        <f t="shared" si="3"/>
        <v>0.09273618495</v>
      </c>
      <c r="U1221" s="7">
        <f t="shared" si="4"/>
        <v>1</v>
      </c>
      <c r="V1221" s="7">
        <f t="shared" si="5"/>
        <v>1</v>
      </c>
      <c r="W1221" s="7">
        <f t="shared" ref="W1221:X1221" si="2385">IF(AVERAGE(U1161:U1220) &gt; 0.25, 1, 0)</f>
        <v>1</v>
      </c>
      <c r="X1221" s="7">
        <f t="shared" si="2385"/>
        <v>1</v>
      </c>
      <c r="Y1221" s="8">
        <v>1.0</v>
      </c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</row>
    <row r="1222" ht="22.5" customHeight="1">
      <c r="B1222" s="6">
        <v>1221.0</v>
      </c>
      <c r="C1222" s="6">
        <v>4523.0</v>
      </c>
      <c r="D1222" s="6">
        <v>2.34</v>
      </c>
      <c r="E1222" s="6">
        <v>-0.2</v>
      </c>
      <c r="F1222" s="6">
        <v>10.5</v>
      </c>
      <c r="G1222" s="6">
        <v>-0.16</v>
      </c>
      <c r="H1222" s="6">
        <v>-0.04</v>
      </c>
      <c r="I1222" s="6">
        <v>-0.34</v>
      </c>
      <c r="J1222" s="6">
        <v>33.25</v>
      </c>
      <c r="K1222" s="7">
        <f t="shared" ref="K1222:P1222" si="2386">abs(D1222-D1221)/200</f>
        <v>0.00005</v>
      </c>
      <c r="L1222" s="7">
        <f t="shared" si="2386"/>
        <v>0.00015</v>
      </c>
      <c r="M1222" s="7">
        <f t="shared" si="2386"/>
        <v>0.0001</v>
      </c>
      <c r="N1222" s="7">
        <f t="shared" si="2386"/>
        <v>0.00035</v>
      </c>
      <c r="O1222" s="7">
        <f t="shared" si="2386"/>
        <v>0.00025</v>
      </c>
      <c r="P1222" s="7">
        <f t="shared" si="2386"/>
        <v>0.0016</v>
      </c>
      <c r="Q1222" s="7">
        <f t="shared" si="7"/>
        <v>0.2851526876</v>
      </c>
      <c r="R1222" s="7">
        <f t="shared" si="8"/>
        <v>0.0222921896</v>
      </c>
      <c r="S1222" s="7">
        <f t="shared" si="2"/>
        <v>0.9594423647</v>
      </c>
      <c r="T1222" s="7">
        <f t="shared" si="3"/>
        <v>0.3778888726</v>
      </c>
      <c r="U1222" s="7">
        <f t="shared" si="4"/>
        <v>0</v>
      </c>
      <c r="V1222" s="7">
        <f t="shared" si="5"/>
        <v>1</v>
      </c>
      <c r="W1222" s="7">
        <f t="shared" ref="W1222:X1222" si="2387">IF(AVERAGE(U1162:U1221) &gt; 0.25, 1, 0)</f>
        <v>1</v>
      </c>
      <c r="X1222" s="7">
        <f t="shared" si="2387"/>
        <v>1</v>
      </c>
      <c r="Y1222" s="8">
        <v>1.0</v>
      </c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</row>
    <row r="1223" ht="22.5" customHeight="1">
      <c r="B1223" s="6">
        <v>1222.0</v>
      </c>
      <c r="C1223" s="6">
        <v>4727.0</v>
      </c>
      <c r="D1223" s="6">
        <v>1.2</v>
      </c>
      <c r="E1223" s="6">
        <v>0.4</v>
      </c>
      <c r="F1223" s="6">
        <v>10.75</v>
      </c>
      <c r="G1223" s="6">
        <v>-0.08</v>
      </c>
      <c r="H1223" s="6">
        <v>0.02</v>
      </c>
      <c r="I1223" s="6">
        <v>0.4</v>
      </c>
      <c r="J1223" s="6">
        <v>33.25</v>
      </c>
      <c r="K1223" s="7">
        <f t="shared" ref="K1223:P1223" si="2388">abs(D1223-D1222)/200</f>
        <v>0.0057</v>
      </c>
      <c r="L1223" s="7">
        <f t="shared" si="2388"/>
        <v>0.003</v>
      </c>
      <c r="M1223" s="7">
        <f t="shared" si="2388"/>
        <v>0.00125</v>
      </c>
      <c r="N1223" s="7">
        <f t="shared" si="2388"/>
        <v>0.0004</v>
      </c>
      <c r="O1223" s="7">
        <f t="shared" si="2388"/>
        <v>0.0003</v>
      </c>
      <c r="P1223" s="7">
        <f t="shared" si="2388"/>
        <v>0.0037</v>
      </c>
      <c r="Q1223" s="7">
        <f t="shared" si="7"/>
        <v>0.03052268458</v>
      </c>
      <c r="R1223" s="7">
        <f t="shared" si="8"/>
        <v>0.06472042044</v>
      </c>
      <c r="S1223" s="7">
        <f t="shared" si="2"/>
        <v>1.024162785</v>
      </c>
      <c r="T1223" s="7">
        <f t="shared" si="3"/>
        <v>0.4084115571</v>
      </c>
      <c r="U1223" s="7">
        <f t="shared" si="4"/>
        <v>1</v>
      </c>
      <c r="V1223" s="7">
        <f t="shared" si="5"/>
        <v>1</v>
      </c>
      <c r="W1223" s="7">
        <f t="shared" ref="W1223:X1223" si="2389">IF(AVERAGE(U1163:U1222) &gt; 0.25, 1, 0)</f>
        <v>1</v>
      </c>
      <c r="X1223" s="7">
        <f t="shared" si="2389"/>
        <v>1</v>
      </c>
      <c r="Y1223" s="8">
        <v>1.0</v>
      </c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</row>
    <row r="1224" ht="22.5" customHeight="1">
      <c r="B1224" s="6">
        <v>1223.0</v>
      </c>
      <c r="C1224" s="6">
        <v>4931.0</v>
      </c>
      <c r="D1224" s="6">
        <v>2.48</v>
      </c>
      <c r="E1224" s="6">
        <v>-0.24</v>
      </c>
      <c r="F1224" s="6">
        <v>10.5</v>
      </c>
      <c r="G1224" s="6">
        <v>-0.06</v>
      </c>
      <c r="H1224" s="6">
        <v>0.03</v>
      </c>
      <c r="I1224" s="6">
        <v>0.0</v>
      </c>
      <c r="J1224" s="6">
        <v>33.24</v>
      </c>
      <c r="K1224" s="7">
        <f t="shared" ref="K1224:P1224" si="2390">abs(D1224-D1223)/200</f>
        <v>0.0064</v>
      </c>
      <c r="L1224" s="7">
        <f t="shared" si="2390"/>
        <v>0.0032</v>
      </c>
      <c r="M1224" s="7">
        <f t="shared" si="2390"/>
        <v>0.00125</v>
      </c>
      <c r="N1224" s="7">
        <f t="shared" si="2390"/>
        <v>0.0001</v>
      </c>
      <c r="O1224" s="7">
        <f t="shared" si="2390"/>
        <v>0.00005</v>
      </c>
      <c r="P1224" s="7">
        <f t="shared" si="2390"/>
        <v>0.002</v>
      </c>
      <c r="Q1224" s="7">
        <f t="shared" si="7"/>
        <v>0.3413295178</v>
      </c>
      <c r="R1224" s="7">
        <f t="shared" si="8"/>
        <v>0.03259200053</v>
      </c>
      <c r="S1224" s="7">
        <f t="shared" si="2"/>
        <v>0.9915707846</v>
      </c>
      <c r="T1224" s="7">
        <f t="shared" si="3"/>
        <v>0.06708203932</v>
      </c>
      <c r="U1224" s="7">
        <f t="shared" si="4"/>
        <v>1</v>
      </c>
      <c r="V1224" s="7">
        <f t="shared" si="5"/>
        <v>1</v>
      </c>
      <c r="W1224" s="7">
        <f t="shared" ref="W1224:X1224" si="2391">IF(AVERAGE(U1164:U1223) &gt; 0.25, 1, 0)</f>
        <v>1</v>
      </c>
      <c r="X1224" s="7">
        <f t="shared" si="2391"/>
        <v>1</v>
      </c>
      <c r="Y1224" s="8">
        <v>1.0</v>
      </c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</row>
    <row r="1225" ht="22.5" customHeight="1">
      <c r="B1225" s="6">
        <v>1224.0</v>
      </c>
      <c r="C1225" s="6">
        <v>5135.0</v>
      </c>
      <c r="D1225" s="6">
        <v>2.25</v>
      </c>
      <c r="E1225" s="6">
        <v>-0.21</v>
      </c>
      <c r="F1225" s="6">
        <v>10.56</v>
      </c>
      <c r="G1225" s="6">
        <v>-0.1</v>
      </c>
      <c r="H1225" s="6">
        <v>0.0</v>
      </c>
      <c r="I1225" s="6">
        <v>-0.17</v>
      </c>
      <c r="J1225" s="6">
        <v>33.24</v>
      </c>
      <c r="K1225" s="7">
        <f t="shared" ref="K1225:P1225" si="2392">abs(D1225-D1224)/200</f>
        <v>0.00115</v>
      </c>
      <c r="L1225" s="7">
        <f t="shared" si="2392"/>
        <v>0.00015</v>
      </c>
      <c r="M1225" s="7">
        <f t="shared" si="2392"/>
        <v>0.0003</v>
      </c>
      <c r="N1225" s="7">
        <f t="shared" si="2392"/>
        <v>0.0002</v>
      </c>
      <c r="O1225" s="7">
        <f t="shared" si="2392"/>
        <v>0.00015</v>
      </c>
      <c r="P1225" s="7">
        <f t="shared" si="2392"/>
        <v>0.00085</v>
      </c>
      <c r="Q1225" s="7">
        <f t="shared" si="7"/>
        <v>0.1301487899</v>
      </c>
      <c r="R1225" s="7">
        <f t="shared" si="8"/>
        <v>0.007512509783</v>
      </c>
      <c r="S1225" s="7">
        <f t="shared" si="2"/>
        <v>0.9990832944</v>
      </c>
      <c r="T1225" s="7">
        <f t="shared" si="3"/>
        <v>0.1972308292</v>
      </c>
      <c r="U1225" s="7">
        <f t="shared" si="4"/>
        <v>1</v>
      </c>
      <c r="V1225" s="7">
        <f t="shared" si="5"/>
        <v>1</v>
      </c>
      <c r="W1225" s="7">
        <f t="shared" ref="W1225:X1225" si="2393">IF(AVERAGE(U1165:U1224) &gt; 0.25, 1, 0)</f>
        <v>1</v>
      </c>
      <c r="X1225" s="7">
        <f t="shared" si="2393"/>
        <v>1</v>
      </c>
      <c r="Y1225" s="8">
        <v>1.0</v>
      </c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</row>
    <row r="1226" ht="22.5" customHeight="1">
      <c r="B1226" s="6">
        <v>1225.0</v>
      </c>
      <c r="C1226" s="6">
        <v>5339.0</v>
      </c>
      <c r="D1226" s="6">
        <v>2.51</v>
      </c>
      <c r="E1226" s="6">
        <v>-0.25</v>
      </c>
      <c r="F1226" s="6">
        <v>10.53</v>
      </c>
      <c r="G1226" s="6">
        <v>-0.13</v>
      </c>
      <c r="H1226" s="6">
        <v>-0.08</v>
      </c>
      <c r="I1226" s="6">
        <v>-0.31</v>
      </c>
      <c r="J1226" s="6">
        <v>33.24</v>
      </c>
      <c r="K1226" s="7">
        <f t="shared" ref="K1226:P1226" si="2394">abs(D1226-D1225)/200</f>
        <v>0.0013</v>
      </c>
      <c r="L1226" s="7">
        <f t="shared" si="2394"/>
        <v>0.0002</v>
      </c>
      <c r="M1226" s="7">
        <f t="shared" si="2394"/>
        <v>0.00015</v>
      </c>
      <c r="N1226" s="7">
        <f t="shared" si="2394"/>
        <v>0.00015</v>
      </c>
      <c r="O1226" s="7">
        <f t="shared" si="2394"/>
        <v>0.0004</v>
      </c>
      <c r="P1226" s="7">
        <f t="shared" si="2394"/>
        <v>0.0007</v>
      </c>
      <c r="Q1226" s="7">
        <f t="shared" si="7"/>
        <v>0.1483122216</v>
      </c>
      <c r="R1226" s="7">
        <f t="shared" si="8"/>
        <v>0.02882047315</v>
      </c>
      <c r="S1226" s="7">
        <f t="shared" si="2"/>
        <v>1.027903768</v>
      </c>
      <c r="T1226" s="7">
        <f t="shared" si="3"/>
        <v>0.3455430509</v>
      </c>
      <c r="U1226" s="7">
        <f t="shared" si="4"/>
        <v>1</v>
      </c>
      <c r="V1226" s="7">
        <f t="shared" si="5"/>
        <v>1</v>
      </c>
      <c r="W1226" s="7">
        <f t="shared" ref="W1226:X1226" si="2395">IF(AVERAGE(U1166:U1225) &gt; 0.25, 1, 0)</f>
        <v>1</v>
      </c>
      <c r="X1226" s="7">
        <f t="shared" si="2395"/>
        <v>1</v>
      </c>
      <c r="Y1226" s="8">
        <v>1.0</v>
      </c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</row>
    <row r="1227" ht="22.5" customHeight="1">
      <c r="B1227" s="6">
        <v>1226.0</v>
      </c>
      <c r="C1227" s="6">
        <v>5543.0</v>
      </c>
      <c r="D1227" s="6">
        <v>2.25</v>
      </c>
      <c r="E1227" s="6">
        <v>-0.1</v>
      </c>
      <c r="F1227" s="6">
        <v>10.53</v>
      </c>
      <c r="G1227" s="6">
        <v>-0.1</v>
      </c>
      <c r="H1227" s="6">
        <v>0.03</v>
      </c>
      <c r="I1227" s="6">
        <v>-0.01</v>
      </c>
      <c r="J1227" s="6">
        <v>33.24</v>
      </c>
      <c r="K1227" s="7">
        <f t="shared" ref="K1227:P1227" si="2396">abs(D1227-D1226)/200</f>
        <v>0.0013</v>
      </c>
      <c r="L1227" s="7">
        <f t="shared" si="2396"/>
        <v>0.00075</v>
      </c>
      <c r="M1227" s="7">
        <f t="shared" si="2396"/>
        <v>0</v>
      </c>
      <c r="N1227" s="7">
        <f t="shared" si="2396"/>
        <v>0.00015</v>
      </c>
      <c r="O1227" s="7">
        <f t="shared" si="2396"/>
        <v>0.00055</v>
      </c>
      <c r="P1227" s="7">
        <f t="shared" si="2396"/>
        <v>0.0015</v>
      </c>
      <c r="Q1227" s="7">
        <f t="shared" si="7"/>
        <v>0.240662166</v>
      </c>
      <c r="R1227" s="7">
        <f t="shared" si="8"/>
        <v>0.05973772131</v>
      </c>
      <c r="S1227" s="7">
        <f t="shared" si="2"/>
        <v>0.9681660463</v>
      </c>
      <c r="T1227" s="7">
        <f t="shared" si="3"/>
        <v>0.1048808848</v>
      </c>
      <c r="U1227" s="7">
        <f t="shared" si="4"/>
        <v>1</v>
      </c>
      <c r="V1227" s="7">
        <f t="shared" si="5"/>
        <v>1</v>
      </c>
      <c r="W1227" s="7">
        <f t="shared" ref="W1227:X1227" si="2397">IF(AVERAGE(U1167:U1226) &gt; 0.25, 1, 0)</f>
        <v>1</v>
      </c>
      <c r="X1227" s="7">
        <f t="shared" si="2397"/>
        <v>1</v>
      </c>
      <c r="Y1227" s="8">
        <v>1.0</v>
      </c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</row>
    <row r="1228" ht="22.5" customHeight="1">
      <c r="B1228" s="6">
        <v>1227.0</v>
      </c>
      <c r="C1228" s="6">
        <v>5747.0</v>
      </c>
      <c r="D1228" s="6">
        <v>2.42</v>
      </c>
      <c r="E1228" s="6">
        <v>-0.18</v>
      </c>
      <c r="F1228" s="6">
        <v>10.54</v>
      </c>
      <c r="G1228" s="6">
        <v>-0.09</v>
      </c>
      <c r="H1228" s="6">
        <v>-0.01</v>
      </c>
      <c r="I1228" s="6">
        <v>0.19</v>
      </c>
      <c r="J1228" s="6">
        <v>33.24</v>
      </c>
      <c r="K1228" s="7">
        <f t="shared" ref="K1228:P1228" si="2398">abs(D1228-D1227)/200</f>
        <v>0.00085</v>
      </c>
      <c r="L1228" s="7">
        <f t="shared" si="2398"/>
        <v>0.0004</v>
      </c>
      <c r="M1228" s="7">
        <f t="shared" si="2398"/>
        <v>0.00005</v>
      </c>
      <c r="N1228" s="7">
        <f t="shared" si="2398"/>
        <v>0.00005</v>
      </c>
      <c r="O1228" s="7">
        <f t="shared" si="2398"/>
        <v>0.0002</v>
      </c>
      <c r="P1228" s="7">
        <f t="shared" si="2398"/>
        <v>0.001</v>
      </c>
      <c r="Q1228" s="7">
        <f t="shared" si="7"/>
        <v>0.105594767</v>
      </c>
      <c r="R1228" s="7">
        <f t="shared" si="8"/>
        <v>0.04758173186</v>
      </c>
      <c r="S1228" s="7">
        <f t="shared" si="2"/>
        <v>1.015747778</v>
      </c>
      <c r="T1228" s="7">
        <f t="shared" si="3"/>
        <v>0.2104756518</v>
      </c>
      <c r="U1228" s="7">
        <f t="shared" si="4"/>
        <v>1</v>
      </c>
      <c r="V1228" s="7">
        <f t="shared" si="5"/>
        <v>1</v>
      </c>
      <c r="W1228" s="7">
        <f t="shared" ref="W1228:X1228" si="2399">IF(AVERAGE(U1168:U1227) &gt; 0.25, 1, 0)</f>
        <v>1</v>
      </c>
      <c r="X1228" s="7">
        <f t="shared" si="2399"/>
        <v>1</v>
      </c>
      <c r="Y1228" s="8">
        <v>1.0</v>
      </c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</row>
    <row r="1229" ht="22.5" customHeight="1">
      <c r="B1229" s="6">
        <v>1228.0</v>
      </c>
      <c r="C1229" s="6">
        <v>5951.0</v>
      </c>
      <c r="D1229" s="6">
        <v>2.94</v>
      </c>
      <c r="E1229" s="6">
        <v>-0.57</v>
      </c>
      <c r="F1229" s="6">
        <v>10.42</v>
      </c>
      <c r="G1229" s="6">
        <v>-0.05</v>
      </c>
      <c r="H1229" s="6">
        <v>0.02</v>
      </c>
      <c r="I1229" s="6">
        <v>0.32</v>
      </c>
      <c r="J1229" s="6">
        <v>33.23</v>
      </c>
      <c r="K1229" s="7">
        <f t="shared" ref="K1229:P1229" si="2400">abs(D1229-D1228)/200</f>
        <v>0.0026</v>
      </c>
      <c r="L1229" s="7">
        <f t="shared" si="2400"/>
        <v>0.00195</v>
      </c>
      <c r="M1229" s="7">
        <f t="shared" si="2400"/>
        <v>0.0006</v>
      </c>
      <c r="N1229" s="7">
        <f t="shared" si="2400"/>
        <v>0.0002</v>
      </c>
      <c r="O1229" s="7">
        <f t="shared" si="2400"/>
        <v>0.00015</v>
      </c>
      <c r="P1229" s="7">
        <f t="shared" si="2400"/>
        <v>0.00065</v>
      </c>
      <c r="Q1229" s="7">
        <f t="shared" si="7"/>
        <v>0.114023963</v>
      </c>
      <c r="R1229" s="7">
        <f t="shared" si="8"/>
        <v>0.02606480096</v>
      </c>
      <c r="S1229" s="7">
        <f t="shared" si="2"/>
        <v>1.041812579</v>
      </c>
      <c r="T1229" s="7">
        <f t="shared" si="3"/>
        <v>0.3244996148</v>
      </c>
      <c r="U1229" s="7">
        <f t="shared" si="4"/>
        <v>1</v>
      </c>
      <c r="V1229" s="7">
        <f t="shared" si="5"/>
        <v>1</v>
      </c>
      <c r="W1229" s="7">
        <f t="shared" ref="W1229:X1229" si="2401">IF(AVERAGE(U1169:U1228) &gt; 0.25, 1, 0)</f>
        <v>1</v>
      </c>
      <c r="X1229" s="7">
        <f t="shared" si="2401"/>
        <v>1</v>
      </c>
      <c r="Y1229" s="8">
        <v>1.0</v>
      </c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</row>
    <row r="1230" ht="22.5" customHeight="1">
      <c r="B1230" s="6">
        <v>1229.0</v>
      </c>
      <c r="C1230" s="6">
        <v>6155.0</v>
      </c>
      <c r="D1230" s="6">
        <v>1.82</v>
      </c>
      <c r="E1230" s="6">
        <v>-0.41</v>
      </c>
      <c r="F1230" s="6">
        <v>10.78</v>
      </c>
      <c r="G1230" s="6">
        <v>-0.11</v>
      </c>
      <c r="H1230" s="6">
        <v>-0.06</v>
      </c>
      <c r="I1230" s="6">
        <v>0.05</v>
      </c>
      <c r="J1230" s="6">
        <v>33.25</v>
      </c>
      <c r="K1230" s="7">
        <f t="shared" ref="K1230:P1230" si="2402">abs(D1230-D1229)/200</f>
        <v>0.0056</v>
      </c>
      <c r="L1230" s="7">
        <f t="shared" si="2402"/>
        <v>0.0008</v>
      </c>
      <c r="M1230" s="7">
        <f t="shared" si="2402"/>
        <v>0.0018</v>
      </c>
      <c r="N1230" s="7">
        <f t="shared" si="2402"/>
        <v>0.0003</v>
      </c>
      <c r="O1230" s="7">
        <f t="shared" si="2402"/>
        <v>0.0004</v>
      </c>
      <c r="P1230" s="7">
        <f t="shared" si="2402"/>
        <v>0.00135</v>
      </c>
      <c r="Q1230" s="7">
        <f t="shared" si="7"/>
        <v>0.1895922392</v>
      </c>
      <c r="R1230" s="7">
        <f t="shared" si="8"/>
        <v>0.09842964858</v>
      </c>
      <c r="S1230" s="7">
        <f t="shared" si="2"/>
        <v>1.140242228</v>
      </c>
      <c r="T1230" s="7">
        <f t="shared" si="3"/>
        <v>0.1349073756</v>
      </c>
      <c r="U1230" s="7">
        <f t="shared" si="4"/>
        <v>1</v>
      </c>
      <c r="V1230" s="7">
        <f t="shared" si="5"/>
        <v>1</v>
      </c>
      <c r="W1230" s="7">
        <f t="shared" ref="W1230:X1230" si="2403">IF(AVERAGE(U1170:U1229) &gt; 0.25, 1, 0)</f>
        <v>1</v>
      </c>
      <c r="X1230" s="7">
        <f t="shared" si="2403"/>
        <v>1</v>
      </c>
      <c r="Y1230" s="8">
        <v>1.0</v>
      </c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</row>
    <row r="1231" ht="22.5" customHeight="1">
      <c r="B1231" s="6">
        <v>1230.0</v>
      </c>
      <c r="C1231" s="6">
        <v>6359.0</v>
      </c>
      <c r="D1231" s="6">
        <v>2.38</v>
      </c>
      <c r="E1231" s="6">
        <v>-0.33</v>
      </c>
      <c r="F1231" s="6">
        <v>10.47</v>
      </c>
      <c r="G1231" s="6">
        <v>-0.2</v>
      </c>
      <c r="H1231" s="6">
        <v>-0.05</v>
      </c>
      <c r="I1231" s="6">
        <v>-0.42</v>
      </c>
      <c r="J1231" s="6">
        <v>33.24</v>
      </c>
      <c r="K1231" s="7">
        <f t="shared" ref="K1231:P1231" si="2404">abs(D1231-D1230)/200</f>
        <v>0.0028</v>
      </c>
      <c r="L1231" s="7">
        <f t="shared" si="2404"/>
        <v>0.0004</v>
      </c>
      <c r="M1231" s="7">
        <f t="shared" si="2404"/>
        <v>0.00155</v>
      </c>
      <c r="N1231" s="7">
        <f t="shared" si="2404"/>
        <v>0.00045</v>
      </c>
      <c r="O1231" s="7">
        <f t="shared" si="2404"/>
        <v>0.00005</v>
      </c>
      <c r="P1231" s="7">
        <f t="shared" si="2404"/>
        <v>0.00235</v>
      </c>
      <c r="Q1231" s="7">
        <f t="shared" si="7"/>
        <v>0.332960127</v>
      </c>
      <c r="R1231" s="7">
        <f t="shared" si="8"/>
        <v>0.1980729868</v>
      </c>
      <c r="S1231" s="7">
        <f t="shared" si="2"/>
        <v>0.9421692409</v>
      </c>
      <c r="T1231" s="7">
        <f t="shared" si="3"/>
        <v>0.4678675026</v>
      </c>
      <c r="U1231" s="7">
        <f t="shared" si="4"/>
        <v>1</v>
      </c>
      <c r="V1231" s="7">
        <f t="shared" si="5"/>
        <v>1</v>
      </c>
      <c r="W1231" s="7">
        <f t="shared" ref="W1231:X1231" si="2405">IF(AVERAGE(U1171:U1230) &gt; 0.25, 1, 0)</f>
        <v>1</v>
      </c>
      <c r="X1231" s="7">
        <f t="shared" si="2405"/>
        <v>1</v>
      </c>
      <c r="Y1231" s="8">
        <v>1.0</v>
      </c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</row>
    <row r="1232" ht="22.5" customHeight="1">
      <c r="B1232" s="6">
        <v>1231.0</v>
      </c>
      <c r="C1232" s="6">
        <v>6563.0</v>
      </c>
      <c r="D1232" s="6">
        <v>2.21</v>
      </c>
      <c r="E1232" s="6">
        <v>-0.15</v>
      </c>
      <c r="F1232" s="6">
        <v>10.63</v>
      </c>
      <c r="G1232" s="6">
        <v>-0.1</v>
      </c>
      <c r="H1232" s="6">
        <v>0.09</v>
      </c>
      <c r="I1232" s="6">
        <v>-0.18</v>
      </c>
      <c r="J1232" s="6">
        <v>33.24</v>
      </c>
      <c r="K1232" s="7">
        <f t="shared" ref="K1232:P1232" si="2406">abs(D1232-D1231)/200</f>
        <v>0.00085</v>
      </c>
      <c r="L1232" s="7">
        <f t="shared" si="2406"/>
        <v>0.0009</v>
      </c>
      <c r="M1232" s="7">
        <f t="shared" si="2406"/>
        <v>0.0008</v>
      </c>
      <c r="N1232" s="7">
        <f t="shared" si="2406"/>
        <v>0.0005</v>
      </c>
      <c r="O1232" s="7">
        <f t="shared" si="2406"/>
        <v>0.0007</v>
      </c>
      <c r="P1232" s="7">
        <f t="shared" si="2406"/>
        <v>0.0012</v>
      </c>
      <c r="Q1232" s="7">
        <f t="shared" si="7"/>
        <v>0.2431454521</v>
      </c>
      <c r="R1232" s="7">
        <f t="shared" si="8"/>
        <v>0.1161685693</v>
      </c>
      <c r="S1232" s="7">
        <f t="shared" si="2"/>
        <v>1.05833781</v>
      </c>
      <c r="T1232" s="7">
        <f t="shared" si="3"/>
        <v>0.2247220505</v>
      </c>
      <c r="U1232" s="7">
        <f t="shared" si="4"/>
        <v>1</v>
      </c>
      <c r="V1232" s="7">
        <f t="shared" si="5"/>
        <v>1</v>
      </c>
      <c r="W1232" s="7">
        <f t="shared" ref="W1232:X1232" si="2407">IF(AVERAGE(U1172:U1231) &gt; 0.25, 1, 0)</f>
        <v>1</v>
      </c>
      <c r="X1232" s="7">
        <f t="shared" si="2407"/>
        <v>1</v>
      </c>
      <c r="Y1232" s="8">
        <v>1.0</v>
      </c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</row>
    <row r="1233" ht="22.5" customHeight="1">
      <c r="B1233" s="6">
        <v>1232.0</v>
      </c>
      <c r="C1233" s="6">
        <v>6767.0</v>
      </c>
      <c r="D1233" s="6">
        <v>2.49</v>
      </c>
      <c r="E1233" s="6">
        <v>-0.04</v>
      </c>
      <c r="F1233" s="6">
        <v>10.5</v>
      </c>
      <c r="G1233" s="6">
        <v>-0.18</v>
      </c>
      <c r="H1233" s="6">
        <v>0.02</v>
      </c>
      <c r="I1233" s="6">
        <v>-0.58</v>
      </c>
      <c r="J1233" s="6">
        <v>33.23</v>
      </c>
      <c r="K1233" s="7">
        <f t="shared" ref="K1233:P1233" si="2408">abs(D1233-D1232)/200</f>
        <v>0.0014</v>
      </c>
      <c r="L1233" s="7">
        <f t="shared" si="2408"/>
        <v>0.00055</v>
      </c>
      <c r="M1233" s="7">
        <f t="shared" si="2408"/>
        <v>0.00065</v>
      </c>
      <c r="N1233" s="7">
        <f t="shared" si="2408"/>
        <v>0.0004</v>
      </c>
      <c r="O1233" s="7">
        <f t="shared" si="2408"/>
        <v>0.00035</v>
      </c>
      <c r="P1233" s="7">
        <f t="shared" si="2408"/>
        <v>0.002</v>
      </c>
      <c r="Q1233" s="7">
        <f t="shared" si="7"/>
        <v>0.3828962507</v>
      </c>
      <c r="R1233" s="7">
        <f t="shared" si="8"/>
        <v>0.06705892397</v>
      </c>
      <c r="S1233" s="7">
        <f t="shared" si="2"/>
        <v>0.9912788862</v>
      </c>
      <c r="T1233" s="7">
        <f t="shared" si="3"/>
        <v>0.6076183012</v>
      </c>
      <c r="U1233" s="7">
        <f t="shared" si="4"/>
        <v>1</v>
      </c>
      <c r="V1233" s="7">
        <f t="shared" si="5"/>
        <v>1</v>
      </c>
      <c r="W1233" s="7">
        <f t="shared" ref="W1233:X1233" si="2409">IF(AVERAGE(U1173:U1232) &gt; 0.25, 1, 0)</f>
        <v>1</v>
      </c>
      <c r="X1233" s="7">
        <f t="shared" si="2409"/>
        <v>1</v>
      </c>
      <c r="Y1233" s="8">
        <v>1.0</v>
      </c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</row>
    <row r="1234" ht="22.5" customHeight="1">
      <c r="B1234" s="6">
        <v>1233.0</v>
      </c>
      <c r="C1234" s="6">
        <v>6971.0</v>
      </c>
      <c r="D1234" s="6">
        <v>3.0</v>
      </c>
      <c r="E1234" s="6">
        <v>-0.15</v>
      </c>
      <c r="F1234" s="6">
        <v>10.37</v>
      </c>
      <c r="G1234" s="6">
        <v>-0.22</v>
      </c>
      <c r="H1234" s="6">
        <v>-0.07</v>
      </c>
      <c r="I1234" s="6">
        <v>-0.78</v>
      </c>
      <c r="J1234" s="6">
        <v>33.24</v>
      </c>
      <c r="K1234" s="7">
        <f t="shared" ref="K1234:P1234" si="2410">abs(D1234-D1233)/200</f>
        <v>0.00255</v>
      </c>
      <c r="L1234" s="7">
        <f t="shared" si="2410"/>
        <v>0.00055</v>
      </c>
      <c r="M1234" s="7">
        <f t="shared" si="2410"/>
        <v>0.00065</v>
      </c>
      <c r="N1234" s="7">
        <f t="shared" si="2410"/>
        <v>0.0002</v>
      </c>
      <c r="O1234" s="7">
        <f t="shared" si="2410"/>
        <v>0.00045</v>
      </c>
      <c r="P1234" s="7">
        <f t="shared" si="2410"/>
        <v>0.001</v>
      </c>
      <c r="Q1234" s="7">
        <f t="shared" si="7"/>
        <v>0.205831144</v>
      </c>
      <c r="R1234" s="7">
        <f t="shared" si="8"/>
        <v>0.004988987456</v>
      </c>
      <c r="S1234" s="7">
        <f t="shared" si="2"/>
        <v>0.9962678737</v>
      </c>
      <c r="T1234" s="7">
        <f t="shared" si="3"/>
        <v>0.8134494453</v>
      </c>
      <c r="U1234" s="7">
        <f t="shared" si="4"/>
        <v>1</v>
      </c>
      <c r="V1234" s="7">
        <f t="shared" si="5"/>
        <v>1</v>
      </c>
      <c r="W1234" s="7">
        <f t="shared" ref="W1234:X1234" si="2411">IF(AVERAGE(U1174:U1233) &gt; 0.25, 1, 0)</f>
        <v>1</v>
      </c>
      <c r="X1234" s="7">
        <f t="shared" si="2411"/>
        <v>1</v>
      </c>
      <c r="Y1234" s="8">
        <v>1.0</v>
      </c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</row>
    <row r="1235" ht="22.5" customHeight="1">
      <c r="B1235" s="6">
        <v>1234.0</v>
      </c>
      <c r="C1235" s="6">
        <v>7175.0</v>
      </c>
      <c r="D1235" s="6">
        <v>2.68</v>
      </c>
      <c r="E1235" s="6">
        <v>-0.15</v>
      </c>
      <c r="F1235" s="6">
        <v>10.46</v>
      </c>
      <c r="G1235" s="6">
        <v>-0.14</v>
      </c>
      <c r="H1235" s="6">
        <v>0.05</v>
      </c>
      <c r="I1235" s="6">
        <v>-0.17</v>
      </c>
      <c r="J1235" s="6">
        <v>33.24</v>
      </c>
      <c r="K1235" s="7">
        <f t="shared" ref="K1235:P1235" si="2412">abs(D1235-D1234)/200</f>
        <v>0.0016</v>
      </c>
      <c r="L1235" s="7">
        <f t="shared" si="2412"/>
        <v>0</v>
      </c>
      <c r="M1235" s="7">
        <f t="shared" si="2412"/>
        <v>0.00045</v>
      </c>
      <c r="N1235" s="7">
        <f t="shared" si="2412"/>
        <v>0.0004</v>
      </c>
      <c r="O1235" s="7">
        <f t="shared" si="2412"/>
        <v>0.0006</v>
      </c>
      <c r="P1235" s="7">
        <f t="shared" si="2412"/>
        <v>0.00305</v>
      </c>
      <c r="Q1235" s="7">
        <f t="shared" si="7"/>
        <v>0.5876176495</v>
      </c>
      <c r="R1235" s="7">
        <f t="shared" si="8"/>
        <v>0.002644108564</v>
      </c>
      <c r="S1235" s="7">
        <f t="shared" si="2"/>
        <v>0.9989119822</v>
      </c>
      <c r="T1235" s="7">
        <f t="shared" si="3"/>
        <v>0.2258317958</v>
      </c>
      <c r="U1235" s="7">
        <f t="shared" si="4"/>
        <v>1</v>
      </c>
      <c r="V1235" s="7">
        <f t="shared" si="5"/>
        <v>1</v>
      </c>
      <c r="W1235" s="7">
        <f t="shared" ref="W1235:X1235" si="2413">IF(AVERAGE(U1175:U1234) &gt; 0.25, 1, 0)</f>
        <v>1</v>
      </c>
      <c r="X1235" s="7">
        <f t="shared" si="2413"/>
        <v>1</v>
      </c>
      <c r="Y1235" s="8">
        <v>1.0</v>
      </c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</row>
    <row r="1236" ht="22.5" customHeight="1">
      <c r="B1236" s="6">
        <v>1235.0</v>
      </c>
      <c r="C1236" s="6">
        <v>7379.0</v>
      </c>
      <c r="D1236" s="6">
        <v>2.48</v>
      </c>
      <c r="E1236" s="6">
        <v>-0.23</v>
      </c>
      <c r="F1236" s="6">
        <v>10.41</v>
      </c>
      <c r="G1236" s="6">
        <v>-0.12</v>
      </c>
      <c r="H1236" s="6">
        <v>-0.04</v>
      </c>
      <c r="I1236" s="6">
        <v>-0.01</v>
      </c>
      <c r="J1236" s="6">
        <v>33.24</v>
      </c>
      <c r="K1236" s="7">
        <f t="shared" ref="K1236:P1236" si="2414">abs(D1236-D1235)/200</f>
        <v>0.001</v>
      </c>
      <c r="L1236" s="7">
        <f t="shared" si="2414"/>
        <v>0.0004</v>
      </c>
      <c r="M1236" s="7">
        <f t="shared" si="2414"/>
        <v>0.00025</v>
      </c>
      <c r="N1236" s="7">
        <f t="shared" si="2414"/>
        <v>0.0001</v>
      </c>
      <c r="O1236" s="7">
        <f t="shared" si="2414"/>
        <v>0.00045</v>
      </c>
      <c r="P1236" s="7">
        <f t="shared" si="2414"/>
        <v>0.0008</v>
      </c>
      <c r="Q1236" s="7">
        <f t="shared" si="7"/>
        <v>0.09894602041</v>
      </c>
      <c r="R1236" s="7">
        <f t="shared" si="8"/>
        <v>0.09510891977</v>
      </c>
      <c r="S1236" s="7">
        <f t="shared" si="2"/>
        <v>0.9038030625</v>
      </c>
      <c r="T1236" s="7">
        <f t="shared" si="3"/>
        <v>0.1268857754</v>
      </c>
      <c r="U1236" s="7">
        <f t="shared" si="4"/>
        <v>1</v>
      </c>
      <c r="V1236" s="7">
        <f t="shared" si="5"/>
        <v>1</v>
      </c>
      <c r="W1236" s="7">
        <f t="shared" ref="W1236:X1236" si="2415">IF(AVERAGE(U1176:U1235) &gt; 0.25, 1, 0)</f>
        <v>1</v>
      </c>
      <c r="X1236" s="7">
        <f t="shared" si="2415"/>
        <v>1</v>
      </c>
      <c r="Y1236" s="8">
        <v>1.0</v>
      </c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</row>
    <row r="1237" ht="22.5" customHeight="1">
      <c r="B1237" s="6">
        <v>1236.0</v>
      </c>
      <c r="C1237" s="6">
        <v>7583.0</v>
      </c>
      <c r="D1237" s="6">
        <v>2.37</v>
      </c>
      <c r="E1237" s="6">
        <v>-0.3</v>
      </c>
      <c r="F1237" s="6">
        <v>10.41</v>
      </c>
      <c r="G1237" s="6">
        <v>-0.12</v>
      </c>
      <c r="H1237" s="6">
        <v>0.02</v>
      </c>
      <c r="I1237" s="6">
        <v>0.0</v>
      </c>
      <c r="J1237" s="6">
        <v>33.23</v>
      </c>
      <c r="K1237" s="7">
        <f t="shared" ref="K1237:P1237" si="2416">abs(D1237-D1236)/200</f>
        <v>0.00055</v>
      </c>
      <c r="L1237" s="7">
        <f t="shared" si="2416"/>
        <v>0.00035</v>
      </c>
      <c r="M1237" s="7">
        <f t="shared" si="2416"/>
        <v>0</v>
      </c>
      <c r="N1237" s="7">
        <f t="shared" si="2416"/>
        <v>0</v>
      </c>
      <c r="O1237" s="7">
        <f t="shared" si="2416"/>
        <v>0.0003</v>
      </c>
      <c r="P1237" s="7">
        <f t="shared" si="2416"/>
        <v>0.00005</v>
      </c>
      <c r="Q1237" s="7">
        <f t="shared" si="7"/>
        <v>0.005230524799</v>
      </c>
      <c r="R1237" s="7">
        <f t="shared" si="8"/>
        <v>0.02321319111</v>
      </c>
      <c r="S1237" s="7">
        <f t="shared" si="2"/>
        <v>0.8805898714</v>
      </c>
      <c r="T1237" s="7">
        <f t="shared" si="3"/>
        <v>0.1216552506</v>
      </c>
      <c r="U1237" s="7">
        <f t="shared" si="4"/>
        <v>1</v>
      </c>
      <c r="V1237" s="7">
        <f t="shared" si="5"/>
        <v>0</v>
      </c>
      <c r="W1237" s="7">
        <f t="shared" ref="W1237:X1237" si="2417">IF(AVERAGE(U1177:U1236) &gt; 0.25, 1, 0)</f>
        <v>1</v>
      </c>
      <c r="X1237" s="7">
        <f t="shared" si="2417"/>
        <v>1</v>
      </c>
      <c r="Y1237" s="8">
        <v>1.0</v>
      </c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</row>
    <row r="1238" ht="22.5" customHeight="1">
      <c r="B1238" s="6">
        <v>1237.0</v>
      </c>
      <c r="C1238" s="6">
        <v>7787.0</v>
      </c>
      <c r="D1238" s="6">
        <v>2.38</v>
      </c>
      <c r="E1238" s="6">
        <v>-0.3</v>
      </c>
      <c r="F1238" s="6">
        <v>10.49</v>
      </c>
      <c r="G1238" s="6">
        <v>-0.09</v>
      </c>
      <c r="H1238" s="6">
        <v>0.0</v>
      </c>
      <c r="I1238" s="6">
        <v>-0.01</v>
      </c>
      <c r="J1238" s="6">
        <v>33.23</v>
      </c>
      <c r="K1238" s="7">
        <f t="shared" ref="K1238:P1238" si="2418">abs(D1238-D1237)/200</f>
        <v>0.00005</v>
      </c>
      <c r="L1238" s="7">
        <f t="shared" si="2418"/>
        <v>0</v>
      </c>
      <c r="M1238" s="7">
        <f t="shared" si="2418"/>
        <v>0.0004</v>
      </c>
      <c r="N1238" s="7">
        <f t="shared" si="2418"/>
        <v>0.00015</v>
      </c>
      <c r="O1238" s="7">
        <f t="shared" si="2418"/>
        <v>0.0001</v>
      </c>
      <c r="P1238" s="7">
        <f t="shared" si="2418"/>
        <v>0.00005</v>
      </c>
      <c r="Q1238" s="7">
        <f t="shared" si="7"/>
        <v>0.03110139922</v>
      </c>
      <c r="R1238" s="7">
        <f t="shared" si="8"/>
        <v>0.08019541598</v>
      </c>
      <c r="S1238" s="7">
        <f t="shared" si="2"/>
        <v>0.9607852873</v>
      </c>
      <c r="T1238" s="7">
        <f t="shared" si="3"/>
        <v>0.09055385138</v>
      </c>
      <c r="U1238" s="7">
        <f t="shared" si="4"/>
        <v>1</v>
      </c>
      <c r="V1238" s="7">
        <f t="shared" si="5"/>
        <v>0</v>
      </c>
      <c r="W1238" s="7">
        <f t="shared" ref="W1238:X1238" si="2419">IF(AVERAGE(U1178:U1237) &gt; 0.25, 1, 0)</f>
        <v>1</v>
      </c>
      <c r="X1238" s="7">
        <f t="shared" si="2419"/>
        <v>1</v>
      </c>
      <c r="Y1238" s="8">
        <v>1.0</v>
      </c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</row>
    <row r="1239" ht="22.5" customHeight="1">
      <c r="B1239" s="6">
        <v>1238.0</v>
      </c>
      <c r="C1239" s="6">
        <v>7991.0</v>
      </c>
      <c r="D1239" s="6">
        <v>2.47</v>
      </c>
      <c r="E1239" s="6">
        <v>-0.3</v>
      </c>
      <c r="F1239" s="6">
        <v>10.46</v>
      </c>
      <c r="G1239" s="6">
        <v>-0.1</v>
      </c>
      <c r="H1239" s="6">
        <v>0.0</v>
      </c>
      <c r="I1239" s="6">
        <v>-0.01</v>
      </c>
      <c r="J1239" s="6">
        <v>33.23</v>
      </c>
      <c r="K1239" s="7">
        <f t="shared" ref="K1239:P1239" si="2420">abs(D1239-D1238)/200</f>
        <v>0.00045</v>
      </c>
      <c r="L1239" s="7">
        <f t="shared" si="2420"/>
        <v>0</v>
      </c>
      <c r="M1239" s="7">
        <f t="shared" si="2420"/>
        <v>0.00015</v>
      </c>
      <c r="N1239" s="7">
        <f t="shared" si="2420"/>
        <v>0.00005</v>
      </c>
      <c r="O1239" s="7">
        <f t="shared" si="2420"/>
        <v>0</v>
      </c>
      <c r="P1239" s="7">
        <f t="shared" si="2420"/>
        <v>0</v>
      </c>
      <c r="Q1239" s="7">
        <f t="shared" si="7"/>
        <v>0.00994490483</v>
      </c>
      <c r="R1239" s="7">
        <f t="shared" si="8"/>
        <v>0.008924983177</v>
      </c>
      <c r="S1239" s="7">
        <f t="shared" si="2"/>
        <v>0.9518603042</v>
      </c>
      <c r="T1239" s="7">
        <f t="shared" si="3"/>
        <v>0.1004987562</v>
      </c>
      <c r="U1239" s="7">
        <f t="shared" si="4"/>
        <v>1</v>
      </c>
      <c r="V1239" s="7">
        <f t="shared" si="5"/>
        <v>0</v>
      </c>
      <c r="W1239" s="7">
        <f t="shared" ref="W1239:X1239" si="2421">IF(AVERAGE(U1179:U1238) &gt; 0.25, 1, 0)</f>
        <v>1</v>
      </c>
      <c r="X1239" s="7">
        <f t="shared" si="2421"/>
        <v>1</v>
      </c>
      <c r="Y1239" s="8">
        <v>1.0</v>
      </c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</row>
    <row r="1240" ht="22.5" customHeight="1">
      <c r="B1240" s="6">
        <v>1239.0</v>
      </c>
      <c r="C1240" s="6">
        <v>8195.0</v>
      </c>
      <c r="D1240" s="6">
        <v>3.16</v>
      </c>
      <c r="E1240" s="6">
        <v>-1.13</v>
      </c>
      <c r="F1240" s="6">
        <v>10.3</v>
      </c>
      <c r="G1240" s="6">
        <v>-0.47</v>
      </c>
      <c r="H1240" s="6">
        <v>0.02</v>
      </c>
      <c r="I1240" s="6">
        <v>-1.75</v>
      </c>
      <c r="J1240" s="6">
        <v>33.24</v>
      </c>
      <c r="K1240" s="7">
        <f t="shared" ref="K1240:P1240" si="2422">abs(D1240-D1239)/200</f>
        <v>0.00345</v>
      </c>
      <c r="L1240" s="7">
        <f t="shared" si="2422"/>
        <v>0.00415</v>
      </c>
      <c r="M1240" s="7">
        <f t="shared" si="2422"/>
        <v>0.0008</v>
      </c>
      <c r="N1240" s="7">
        <f t="shared" si="2422"/>
        <v>0.00185</v>
      </c>
      <c r="O1240" s="7">
        <f t="shared" si="2422"/>
        <v>0.0001</v>
      </c>
      <c r="P1240" s="7">
        <f t="shared" si="2422"/>
        <v>0.0087</v>
      </c>
      <c r="Q1240" s="7">
        <f t="shared" si="7"/>
        <v>1.711627067</v>
      </c>
      <c r="R1240" s="7">
        <f t="shared" si="8"/>
        <v>0.08107558599</v>
      </c>
      <c r="S1240" s="7">
        <f t="shared" si="2"/>
        <v>1.03293589</v>
      </c>
      <c r="T1240" s="7">
        <f t="shared" si="3"/>
        <v>1.812125823</v>
      </c>
      <c r="U1240" s="7">
        <f t="shared" si="4"/>
        <v>1</v>
      </c>
      <c r="V1240" s="7">
        <f t="shared" si="5"/>
        <v>1</v>
      </c>
      <c r="W1240" s="7">
        <f t="shared" ref="W1240:X1240" si="2423">IF(AVERAGE(U1180:U1239) &gt; 0.25, 1, 0)</f>
        <v>1</v>
      </c>
      <c r="X1240" s="7">
        <f t="shared" si="2423"/>
        <v>1</v>
      </c>
      <c r="Y1240" s="8">
        <v>1.0</v>
      </c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</row>
    <row r="1241" ht="22.5" customHeight="1">
      <c r="B1241" s="6">
        <v>1240.0</v>
      </c>
      <c r="C1241" s="6">
        <v>8399.0</v>
      </c>
      <c r="D1241" s="6">
        <v>2.72</v>
      </c>
      <c r="E1241" s="6">
        <v>-0.39</v>
      </c>
      <c r="F1241" s="6">
        <v>10.51</v>
      </c>
      <c r="G1241" s="6">
        <v>-0.42</v>
      </c>
      <c r="H1241" s="6">
        <v>0.01</v>
      </c>
      <c r="I1241" s="6">
        <v>-1.66</v>
      </c>
      <c r="J1241" s="6">
        <v>33.24</v>
      </c>
      <c r="K1241" s="7">
        <f t="shared" ref="K1241:P1241" si="2424">abs(D1241-D1240)/200</f>
        <v>0.0022</v>
      </c>
      <c r="L1241" s="7">
        <f t="shared" si="2424"/>
        <v>0.0037</v>
      </c>
      <c r="M1241" s="7">
        <f t="shared" si="2424"/>
        <v>0.00105</v>
      </c>
      <c r="N1241" s="7">
        <f t="shared" si="2424"/>
        <v>0.00025</v>
      </c>
      <c r="O1241" s="7">
        <f t="shared" si="2424"/>
        <v>0.00005</v>
      </c>
      <c r="P1241" s="7">
        <f t="shared" si="2424"/>
        <v>0.00045</v>
      </c>
      <c r="Q1241" s="7">
        <f t="shared" si="7"/>
        <v>0.09978823991</v>
      </c>
      <c r="R1241" s="7">
        <f t="shared" si="8"/>
        <v>0.03033249465</v>
      </c>
      <c r="S1241" s="7">
        <f t="shared" si="2"/>
        <v>1.063268385</v>
      </c>
      <c r="T1241" s="7">
        <f t="shared" si="3"/>
        <v>1.712337584</v>
      </c>
      <c r="U1241" s="7">
        <f t="shared" si="4"/>
        <v>1</v>
      </c>
      <c r="V1241" s="7">
        <f t="shared" si="5"/>
        <v>1</v>
      </c>
      <c r="W1241" s="7">
        <f t="shared" ref="W1241:X1241" si="2425">IF(AVERAGE(U1181:U1240) &gt; 0.25, 1, 0)</f>
        <v>1</v>
      </c>
      <c r="X1241" s="7">
        <f t="shared" si="2425"/>
        <v>1</v>
      </c>
      <c r="Y1241" s="8">
        <v>1.0</v>
      </c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</row>
    <row r="1242" ht="22.5" customHeight="1">
      <c r="B1242" s="6">
        <v>1241.0</v>
      </c>
      <c r="C1242" s="6">
        <v>8603.0</v>
      </c>
      <c r="D1242" s="6">
        <v>2.13</v>
      </c>
      <c r="E1242" s="6">
        <v>0.29</v>
      </c>
      <c r="F1242" s="6">
        <v>10.5</v>
      </c>
      <c r="G1242" s="6">
        <v>-0.41</v>
      </c>
      <c r="H1242" s="6">
        <v>-0.06</v>
      </c>
      <c r="I1242" s="6">
        <v>-1.5</v>
      </c>
      <c r="J1242" s="6">
        <v>33.24</v>
      </c>
      <c r="K1242" s="7">
        <f t="shared" ref="K1242:P1242" si="2426">abs(D1242-D1241)/200</f>
        <v>0.00295</v>
      </c>
      <c r="L1242" s="7">
        <f t="shared" si="2426"/>
        <v>0.0034</v>
      </c>
      <c r="M1242" s="7">
        <f t="shared" si="2426"/>
        <v>0.00005</v>
      </c>
      <c r="N1242" s="7">
        <f t="shared" si="2426"/>
        <v>0.00005</v>
      </c>
      <c r="O1242" s="7">
        <f t="shared" si="2426"/>
        <v>0.00035</v>
      </c>
      <c r="P1242" s="7">
        <f t="shared" si="2426"/>
        <v>0.0008</v>
      </c>
      <c r="Q1242" s="7">
        <f t="shared" si="7"/>
        <v>0.1561563602</v>
      </c>
      <c r="R1242" s="7">
        <f t="shared" si="8"/>
        <v>0.1454794337</v>
      </c>
      <c r="S1242" s="7">
        <f t="shared" si="2"/>
        <v>0.9177889511</v>
      </c>
      <c r="T1242" s="7">
        <f t="shared" si="3"/>
        <v>1.556181223</v>
      </c>
      <c r="U1242" s="7">
        <f t="shared" si="4"/>
        <v>1</v>
      </c>
      <c r="V1242" s="7">
        <f t="shared" si="5"/>
        <v>1</v>
      </c>
      <c r="W1242" s="7">
        <f t="shared" ref="W1242:X1242" si="2427">IF(AVERAGE(U1182:U1241) &gt; 0.25, 1, 0)</f>
        <v>1</v>
      </c>
      <c r="X1242" s="7">
        <f t="shared" si="2427"/>
        <v>1</v>
      </c>
      <c r="Y1242" s="8">
        <v>1.0</v>
      </c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</row>
    <row r="1243" ht="22.5" customHeight="1">
      <c r="B1243" s="6">
        <v>1242.0</v>
      </c>
      <c r="C1243" s="6">
        <v>8807.0</v>
      </c>
      <c r="D1243" s="6">
        <v>2.68</v>
      </c>
      <c r="E1243" s="6">
        <v>0.34</v>
      </c>
      <c r="F1243" s="6">
        <v>10.43</v>
      </c>
      <c r="G1243" s="6">
        <v>-0.08</v>
      </c>
      <c r="H1243" s="6">
        <v>0.02</v>
      </c>
      <c r="I1243" s="6">
        <v>-0.11</v>
      </c>
      <c r="J1243" s="6">
        <v>33.24</v>
      </c>
      <c r="K1243" s="7">
        <f t="shared" ref="K1243:P1243" si="2428">abs(D1243-D1242)/200</f>
        <v>0.00275</v>
      </c>
      <c r="L1243" s="7">
        <f t="shared" si="2428"/>
        <v>0.00025</v>
      </c>
      <c r="M1243" s="7">
        <f t="shared" si="2428"/>
        <v>0.00035</v>
      </c>
      <c r="N1243" s="7">
        <f t="shared" si="2428"/>
        <v>0.00165</v>
      </c>
      <c r="O1243" s="7">
        <f t="shared" si="2428"/>
        <v>0.0004</v>
      </c>
      <c r="P1243" s="7">
        <f t="shared" si="2428"/>
        <v>0.00695</v>
      </c>
      <c r="Q1243" s="7">
        <f t="shared" si="7"/>
        <v>1.418703953</v>
      </c>
      <c r="R1243" s="7">
        <f t="shared" si="8"/>
        <v>0.05638851172</v>
      </c>
      <c r="S1243" s="7">
        <f t="shared" si="2"/>
        <v>0.9741774628</v>
      </c>
      <c r="T1243" s="7">
        <f t="shared" si="3"/>
        <v>0.1374772708</v>
      </c>
      <c r="U1243" s="7">
        <f t="shared" si="4"/>
        <v>1</v>
      </c>
      <c r="V1243" s="7">
        <f t="shared" si="5"/>
        <v>1</v>
      </c>
      <c r="W1243" s="7">
        <f t="shared" ref="W1243:X1243" si="2429">IF(AVERAGE(U1183:U1242) &gt; 0.25, 1, 0)</f>
        <v>1</v>
      </c>
      <c r="X1243" s="7">
        <f t="shared" si="2429"/>
        <v>1</v>
      </c>
      <c r="Y1243" s="8">
        <v>1.0</v>
      </c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</row>
    <row r="1244" ht="22.5" customHeight="1">
      <c r="B1244" s="6">
        <v>1243.0</v>
      </c>
      <c r="C1244" s="6">
        <v>9011.0</v>
      </c>
      <c r="D1244" s="6">
        <v>2.72</v>
      </c>
      <c r="E1244" s="6">
        <v>0.21</v>
      </c>
      <c r="F1244" s="6">
        <v>10.43</v>
      </c>
      <c r="G1244" s="6">
        <v>-0.09</v>
      </c>
      <c r="H1244" s="6">
        <v>0.03</v>
      </c>
      <c r="I1244" s="6">
        <v>-0.01</v>
      </c>
      <c r="J1244" s="6">
        <v>33.25</v>
      </c>
      <c r="K1244" s="7">
        <f t="shared" ref="K1244:P1244" si="2430">abs(D1244-D1243)/200</f>
        <v>0.0002</v>
      </c>
      <c r="L1244" s="7">
        <f t="shared" si="2430"/>
        <v>0.00065</v>
      </c>
      <c r="M1244" s="7">
        <f t="shared" si="2430"/>
        <v>0</v>
      </c>
      <c r="N1244" s="7">
        <f t="shared" si="2430"/>
        <v>0.00005</v>
      </c>
      <c r="O1244" s="7">
        <f t="shared" si="2430"/>
        <v>0.00005</v>
      </c>
      <c r="P1244" s="7">
        <f t="shared" si="2430"/>
        <v>0.0005</v>
      </c>
      <c r="Q1244" s="7">
        <f t="shared" si="7"/>
        <v>0.04208335071</v>
      </c>
      <c r="R1244" s="7">
        <f t="shared" si="8"/>
        <v>0.006703762773</v>
      </c>
      <c r="S1244" s="7">
        <f t="shared" si="2"/>
        <v>0.9808812256</v>
      </c>
      <c r="T1244" s="7">
        <f t="shared" si="3"/>
        <v>0.09539392014</v>
      </c>
      <c r="U1244" s="7">
        <f t="shared" si="4"/>
        <v>1</v>
      </c>
      <c r="V1244" s="7">
        <f t="shared" si="5"/>
        <v>1</v>
      </c>
      <c r="W1244" s="7">
        <f t="shared" ref="W1244:X1244" si="2431">IF(AVERAGE(U1184:U1243) &gt; 0.25, 1, 0)</f>
        <v>1</v>
      </c>
      <c r="X1244" s="7">
        <f t="shared" si="2431"/>
        <v>1</v>
      </c>
      <c r="Y1244" s="8">
        <v>1.0</v>
      </c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</row>
    <row r="1245" ht="22.5" customHeight="1">
      <c r="B1245" s="6">
        <v>1244.0</v>
      </c>
      <c r="C1245" s="6">
        <v>9215.0</v>
      </c>
      <c r="D1245" s="6">
        <v>2.62</v>
      </c>
      <c r="E1245" s="6">
        <v>0.37</v>
      </c>
      <c r="F1245" s="6">
        <v>10.44</v>
      </c>
      <c r="G1245" s="6">
        <v>0.03</v>
      </c>
      <c r="H1245" s="6">
        <v>-0.04</v>
      </c>
      <c r="I1245" s="6">
        <v>0.55</v>
      </c>
      <c r="J1245" s="6">
        <v>33.24</v>
      </c>
      <c r="K1245" s="7">
        <f t="shared" ref="K1245:P1245" si="2432">abs(D1245-D1244)/200</f>
        <v>0.0005</v>
      </c>
      <c r="L1245" s="7">
        <f t="shared" si="2432"/>
        <v>0.0008</v>
      </c>
      <c r="M1245" s="7">
        <f t="shared" si="2432"/>
        <v>0.00005</v>
      </c>
      <c r="N1245" s="7">
        <f t="shared" si="2432"/>
        <v>0.0006</v>
      </c>
      <c r="O1245" s="7">
        <f t="shared" si="2432"/>
        <v>0.00035</v>
      </c>
      <c r="P1245" s="7">
        <f t="shared" si="2432"/>
        <v>0.0028</v>
      </c>
      <c r="Q1245" s="7">
        <f t="shared" si="7"/>
        <v>0.4568741307</v>
      </c>
      <c r="R1245" s="7">
        <f t="shared" si="8"/>
        <v>0.01078837547</v>
      </c>
      <c r="S1245" s="7">
        <f t="shared" si="2"/>
        <v>0.9700928501</v>
      </c>
      <c r="T1245" s="7">
        <f t="shared" si="3"/>
        <v>0.5522680509</v>
      </c>
      <c r="U1245" s="7">
        <f t="shared" si="4"/>
        <v>1</v>
      </c>
      <c r="V1245" s="7">
        <f t="shared" si="5"/>
        <v>1</v>
      </c>
      <c r="W1245" s="7">
        <f t="shared" ref="W1245:X1245" si="2433">IF(AVERAGE(U1185:U1244) &gt; 0.25, 1, 0)</f>
        <v>1</v>
      </c>
      <c r="X1245" s="7">
        <f t="shared" si="2433"/>
        <v>1</v>
      </c>
      <c r="Y1245" s="8">
        <v>1.0</v>
      </c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</row>
    <row r="1246" ht="22.5" customHeight="1">
      <c r="B1246" s="6">
        <v>1245.0</v>
      </c>
      <c r="C1246" s="6">
        <v>9419.0</v>
      </c>
      <c r="D1246" s="6">
        <v>2.92</v>
      </c>
      <c r="E1246" s="6">
        <v>-0.01</v>
      </c>
      <c r="F1246" s="6">
        <v>10.34</v>
      </c>
      <c r="G1246" s="6">
        <v>0.05</v>
      </c>
      <c r="H1246" s="6">
        <v>0.08</v>
      </c>
      <c r="I1246" s="6">
        <v>0.68</v>
      </c>
      <c r="J1246" s="6">
        <v>33.25</v>
      </c>
      <c r="K1246" s="7">
        <f t="shared" ref="K1246:P1246" si="2434">abs(D1246-D1245)/200</f>
        <v>0.0015</v>
      </c>
      <c r="L1246" s="7">
        <f t="shared" si="2434"/>
        <v>0.0019</v>
      </c>
      <c r="M1246" s="7">
        <f t="shared" si="2434"/>
        <v>0.0005</v>
      </c>
      <c r="N1246" s="7">
        <f t="shared" si="2434"/>
        <v>0.0001</v>
      </c>
      <c r="O1246" s="7">
        <f t="shared" si="2434"/>
        <v>0.0006</v>
      </c>
      <c r="P1246" s="7">
        <f t="shared" si="2434"/>
        <v>0.00065</v>
      </c>
      <c r="Q1246" s="7">
        <f t="shared" si="7"/>
        <v>0.1342448769</v>
      </c>
      <c r="R1246" s="7">
        <f t="shared" si="8"/>
        <v>0.02569430948</v>
      </c>
      <c r="S1246" s="7">
        <f t="shared" si="2"/>
        <v>0.9443985406</v>
      </c>
      <c r="T1246" s="7">
        <f t="shared" si="3"/>
        <v>0.6865129278</v>
      </c>
      <c r="U1246" s="7">
        <f t="shared" si="4"/>
        <v>1</v>
      </c>
      <c r="V1246" s="7">
        <f t="shared" si="5"/>
        <v>1</v>
      </c>
      <c r="W1246" s="7">
        <f t="shared" ref="W1246:X1246" si="2435">IF(AVERAGE(U1186:U1245) &gt; 0.25, 1, 0)</f>
        <v>1</v>
      </c>
      <c r="X1246" s="7">
        <f t="shared" si="2435"/>
        <v>1</v>
      </c>
      <c r="Y1246" s="8">
        <v>1.0</v>
      </c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</row>
    <row r="1247" ht="22.5" customHeight="1">
      <c r="B1247" s="6">
        <v>1246.0</v>
      </c>
      <c r="C1247" s="6">
        <v>9623.0</v>
      </c>
      <c r="D1247" s="6">
        <v>2.76</v>
      </c>
      <c r="E1247" s="6">
        <v>-0.11</v>
      </c>
      <c r="F1247" s="6">
        <v>10.51</v>
      </c>
      <c r="G1247" s="6">
        <v>-0.11</v>
      </c>
      <c r="H1247" s="6">
        <v>-0.03</v>
      </c>
      <c r="I1247" s="6">
        <v>0.04</v>
      </c>
      <c r="J1247" s="6">
        <v>33.24</v>
      </c>
      <c r="K1247" s="7">
        <f t="shared" ref="K1247:P1247" si="2436">abs(D1247-D1246)/200</f>
        <v>0.0008</v>
      </c>
      <c r="L1247" s="7">
        <f t="shared" si="2436"/>
        <v>0.0005</v>
      </c>
      <c r="M1247" s="7">
        <f t="shared" si="2436"/>
        <v>0.00085</v>
      </c>
      <c r="N1247" s="7">
        <f t="shared" si="2436"/>
        <v>0.0008</v>
      </c>
      <c r="O1247" s="7">
        <f t="shared" si="2436"/>
        <v>0.00055</v>
      </c>
      <c r="P1247" s="7">
        <f t="shared" si="2436"/>
        <v>0.0032</v>
      </c>
      <c r="Q1247" s="7">
        <f t="shared" si="7"/>
        <v>0.565682468</v>
      </c>
      <c r="R1247" s="7">
        <f t="shared" si="8"/>
        <v>0.1225145445</v>
      </c>
      <c r="S1247" s="7">
        <f t="shared" si="2"/>
        <v>1.066913085</v>
      </c>
      <c r="T1247" s="7">
        <f t="shared" si="3"/>
        <v>0.1208304597</v>
      </c>
      <c r="U1247" s="7">
        <f t="shared" si="4"/>
        <v>1</v>
      </c>
      <c r="V1247" s="7">
        <f t="shared" si="5"/>
        <v>1</v>
      </c>
      <c r="W1247" s="7">
        <f t="shared" ref="W1247:X1247" si="2437">IF(AVERAGE(U1187:U1246) &gt; 0.25, 1, 0)</f>
        <v>1</v>
      </c>
      <c r="X1247" s="7">
        <f t="shared" si="2437"/>
        <v>1</v>
      </c>
      <c r="Y1247" s="8">
        <v>1.0</v>
      </c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</row>
    <row r="1248" ht="22.5" customHeight="1">
      <c r="B1248" s="6">
        <v>1247.0</v>
      </c>
      <c r="C1248" s="6">
        <v>9827.0</v>
      </c>
      <c r="D1248" s="6">
        <v>2.82</v>
      </c>
      <c r="E1248" s="6">
        <v>-0.3</v>
      </c>
      <c r="F1248" s="6">
        <v>10.41</v>
      </c>
      <c r="G1248" s="6">
        <v>-0.08</v>
      </c>
      <c r="H1248" s="6">
        <v>-0.02</v>
      </c>
      <c r="I1248" s="6">
        <v>0.28</v>
      </c>
      <c r="J1248" s="6">
        <v>33.25</v>
      </c>
      <c r="K1248" s="7">
        <f t="shared" ref="K1248:P1248" si="2438">abs(D1248-D1247)/200</f>
        <v>0.0003</v>
      </c>
      <c r="L1248" s="7">
        <f t="shared" si="2438"/>
        <v>0.00095</v>
      </c>
      <c r="M1248" s="7">
        <f t="shared" si="2438"/>
        <v>0.0005</v>
      </c>
      <c r="N1248" s="7">
        <f t="shared" si="2438"/>
        <v>0.00015</v>
      </c>
      <c r="O1248" s="7">
        <f t="shared" si="2438"/>
        <v>0.00005</v>
      </c>
      <c r="P1248" s="7">
        <f t="shared" si="2438"/>
        <v>0.0012</v>
      </c>
      <c r="Q1248" s="7">
        <f t="shared" si="7"/>
        <v>0.1710599307</v>
      </c>
      <c r="R1248" s="7">
        <f t="shared" si="8"/>
        <v>0.07754331671</v>
      </c>
      <c r="S1248" s="7">
        <f t="shared" si="2"/>
        <v>0.9893697684</v>
      </c>
      <c r="T1248" s="7">
        <f t="shared" si="3"/>
        <v>0.2918903904</v>
      </c>
      <c r="U1248" s="7">
        <f t="shared" si="4"/>
        <v>1</v>
      </c>
      <c r="V1248" s="7">
        <f t="shared" si="5"/>
        <v>1</v>
      </c>
      <c r="W1248" s="7">
        <f t="shared" ref="W1248:X1248" si="2439">IF(AVERAGE(U1188:U1247) &gt; 0.25, 1, 0)</f>
        <v>1</v>
      </c>
      <c r="X1248" s="7">
        <f t="shared" si="2439"/>
        <v>1</v>
      </c>
      <c r="Y1248" s="8">
        <v>1.0</v>
      </c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</row>
    <row r="1249" ht="22.5" customHeight="1">
      <c r="B1249" s="6">
        <v>1248.0</v>
      </c>
      <c r="C1249" s="6">
        <v>10031.0</v>
      </c>
      <c r="D1249" s="6">
        <v>2.71</v>
      </c>
      <c r="E1249" s="6">
        <v>-0.46</v>
      </c>
      <c r="F1249" s="6">
        <v>10.54</v>
      </c>
      <c r="G1249" s="6">
        <v>-0.15</v>
      </c>
      <c r="H1249" s="6">
        <v>-0.03</v>
      </c>
      <c r="I1249" s="6">
        <v>0.11</v>
      </c>
      <c r="J1249" s="6">
        <v>33.26</v>
      </c>
      <c r="K1249" s="7">
        <f t="shared" ref="K1249:P1249" si="2440">abs(D1249-D1248)/200</f>
        <v>0.00055</v>
      </c>
      <c r="L1249" s="7">
        <f t="shared" si="2440"/>
        <v>0.0008</v>
      </c>
      <c r="M1249" s="7">
        <f t="shared" si="2440"/>
        <v>0.00065</v>
      </c>
      <c r="N1249" s="7">
        <f t="shared" si="2440"/>
        <v>0.00035</v>
      </c>
      <c r="O1249" s="7">
        <f t="shared" si="2440"/>
        <v>0.00005</v>
      </c>
      <c r="P1249" s="7">
        <f t="shared" si="2440"/>
        <v>0.00085</v>
      </c>
      <c r="Q1249" s="7">
        <f t="shared" si="7"/>
        <v>0.1034759536</v>
      </c>
      <c r="R1249" s="7">
        <f t="shared" si="8"/>
        <v>0.103164372</v>
      </c>
      <c r="S1249" s="7">
        <f t="shared" si="2"/>
        <v>1.09253414</v>
      </c>
      <c r="T1249" s="7">
        <f t="shared" si="3"/>
        <v>0.1884144368</v>
      </c>
      <c r="U1249" s="7">
        <f t="shared" si="4"/>
        <v>1</v>
      </c>
      <c r="V1249" s="7">
        <f t="shared" si="5"/>
        <v>1</v>
      </c>
      <c r="W1249" s="7">
        <f t="shared" ref="W1249:X1249" si="2441">IF(AVERAGE(U1189:U1248) &gt; 0.25, 1, 0)</f>
        <v>1</v>
      </c>
      <c r="X1249" s="7">
        <f t="shared" si="2441"/>
        <v>1</v>
      </c>
      <c r="Y1249" s="8">
        <v>1.0</v>
      </c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</row>
    <row r="1250" ht="22.5" customHeight="1">
      <c r="B1250" s="6">
        <v>1249.0</v>
      </c>
      <c r="C1250" s="6">
        <v>10235.0</v>
      </c>
      <c r="D1250" s="6">
        <v>2.79</v>
      </c>
      <c r="E1250" s="6">
        <v>0.06</v>
      </c>
      <c r="F1250" s="6">
        <v>10.46</v>
      </c>
      <c r="G1250" s="6">
        <v>-0.13</v>
      </c>
      <c r="H1250" s="6">
        <v>0.01</v>
      </c>
      <c r="I1250" s="6">
        <v>-0.07</v>
      </c>
      <c r="J1250" s="6">
        <v>33.25</v>
      </c>
      <c r="K1250" s="7">
        <f t="shared" ref="K1250:P1250" si="2442">abs(D1250-D1249)/200</f>
        <v>0.0004</v>
      </c>
      <c r="L1250" s="7">
        <f t="shared" si="2442"/>
        <v>0.0026</v>
      </c>
      <c r="M1250" s="7">
        <f t="shared" si="2442"/>
        <v>0.0004</v>
      </c>
      <c r="N1250" s="7">
        <f t="shared" si="2442"/>
        <v>0.0001</v>
      </c>
      <c r="O1250" s="7">
        <f t="shared" si="2442"/>
        <v>0.0002</v>
      </c>
      <c r="P1250" s="7">
        <f t="shared" si="2442"/>
        <v>0.0009</v>
      </c>
      <c r="Q1250" s="7">
        <f t="shared" si="7"/>
        <v>0.04042795094</v>
      </c>
      <c r="R1250" s="7">
        <f t="shared" si="8"/>
        <v>0.06667158817</v>
      </c>
      <c r="S1250" s="7">
        <f t="shared" si="2"/>
        <v>1.025862552</v>
      </c>
      <c r="T1250" s="7">
        <f t="shared" si="3"/>
        <v>0.1479864859</v>
      </c>
      <c r="U1250" s="7">
        <f t="shared" si="4"/>
        <v>1</v>
      </c>
      <c r="V1250" s="7">
        <f t="shared" si="5"/>
        <v>1</v>
      </c>
      <c r="W1250" s="7">
        <f t="shared" ref="W1250:X1250" si="2443">IF(AVERAGE(U1190:U1249) &gt; 0.25, 1, 0)</f>
        <v>1</v>
      </c>
      <c r="X1250" s="7">
        <f t="shared" si="2443"/>
        <v>1</v>
      </c>
      <c r="Y1250" s="8">
        <v>1.0</v>
      </c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</row>
    <row r="1251" ht="22.5" customHeight="1">
      <c r="B1251" s="6">
        <v>1250.0</v>
      </c>
      <c r="C1251" s="6">
        <v>10439.0</v>
      </c>
      <c r="D1251" s="6">
        <v>2.62</v>
      </c>
      <c r="E1251" s="6">
        <v>0.22</v>
      </c>
      <c r="F1251" s="6">
        <v>10.48</v>
      </c>
      <c r="G1251" s="6">
        <v>-0.12</v>
      </c>
      <c r="H1251" s="6">
        <v>-0.04</v>
      </c>
      <c r="I1251" s="6">
        <v>-0.09</v>
      </c>
      <c r="J1251" s="6">
        <v>33.25</v>
      </c>
      <c r="K1251" s="7">
        <f t="shared" ref="K1251:P1251" si="2444">abs(D1251-D1250)/200</f>
        <v>0.00085</v>
      </c>
      <c r="L1251" s="7">
        <f t="shared" si="2444"/>
        <v>0.0008</v>
      </c>
      <c r="M1251" s="7">
        <f t="shared" si="2444"/>
        <v>0.0001</v>
      </c>
      <c r="N1251" s="7">
        <f t="shared" si="2444"/>
        <v>0.00005</v>
      </c>
      <c r="O1251" s="7">
        <f t="shared" si="2444"/>
        <v>0.00025</v>
      </c>
      <c r="P1251" s="7">
        <f t="shared" si="2444"/>
        <v>0.0001</v>
      </c>
      <c r="Q1251" s="7">
        <f t="shared" si="7"/>
        <v>0.007255261093</v>
      </c>
      <c r="R1251" s="7">
        <f t="shared" si="8"/>
        <v>0.02108583081</v>
      </c>
      <c r="S1251" s="7">
        <f t="shared" si="2"/>
        <v>1.004776721</v>
      </c>
      <c r="T1251" s="7">
        <f t="shared" si="3"/>
        <v>0.155241747</v>
      </c>
      <c r="U1251" s="7">
        <f t="shared" si="4"/>
        <v>1</v>
      </c>
      <c r="V1251" s="7">
        <f t="shared" si="5"/>
        <v>0</v>
      </c>
      <c r="W1251" s="7">
        <f t="shared" ref="W1251:X1251" si="2445">IF(AVERAGE(U1191:U1250) &gt; 0.25, 1, 0)</f>
        <v>1</v>
      </c>
      <c r="X1251" s="7">
        <f t="shared" si="2445"/>
        <v>1</v>
      </c>
      <c r="Y1251" s="8">
        <v>1.0</v>
      </c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</row>
    <row r="1252" ht="22.5" customHeight="1">
      <c r="B1252" s="6">
        <v>1251.0</v>
      </c>
      <c r="C1252" s="6">
        <v>10643.0</v>
      </c>
      <c r="D1252" s="6">
        <v>2.87</v>
      </c>
      <c r="E1252" s="6">
        <v>-0.09</v>
      </c>
      <c r="F1252" s="6">
        <v>10.51</v>
      </c>
      <c r="G1252" s="6">
        <v>-0.07</v>
      </c>
      <c r="H1252" s="6">
        <v>-0.02</v>
      </c>
      <c r="I1252" s="6">
        <v>-0.04</v>
      </c>
      <c r="J1252" s="6">
        <v>33.25</v>
      </c>
      <c r="K1252" s="7">
        <f t="shared" ref="K1252:P1252" si="2446">abs(D1252-D1251)/200</f>
        <v>0.00125</v>
      </c>
      <c r="L1252" s="7">
        <f t="shared" si="2446"/>
        <v>0.00155</v>
      </c>
      <c r="M1252" s="7">
        <f t="shared" si="2446"/>
        <v>0.00015</v>
      </c>
      <c r="N1252" s="7">
        <f t="shared" si="2446"/>
        <v>0.00025</v>
      </c>
      <c r="O1252" s="7">
        <f t="shared" si="2446"/>
        <v>0.0001</v>
      </c>
      <c r="P1252" s="7">
        <f t="shared" si="2446"/>
        <v>0.00025</v>
      </c>
      <c r="Q1252" s="7">
        <f t="shared" si="7"/>
        <v>0.07217550833</v>
      </c>
      <c r="R1252" s="7">
        <f t="shared" si="8"/>
        <v>0.09041028935</v>
      </c>
      <c r="S1252" s="7">
        <f t="shared" si="2"/>
        <v>1.095187011</v>
      </c>
      <c r="T1252" s="7">
        <f t="shared" si="3"/>
        <v>0.08306623863</v>
      </c>
      <c r="U1252" s="7">
        <f t="shared" si="4"/>
        <v>1</v>
      </c>
      <c r="V1252" s="7">
        <f t="shared" si="5"/>
        <v>0</v>
      </c>
      <c r="W1252" s="7">
        <f t="shared" ref="W1252:X1252" si="2447">IF(AVERAGE(U1192:U1251) &gt; 0.25, 1, 0)</f>
        <v>1</v>
      </c>
      <c r="X1252" s="7">
        <f t="shared" si="2447"/>
        <v>1</v>
      </c>
      <c r="Y1252" s="8">
        <v>1.0</v>
      </c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</row>
    <row r="1253" ht="22.5" customHeight="1">
      <c r="B1253" s="6">
        <v>1252.0</v>
      </c>
      <c r="C1253" s="6">
        <v>10847.0</v>
      </c>
      <c r="D1253" s="6">
        <v>2.72</v>
      </c>
      <c r="E1253" s="6">
        <v>0.33</v>
      </c>
      <c r="F1253" s="6">
        <v>10.54</v>
      </c>
      <c r="G1253" s="6">
        <v>-0.07</v>
      </c>
      <c r="H1253" s="6">
        <v>0.04</v>
      </c>
      <c r="I1253" s="6">
        <v>0.02</v>
      </c>
      <c r="J1253" s="6">
        <v>33.26</v>
      </c>
      <c r="K1253" s="7">
        <f t="shared" ref="K1253:P1253" si="2448">abs(D1253-D1252)/200</f>
        <v>0.00075</v>
      </c>
      <c r="L1253" s="7">
        <f t="shared" si="2448"/>
        <v>0.0021</v>
      </c>
      <c r="M1253" s="7">
        <f t="shared" si="2448"/>
        <v>0.00015</v>
      </c>
      <c r="N1253" s="7">
        <f t="shared" si="2448"/>
        <v>0</v>
      </c>
      <c r="O1253" s="7">
        <f t="shared" si="2448"/>
        <v>0.0003</v>
      </c>
      <c r="P1253" s="7">
        <f t="shared" si="2448"/>
        <v>0.0003</v>
      </c>
      <c r="Q1253" s="7">
        <f t="shared" si="7"/>
        <v>0</v>
      </c>
      <c r="R1253" s="7">
        <f t="shared" si="8"/>
        <v>0.004874802222</v>
      </c>
      <c r="S1253" s="7">
        <f t="shared" si="2"/>
        <v>1.090312209</v>
      </c>
      <c r="T1253" s="7">
        <f t="shared" si="3"/>
        <v>0.08306623863</v>
      </c>
      <c r="U1253" s="7">
        <f t="shared" si="4"/>
        <v>1</v>
      </c>
      <c r="V1253" s="7">
        <f t="shared" si="5"/>
        <v>0</v>
      </c>
      <c r="W1253" s="7">
        <f t="shared" ref="W1253:X1253" si="2449">IF(AVERAGE(U1193:U1252) &gt; 0.25, 1, 0)</f>
        <v>1</v>
      </c>
      <c r="X1253" s="7">
        <f t="shared" si="2449"/>
        <v>1</v>
      </c>
      <c r="Y1253" s="8">
        <v>1.0</v>
      </c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</row>
    <row r="1254" ht="22.5" customHeight="1">
      <c r="B1254" s="6">
        <v>1253.0</v>
      </c>
      <c r="C1254" s="6">
        <v>11051.0</v>
      </c>
      <c r="D1254" s="6">
        <v>2.83</v>
      </c>
      <c r="E1254" s="6">
        <v>0.05</v>
      </c>
      <c r="F1254" s="6">
        <v>10.47</v>
      </c>
      <c r="G1254" s="6">
        <v>-0.08</v>
      </c>
      <c r="H1254" s="6">
        <v>0.0</v>
      </c>
      <c r="I1254" s="6">
        <v>0.04</v>
      </c>
      <c r="J1254" s="6">
        <v>33.25</v>
      </c>
      <c r="K1254" s="7">
        <f t="shared" ref="K1254:P1254" si="2450">abs(D1254-D1253)/200</f>
        <v>0.00055</v>
      </c>
      <c r="L1254" s="7">
        <f t="shared" si="2450"/>
        <v>0.0014</v>
      </c>
      <c r="M1254" s="7">
        <f t="shared" si="2450"/>
        <v>0.00035</v>
      </c>
      <c r="N1254" s="7">
        <f t="shared" si="2450"/>
        <v>0.00005</v>
      </c>
      <c r="O1254" s="7">
        <f t="shared" si="2450"/>
        <v>0.0002</v>
      </c>
      <c r="P1254" s="7">
        <f t="shared" si="2450"/>
        <v>0.0001</v>
      </c>
      <c r="Q1254" s="7">
        <f t="shared" si="7"/>
        <v>0.006376480471</v>
      </c>
      <c r="R1254" s="7">
        <f t="shared" si="8"/>
        <v>0.04446968712</v>
      </c>
      <c r="S1254" s="7">
        <f t="shared" si="2"/>
        <v>1.045842521</v>
      </c>
      <c r="T1254" s="7">
        <f t="shared" si="3"/>
        <v>0.0894427191</v>
      </c>
      <c r="U1254" s="7">
        <f t="shared" si="4"/>
        <v>1</v>
      </c>
      <c r="V1254" s="7">
        <f t="shared" si="5"/>
        <v>0</v>
      </c>
      <c r="W1254" s="7">
        <f t="shared" ref="W1254:X1254" si="2451">IF(AVERAGE(U1194:U1253) &gt; 0.25, 1, 0)</f>
        <v>1</v>
      </c>
      <c r="X1254" s="7">
        <f t="shared" si="2451"/>
        <v>1</v>
      </c>
      <c r="Y1254" s="8">
        <v>1.0</v>
      </c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</row>
    <row r="1255" ht="22.5" customHeight="1">
      <c r="B1255" s="6">
        <v>1254.0</v>
      </c>
      <c r="C1255" s="6">
        <v>11255.0</v>
      </c>
      <c r="D1255" s="6">
        <v>2.75</v>
      </c>
      <c r="E1255" s="6">
        <v>-0.12</v>
      </c>
      <c r="F1255" s="6">
        <v>10.4</v>
      </c>
      <c r="G1255" s="6">
        <v>-0.05</v>
      </c>
      <c r="H1255" s="6">
        <v>0.06</v>
      </c>
      <c r="I1255" s="6">
        <v>0.08</v>
      </c>
      <c r="J1255" s="6">
        <v>33.26</v>
      </c>
      <c r="K1255" s="7">
        <f t="shared" ref="K1255:P1255" si="2452">abs(D1255-D1254)/200</f>
        <v>0.0004</v>
      </c>
      <c r="L1255" s="7">
        <f t="shared" si="2452"/>
        <v>0.00085</v>
      </c>
      <c r="M1255" s="7">
        <f t="shared" si="2452"/>
        <v>0.00035</v>
      </c>
      <c r="N1255" s="7">
        <f t="shared" si="2452"/>
        <v>0.00015</v>
      </c>
      <c r="O1255" s="7">
        <f t="shared" si="2452"/>
        <v>0.0003</v>
      </c>
      <c r="P1255" s="7">
        <f t="shared" si="2452"/>
        <v>0.0002</v>
      </c>
      <c r="Q1255" s="7">
        <f t="shared" si="7"/>
        <v>0.02236067977</v>
      </c>
      <c r="R1255" s="7">
        <f t="shared" si="8"/>
        <v>0.08773395163</v>
      </c>
      <c r="S1255" s="7">
        <f t="shared" si="2"/>
        <v>0.9581085698</v>
      </c>
      <c r="T1255" s="7">
        <f t="shared" si="3"/>
        <v>0.1118033989</v>
      </c>
      <c r="U1255" s="7">
        <f t="shared" si="4"/>
        <v>1</v>
      </c>
      <c r="V1255" s="7">
        <f t="shared" si="5"/>
        <v>0</v>
      </c>
      <c r="W1255" s="7">
        <f t="shared" ref="W1255:X1255" si="2453">IF(AVERAGE(U1195:U1254) &gt; 0.25, 1, 0)</f>
        <v>1</v>
      </c>
      <c r="X1255" s="7">
        <f t="shared" si="2453"/>
        <v>1</v>
      </c>
      <c r="Y1255" s="8">
        <v>1.0</v>
      </c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</row>
    <row r="1256" ht="22.5" customHeight="1">
      <c r="B1256" s="6">
        <v>1255.0</v>
      </c>
      <c r="C1256" s="6">
        <v>11459.0</v>
      </c>
      <c r="D1256" s="6">
        <v>2.82</v>
      </c>
      <c r="E1256" s="6">
        <v>-0.42</v>
      </c>
      <c r="F1256" s="6">
        <v>10.47</v>
      </c>
      <c r="G1256" s="6">
        <v>-0.08</v>
      </c>
      <c r="H1256" s="6">
        <v>0.02</v>
      </c>
      <c r="I1256" s="6">
        <v>-0.02</v>
      </c>
      <c r="J1256" s="6">
        <v>33.26</v>
      </c>
      <c r="K1256" s="7">
        <f t="shared" ref="K1256:P1256" si="2454">abs(D1256-D1255)/200</f>
        <v>0.00035</v>
      </c>
      <c r="L1256" s="7">
        <f t="shared" si="2454"/>
        <v>0.0015</v>
      </c>
      <c r="M1256" s="7">
        <f t="shared" si="2454"/>
        <v>0.00035</v>
      </c>
      <c r="N1256" s="7">
        <f t="shared" si="2454"/>
        <v>0.00015</v>
      </c>
      <c r="O1256" s="7">
        <f t="shared" si="2454"/>
        <v>0.0002</v>
      </c>
      <c r="P1256" s="7">
        <f t="shared" si="2454"/>
        <v>0.0005</v>
      </c>
      <c r="Q1256" s="7">
        <f t="shared" si="7"/>
        <v>0.02695058513</v>
      </c>
      <c r="R1256" s="7">
        <f t="shared" si="8"/>
        <v>0.09314481401</v>
      </c>
      <c r="S1256" s="7">
        <f t="shared" si="2"/>
        <v>1.051253384</v>
      </c>
      <c r="T1256" s="7">
        <f t="shared" si="3"/>
        <v>0.08485281374</v>
      </c>
      <c r="U1256" s="7">
        <f t="shared" si="4"/>
        <v>1</v>
      </c>
      <c r="V1256" s="7">
        <f t="shared" si="5"/>
        <v>1</v>
      </c>
      <c r="W1256" s="7">
        <f t="shared" ref="W1256:X1256" si="2455">IF(AVERAGE(U1196:U1255) &gt; 0.25, 1, 0)</f>
        <v>1</v>
      </c>
      <c r="X1256" s="7">
        <f t="shared" si="2455"/>
        <v>1</v>
      </c>
      <c r="Y1256" s="8">
        <v>1.0</v>
      </c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</row>
    <row r="1257" ht="22.5" customHeight="1">
      <c r="B1257" s="6">
        <v>1256.0</v>
      </c>
      <c r="C1257" s="6">
        <v>11663.0</v>
      </c>
      <c r="D1257" s="6">
        <v>2.7</v>
      </c>
      <c r="E1257" s="6">
        <v>-0.02</v>
      </c>
      <c r="F1257" s="6">
        <v>10.49</v>
      </c>
      <c r="G1257" s="6">
        <v>-0.09</v>
      </c>
      <c r="H1257" s="6">
        <v>-0.03</v>
      </c>
      <c r="I1257" s="6">
        <v>-0.01</v>
      </c>
      <c r="J1257" s="6">
        <v>33.27</v>
      </c>
      <c r="K1257" s="7">
        <f t="shared" ref="K1257:P1257" si="2456">abs(D1257-D1256)/200</f>
        <v>0.0006</v>
      </c>
      <c r="L1257" s="7">
        <f t="shared" si="2456"/>
        <v>0.002</v>
      </c>
      <c r="M1257" s="7">
        <f t="shared" si="2456"/>
        <v>0.0001</v>
      </c>
      <c r="N1257" s="7">
        <f t="shared" si="2456"/>
        <v>0.00005</v>
      </c>
      <c r="O1257" s="7">
        <f t="shared" si="2456"/>
        <v>0.00025</v>
      </c>
      <c r="P1257" s="7">
        <f t="shared" si="2456"/>
        <v>0.00005</v>
      </c>
      <c r="Q1257" s="7">
        <f t="shared" si="7"/>
        <v>0.0105411064</v>
      </c>
      <c r="R1257" s="7">
        <f t="shared" si="8"/>
        <v>0.01933296314</v>
      </c>
      <c r="S1257" s="7">
        <f t="shared" si="2"/>
        <v>1.031920421</v>
      </c>
      <c r="T1257" s="7">
        <f t="shared" si="3"/>
        <v>0.09539392014</v>
      </c>
      <c r="U1257" s="7">
        <f t="shared" si="4"/>
        <v>1</v>
      </c>
      <c r="V1257" s="7">
        <f t="shared" si="5"/>
        <v>0</v>
      </c>
      <c r="W1257" s="7">
        <f t="shared" ref="W1257:X1257" si="2457">IF(AVERAGE(U1197:U1256) &gt; 0.25, 1, 0)</f>
        <v>1</v>
      </c>
      <c r="X1257" s="7">
        <f t="shared" si="2457"/>
        <v>1</v>
      </c>
      <c r="Y1257" s="8">
        <v>1.0</v>
      </c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</row>
    <row r="1258" ht="22.5" customHeight="1">
      <c r="B1258" s="6">
        <v>1257.0</v>
      </c>
      <c r="C1258" s="6">
        <v>11867.0</v>
      </c>
      <c r="D1258" s="6">
        <v>2.74</v>
      </c>
      <c r="E1258" s="6">
        <v>-0.04</v>
      </c>
      <c r="F1258" s="6">
        <v>10.45</v>
      </c>
      <c r="G1258" s="6">
        <v>-0.1</v>
      </c>
      <c r="H1258" s="6">
        <v>-0.02</v>
      </c>
      <c r="I1258" s="6">
        <v>0.0</v>
      </c>
      <c r="J1258" s="6">
        <v>33.26</v>
      </c>
      <c r="K1258" s="7">
        <f t="shared" ref="K1258:P1258" si="2458">abs(D1258-D1257)/200</f>
        <v>0.0002</v>
      </c>
      <c r="L1258" s="7">
        <f t="shared" si="2458"/>
        <v>0.0001</v>
      </c>
      <c r="M1258" s="7">
        <f t="shared" si="2458"/>
        <v>0.0002</v>
      </c>
      <c r="N1258" s="7">
        <f t="shared" si="2458"/>
        <v>0.00005</v>
      </c>
      <c r="O1258" s="7">
        <f t="shared" si="2458"/>
        <v>0.00005</v>
      </c>
      <c r="P1258" s="7">
        <f t="shared" si="2458"/>
        <v>0.00005</v>
      </c>
      <c r="Q1258" s="7">
        <f t="shared" si="7"/>
        <v>0.00658647013</v>
      </c>
      <c r="R1258" s="7">
        <f t="shared" si="8"/>
        <v>0.02860148621</v>
      </c>
      <c r="S1258" s="7">
        <f t="shared" si="2"/>
        <v>1.003318934</v>
      </c>
      <c r="T1258" s="7">
        <f t="shared" si="3"/>
        <v>0.1019803903</v>
      </c>
      <c r="U1258" s="7">
        <f t="shared" si="4"/>
        <v>0</v>
      </c>
      <c r="V1258" s="7">
        <f t="shared" si="5"/>
        <v>0</v>
      </c>
      <c r="W1258" s="7">
        <f t="shared" ref="W1258:X1258" si="2459">IF(AVERAGE(U1198:U1257) &gt; 0.25, 1, 0)</f>
        <v>1</v>
      </c>
      <c r="X1258" s="7">
        <f t="shared" si="2459"/>
        <v>1</v>
      </c>
      <c r="Y1258" s="8">
        <v>1.0</v>
      </c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</row>
    <row r="1259" ht="22.5" customHeight="1">
      <c r="B1259" s="6">
        <v>1258.0</v>
      </c>
      <c r="C1259" s="6">
        <v>12071.0</v>
      </c>
      <c r="D1259" s="6">
        <v>2.92</v>
      </c>
      <c r="E1259" s="6">
        <v>-0.31</v>
      </c>
      <c r="F1259" s="6">
        <v>10.39</v>
      </c>
      <c r="G1259" s="6">
        <v>-0.11</v>
      </c>
      <c r="H1259" s="6">
        <v>-0.04</v>
      </c>
      <c r="I1259" s="6">
        <v>-0.07</v>
      </c>
      <c r="J1259" s="6">
        <v>33.27</v>
      </c>
      <c r="K1259" s="7">
        <f t="shared" ref="K1259:P1259" si="2460">abs(D1259-D1258)/200</f>
        <v>0.0009</v>
      </c>
      <c r="L1259" s="7">
        <f t="shared" si="2460"/>
        <v>0.00135</v>
      </c>
      <c r="M1259" s="7">
        <f t="shared" si="2460"/>
        <v>0.0003</v>
      </c>
      <c r="N1259" s="7">
        <f t="shared" si="2460"/>
        <v>0.00005</v>
      </c>
      <c r="O1259" s="7">
        <f t="shared" si="2460"/>
        <v>0.0001</v>
      </c>
      <c r="P1259" s="7">
        <f t="shared" si="2460"/>
        <v>0.00035</v>
      </c>
      <c r="Q1259" s="7">
        <f t="shared" si="7"/>
        <v>0.0344014267</v>
      </c>
      <c r="R1259" s="7">
        <f t="shared" si="8"/>
        <v>0.006347136791</v>
      </c>
      <c r="S1259" s="7">
        <f t="shared" si="2"/>
        <v>0.9969717977</v>
      </c>
      <c r="T1259" s="7">
        <f t="shared" si="3"/>
        <v>0.136381817</v>
      </c>
      <c r="U1259" s="7">
        <f t="shared" si="4"/>
        <v>1</v>
      </c>
      <c r="V1259" s="7">
        <f t="shared" si="5"/>
        <v>1</v>
      </c>
      <c r="W1259" s="7">
        <f t="shared" ref="W1259:X1259" si="2461">IF(AVERAGE(U1199:U1258) &gt; 0.25, 1, 0)</f>
        <v>1</v>
      </c>
      <c r="X1259" s="7">
        <f t="shared" si="2461"/>
        <v>1</v>
      </c>
      <c r="Y1259" s="8">
        <v>1.0</v>
      </c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</row>
    <row r="1260" ht="22.5" customHeight="1">
      <c r="B1260" s="6">
        <v>1259.0</v>
      </c>
      <c r="C1260" s="6">
        <v>12275.0</v>
      </c>
      <c r="D1260" s="6">
        <v>2.86</v>
      </c>
      <c r="E1260" s="6">
        <v>-0.11</v>
      </c>
      <c r="F1260" s="6">
        <v>10.41</v>
      </c>
      <c r="G1260" s="6">
        <v>-0.13</v>
      </c>
      <c r="H1260" s="6">
        <v>-0.04</v>
      </c>
      <c r="I1260" s="6">
        <v>-0.11</v>
      </c>
      <c r="J1260" s="6">
        <v>33.26</v>
      </c>
      <c r="K1260" s="7">
        <f t="shared" ref="K1260:P1260" si="2462">abs(D1260-D1259)/200</f>
        <v>0.0003</v>
      </c>
      <c r="L1260" s="7">
        <f t="shared" si="2462"/>
        <v>0.001</v>
      </c>
      <c r="M1260" s="7">
        <f t="shared" si="2462"/>
        <v>0.0001</v>
      </c>
      <c r="N1260" s="7">
        <f t="shared" si="2462"/>
        <v>0.0001</v>
      </c>
      <c r="O1260" s="7">
        <f t="shared" si="2462"/>
        <v>0</v>
      </c>
      <c r="P1260" s="7">
        <f t="shared" si="2462"/>
        <v>0.0002</v>
      </c>
      <c r="Q1260" s="7">
        <f t="shared" si="7"/>
        <v>0.03854673988</v>
      </c>
      <c r="R1260" s="7">
        <f t="shared" si="8"/>
        <v>0.0006853991123</v>
      </c>
      <c r="S1260" s="7">
        <f t="shared" si="2"/>
        <v>0.9962863986</v>
      </c>
      <c r="T1260" s="7">
        <f t="shared" si="3"/>
        <v>0.1749285568</v>
      </c>
      <c r="U1260" s="7">
        <f t="shared" si="4"/>
        <v>1</v>
      </c>
      <c r="V1260" s="7">
        <f t="shared" si="5"/>
        <v>0</v>
      </c>
      <c r="W1260" s="7">
        <f t="shared" ref="W1260:X1260" si="2463">IF(AVERAGE(U1200:U1259) &gt; 0.25, 1, 0)</f>
        <v>1</v>
      </c>
      <c r="X1260" s="7">
        <f t="shared" si="2463"/>
        <v>1</v>
      </c>
      <c r="Y1260" s="8">
        <v>1.0</v>
      </c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</row>
    <row r="1261" ht="22.5" customHeight="1">
      <c r="B1261" s="6">
        <v>1260.0</v>
      </c>
      <c r="C1261" s="6">
        <v>12479.0</v>
      </c>
      <c r="D1261" s="6">
        <v>2.8</v>
      </c>
      <c r="E1261" s="6">
        <v>0.07</v>
      </c>
      <c r="F1261" s="6">
        <v>10.39</v>
      </c>
      <c r="G1261" s="6">
        <v>-0.13</v>
      </c>
      <c r="H1261" s="6">
        <v>-0.02</v>
      </c>
      <c r="I1261" s="6">
        <v>-0.07</v>
      </c>
      <c r="J1261" s="6">
        <v>33.26</v>
      </c>
      <c r="K1261" s="7">
        <f t="shared" ref="K1261:P1261" si="2464">abs(D1261-D1260)/200</f>
        <v>0.0003</v>
      </c>
      <c r="L1261" s="7">
        <f t="shared" si="2464"/>
        <v>0.0009</v>
      </c>
      <c r="M1261" s="7">
        <f t="shared" si="2464"/>
        <v>0.0001</v>
      </c>
      <c r="N1261" s="7">
        <f t="shared" si="2464"/>
        <v>0</v>
      </c>
      <c r="O1261" s="7">
        <f t="shared" si="2464"/>
        <v>0.0001</v>
      </c>
      <c r="P1261" s="7">
        <f t="shared" si="2464"/>
        <v>0.0002</v>
      </c>
      <c r="Q1261" s="7">
        <f t="shared" si="7"/>
        <v>0.02593191259</v>
      </c>
      <c r="R1261" s="7">
        <f t="shared" si="8"/>
        <v>0.03538494934</v>
      </c>
      <c r="S1261" s="7">
        <f t="shared" si="2"/>
        <v>0.9609014492</v>
      </c>
      <c r="T1261" s="7">
        <f t="shared" si="3"/>
        <v>0.1489966443</v>
      </c>
      <c r="U1261" s="7">
        <f t="shared" si="4"/>
        <v>1</v>
      </c>
      <c r="V1261" s="7">
        <f t="shared" si="5"/>
        <v>0</v>
      </c>
      <c r="W1261" s="7">
        <f t="shared" ref="W1261:X1261" si="2465">IF(AVERAGE(U1201:U1260) &gt; 0.25, 1, 0)</f>
        <v>1</v>
      </c>
      <c r="X1261" s="7">
        <f t="shared" si="2465"/>
        <v>1</v>
      </c>
      <c r="Y1261" s="8">
        <v>1.0</v>
      </c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</row>
    <row r="1262" ht="22.5" customHeight="1">
      <c r="B1262" s="6">
        <v>1261.0</v>
      </c>
      <c r="C1262" s="6">
        <v>12683.0</v>
      </c>
      <c r="D1262" s="6">
        <v>2.79</v>
      </c>
      <c r="E1262" s="6">
        <v>-0.01</v>
      </c>
      <c r="F1262" s="6">
        <v>10.44</v>
      </c>
      <c r="G1262" s="6">
        <v>-0.12</v>
      </c>
      <c r="H1262" s="6">
        <v>0.02</v>
      </c>
      <c r="I1262" s="6">
        <v>-0.11</v>
      </c>
      <c r="J1262" s="6">
        <v>33.26</v>
      </c>
      <c r="K1262" s="7">
        <f t="shared" ref="K1262:P1262" si="2466">abs(D1262-D1261)/200</f>
        <v>0.00005</v>
      </c>
      <c r="L1262" s="7">
        <f t="shared" si="2466"/>
        <v>0.0004</v>
      </c>
      <c r="M1262" s="7">
        <f t="shared" si="2466"/>
        <v>0.00025</v>
      </c>
      <c r="N1262" s="7">
        <f t="shared" si="2466"/>
        <v>0.00005</v>
      </c>
      <c r="O1262" s="7">
        <f t="shared" si="2466"/>
        <v>0.0002</v>
      </c>
      <c r="P1262" s="7">
        <f t="shared" si="2466"/>
        <v>0.0002</v>
      </c>
      <c r="Q1262" s="7">
        <f t="shared" si="7"/>
        <v>0.01501555041</v>
      </c>
      <c r="R1262" s="7">
        <f t="shared" si="8"/>
        <v>0.04547629727</v>
      </c>
      <c r="S1262" s="7">
        <f t="shared" si="2"/>
        <v>1.006377746</v>
      </c>
      <c r="T1262" s="7">
        <f t="shared" si="3"/>
        <v>0.1640121947</v>
      </c>
      <c r="U1262" s="7">
        <f t="shared" si="4"/>
        <v>1</v>
      </c>
      <c r="V1262" s="7">
        <f t="shared" si="5"/>
        <v>0</v>
      </c>
      <c r="W1262" s="7">
        <f t="shared" ref="W1262:X1262" si="2467">IF(AVERAGE(U1202:U1261) &gt; 0.25, 1, 0)</f>
        <v>1</v>
      </c>
      <c r="X1262" s="7">
        <f t="shared" si="2467"/>
        <v>1</v>
      </c>
      <c r="Y1262" s="8">
        <v>1.0</v>
      </c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</row>
    <row r="1263" ht="22.5" customHeight="1">
      <c r="B1263" s="6">
        <v>1262.0</v>
      </c>
      <c r="C1263" s="6">
        <v>12887.0</v>
      </c>
      <c r="D1263" s="6">
        <v>2.69</v>
      </c>
      <c r="E1263" s="6">
        <v>0.12</v>
      </c>
      <c r="F1263" s="6">
        <v>10.44</v>
      </c>
      <c r="G1263" s="6">
        <v>-0.1</v>
      </c>
      <c r="H1263" s="6">
        <v>0.01</v>
      </c>
      <c r="I1263" s="6">
        <v>-0.11</v>
      </c>
      <c r="J1263" s="6">
        <v>33.26</v>
      </c>
      <c r="K1263" s="7">
        <f t="shared" ref="K1263:P1263" si="2468">abs(D1263-D1262)/200</f>
        <v>0.0005</v>
      </c>
      <c r="L1263" s="7">
        <f t="shared" si="2468"/>
        <v>0.00065</v>
      </c>
      <c r="M1263" s="7">
        <f t="shared" si="2468"/>
        <v>0</v>
      </c>
      <c r="N1263" s="7">
        <f t="shared" si="2468"/>
        <v>0.0001</v>
      </c>
      <c r="O1263" s="7">
        <f t="shared" si="2468"/>
        <v>0.00005</v>
      </c>
      <c r="P1263" s="7">
        <f t="shared" si="2468"/>
        <v>0</v>
      </c>
      <c r="Q1263" s="7">
        <f t="shared" si="7"/>
        <v>0.01501555041</v>
      </c>
      <c r="R1263" s="7">
        <f t="shared" si="8"/>
        <v>0.02472202949</v>
      </c>
      <c r="S1263" s="7">
        <f t="shared" si="2"/>
        <v>0.981655717</v>
      </c>
      <c r="T1263" s="7">
        <f t="shared" si="3"/>
        <v>0.1489966443</v>
      </c>
      <c r="U1263" s="7">
        <f t="shared" si="4"/>
        <v>1</v>
      </c>
      <c r="V1263" s="7">
        <f t="shared" si="5"/>
        <v>0</v>
      </c>
      <c r="W1263" s="7">
        <f t="shared" ref="W1263:X1263" si="2469">IF(AVERAGE(U1203:U1262) &gt; 0.25, 1, 0)</f>
        <v>1</v>
      </c>
      <c r="X1263" s="7">
        <f t="shared" si="2469"/>
        <v>1</v>
      </c>
      <c r="Y1263" s="8">
        <v>1.0</v>
      </c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</row>
    <row r="1264" ht="22.5" customHeight="1">
      <c r="B1264" s="6">
        <v>1263.0</v>
      </c>
      <c r="C1264" s="6">
        <v>13091.0</v>
      </c>
      <c r="D1264" s="6">
        <v>2.73</v>
      </c>
      <c r="E1264" s="6">
        <v>0.1</v>
      </c>
      <c r="F1264" s="6">
        <v>10.44</v>
      </c>
      <c r="G1264" s="6">
        <v>-0.1</v>
      </c>
      <c r="H1264" s="6">
        <v>0.01</v>
      </c>
      <c r="I1264" s="6">
        <v>-0.05</v>
      </c>
      <c r="J1264" s="6">
        <v>33.27</v>
      </c>
      <c r="K1264" s="7">
        <f t="shared" ref="K1264:P1264" si="2470">abs(D1264-D1263)/200</f>
        <v>0.0002</v>
      </c>
      <c r="L1264" s="7">
        <f t="shared" si="2470"/>
        <v>0.0001</v>
      </c>
      <c r="M1264" s="7">
        <f t="shared" si="2470"/>
        <v>0</v>
      </c>
      <c r="N1264" s="7">
        <f t="shared" si="2470"/>
        <v>0</v>
      </c>
      <c r="O1264" s="7">
        <f t="shared" si="2470"/>
        <v>0</v>
      </c>
      <c r="P1264" s="7">
        <f t="shared" si="2470"/>
        <v>0.0003</v>
      </c>
      <c r="Q1264" s="7">
        <f t="shared" si="7"/>
        <v>0.03674692265</v>
      </c>
      <c r="R1264" s="7">
        <f t="shared" si="8"/>
        <v>0.00984556873</v>
      </c>
      <c r="S1264" s="7">
        <f t="shared" si="2"/>
        <v>0.9915012857</v>
      </c>
      <c r="T1264" s="7">
        <f t="shared" si="3"/>
        <v>0.1122497216</v>
      </c>
      <c r="U1264" s="7">
        <f t="shared" si="4"/>
        <v>0</v>
      </c>
      <c r="V1264" s="7">
        <f t="shared" si="5"/>
        <v>0</v>
      </c>
      <c r="W1264" s="7">
        <f t="shared" ref="W1264:X1264" si="2471">IF(AVERAGE(U1204:U1263) &gt; 0.25, 1, 0)</f>
        <v>1</v>
      </c>
      <c r="X1264" s="7">
        <f t="shared" si="2471"/>
        <v>1</v>
      </c>
      <c r="Y1264" s="8">
        <v>1.0</v>
      </c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</row>
    <row r="1265" ht="22.5" customHeight="1">
      <c r="B1265" s="6">
        <v>1264.0</v>
      </c>
      <c r="C1265" s="6">
        <v>13295.0</v>
      </c>
      <c r="D1265" s="6">
        <v>2.72</v>
      </c>
      <c r="E1265" s="6">
        <v>-0.01</v>
      </c>
      <c r="F1265" s="6">
        <v>10.5</v>
      </c>
      <c r="G1265" s="6">
        <v>-0.1</v>
      </c>
      <c r="H1265" s="6">
        <v>0.02</v>
      </c>
      <c r="I1265" s="6">
        <v>-0.01</v>
      </c>
      <c r="J1265" s="6">
        <v>33.27</v>
      </c>
      <c r="K1265" s="7">
        <f t="shared" ref="K1265:P1265" si="2472">abs(D1265-D1264)/200</f>
        <v>0.00005</v>
      </c>
      <c r="L1265" s="7">
        <f t="shared" si="2472"/>
        <v>0.00055</v>
      </c>
      <c r="M1265" s="7">
        <f t="shared" si="2472"/>
        <v>0.0003</v>
      </c>
      <c r="N1265" s="7">
        <f t="shared" si="2472"/>
        <v>0</v>
      </c>
      <c r="O1265" s="7">
        <f t="shared" si="2472"/>
        <v>0.00005</v>
      </c>
      <c r="P1265" s="7">
        <f t="shared" si="2472"/>
        <v>0.0002</v>
      </c>
      <c r="Q1265" s="7">
        <f t="shared" si="7"/>
        <v>0.009780213944</v>
      </c>
      <c r="R1265" s="7">
        <f t="shared" si="8"/>
        <v>0.05508803995</v>
      </c>
      <c r="S1265" s="7">
        <f t="shared" si="2"/>
        <v>1.046589326</v>
      </c>
      <c r="T1265" s="7">
        <f t="shared" si="3"/>
        <v>0.1024695077</v>
      </c>
      <c r="U1265" s="7">
        <f t="shared" si="4"/>
        <v>1</v>
      </c>
      <c r="V1265" s="7">
        <f t="shared" si="5"/>
        <v>0</v>
      </c>
      <c r="W1265" s="7">
        <f t="shared" ref="W1265:X1265" si="2473">IF(AVERAGE(U1205:U1264) &gt; 0.25, 1, 0)</f>
        <v>1</v>
      </c>
      <c r="X1265" s="7">
        <f t="shared" si="2473"/>
        <v>1</v>
      </c>
      <c r="Y1265" s="8">
        <v>1.0</v>
      </c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</row>
    <row r="1266" ht="22.5" customHeight="1">
      <c r="B1266" s="6">
        <v>1265.0</v>
      </c>
      <c r="C1266" s="6">
        <v>13499.0</v>
      </c>
      <c r="D1266" s="6">
        <v>2.68</v>
      </c>
      <c r="E1266" s="6">
        <v>0.07</v>
      </c>
      <c r="F1266" s="6">
        <v>10.46</v>
      </c>
      <c r="G1266" s="6">
        <v>-0.1</v>
      </c>
      <c r="H1266" s="6">
        <v>0.02</v>
      </c>
      <c r="I1266" s="6">
        <v>-0.03</v>
      </c>
      <c r="J1266" s="6">
        <v>33.27</v>
      </c>
      <c r="K1266" s="7">
        <f t="shared" ref="K1266:P1266" si="2474">abs(D1266-D1265)/200</f>
        <v>0.0002</v>
      </c>
      <c r="L1266" s="7">
        <f t="shared" si="2474"/>
        <v>0.0004</v>
      </c>
      <c r="M1266" s="7">
        <f t="shared" si="2474"/>
        <v>0.0002</v>
      </c>
      <c r="N1266" s="7">
        <f t="shared" si="2474"/>
        <v>0</v>
      </c>
      <c r="O1266" s="7">
        <f t="shared" si="2474"/>
        <v>0</v>
      </c>
      <c r="P1266" s="7">
        <f t="shared" si="2474"/>
        <v>0.0001</v>
      </c>
      <c r="Q1266" s="7">
        <f t="shared" si="7"/>
        <v>0.003831950468</v>
      </c>
      <c r="R1266" s="7">
        <f t="shared" si="8"/>
        <v>0.04849227111</v>
      </c>
      <c r="S1266" s="7">
        <f t="shared" si="2"/>
        <v>0.9980970546</v>
      </c>
      <c r="T1266" s="7">
        <f t="shared" si="3"/>
        <v>0.1063014581</v>
      </c>
      <c r="U1266" s="7">
        <f t="shared" si="4"/>
        <v>1</v>
      </c>
      <c r="V1266" s="7">
        <f t="shared" si="5"/>
        <v>0</v>
      </c>
      <c r="W1266" s="7">
        <f t="shared" ref="W1266:X1266" si="2475">IF(AVERAGE(U1206:U1265) &gt; 0.25, 1, 0)</f>
        <v>1</v>
      </c>
      <c r="X1266" s="7">
        <f t="shared" si="2475"/>
        <v>1</v>
      </c>
      <c r="Y1266" s="8">
        <v>1.0</v>
      </c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</row>
    <row r="1267" ht="22.5" customHeight="1">
      <c r="B1267" s="6">
        <v>1266.0</v>
      </c>
      <c r="C1267" s="6">
        <v>13703.0</v>
      </c>
      <c r="D1267" s="6">
        <v>2.63</v>
      </c>
      <c r="E1267" s="6">
        <v>0.21</v>
      </c>
      <c r="F1267" s="6">
        <v>10.48</v>
      </c>
      <c r="G1267" s="6">
        <v>-0.09</v>
      </c>
      <c r="H1267" s="6">
        <v>0.02</v>
      </c>
      <c r="I1267" s="6">
        <v>0.09</v>
      </c>
      <c r="J1267" s="6">
        <v>33.27</v>
      </c>
      <c r="K1267" s="7">
        <f t="shared" ref="K1267:P1267" si="2476">abs(D1267-D1266)/200</f>
        <v>0.00025</v>
      </c>
      <c r="L1267" s="7">
        <f t="shared" si="2476"/>
        <v>0.0007</v>
      </c>
      <c r="M1267" s="7">
        <f t="shared" si="2476"/>
        <v>0.0001</v>
      </c>
      <c r="N1267" s="7">
        <f t="shared" si="2476"/>
        <v>0.00005</v>
      </c>
      <c r="O1267" s="7">
        <f t="shared" si="2476"/>
        <v>0</v>
      </c>
      <c r="P1267" s="7">
        <f t="shared" si="2476"/>
        <v>0.0006</v>
      </c>
      <c r="Q1267" s="7">
        <f t="shared" si="7"/>
        <v>0.02253952914</v>
      </c>
      <c r="R1267" s="7">
        <f t="shared" si="8"/>
        <v>0.008909931636</v>
      </c>
      <c r="S1267" s="7">
        <f t="shared" si="2"/>
        <v>1.007006986</v>
      </c>
      <c r="T1267" s="7">
        <f t="shared" si="3"/>
        <v>0.1288409873</v>
      </c>
      <c r="U1267" s="7">
        <f t="shared" si="4"/>
        <v>1</v>
      </c>
      <c r="V1267" s="7">
        <f t="shared" si="5"/>
        <v>1</v>
      </c>
      <c r="W1267" s="7">
        <f t="shared" ref="W1267:X1267" si="2477">IF(AVERAGE(U1207:U1266) &gt; 0.25, 1, 0)</f>
        <v>1</v>
      </c>
      <c r="X1267" s="7">
        <f t="shared" si="2477"/>
        <v>1</v>
      </c>
      <c r="Y1267" s="8">
        <v>1.0</v>
      </c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</row>
    <row r="1268" ht="22.5" customHeight="1">
      <c r="B1268" s="6">
        <v>1267.0</v>
      </c>
      <c r="C1268" s="6">
        <v>13907.0</v>
      </c>
      <c r="D1268" s="6">
        <v>2.58</v>
      </c>
      <c r="E1268" s="6">
        <v>0.14</v>
      </c>
      <c r="F1268" s="6">
        <v>10.49</v>
      </c>
      <c r="G1268" s="6">
        <v>-0.08</v>
      </c>
      <c r="H1268" s="6">
        <v>0.0</v>
      </c>
      <c r="I1268" s="6">
        <v>0.02</v>
      </c>
      <c r="J1268" s="6">
        <v>33.27</v>
      </c>
      <c r="K1268" s="7">
        <f t="shared" ref="K1268:P1268" si="2478">abs(D1268-D1267)/200</f>
        <v>0.00025</v>
      </c>
      <c r="L1268" s="7">
        <f t="shared" si="2478"/>
        <v>0.00035</v>
      </c>
      <c r="M1268" s="7">
        <f t="shared" si="2478"/>
        <v>0.00005</v>
      </c>
      <c r="N1268" s="7">
        <f t="shared" si="2478"/>
        <v>0.00005</v>
      </c>
      <c r="O1268" s="7">
        <f t="shared" si="2478"/>
        <v>0.0001</v>
      </c>
      <c r="P1268" s="7">
        <f t="shared" si="2478"/>
        <v>0.00035</v>
      </c>
      <c r="Q1268" s="7">
        <f t="shared" si="7"/>
        <v>0.04637887475</v>
      </c>
      <c r="R1268" s="7">
        <f t="shared" si="8"/>
        <v>0.003484412531</v>
      </c>
      <c r="S1268" s="7">
        <f t="shared" si="2"/>
        <v>1.003522574</v>
      </c>
      <c r="T1268" s="7">
        <f t="shared" si="3"/>
        <v>0.08246211251</v>
      </c>
      <c r="U1268" s="7">
        <f t="shared" si="4"/>
        <v>1</v>
      </c>
      <c r="V1268" s="7">
        <f t="shared" si="5"/>
        <v>1</v>
      </c>
      <c r="W1268" s="7">
        <f t="shared" ref="W1268:X1268" si="2479">IF(AVERAGE(U1208:U1267) &gt; 0.25, 1, 0)</f>
        <v>1</v>
      </c>
      <c r="X1268" s="7">
        <f t="shared" si="2479"/>
        <v>1</v>
      </c>
      <c r="Y1268" s="8">
        <v>1.0</v>
      </c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</row>
    <row r="1269" ht="22.5" customHeight="1">
      <c r="B1269" s="6">
        <v>1268.0</v>
      </c>
      <c r="C1269" s="6">
        <v>14111.0</v>
      </c>
      <c r="D1269" s="6">
        <v>2.62</v>
      </c>
      <c r="E1269" s="6">
        <v>-0.08</v>
      </c>
      <c r="F1269" s="6">
        <v>10.48</v>
      </c>
      <c r="G1269" s="6">
        <v>-0.05</v>
      </c>
      <c r="H1269" s="6">
        <v>0.04</v>
      </c>
      <c r="I1269" s="6">
        <v>0.08</v>
      </c>
      <c r="J1269" s="6">
        <v>33.26</v>
      </c>
      <c r="K1269" s="7">
        <f t="shared" ref="K1269:P1269" si="2480">abs(D1269-D1268)/200</f>
        <v>0.0002</v>
      </c>
      <c r="L1269" s="7">
        <f t="shared" si="2480"/>
        <v>0.0011</v>
      </c>
      <c r="M1269" s="7">
        <f t="shared" si="2480"/>
        <v>0.00005</v>
      </c>
      <c r="N1269" s="7">
        <f t="shared" si="2480"/>
        <v>0.00015</v>
      </c>
      <c r="O1269" s="7">
        <f t="shared" si="2480"/>
        <v>0.0002</v>
      </c>
      <c r="P1269" s="7">
        <f t="shared" si="2480"/>
        <v>0.0003</v>
      </c>
      <c r="Q1269" s="7">
        <f t="shared" si="7"/>
        <v>0.02000739515</v>
      </c>
      <c r="R1269" s="7">
        <f t="shared" si="8"/>
        <v>0.000689611905</v>
      </c>
      <c r="S1269" s="7">
        <f t="shared" si="2"/>
        <v>1.002832962</v>
      </c>
      <c r="T1269" s="7">
        <f t="shared" si="3"/>
        <v>0.1024695077</v>
      </c>
      <c r="U1269" s="7">
        <f t="shared" si="4"/>
        <v>1</v>
      </c>
      <c r="V1269" s="7">
        <f t="shared" si="5"/>
        <v>0</v>
      </c>
      <c r="W1269" s="7">
        <f t="shared" ref="W1269:X1269" si="2481">IF(AVERAGE(U1209:U1268) &gt; 0.25, 1, 0)</f>
        <v>1</v>
      </c>
      <c r="X1269" s="7">
        <f t="shared" si="2481"/>
        <v>1</v>
      </c>
      <c r="Y1269" s="8">
        <v>1.0</v>
      </c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</row>
    <row r="1270" ht="22.5" customHeight="1">
      <c r="B1270" s="6">
        <v>1269.0</v>
      </c>
      <c r="C1270" s="6">
        <v>14315.0</v>
      </c>
      <c r="D1270" s="6">
        <v>2.64</v>
      </c>
      <c r="E1270" s="6">
        <v>-0.19</v>
      </c>
      <c r="F1270" s="6">
        <v>10.46</v>
      </c>
      <c r="G1270" s="6">
        <v>-0.07</v>
      </c>
      <c r="H1270" s="6">
        <v>0.01</v>
      </c>
      <c r="I1270" s="6">
        <v>0.06</v>
      </c>
      <c r="J1270" s="6">
        <v>33.28</v>
      </c>
      <c r="K1270" s="7">
        <f t="shared" ref="K1270:P1270" si="2482">abs(D1270-D1269)/200</f>
        <v>0.0001</v>
      </c>
      <c r="L1270" s="7">
        <f t="shared" si="2482"/>
        <v>0.00055</v>
      </c>
      <c r="M1270" s="7">
        <f t="shared" si="2482"/>
        <v>0.0001</v>
      </c>
      <c r="N1270" s="7">
        <f t="shared" si="2482"/>
        <v>0.0001</v>
      </c>
      <c r="O1270" s="7">
        <f t="shared" si="2482"/>
        <v>0.00015</v>
      </c>
      <c r="P1270" s="7">
        <f t="shared" si="2482"/>
        <v>0.0001</v>
      </c>
      <c r="Q1270" s="7">
        <f t="shared" si="7"/>
        <v>0.009733322705</v>
      </c>
      <c r="R1270" s="7">
        <f t="shared" si="8"/>
        <v>0.01314807296</v>
      </c>
      <c r="S1270" s="7">
        <f t="shared" si="2"/>
        <v>0.9896848888</v>
      </c>
      <c r="T1270" s="7">
        <f t="shared" si="3"/>
        <v>0.09273618495</v>
      </c>
      <c r="U1270" s="7">
        <f t="shared" si="4"/>
        <v>1</v>
      </c>
      <c r="V1270" s="7">
        <f t="shared" si="5"/>
        <v>0</v>
      </c>
      <c r="W1270" s="7">
        <f t="shared" ref="W1270:X1270" si="2483">IF(AVERAGE(U1210:U1269) &gt; 0.25, 1, 0)</f>
        <v>1</v>
      </c>
      <c r="X1270" s="7">
        <f t="shared" si="2483"/>
        <v>1</v>
      </c>
      <c r="Y1270" s="8">
        <v>1.0</v>
      </c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</row>
    <row r="1271" ht="22.5" customHeight="1">
      <c r="B1271" s="6">
        <v>1270.0</v>
      </c>
      <c r="C1271" s="6">
        <v>14519.0</v>
      </c>
      <c r="D1271" s="6">
        <v>2.6</v>
      </c>
      <c r="E1271" s="6">
        <v>-0.03</v>
      </c>
      <c r="F1271" s="6">
        <v>10.48</v>
      </c>
      <c r="G1271" s="6">
        <v>-0.1</v>
      </c>
      <c r="H1271" s="6">
        <v>-0.04</v>
      </c>
      <c r="I1271" s="6">
        <v>-0.01</v>
      </c>
      <c r="J1271" s="6">
        <v>33.27</v>
      </c>
      <c r="K1271" s="7">
        <f t="shared" ref="K1271:P1271" si="2484">abs(D1271-D1270)/200</f>
        <v>0.0002</v>
      </c>
      <c r="L1271" s="7">
        <f t="shared" si="2484"/>
        <v>0.0008</v>
      </c>
      <c r="M1271" s="7">
        <f t="shared" si="2484"/>
        <v>0.0001</v>
      </c>
      <c r="N1271" s="7">
        <f t="shared" si="2484"/>
        <v>0.00015</v>
      </c>
      <c r="O1271" s="7">
        <f t="shared" si="2484"/>
        <v>0.00025</v>
      </c>
      <c r="P1271" s="7">
        <f t="shared" si="2484"/>
        <v>0.00035</v>
      </c>
      <c r="Q1271" s="7">
        <f t="shared" si="7"/>
        <v>0.01543035331</v>
      </c>
      <c r="R1271" s="7">
        <f t="shared" si="8"/>
        <v>0.008060246162</v>
      </c>
      <c r="S1271" s="7">
        <f t="shared" si="2"/>
        <v>0.997745135</v>
      </c>
      <c r="T1271" s="7">
        <f t="shared" si="3"/>
        <v>0.1081665383</v>
      </c>
      <c r="U1271" s="7">
        <f t="shared" si="4"/>
        <v>1</v>
      </c>
      <c r="V1271" s="7">
        <f t="shared" si="5"/>
        <v>1</v>
      </c>
      <c r="W1271" s="7">
        <f t="shared" ref="W1271:X1271" si="2485">IF(AVERAGE(U1211:U1270) &gt; 0.25, 1, 0)</f>
        <v>1</v>
      </c>
      <c r="X1271" s="7">
        <f t="shared" si="2485"/>
        <v>1</v>
      </c>
      <c r="Y1271" s="8">
        <v>1.0</v>
      </c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</row>
    <row r="1272" ht="22.5" customHeight="1">
      <c r="B1272" s="6">
        <v>1271.0</v>
      </c>
      <c r="C1272" s="6">
        <v>14723.0</v>
      </c>
      <c r="D1272" s="6">
        <v>2.69</v>
      </c>
      <c r="E1272" s="6">
        <v>-0.03</v>
      </c>
      <c r="F1272" s="6">
        <v>10.46</v>
      </c>
      <c r="G1272" s="6">
        <v>-0.09</v>
      </c>
      <c r="H1272" s="6">
        <v>-0.04</v>
      </c>
      <c r="I1272" s="6">
        <v>0.04</v>
      </c>
      <c r="J1272" s="6">
        <v>33.26</v>
      </c>
      <c r="K1272" s="7">
        <f t="shared" ref="K1272:P1272" si="2486">abs(D1272-D1271)/200</f>
        <v>0.00045</v>
      </c>
      <c r="L1272" s="7">
        <f t="shared" si="2486"/>
        <v>0</v>
      </c>
      <c r="M1272" s="7">
        <f t="shared" si="2486"/>
        <v>0.0001</v>
      </c>
      <c r="N1272" s="7">
        <f t="shared" si="2486"/>
        <v>0.00005</v>
      </c>
      <c r="O1272" s="7">
        <f t="shared" si="2486"/>
        <v>0</v>
      </c>
      <c r="P1272" s="7">
        <f t="shared" si="2486"/>
        <v>0.00025</v>
      </c>
      <c r="Q1272" s="7">
        <f t="shared" si="7"/>
        <v>0.001865080137</v>
      </c>
      <c r="R1272" s="7">
        <f t="shared" si="8"/>
        <v>0.002653005829</v>
      </c>
      <c r="S1272" s="7">
        <f t="shared" si="2"/>
        <v>1.000398141</v>
      </c>
      <c r="T1272" s="7">
        <f t="shared" si="3"/>
        <v>0.1063014581</v>
      </c>
      <c r="U1272" s="7">
        <f t="shared" si="4"/>
        <v>1</v>
      </c>
      <c r="V1272" s="7">
        <f t="shared" si="5"/>
        <v>0</v>
      </c>
      <c r="W1272" s="7">
        <f t="shared" ref="W1272:X1272" si="2487">IF(AVERAGE(U1212:U1271) &gt; 0.25, 1, 0)</f>
        <v>1</v>
      </c>
      <c r="X1272" s="7">
        <f t="shared" si="2487"/>
        <v>1</v>
      </c>
      <c r="Y1272" s="8">
        <v>1.0</v>
      </c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</row>
    <row r="1273" ht="22.5" customHeight="1">
      <c r="B1273" s="6">
        <v>1272.0</v>
      </c>
      <c r="C1273" s="6">
        <v>14927.0</v>
      </c>
      <c r="D1273" s="6">
        <v>2.77</v>
      </c>
      <c r="E1273" s="6">
        <v>-0.22</v>
      </c>
      <c r="F1273" s="6">
        <v>10.43</v>
      </c>
      <c r="G1273" s="6">
        <v>-0.11</v>
      </c>
      <c r="H1273" s="6">
        <v>-0.02</v>
      </c>
      <c r="I1273" s="6">
        <v>0.0</v>
      </c>
      <c r="J1273" s="6">
        <v>33.28</v>
      </c>
      <c r="K1273" s="7">
        <f t="shared" ref="K1273:P1273" si="2488">abs(D1273-D1272)/200</f>
        <v>0.0004</v>
      </c>
      <c r="L1273" s="7">
        <f t="shared" si="2488"/>
        <v>0.00095</v>
      </c>
      <c r="M1273" s="7">
        <f t="shared" si="2488"/>
        <v>0.00015</v>
      </c>
      <c r="N1273" s="7">
        <f t="shared" si="2488"/>
        <v>0.0001</v>
      </c>
      <c r="O1273" s="7">
        <f t="shared" si="2488"/>
        <v>0.0001</v>
      </c>
      <c r="P1273" s="7">
        <f t="shared" si="2488"/>
        <v>0.0002</v>
      </c>
      <c r="Q1273" s="7">
        <f t="shared" si="7"/>
        <v>0.005501940748</v>
      </c>
      <c r="R1273" s="7">
        <f t="shared" si="8"/>
        <v>0.006594362715</v>
      </c>
      <c r="S1273" s="7">
        <f t="shared" si="2"/>
        <v>0.9938037781</v>
      </c>
      <c r="T1273" s="7">
        <f t="shared" si="3"/>
        <v>0.1118033989</v>
      </c>
      <c r="U1273" s="7">
        <f t="shared" si="4"/>
        <v>1</v>
      </c>
      <c r="V1273" s="7">
        <f t="shared" si="5"/>
        <v>0</v>
      </c>
      <c r="W1273" s="7">
        <f t="shared" ref="W1273:X1273" si="2489">IF(AVERAGE(U1213:U1272) &gt; 0.25, 1, 0)</f>
        <v>1</v>
      </c>
      <c r="X1273" s="7">
        <f t="shared" si="2489"/>
        <v>1</v>
      </c>
      <c r="Y1273" s="8">
        <v>1.0</v>
      </c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</row>
    <row r="1274" ht="22.5" customHeight="1">
      <c r="B1274" s="6">
        <v>1273.0</v>
      </c>
      <c r="C1274" s="6">
        <v>15131.0</v>
      </c>
      <c r="D1274" s="6">
        <v>2.7</v>
      </c>
      <c r="E1274" s="6">
        <v>0.02</v>
      </c>
      <c r="F1274" s="6">
        <v>10.46</v>
      </c>
      <c r="G1274" s="6">
        <v>-0.12</v>
      </c>
      <c r="H1274" s="6">
        <v>-0.02</v>
      </c>
      <c r="I1274" s="6">
        <v>-0.04</v>
      </c>
      <c r="J1274" s="6">
        <v>33.27</v>
      </c>
      <c r="K1274" s="7">
        <f t="shared" ref="K1274:P1274" si="2490">abs(D1274-D1273)/200</f>
        <v>0.00035</v>
      </c>
      <c r="L1274" s="7">
        <f t="shared" si="2490"/>
        <v>0.0012</v>
      </c>
      <c r="M1274" s="7">
        <f t="shared" si="2490"/>
        <v>0.00015</v>
      </c>
      <c r="N1274" s="7">
        <f t="shared" si="2490"/>
        <v>0.00005</v>
      </c>
      <c r="O1274" s="7">
        <f t="shared" si="2490"/>
        <v>0</v>
      </c>
      <c r="P1274" s="7">
        <f t="shared" si="2490"/>
        <v>0.0002</v>
      </c>
      <c r="Q1274" s="7">
        <f t="shared" si="7"/>
        <v>0.01625908587</v>
      </c>
      <c r="R1274" s="7">
        <f t="shared" si="8"/>
        <v>0.009066210941</v>
      </c>
      <c r="S1274" s="7">
        <f t="shared" si="2"/>
        <v>1.002869989</v>
      </c>
      <c r="T1274" s="7">
        <f t="shared" si="3"/>
        <v>0.1280624847</v>
      </c>
      <c r="U1274" s="7">
        <f t="shared" si="4"/>
        <v>1</v>
      </c>
      <c r="V1274" s="7">
        <f t="shared" si="5"/>
        <v>0</v>
      </c>
      <c r="W1274" s="7">
        <f t="shared" ref="W1274:X1274" si="2491">IF(AVERAGE(U1214:U1273) &gt; 0.25, 1, 0)</f>
        <v>1</v>
      </c>
      <c r="X1274" s="7">
        <f t="shared" si="2491"/>
        <v>1</v>
      </c>
      <c r="Y1274" s="8">
        <v>1.0</v>
      </c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</row>
    <row r="1275" ht="22.5" customHeight="1">
      <c r="B1275" s="6">
        <v>1274.0</v>
      </c>
      <c r="C1275" s="6">
        <v>15335.0</v>
      </c>
      <c r="D1275" s="6">
        <v>2.74</v>
      </c>
      <c r="E1275" s="6">
        <v>-0.06</v>
      </c>
      <c r="F1275" s="6">
        <v>10.44</v>
      </c>
      <c r="G1275" s="6">
        <v>-0.12</v>
      </c>
      <c r="H1275" s="6">
        <v>-0.02</v>
      </c>
      <c r="I1275" s="6">
        <v>-0.05</v>
      </c>
      <c r="J1275" s="6">
        <v>33.27</v>
      </c>
      <c r="K1275" s="7">
        <f t="shared" ref="K1275:P1275" si="2492">abs(D1275-D1274)/200</f>
        <v>0.0002</v>
      </c>
      <c r="L1275" s="7">
        <f t="shared" si="2492"/>
        <v>0.0004</v>
      </c>
      <c r="M1275" s="7">
        <f t="shared" si="2492"/>
        <v>0.0001</v>
      </c>
      <c r="N1275" s="7">
        <f t="shared" si="2492"/>
        <v>0</v>
      </c>
      <c r="O1275" s="7">
        <f t="shared" si="2492"/>
        <v>0</v>
      </c>
      <c r="P1275" s="7">
        <f t="shared" si="2492"/>
        <v>0.00005</v>
      </c>
      <c r="Q1275" s="7">
        <f t="shared" si="7"/>
        <v>0.003466979631</v>
      </c>
      <c r="R1275" s="7">
        <f t="shared" si="8"/>
        <v>0.009131063158</v>
      </c>
      <c r="S1275" s="7">
        <f t="shared" si="2"/>
        <v>0.9937389259</v>
      </c>
      <c r="T1275" s="7">
        <f t="shared" si="3"/>
        <v>0.1315294644</v>
      </c>
      <c r="U1275" s="7">
        <f t="shared" si="4"/>
        <v>1</v>
      </c>
      <c r="V1275" s="7">
        <f t="shared" si="5"/>
        <v>0</v>
      </c>
      <c r="W1275" s="7">
        <f t="shared" ref="W1275:X1275" si="2493">IF(AVERAGE(U1215:U1274) &gt; 0.25, 1, 0)</f>
        <v>1</v>
      </c>
      <c r="X1275" s="7">
        <f t="shared" si="2493"/>
        <v>1</v>
      </c>
      <c r="Y1275" s="8">
        <v>1.0</v>
      </c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</row>
    <row r="1276" ht="22.5" customHeight="1">
      <c r="B1276" s="6">
        <v>1275.0</v>
      </c>
      <c r="C1276" s="6">
        <v>15539.0</v>
      </c>
      <c r="D1276" s="6">
        <v>2.77</v>
      </c>
      <c r="E1276" s="6">
        <v>-0.05</v>
      </c>
      <c r="F1276" s="6">
        <v>10.4</v>
      </c>
      <c r="G1276" s="6">
        <v>-0.11</v>
      </c>
      <c r="H1276" s="6">
        <v>0.0</v>
      </c>
      <c r="I1276" s="6">
        <v>-0.1</v>
      </c>
      <c r="J1276" s="6">
        <v>33.27</v>
      </c>
      <c r="K1276" s="7">
        <f t="shared" ref="K1276:P1276" si="2494">abs(D1276-D1275)/200</f>
        <v>0.00015</v>
      </c>
      <c r="L1276" s="7">
        <f t="shared" si="2494"/>
        <v>0.00005</v>
      </c>
      <c r="M1276" s="7">
        <f t="shared" si="2494"/>
        <v>0.0002</v>
      </c>
      <c r="N1276" s="7">
        <f t="shared" si="2494"/>
        <v>0.00005</v>
      </c>
      <c r="O1276" s="7">
        <f t="shared" si="2494"/>
        <v>0.0001</v>
      </c>
      <c r="P1276" s="7">
        <f t="shared" si="2494"/>
        <v>0.00025</v>
      </c>
      <c r="Q1276" s="7">
        <f t="shared" si="7"/>
        <v>0.01713122309</v>
      </c>
      <c r="R1276" s="7">
        <f t="shared" si="8"/>
        <v>0.03105338741</v>
      </c>
      <c r="S1276" s="7">
        <f t="shared" si="2"/>
        <v>0.9626855385</v>
      </c>
      <c r="T1276" s="7">
        <f t="shared" si="3"/>
        <v>0.1486606875</v>
      </c>
      <c r="U1276" s="7">
        <f t="shared" si="4"/>
        <v>0</v>
      </c>
      <c r="V1276" s="7">
        <f t="shared" si="5"/>
        <v>0</v>
      </c>
      <c r="W1276" s="7">
        <f t="shared" ref="W1276:X1276" si="2495">IF(AVERAGE(U1216:U1275) &gt; 0.25, 1, 0)</f>
        <v>1</v>
      </c>
      <c r="X1276" s="7">
        <f t="shared" si="2495"/>
        <v>1</v>
      </c>
      <c r="Y1276" s="8">
        <v>1.0</v>
      </c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</row>
    <row r="1277" ht="22.5" customHeight="1">
      <c r="B1277" s="6">
        <v>1276.0</v>
      </c>
      <c r="C1277" s="6">
        <v>15743.0</v>
      </c>
      <c r="D1277" s="6">
        <v>2.6</v>
      </c>
      <c r="E1277" s="6">
        <v>0.28</v>
      </c>
      <c r="F1277" s="6">
        <v>10.47</v>
      </c>
      <c r="G1277" s="6">
        <v>-0.12</v>
      </c>
      <c r="H1277" s="6">
        <v>0.02</v>
      </c>
      <c r="I1277" s="6">
        <v>-0.14</v>
      </c>
      <c r="J1277" s="6">
        <v>33.27</v>
      </c>
      <c r="K1277" s="7">
        <f t="shared" ref="K1277:P1277" si="2496">abs(D1277-D1276)/200</f>
        <v>0.00085</v>
      </c>
      <c r="L1277" s="7">
        <f t="shared" si="2496"/>
        <v>0.00165</v>
      </c>
      <c r="M1277" s="7">
        <f t="shared" si="2496"/>
        <v>0.00035</v>
      </c>
      <c r="N1277" s="7">
        <f t="shared" si="2496"/>
        <v>0.00005</v>
      </c>
      <c r="O1277" s="7">
        <f t="shared" si="2496"/>
        <v>0.0001</v>
      </c>
      <c r="P1277" s="7">
        <f t="shared" si="2496"/>
        <v>0.0002</v>
      </c>
      <c r="Q1277" s="7">
        <f t="shared" si="7"/>
        <v>0.03681168244</v>
      </c>
      <c r="R1277" s="7">
        <f t="shared" si="8"/>
        <v>0.0289454782</v>
      </c>
      <c r="S1277" s="7">
        <f t="shared" si="2"/>
        <v>0.9916310167</v>
      </c>
      <c r="T1277" s="7">
        <f t="shared" si="3"/>
        <v>0.1854723699</v>
      </c>
      <c r="U1277" s="7">
        <f t="shared" si="4"/>
        <v>1</v>
      </c>
      <c r="V1277" s="7">
        <f t="shared" si="5"/>
        <v>0</v>
      </c>
      <c r="W1277" s="7">
        <f t="shared" ref="W1277:X1277" si="2497">IF(AVERAGE(U1217:U1276) &gt; 0.25, 1, 0)</f>
        <v>1</v>
      </c>
      <c r="X1277" s="7">
        <f t="shared" si="2497"/>
        <v>1</v>
      </c>
      <c r="Y1277" s="8">
        <v>1.0</v>
      </c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</row>
    <row r="1278" ht="22.5" customHeight="1">
      <c r="B1278" s="6">
        <v>1277.0</v>
      </c>
      <c r="C1278" s="6">
        <v>15947.0</v>
      </c>
      <c r="D1278" s="6">
        <v>2.72</v>
      </c>
      <c r="E1278" s="6">
        <v>-0.02</v>
      </c>
      <c r="F1278" s="6">
        <v>10.44</v>
      </c>
      <c r="G1278" s="6">
        <v>-0.1</v>
      </c>
      <c r="H1278" s="6">
        <v>-0.01</v>
      </c>
      <c r="I1278" s="6">
        <v>-0.01</v>
      </c>
      <c r="J1278" s="6">
        <v>33.28</v>
      </c>
      <c r="K1278" s="7">
        <f t="shared" ref="K1278:P1278" si="2498">abs(D1278-D1277)/200</f>
        <v>0.0006</v>
      </c>
      <c r="L1278" s="7">
        <f t="shared" si="2498"/>
        <v>0.0015</v>
      </c>
      <c r="M1278" s="7">
        <f t="shared" si="2498"/>
        <v>0.00015</v>
      </c>
      <c r="N1278" s="7">
        <f t="shared" si="2498"/>
        <v>0.0001</v>
      </c>
      <c r="O1278" s="7">
        <f t="shared" si="2498"/>
        <v>0.00015</v>
      </c>
      <c r="P1278" s="7">
        <f t="shared" si="2498"/>
        <v>0.00065</v>
      </c>
      <c r="Q1278" s="7">
        <f t="shared" si="7"/>
        <v>0.08447732053</v>
      </c>
      <c r="R1278" s="7">
        <f t="shared" si="8"/>
        <v>0.003100069412</v>
      </c>
      <c r="S1278" s="7">
        <f t="shared" si="2"/>
        <v>0.9885309473</v>
      </c>
      <c r="T1278" s="7">
        <f t="shared" si="3"/>
        <v>0.1009950494</v>
      </c>
      <c r="U1278" s="7">
        <f t="shared" si="4"/>
        <v>1</v>
      </c>
      <c r="V1278" s="7">
        <f t="shared" si="5"/>
        <v>1</v>
      </c>
      <c r="W1278" s="7">
        <f t="shared" ref="W1278:X1278" si="2499">IF(AVERAGE(U1218:U1277) &gt; 0.25, 1, 0)</f>
        <v>1</v>
      </c>
      <c r="X1278" s="7">
        <f t="shared" si="2499"/>
        <v>1</v>
      </c>
      <c r="Y1278" s="8">
        <v>1.0</v>
      </c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</row>
    <row r="1279" ht="22.5" customHeight="1">
      <c r="B1279" s="6">
        <v>1278.0</v>
      </c>
      <c r="C1279" s="6">
        <v>16151.0</v>
      </c>
      <c r="D1279" s="6">
        <v>2.7</v>
      </c>
      <c r="E1279" s="6">
        <v>-0.03</v>
      </c>
      <c r="F1279" s="6">
        <v>10.44</v>
      </c>
      <c r="G1279" s="6">
        <v>-0.09</v>
      </c>
      <c r="H1279" s="6">
        <v>0.01</v>
      </c>
      <c r="I1279" s="6">
        <v>-0.01</v>
      </c>
      <c r="J1279" s="6">
        <v>33.28</v>
      </c>
      <c r="K1279" s="7">
        <f t="shared" ref="K1279:P1279" si="2500">abs(D1279-D1278)/200</f>
        <v>0.0001</v>
      </c>
      <c r="L1279" s="7">
        <f t="shared" si="2500"/>
        <v>0.00005</v>
      </c>
      <c r="M1279" s="7">
        <f t="shared" si="2500"/>
        <v>0</v>
      </c>
      <c r="N1279" s="7">
        <f t="shared" si="2500"/>
        <v>0.00005</v>
      </c>
      <c r="O1279" s="7">
        <f t="shared" si="2500"/>
        <v>0.0001</v>
      </c>
      <c r="P1279" s="7">
        <f t="shared" si="2500"/>
        <v>0</v>
      </c>
      <c r="Q1279" s="7">
        <f t="shared" si="7"/>
        <v>0.009890713592</v>
      </c>
      <c r="R1279" s="7">
        <f t="shared" si="8"/>
        <v>0.005001840331</v>
      </c>
      <c r="S1279" s="7">
        <f t="shared" si="2"/>
        <v>0.9835291069</v>
      </c>
      <c r="T1279" s="7">
        <f t="shared" si="3"/>
        <v>0.09110433579</v>
      </c>
      <c r="U1279" s="7">
        <f t="shared" si="4"/>
        <v>0</v>
      </c>
      <c r="V1279" s="7">
        <f t="shared" si="5"/>
        <v>0</v>
      </c>
      <c r="W1279" s="7">
        <f t="shared" ref="W1279:X1279" si="2501">IF(AVERAGE(U1219:U1278) &gt; 0.25, 1, 0)</f>
        <v>1</v>
      </c>
      <c r="X1279" s="7">
        <f t="shared" si="2501"/>
        <v>1</v>
      </c>
      <c r="Y1279" s="8">
        <v>1.0</v>
      </c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</row>
    <row r="1280" ht="22.5" customHeight="1">
      <c r="B1280" s="6">
        <v>1279.0</v>
      </c>
      <c r="C1280" s="6">
        <v>16355.0</v>
      </c>
      <c r="D1280" s="6">
        <v>2.67</v>
      </c>
      <c r="E1280" s="6">
        <v>0.03</v>
      </c>
      <c r="F1280" s="6">
        <v>10.47</v>
      </c>
      <c r="G1280" s="6">
        <v>-0.09</v>
      </c>
      <c r="H1280" s="6">
        <v>0.04</v>
      </c>
      <c r="I1280" s="6">
        <v>-0.04</v>
      </c>
      <c r="J1280" s="6">
        <v>33.28</v>
      </c>
      <c r="K1280" s="7">
        <f t="shared" ref="K1280:P1280" si="2502">abs(D1280-D1279)/200</f>
        <v>0.00015</v>
      </c>
      <c r="L1280" s="7">
        <f t="shared" si="2502"/>
        <v>0.0003</v>
      </c>
      <c r="M1280" s="7">
        <f t="shared" si="2502"/>
        <v>0.00015</v>
      </c>
      <c r="N1280" s="7">
        <f t="shared" si="2502"/>
        <v>0</v>
      </c>
      <c r="O1280" s="7">
        <f t="shared" si="2502"/>
        <v>0.00015</v>
      </c>
      <c r="P1280" s="7">
        <f t="shared" si="2502"/>
        <v>0.00015</v>
      </c>
      <c r="Q1280" s="7">
        <f t="shared" si="7"/>
        <v>0.01519712234</v>
      </c>
      <c r="R1280" s="7">
        <f t="shared" si="8"/>
        <v>0.02159467765</v>
      </c>
      <c r="S1280" s="7">
        <f t="shared" si="2"/>
        <v>1.005123785</v>
      </c>
      <c r="T1280" s="7">
        <f t="shared" si="3"/>
        <v>0.1063014581</v>
      </c>
      <c r="U1280" s="7">
        <f t="shared" si="4"/>
        <v>0</v>
      </c>
      <c r="V1280" s="7">
        <f t="shared" si="5"/>
        <v>0</v>
      </c>
      <c r="W1280" s="7">
        <f t="shared" ref="W1280:X1280" si="2503">IF(AVERAGE(U1220:U1279) &gt; 0.25, 1, 0)</f>
        <v>1</v>
      </c>
      <c r="X1280" s="7">
        <f t="shared" si="2503"/>
        <v>1</v>
      </c>
      <c r="Y1280" s="8">
        <v>1.0</v>
      </c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</row>
    <row r="1281" ht="22.5" customHeight="1">
      <c r="B1281" s="6">
        <v>1280.0</v>
      </c>
      <c r="C1281" s="6">
        <v>16559.0</v>
      </c>
      <c r="D1281" s="6">
        <v>2.61</v>
      </c>
      <c r="E1281" s="6">
        <v>-0.02</v>
      </c>
      <c r="F1281" s="6">
        <v>10.44</v>
      </c>
      <c r="G1281" s="6">
        <v>-0.1</v>
      </c>
      <c r="H1281" s="6">
        <v>0.0</v>
      </c>
      <c r="I1281" s="6">
        <v>-0.05</v>
      </c>
      <c r="J1281" s="6">
        <v>33.27</v>
      </c>
      <c r="K1281" s="7">
        <f t="shared" ref="K1281:P1281" si="2504">abs(D1281-D1280)/200</f>
        <v>0.0003</v>
      </c>
      <c r="L1281" s="7">
        <f t="shared" si="2504"/>
        <v>0.00025</v>
      </c>
      <c r="M1281" s="7">
        <f t="shared" si="2504"/>
        <v>0.00015</v>
      </c>
      <c r="N1281" s="7">
        <f t="shared" si="2504"/>
        <v>0.00005</v>
      </c>
      <c r="O1281" s="7">
        <f t="shared" si="2504"/>
        <v>0.0002</v>
      </c>
      <c r="P1281" s="7">
        <f t="shared" si="2504"/>
        <v>0.00005</v>
      </c>
      <c r="Q1281" s="7">
        <f t="shared" si="7"/>
        <v>0.005501940748</v>
      </c>
      <c r="R1281" s="7">
        <f t="shared" si="8"/>
        <v>0.04379951662</v>
      </c>
      <c r="S1281" s="7">
        <f t="shared" si="2"/>
        <v>0.961324268</v>
      </c>
      <c r="T1281" s="7">
        <f t="shared" si="3"/>
        <v>0.1118033989</v>
      </c>
      <c r="U1281" s="7">
        <f t="shared" si="4"/>
        <v>0</v>
      </c>
      <c r="V1281" s="7">
        <f t="shared" si="5"/>
        <v>0</v>
      </c>
      <c r="W1281" s="7">
        <f t="shared" ref="W1281:X1281" si="2505">IF(AVERAGE(U1221:U1280) &gt; 0.25, 1, 0)</f>
        <v>1</v>
      </c>
      <c r="X1281" s="7">
        <f t="shared" si="2505"/>
        <v>1</v>
      </c>
      <c r="Y1281" s="8">
        <v>1.0</v>
      </c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</row>
    <row r="1282" ht="22.5" customHeight="1">
      <c r="B1282" s="6">
        <v>1281.0</v>
      </c>
      <c r="C1282" s="6">
        <v>16763.0</v>
      </c>
      <c r="D1282" s="6">
        <v>2.55</v>
      </c>
      <c r="E1282" s="6">
        <v>0.17</v>
      </c>
      <c r="F1282" s="6">
        <v>10.47</v>
      </c>
      <c r="G1282" s="6">
        <v>-0.11</v>
      </c>
      <c r="H1282" s="6">
        <v>0.03</v>
      </c>
      <c r="I1282" s="6">
        <v>-0.08</v>
      </c>
      <c r="J1282" s="6">
        <v>33.25</v>
      </c>
      <c r="K1282" s="7">
        <f t="shared" ref="K1282:P1282" si="2506">abs(D1282-D1281)/200</f>
        <v>0.0003</v>
      </c>
      <c r="L1282" s="7">
        <f t="shared" si="2506"/>
        <v>0.00095</v>
      </c>
      <c r="M1282" s="7">
        <f t="shared" si="2506"/>
        <v>0.00015</v>
      </c>
      <c r="N1282" s="7">
        <f t="shared" si="2506"/>
        <v>0.00005</v>
      </c>
      <c r="O1282" s="7">
        <f t="shared" si="2506"/>
        <v>0.00015</v>
      </c>
      <c r="P1282" s="7">
        <f t="shared" si="2506"/>
        <v>0.00015</v>
      </c>
      <c r="Q1282" s="7">
        <f t="shared" si="7"/>
        <v>0.0274804839</v>
      </c>
      <c r="R1282" s="7">
        <f t="shared" si="8"/>
        <v>0.01607337712</v>
      </c>
      <c r="S1282" s="7">
        <f t="shared" si="2"/>
        <v>0.9773976451</v>
      </c>
      <c r="T1282" s="7">
        <f t="shared" si="3"/>
        <v>0.1392838828</v>
      </c>
      <c r="U1282" s="7">
        <f t="shared" si="4"/>
        <v>1</v>
      </c>
      <c r="V1282" s="7">
        <f t="shared" si="5"/>
        <v>0</v>
      </c>
      <c r="W1282" s="7">
        <f t="shared" ref="W1282:X1282" si="2507">IF(AVERAGE(U1222:U1281) &gt; 0.25, 1, 0)</f>
        <v>1</v>
      </c>
      <c r="X1282" s="7">
        <f t="shared" si="2507"/>
        <v>1</v>
      </c>
      <c r="Y1282" s="8">
        <v>1.0</v>
      </c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</row>
    <row r="1283" ht="22.5" customHeight="1">
      <c r="B1283" s="6">
        <v>1282.0</v>
      </c>
      <c r="C1283" s="6">
        <v>16967.0</v>
      </c>
      <c r="D1283" s="6">
        <v>2.56</v>
      </c>
      <c r="E1283" s="6">
        <v>0.01</v>
      </c>
      <c r="F1283" s="6">
        <v>10.5</v>
      </c>
      <c r="G1283" s="6">
        <v>-0.09</v>
      </c>
      <c r="H1283" s="6">
        <v>-0.02</v>
      </c>
      <c r="I1283" s="6">
        <v>0.01</v>
      </c>
      <c r="J1283" s="6">
        <v>33.28</v>
      </c>
      <c r="K1283" s="7">
        <f t="shared" ref="K1283:P1283" si="2508">abs(D1283-D1282)/200</f>
        <v>0.00005</v>
      </c>
      <c r="L1283" s="7">
        <f t="shared" si="2508"/>
        <v>0.0008</v>
      </c>
      <c r="M1283" s="7">
        <f t="shared" si="2508"/>
        <v>0.00015</v>
      </c>
      <c r="N1283" s="7">
        <f t="shared" si="2508"/>
        <v>0.0001</v>
      </c>
      <c r="O1283" s="7">
        <f t="shared" si="2508"/>
        <v>0.00025</v>
      </c>
      <c r="P1283" s="7">
        <f t="shared" si="2508"/>
        <v>0.00045</v>
      </c>
      <c r="Q1283" s="7">
        <f t="shared" si="7"/>
        <v>0.04654769782</v>
      </c>
      <c r="R1283" s="7">
        <f t="shared" si="8"/>
        <v>0.03017840139</v>
      </c>
      <c r="S1283" s="7">
        <f t="shared" si="2"/>
        <v>1.007576046</v>
      </c>
      <c r="T1283" s="7">
        <f t="shared" si="3"/>
        <v>0.09273618495</v>
      </c>
      <c r="U1283" s="7">
        <f t="shared" si="4"/>
        <v>1</v>
      </c>
      <c r="V1283" s="7">
        <f t="shared" si="5"/>
        <v>1</v>
      </c>
      <c r="W1283" s="7">
        <f t="shared" ref="W1283:X1283" si="2509">IF(AVERAGE(U1223:U1282) &gt; 0.25, 1, 0)</f>
        <v>1</v>
      </c>
      <c r="X1283" s="7">
        <f t="shared" si="2509"/>
        <v>1</v>
      </c>
      <c r="Y1283" s="8">
        <v>1.0</v>
      </c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</row>
    <row r="1284" ht="22.5" customHeight="1">
      <c r="B1284" s="6">
        <v>1283.0</v>
      </c>
      <c r="C1284" s="6">
        <v>17171.0</v>
      </c>
      <c r="D1284" s="6">
        <v>2.66</v>
      </c>
      <c r="E1284" s="6">
        <v>-0.09</v>
      </c>
      <c r="F1284" s="6">
        <v>10.47</v>
      </c>
      <c r="G1284" s="6">
        <v>-0.11</v>
      </c>
      <c r="H1284" s="6">
        <v>-0.03</v>
      </c>
      <c r="I1284" s="6">
        <v>0.02</v>
      </c>
      <c r="J1284" s="6">
        <v>33.27</v>
      </c>
      <c r="K1284" s="7">
        <f t="shared" ref="K1284:P1284" si="2510">abs(D1284-D1283)/200</f>
        <v>0.0005</v>
      </c>
      <c r="L1284" s="7">
        <f t="shared" si="2510"/>
        <v>0.0005</v>
      </c>
      <c r="M1284" s="7">
        <f t="shared" si="2510"/>
        <v>0.00015</v>
      </c>
      <c r="N1284" s="7">
        <f t="shared" si="2510"/>
        <v>0.0001</v>
      </c>
      <c r="O1284" s="7">
        <f t="shared" si="2510"/>
        <v>0.00005</v>
      </c>
      <c r="P1284" s="7">
        <f t="shared" si="2510"/>
        <v>0.00005</v>
      </c>
      <c r="Q1284" s="7">
        <f t="shared" si="7"/>
        <v>0.02302218407</v>
      </c>
      <c r="R1284" s="7">
        <f t="shared" si="8"/>
        <v>0.004585719703</v>
      </c>
      <c r="S1284" s="7">
        <f t="shared" si="2"/>
        <v>1.002990327</v>
      </c>
      <c r="T1284" s="7">
        <f t="shared" si="3"/>
        <v>0.115758369</v>
      </c>
      <c r="U1284" s="7">
        <f t="shared" si="4"/>
        <v>1</v>
      </c>
      <c r="V1284" s="7">
        <f t="shared" si="5"/>
        <v>0</v>
      </c>
      <c r="W1284" s="7">
        <f t="shared" ref="W1284:X1284" si="2511">IF(AVERAGE(U1224:U1283) &gt; 0.25, 1, 0)</f>
        <v>1</v>
      </c>
      <c r="X1284" s="7">
        <f t="shared" si="2511"/>
        <v>1</v>
      </c>
      <c r="Y1284" s="8">
        <v>1.0</v>
      </c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</row>
    <row r="1285" ht="22.5" customHeight="1">
      <c r="B1285" s="6">
        <v>1284.0</v>
      </c>
      <c r="C1285" s="6">
        <v>17375.0</v>
      </c>
      <c r="D1285" s="6">
        <v>2.64</v>
      </c>
      <c r="E1285" s="6">
        <v>-0.12</v>
      </c>
      <c r="F1285" s="6">
        <v>10.43</v>
      </c>
      <c r="G1285" s="6">
        <v>-0.14</v>
      </c>
      <c r="H1285" s="6">
        <v>0.03</v>
      </c>
      <c r="I1285" s="6">
        <v>-0.3</v>
      </c>
      <c r="J1285" s="6">
        <v>33.27</v>
      </c>
      <c r="K1285" s="7">
        <f t="shared" ref="K1285:P1285" si="2512">abs(D1285-D1284)/200</f>
        <v>0.0001</v>
      </c>
      <c r="L1285" s="7">
        <f t="shared" si="2512"/>
        <v>0.00015</v>
      </c>
      <c r="M1285" s="7">
        <f t="shared" si="2512"/>
        <v>0.0002</v>
      </c>
      <c r="N1285" s="7">
        <f t="shared" si="2512"/>
        <v>0.00015</v>
      </c>
      <c r="O1285" s="7">
        <f t="shared" si="2512"/>
        <v>0.0003</v>
      </c>
      <c r="P1285" s="7">
        <f t="shared" si="2512"/>
        <v>0.0016</v>
      </c>
      <c r="Q1285" s="7">
        <f t="shared" si="7"/>
        <v>0.2166570337</v>
      </c>
      <c r="R1285" s="7">
        <f t="shared" si="8"/>
        <v>0.04339460944</v>
      </c>
      <c r="S1285" s="7">
        <f t="shared" si="2"/>
        <v>0.9595957173</v>
      </c>
      <c r="T1285" s="7">
        <f t="shared" si="3"/>
        <v>0.3324154028</v>
      </c>
      <c r="U1285" s="7">
        <f t="shared" si="4"/>
        <v>0</v>
      </c>
      <c r="V1285" s="7">
        <f t="shared" si="5"/>
        <v>1</v>
      </c>
      <c r="W1285" s="7">
        <f t="shared" ref="W1285:X1285" si="2513">IF(AVERAGE(U1225:U1284) &gt; 0.25, 1, 0)</f>
        <v>1</v>
      </c>
      <c r="X1285" s="7">
        <f t="shared" si="2513"/>
        <v>1</v>
      </c>
      <c r="Y1285" s="8">
        <v>1.0</v>
      </c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</row>
    <row r="1286" ht="22.5" customHeight="1">
      <c r="B1286" s="6">
        <v>1285.0</v>
      </c>
      <c r="C1286" s="6">
        <v>17579.0</v>
      </c>
      <c r="D1286" s="6">
        <v>2.45</v>
      </c>
      <c r="E1286" s="6">
        <v>0.15</v>
      </c>
      <c r="F1286" s="6">
        <v>10.46</v>
      </c>
      <c r="G1286" s="6">
        <v>-0.09</v>
      </c>
      <c r="H1286" s="6">
        <v>0.06</v>
      </c>
      <c r="I1286" s="6">
        <v>-0.04</v>
      </c>
      <c r="J1286" s="6">
        <v>33.28</v>
      </c>
      <c r="K1286" s="7">
        <f t="shared" ref="K1286:P1286" si="2514">abs(D1286-D1285)/200</f>
        <v>0.00095</v>
      </c>
      <c r="L1286" s="7">
        <f t="shared" si="2514"/>
        <v>0.00135</v>
      </c>
      <c r="M1286" s="7">
        <f t="shared" si="2514"/>
        <v>0.00015</v>
      </c>
      <c r="N1286" s="7">
        <f t="shared" si="2514"/>
        <v>0.00025</v>
      </c>
      <c r="O1286" s="7">
        <f t="shared" si="2514"/>
        <v>0.00015</v>
      </c>
      <c r="P1286" s="7">
        <f t="shared" si="2514"/>
        <v>0.0013</v>
      </c>
      <c r="Q1286" s="7">
        <f t="shared" si="7"/>
        <v>0.2170897768</v>
      </c>
      <c r="R1286" s="7">
        <f t="shared" si="8"/>
        <v>0.01545312704</v>
      </c>
      <c r="S1286" s="7">
        <f t="shared" si="2"/>
        <v>0.9441425903</v>
      </c>
      <c r="T1286" s="7">
        <f t="shared" si="3"/>
        <v>0.1153256259</v>
      </c>
      <c r="U1286" s="7">
        <f t="shared" si="4"/>
        <v>1</v>
      </c>
      <c r="V1286" s="7">
        <f t="shared" si="5"/>
        <v>1</v>
      </c>
      <c r="W1286" s="7">
        <f t="shared" ref="W1286:X1286" si="2515">IF(AVERAGE(U1226:U1285) &gt; 0.25, 1, 0)</f>
        <v>1</v>
      </c>
      <c r="X1286" s="7">
        <f t="shared" si="2515"/>
        <v>1</v>
      </c>
      <c r="Y1286" s="8">
        <v>1.0</v>
      </c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</row>
    <row r="1287" ht="22.5" customHeight="1">
      <c r="B1287" s="6">
        <v>1286.0</v>
      </c>
      <c r="C1287" s="6">
        <v>17783.0</v>
      </c>
      <c r="D1287" s="6">
        <v>2.4</v>
      </c>
      <c r="E1287" s="6">
        <v>0.15</v>
      </c>
      <c r="F1287" s="6">
        <v>10.48</v>
      </c>
      <c r="G1287" s="6">
        <v>-0.11</v>
      </c>
      <c r="H1287" s="6">
        <v>-0.03</v>
      </c>
      <c r="I1287" s="6">
        <v>-0.03</v>
      </c>
      <c r="J1287" s="6">
        <v>33.27</v>
      </c>
      <c r="K1287" s="7">
        <f t="shared" ref="K1287:P1287" si="2516">abs(D1287-D1286)/200</f>
        <v>0.00025</v>
      </c>
      <c r="L1287" s="7">
        <f t="shared" si="2516"/>
        <v>0</v>
      </c>
      <c r="M1287" s="7">
        <f t="shared" si="2516"/>
        <v>0.0001</v>
      </c>
      <c r="N1287" s="7">
        <f t="shared" si="2516"/>
        <v>0.0001</v>
      </c>
      <c r="O1287" s="7">
        <f t="shared" si="2516"/>
        <v>0.00045</v>
      </c>
      <c r="P1287" s="7">
        <f t="shared" si="2516"/>
        <v>0.00005</v>
      </c>
      <c r="Q1287" s="7">
        <f t="shared" si="7"/>
        <v>0.002572635279</v>
      </c>
      <c r="R1287" s="7">
        <f t="shared" si="8"/>
        <v>0.008201340244</v>
      </c>
      <c r="S1287" s="7">
        <f t="shared" si="2"/>
        <v>0.9523439305</v>
      </c>
      <c r="T1287" s="7">
        <f t="shared" si="3"/>
        <v>0.1178982612</v>
      </c>
      <c r="U1287" s="7">
        <f t="shared" si="4"/>
        <v>0</v>
      </c>
      <c r="V1287" s="7">
        <f t="shared" si="5"/>
        <v>1</v>
      </c>
      <c r="W1287" s="7">
        <f t="shared" ref="W1287:X1287" si="2517">IF(AVERAGE(U1227:U1286) &gt; 0.25, 1, 0)</f>
        <v>1</v>
      </c>
      <c r="X1287" s="7">
        <f t="shared" si="2517"/>
        <v>1</v>
      </c>
      <c r="Y1287" s="8">
        <v>1.0</v>
      </c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</row>
    <row r="1288" ht="22.5" customHeight="1">
      <c r="B1288" s="6">
        <v>1287.0</v>
      </c>
      <c r="C1288" s="6">
        <v>17987.0</v>
      </c>
      <c r="D1288" s="6">
        <v>2.49</v>
      </c>
      <c r="E1288" s="6">
        <v>0.01</v>
      </c>
      <c r="F1288" s="6">
        <v>10.49</v>
      </c>
      <c r="G1288" s="6">
        <v>-0.11</v>
      </c>
      <c r="H1288" s="6">
        <v>-0.03</v>
      </c>
      <c r="I1288" s="6">
        <v>-0.01</v>
      </c>
      <c r="J1288" s="6">
        <v>33.27</v>
      </c>
      <c r="K1288" s="7">
        <f t="shared" ref="K1288:P1288" si="2518">abs(D1288-D1287)/200</f>
        <v>0.00045</v>
      </c>
      <c r="L1288" s="7">
        <f t="shared" si="2518"/>
        <v>0.0007</v>
      </c>
      <c r="M1288" s="7">
        <f t="shared" si="2518"/>
        <v>0.00005</v>
      </c>
      <c r="N1288" s="7">
        <f t="shared" si="2518"/>
        <v>0</v>
      </c>
      <c r="O1288" s="7">
        <f t="shared" si="2518"/>
        <v>0</v>
      </c>
      <c r="P1288" s="7">
        <f t="shared" si="2518"/>
        <v>0.0001</v>
      </c>
      <c r="Q1288" s="7">
        <f t="shared" si="7"/>
        <v>0.003443029803</v>
      </c>
      <c r="R1288" s="7">
        <f t="shared" si="8"/>
        <v>0.0291355598</v>
      </c>
      <c r="S1288" s="7">
        <f t="shared" si="2"/>
        <v>0.9814794903</v>
      </c>
      <c r="T1288" s="7">
        <f t="shared" si="3"/>
        <v>0.1144552314</v>
      </c>
      <c r="U1288" s="7">
        <f t="shared" si="4"/>
        <v>1</v>
      </c>
      <c r="V1288" s="7">
        <f t="shared" si="5"/>
        <v>0</v>
      </c>
      <c r="W1288" s="7">
        <f t="shared" ref="W1288:X1288" si="2519">IF(AVERAGE(U1228:U1287) &gt; 0.25, 1, 0)</f>
        <v>1</v>
      </c>
      <c r="X1288" s="7">
        <f t="shared" si="2519"/>
        <v>1</v>
      </c>
      <c r="Y1288" s="8">
        <v>1.0</v>
      </c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</row>
    <row r="1289" ht="22.5" customHeight="1">
      <c r="B1289" s="6">
        <v>1288.0</v>
      </c>
      <c r="C1289" s="6">
        <v>18191.0</v>
      </c>
      <c r="D1289" s="6">
        <v>2.59</v>
      </c>
      <c r="E1289" s="6">
        <v>-0.06</v>
      </c>
      <c r="F1289" s="6">
        <v>10.53</v>
      </c>
      <c r="G1289" s="6">
        <v>-0.07</v>
      </c>
      <c r="H1289" s="6">
        <v>0.04</v>
      </c>
      <c r="I1289" s="6">
        <v>0.1</v>
      </c>
      <c r="J1289" s="6">
        <v>33.26</v>
      </c>
      <c r="K1289" s="7">
        <f t="shared" ref="K1289:P1289" si="2520">abs(D1289-D1288)/200</f>
        <v>0.0005</v>
      </c>
      <c r="L1289" s="7">
        <f t="shared" si="2520"/>
        <v>0.00035</v>
      </c>
      <c r="M1289" s="7">
        <f t="shared" si="2520"/>
        <v>0.0002</v>
      </c>
      <c r="N1289" s="7">
        <f t="shared" si="2520"/>
        <v>0.0002</v>
      </c>
      <c r="O1289" s="7">
        <f t="shared" si="2520"/>
        <v>0.00035</v>
      </c>
      <c r="P1289" s="7">
        <f t="shared" si="2520"/>
        <v>0.00055</v>
      </c>
      <c r="Q1289" s="7">
        <f t="shared" si="7"/>
        <v>0.01399709436</v>
      </c>
      <c r="R1289" s="7">
        <f t="shared" si="8"/>
        <v>0.06253268231</v>
      </c>
      <c r="S1289" s="7">
        <f t="shared" si="2"/>
        <v>1.044012173</v>
      </c>
      <c r="T1289" s="7">
        <f t="shared" si="3"/>
        <v>0.1284523258</v>
      </c>
      <c r="U1289" s="7">
        <f t="shared" si="4"/>
        <v>1</v>
      </c>
      <c r="V1289" s="7">
        <f t="shared" si="5"/>
        <v>1</v>
      </c>
      <c r="W1289" s="7">
        <f t="shared" ref="W1289:X1289" si="2521">IF(AVERAGE(U1229:U1288) &gt; 0.25, 1, 0)</f>
        <v>1</v>
      </c>
      <c r="X1289" s="7">
        <f t="shared" si="2521"/>
        <v>1</v>
      </c>
      <c r="Y1289" s="8">
        <v>1.0</v>
      </c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</row>
    <row r="1290" ht="22.5" customHeight="1">
      <c r="B1290" s="6">
        <v>1289.0</v>
      </c>
      <c r="C1290" s="6">
        <v>18395.0</v>
      </c>
      <c r="D1290" s="6">
        <v>2.31</v>
      </c>
      <c r="E1290" s="6">
        <v>0.21</v>
      </c>
      <c r="F1290" s="6">
        <v>10.51</v>
      </c>
      <c r="G1290" s="6">
        <v>-0.1</v>
      </c>
      <c r="H1290" s="6">
        <v>-0.02</v>
      </c>
      <c r="I1290" s="6">
        <v>-0.08</v>
      </c>
      <c r="J1290" s="6">
        <v>33.28</v>
      </c>
      <c r="K1290" s="7">
        <f t="shared" ref="K1290:P1290" si="2522">abs(D1290-D1289)/200</f>
        <v>0.0014</v>
      </c>
      <c r="L1290" s="7">
        <f t="shared" si="2522"/>
        <v>0.00135</v>
      </c>
      <c r="M1290" s="7">
        <f t="shared" si="2522"/>
        <v>0.0001</v>
      </c>
      <c r="N1290" s="7">
        <f t="shared" si="2522"/>
        <v>0.00015</v>
      </c>
      <c r="O1290" s="7">
        <f t="shared" si="2522"/>
        <v>0.0003</v>
      </c>
      <c r="P1290" s="7">
        <f t="shared" si="2522"/>
        <v>0.0009</v>
      </c>
      <c r="Q1290" s="7">
        <f t="shared" si="7"/>
        <v>0.001162488182</v>
      </c>
      <c r="R1290" s="7">
        <f t="shared" si="8"/>
        <v>0.08109899821</v>
      </c>
      <c r="S1290" s="7">
        <f t="shared" si="2"/>
        <v>0.9629131744</v>
      </c>
      <c r="T1290" s="7">
        <f t="shared" si="3"/>
        <v>0.129614814</v>
      </c>
      <c r="U1290" s="7">
        <f t="shared" si="4"/>
        <v>1</v>
      </c>
      <c r="V1290" s="7">
        <f t="shared" si="5"/>
        <v>1</v>
      </c>
      <c r="W1290" s="7">
        <f t="shared" ref="W1290:X1290" si="2523">IF(AVERAGE(U1230:U1289) &gt; 0.25, 1, 0)</f>
        <v>1</v>
      </c>
      <c r="X1290" s="7">
        <f t="shared" si="2523"/>
        <v>1</v>
      </c>
      <c r="Y1290" s="8">
        <v>1.0</v>
      </c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</row>
    <row r="1291" ht="22.5" customHeight="1">
      <c r="B1291" s="6">
        <v>1290.0</v>
      </c>
      <c r="C1291" s="6">
        <v>18599.0</v>
      </c>
      <c r="D1291" s="6">
        <v>2.39</v>
      </c>
      <c r="E1291" s="6">
        <v>-0.05</v>
      </c>
      <c r="F1291" s="6">
        <v>10.61</v>
      </c>
      <c r="G1291" s="6">
        <v>-0.09</v>
      </c>
      <c r="H1291" s="6">
        <v>-0.01</v>
      </c>
      <c r="I1291" s="6">
        <v>0.02</v>
      </c>
      <c r="J1291" s="6">
        <v>33.28</v>
      </c>
      <c r="K1291" s="7">
        <f t="shared" ref="K1291:P1291" si="2524">abs(D1291-D1290)/200</f>
        <v>0.0004</v>
      </c>
      <c r="L1291" s="7">
        <f t="shared" si="2524"/>
        <v>0.0013</v>
      </c>
      <c r="M1291" s="7">
        <f t="shared" si="2524"/>
        <v>0.0005</v>
      </c>
      <c r="N1291" s="7">
        <f t="shared" si="2524"/>
        <v>0.00005</v>
      </c>
      <c r="O1291" s="7">
        <f t="shared" si="2524"/>
        <v>0.00005</v>
      </c>
      <c r="P1291" s="7">
        <f t="shared" si="2524"/>
        <v>0.0005</v>
      </c>
      <c r="Q1291" s="7">
        <f t="shared" si="7"/>
        <v>0.03687862901</v>
      </c>
      <c r="R1291" s="7">
        <f t="shared" si="8"/>
        <v>0.1130557479</v>
      </c>
      <c r="S1291" s="7">
        <f t="shared" si="2"/>
        <v>1.075968922</v>
      </c>
      <c r="T1291" s="7">
        <f t="shared" si="3"/>
        <v>0.09273618495</v>
      </c>
      <c r="U1291" s="7">
        <f t="shared" si="4"/>
        <v>1</v>
      </c>
      <c r="V1291" s="7">
        <f t="shared" si="5"/>
        <v>1</v>
      </c>
      <c r="W1291" s="7">
        <f t="shared" ref="W1291:X1291" si="2525">IF(AVERAGE(U1231:U1290) &gt; 0.25, 1, 0)</f>
        <v>1</v>
      </c>
      <c r="X1291" s="7">
        <f t="shared" si="2525"/>
        <v>1</v>
      </c>
      <c r="Y1291" s="8">
        <v>1.0</v>
      </c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</row>
    <row r="1292" ht="22.5" customHeight="1">
      <c r="B1292" s="6">
        <v>1291.0</v>
      </c>
      <c r="C1292" s="6">
        <v>18803.0</v>
      </c>
      <c r="D1292" s="6">
        <v>2.69</v>
      </c>
      <c r="E1292" s="6">
        <v>-0.45</v>
      </c>
      <c r="F1292" s="6">
        <v>10.4</v>
      </c>
      <c r="G1292" s="6">
        <v>-0.09</v>
      </c>
      <c r="H1292" s="6">
        <v>-0.03</v>
      </c>
      <c r="I1292" s="6">
        <v>0.14</v>
      </c>
      <c r="J1292" s="6">
        <v>33.28</v>
      </c>
      <c r="K1292" s="7">
        <f t="shared" ref="K1292:P1292" si="2526">abs(D1292-D1291)/200</f>
        <v>0.0015</v>
      </c>
      <c r="L1292" s="7">
        <f t="shared" si="2526"/>
        <v>0.002</v>
      </c>
      <c r="M1292" s="7">
        <f t="shared" si="2526"/>
        <v>0.00105</v>
      </c>
      <c r="N1292" s="7">
        <f t="shared" si="2526"/>
        <v>0</v>
      </c>
      <c r="O1292" s="7">
        <f t="shared" si="2526"/>
        <v>0.0001</v>
      </c>
      <c r="P1292" s="7">
        <f t="shared" si="2526"/>
        <v>0.0006</v>
      </c>
      <c r="Q1292" s="7">
        <f t="shared" si="7"/>
        <v>0.0763791603</v>
      </c>
      <c r="R1292" s="7">
        <f t="shared" si="8"/>
        <v>0.1242899837</v>
      </c>
      <c r="S1292" s="7">
        <f t="shared" si="2"/>
        <v>0.9516789387</v>
      </c>
      <c r="T1292" s="7">
        <f t="shared" si="3"/>
        <v>0.1691153453</v>
      </c>
      <c r="U1292" s="7">
        <f t="shared" si="4"/>
        <v>1</v>
      </c>
      <c r="V1292" s="7">
        <f t="shared" si="5"/>
        <v>1</v>
      </c>
      <c r="W1292" s="7">
        <f t="shared" ref="W1292:X1292" si="2527">IF(AVERAGE(U1232:U1291) &gt; 0.25, 1, 0)</f>
        <v>1</v>
      </c>
      <c r="X1292" s="7">
        <f t="shared" si="2527"/>
        <v>1</v>
      </c>
      <c r="Y1292" s="8">
        <v>1.0</v>
      </c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</row>
    <row r="1293" ht="22.5" customHeight="1">
      <c r="B1293" s="6">
        <v>1292.0</v>
      </c>
      <c r="C1293" s="6">
        <v>19007.0</v>
      </c>
      <c r="D1293" s="6">
        <v>2.63</v>
      </c>
      <c r="E1293" s="6">
        <v>-0.58</v>
      </c>
      <c r="F1293" s="6">
        <v>10.42</v>
      </c>
      <c r="G1293" s="6">
        <v>-0.2</v>
      </c>
      <c r="H1293" s="6">
        <v>0.03</v>
      </c>
      <c r="I1293" s="6">
        <v>0.07</v>
      </c>
      <c r="J1293" s="6">
        <v>33.29</v>
      </c>
      <c r="K1293" s="7">
        <f t="shared" ref="K1293:P1293" si="2528">abs(D1293-D1292)/200</f>
        <v>0.0003</v>
      </c>
      <c r="L1293" s="7">
        <f t="shared" si="2528"/>
        <v>0.00065</v>
      </c>
      <c r="M1293" s="7">
        <f t="shared" si="2528"/>
        <v>0.0001</v>
      </c>
      <c r="N1293" s="7">
        <f t="shared" si="2528"/>
        <v>0.00055</v>
      </c>
      <c r="O1293" s="7">
        <f t="shared" si="2528"/>
        <v>0.0003</v>
      </c>
      <c r="P1293" s="7">
        <f t="shared" si="2528"/>
        <v>0.00035</v>
      </c>
      <c r="Q1293" s="7">
        <f t="shared" si="7"/>
        <v>0.04489400034</v>
      </c>
      <c r="R1293" s="7">
        <f t="shared" si="8"/>
        <v>0.01074179276</v>
      </c>
      <c r="S1293" s="7">
        <f t="shared" si="2"/>
        <v>0.9624207314</v>
      </c>
      <c r="T1293" s="7">
        <f t="shared" si="3"/>
        <v>0.2140093456</v>
      </c>
      <c r="U1293" s="7">
        <f t="shared" si="4"/>
        <v>1</v>
      </c>
      <c r="V1293" s="7">
        <f t="shared" si="5"/>
        <v>1</v>
      </c>
      <c r="W1293" s="7">
        <f t="shared" ref="W1293:X1293" si="2529">IF(AVERAGE(U1233:U1292) &gt; 0.25, 1, 0)</f>
        <v>1</v>
      </c>
      <c r="X1293" s="7">
        <f t="shared" si="2529"/>
        <v>1</v>
      </c>
      <c r="Y1293" s="8">
        <v>1.0</v>
      </c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</row>
    <row r="1294" ht="22.5" customHeight="1">
      <c r="B1294" s="6">
        <v>1293.0</v>
      </c>
      <c r="C1294" s="6">
        <v>19211.0</v>
      </c>
      <c r="D1294" s="6">
        <v>1.91</v>
      </c>
      <c r="E1294" s="6">
        <v>-0.17</v>
      </c>
      <c r="F1294" s="6">
        <v>10.61</v>
      </c>
      <c r="G1294" s="6">
        <v>-0.26</v>
      </c>
      <c r="H1294" s="6">
        <v>0.35</v>
      </c>
      <c r="I1294" s="6">
        <v>-0.41</v>
      </c>
      <c r="J1294" s="6">
        <v>33.28</v>
      </c>
      <c r="K1294" s="7">
        <f t="shared" ref="K1294:P1294" si="2530">abs(D1294-D1293)/200</f>
        <v>0.0036</v>
      </c>
      <c r="L1294" s="7">
        <f t="shared" si="2530"/>
        <v>0.00205</v>
      </c>
      <c r="M1294" s="7">
        <f t="shared" si="2530"/>
        <v>0.00095</v>
      </c>
      <c r="N1294" s="7">
        <f t="shared" si="2530"/>
        <v>0.0003</v>
      </c>
      <c r="O1294" s="7">
        <f t="shared" si="2530"/>
        <v>0.0016</v>
      </c>
      <c r="P1294" s="7">
        <f t="shared" si="2530"/>
        <v>0.0024</v>
      </c>
      <c r="Q1294" s="7">
        <f t="shared" si="7"/>
        <v>0.3844887747</v>
      </c>
      <c r="R1294" s="7">
        <f t="shared" si="8"/>
        <v>0.01946685843</v>
      </c>
      <c r="S1294" s="7">
        <f t="shared" si="2"/>
        <v>0.9818875898</v>
      </c>
      <c r="T1294" s="7">
        <f t="shared" si="3"/>
        <v>0.5984981203</v>
      </c>
      <c r="U1294" s="7">
        <f t="shared" si="4"/>
        <v>1</v>
      </c>
      <c r="V1294" s="7">
        <f t="shared" si="5"/>
        <v>1</v>
      </c>
      <c r="W1294" s="7">
        <f t="shared" ref="W1294:X1294" si="2531">IF(AVERAGE(U1234:U1293) &gt; 0.25, 1, 0)</f>
        <v>1</v>
      </c>
      <c r="X1294" s="7">
        <f t="shared" si="2531"/>
        <v>1</v>
      </c>
      <c r="Y1294" s="8">
        <v>1.0</v>
      </c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</row>
    <row r="1295" ht="22.5" customHeight="1">
      <c r="B1295" s="6">
        <v>1294.0</v>
      </c>
      <c r="C1295" s="6">
        <v>19415.0</v>
      </c>
      <c r="D1295" s="6">
        <v>1.95</v>
      </c>
      <c r="E1295" s="6">
        <v>-0.18</v>
      </c>
      <c r="F1295" s="6">
        <v>10.64</v>
      </c>
      <c r="G1295" s="6">
        <v>-0.04</v>
      </c>
      <c r="H1295" s="6">
        <v>-0.09</v>
      </c>
      <c r="I1295" s="6">
        <v>-0.11</v>
      </c>
      <c r="J1295" s="6">
        <v>33.28</v>
      </c>
      <c r="K1295" s="7">
        <f t="shared" ref="K1295:P1295" si="2532">abs(D1295-D1294)/200</f>
        <v>0.0002</v>
      </c>
      <c r="L1295" s="7">
        <f t="shared" si="2532"/>
        <v>0.00005</v>
      </c>
      <c r="M1295" s="7">
        <f t="shared" si="2532"/>
        <v>0.00015</v>
      </c>
      <c r="N1295" s="7">
        <f t="shared" si="2532"/>
        <v>0.0011</v>
      </c>
      <c r="O1295" s="7">
        <f t="shared" si="2532"/>
        <v>0.0022</v>
      </c>
      <c r="P1295" s="7">
        <f t="shared" si="2532"/>
        <v>0.0015</v>
      </c>
      <c r="Q1295" s="7">
        <f t="shared" si="7"/>
        <v>0.4508498897</v>
      </c>
      <c r="R1295" s="7">
        <f t="shared" si="8"/>
        <v>0.03682305422</v>
      </c>
      <c r="S1295" s="7">
        <f t="shared" si="2"/>
        <v>1.018710644</v>
      </c>
      <c r="T1295" s="7">
        <f t="shared" si="3"/>
        <v>0.1476482306</v>
      </c>
      <c r="U1295" s="7">
        <f t="shared" si="4"/>
        <v>0</v>
      </c>
      <c r="V1295" s="7">
        <f t="shared" si="5"/>
        <v>1</v>
      </c>
      <c r="W1295" s="7">
        <f t="shared" ref="W1295:X1295" si="2533">IF(AVERAGE(U1235:U1294) &gt; 0.25, 1, 0)</f>
        <v>1</v>
      </c>
      <c r="X1295" s="7">
        <f t="shared" si="2533"/>
        <v>1</v>
      </c>
      <c r="Y1295" s="8">
        <v>1.0</v>
      </c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</row>
    <row r="1296" ht="22.5" customHeight="1">
      <c r="B1296" s="6">
        <v>1295.0</v>
      </c>
      <c r="C1296" s="6">
        <v>19619.0</v>
      </c>
      <c r="D1296" s="6">
        <v>2.06</v>
      </c>
      <c r="E1296" s="6">
        <v>-0.45</v>
      </c>
      <c r="F1296" s="6">
        <v>10.56</v>
      </c>
      <c r="G1296" s="6">
        <v>-0.07</v>
      </c>
      <c r="H1296" s="6">
        <v>-0.03</v>
      </c>
      <c r="I1296" s="6">
        <v>0.04</v>
      </c>
      <c r="J1296" s="6">
        <v>33.28</v>
      </c>
      <c r="K1296" s="7">
        <f t="shared" ref="K1296:P1296" si="2534">abs(D1296-D1295)/200</f>
        <v>0.00055</v>
      </c>
      <c r="L1296" s="7">
        <f t="shared" si="2534"/>
        <v>0.00135</v>
      </c>
      <c r="M1296" s="7">
        <f t="shared" si="2534"/>
        <v>0.0004</v>
      </c>
      <c r="N1296" s="7">
        <f t="shared" si="2534"/>
        <v>0.00015</v>
      </c>
      <c r="O1296" s="7">
        <f t="shared" si="2534"/>
        <v>0.0003</v>
      </c>
      <c r="P1296" s="7">
        <f t="shared" si="2534"/>
        <v>0.00075</v>
      </c>
      <c r="Q1296" s="7">
        <f t="shared" si="7"/>
        <v>0.06162497793</v>
      </c>
      <c r="R1296" s="7">
        <f t="shared" si="8"/>
        <v>0.05025207285</v>
      </c>
      <c r="S1296" s="7">
        <f t="shared" si="2"/>
        <v>0.9684585712</v>
      </c>
      <c r="T1296" s="7">
        <f t="shared" si="3"/>
        <v>0.08602325267</v>
      </c>
      <c r="U1296" s="7">
        <f t="shared" si="4"/>
        <v>1</v>
      </c>
      <c r="V1296" s="7">
        <f t="shared" si="5"/>
        <v>1</v>
      </c>
      <c r="W1296" s="7">
        <f t="shared" ref="W1296:X1296" si="2535">IF(AVERAGE(U1236:U1295) &gt; 0.25, 1, 0)</f>
        <v>1</v>
      </c>
      <c r="X1296" s="7">
        <f t="shared" si="2535"/>
        <v>1</v>
      </c>
      <c r="Y1296" s="8">
        <v>1.0</v>
      </c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</row>
    <row r="1297" ht="22.5" customHeight="1">
      <c r="B1297" s="6">
        <v>1296.0</v>
      </c>
      <c r="C1297" s="6">
        <v>19823.0</v>
      </c>
      <c r="D1297" s="6">
        <v>2.17</v>
      </c>
      <c r="E1297" s="6">
        <v>-0.56</v>
      </c>
      <c r="F1297" s="6">
        <v>10.61</v>
      </c>
      <c r="G1297" s="6">
        <v>-0.1</v>
      </c>
      <c r="H1297" s="6">
        <v>-0.03</v>
      </c>
      <c r="I1297" s="6">
        <v>0.02</v>
      </c>
      <c r="J1297" s="6">
        <v>33.28</v>
      </c>
      <c r="K1297" s="7">
        <f t="shared" ref="K1297:P1297" si="2536">abs(D1297-D1296)/200</f>
        <v>0.00055</v>
      </c>
      <c r="L1297" s="7">
        <f t="shared" si="2536"/>
        <v>0.00055</v>
      </c>
      <c r="M1297" s="7">
        <f t="shared" si="2536"/>
        <v>0.00025</v>
      </c>
      <c r="N1297" s="7">
        <f t="shared" si="2536"/>
        <v>0.00015</v>
      </c>
      <c r="O1297" s="7">
        <f t="shared" si="2536"/>
        <v>0</v>
      </c>
      <c r="P1297" s="7">
        <f t="shared" si="2536"/>
        <v>0.0001</v>
      </c>
      <c r="Q1297" s="7">
        <f t="shared" si="7"/>
        <v>0.02027820546</v>
      </c>
      <c r="R1297" s="7">
        <f t="shared" si="8"/>
        <v>0.07564581781</v>
      </c>
      <c r="S1297" s="7">
        <f t="shared" si="2"/>
        <v>1.044104389</v>
      </c>
      <c r="T1297" s="7">
        <f t="shared" si="3"/>
        <v>0.1063014581</v>
      </c>
      <c r="U1297" s="7">
        <f t="shared" si="4"/>
        <v>1</v>
      </c>
      <c r="V1297" s="7">
        <f t="shared" si="5"/>
        <v>0</v>
      </c>
      <c r="W1297" s="7">
        <f t="shared" ref="W1297:X1297" si="2537">IF(AVERAGE(U1237:U1296) &gt; 0.25, 1, 0)</f>
        <v>1</v>
      </c>
      <c r="X1297" s="7">
        <f t="shared" si="2537"/>
        <v>1</v>
      </c>
      <c r="Y1297" s="8">
        <v>1.0</v>
      </c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</row>
    <row r="1298" ht="22.5" customHeight="1">
      <c r="B1298" s="6">
        <v>1297.0</v>
      </c>
      <c r="C1298" s="6">
        <v>20027.0</v>
      </c>
      <c r="D1298" s="6">
        <v>2.23</v>
      </c>
      <c r="E1298" s="6">
        <v>-0.65</v>
      </c>
      <c r="F1298" s="6">
        <v>10.57</v>
      </c>
      <c r="G1298" s="6">
        <v>-0.13</v>
      </c>
      <c r="H1298" s="6">
        <v>-0.01</v>
      </c>
      <c r="I1298" s="6">
        <v>0.05</v>
      </c>
      <c r="J1298" s="6">
        <v>33.29</v>
      </c>
      <c r="K1298" s="7">
        <f t="shared" ref="K1298:P1298" si="2538">abs(D1298-D1297)/200</f>
        <v>0.0003</v>
      </c>
      <c r="L1298" s="7">
        <f t="shared" si="2538"/>
        <v>0.00045</v>
      </c>
      <c r="M1298" s="7">
        <f t="shared" si="2538"/>
        <v>0.0002</v>
      </c>
      <c r="N1298" s="7">
        <f t="shared" si="2538"/>
        <v>0.00015</v>
      </c>
      <c r="O1298" s="7">
        <f t="shared" si="2538"/>
        <v>0.0001</v>
      </c>
      <c r="P1298" s="7">
        <f t="shared" si="2538"/>
        <v>0.00015</v>
      </c>
      <c r="Q1298" s="7">
        <f t="shared" si="7"/>
        <v>0.03334094231</v>
      </c>
      <c r="R1298" s="7">
        <f t="shared" si="8"/>
        <v>0.02189112186</v>
      </c>
      <c r="S1298" s="7">
        <f t="shared" si="2"/>
        <v>1.022213267</v>
      </c>
      <c r="T1298" s="7">
        <f t="shared" si="3"/>
        <v>0.1396424004</v>
      </c>
      <c r="U1298" s="7">
        <f t="shared" si="4"/>
        <v>1</v>
      </c>
      <c r="V1298" s="7">
        <f t="shared" si="5"/>
        <v>0</v>
      </c>
      <c r="W1298" s="7">
        <f t="shared" ref="W1298:X1298" si="2539">IF(AVERAGE(U1238:U1297) &gt; 0.25, 1, 0)</f>
        <v>1</v>
      </c>
      <c r="X1298" s="7">
        <f t="shared" si="2539"/>
        <v>1</v>
      </c>
      <c r="Y1298" s="8">
        <v>1.0</v>
      </c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</row>
    <row r="1299" ht="22.5" customHeight="1">
      <c r="B1299" s="6">
        <v>1298.0</v>
      </c>
      <c r="C1299" s="6">
        <v>20231.0</v>
      </c>
      <c r="D1299" s="6">
        <v>2.23</v>
      </c>
      <c r="E1299" s="6">
        <v>-0.78</v>
      </c>
      <c r="F1299" s="6">
        <v>10.55</v>
      </c>
      <c r="G1299" s="6">
        <v>-0.15</v>
      </c>
      <c r="H1299" s="6">
        <v>0.01</v>
      </c>
      <c r="I1299" s="6">
        <v>-0.15</v>
      </c>
      <c r="J1299" s="6">
        <v>33.29</v>
      </c>
      <c r="K1299" s="7">
        <f t="shared" ref="K1299:P1299" si="2540">abs(D1299-D1298)/200</f>
        <v>0</v>
      </c>
      <c r="L1299" s="7">
        <f t="shared" si="2540"/>
        <v>0.00065</v>
      </c>
      <c r="M1299" s="7">
        <f t="shared" si="2540"/>
        <v>0.0001</v>
      </c>
      <c r="N1299" s="7">
        <f t="shared" si="2540"/>
        <v>0.0001</v>
      </c>
      <c r="O1299" s="7">
        <f t="shared" si="2540"/>
        <v>0.0001</v>
      </c>
      <c r="P1299" s="7">
        <f t="shared" si="2540"/>
        <v>0.001</v>
      </c>
      <c r="Q1299" s="7">
        <f t="shared" si="7"/>
        <v>0.07272520538</v>
      </c>
      <c r="R1299" s="7">
        <f t="shared" si="8"/>
        <v>0.01093212199</v>
      </c>
      <c r="S1299" s="7">
        <f t="shared" si="2"/>
        <v>1.011281145</v>
      </c>
      <c r="T1299" s="7">
        <f t="shared" si="3"/>
        <v>0.2123676058</v>
      </c>
      <c r="U1299" s="7">
        <f t="shared" si="4"/>
        <v>1</v>
      </c>
      <c r="V1299" s="7">
        <f t="shared" si="5"/>
        <v>1</v>
      </c>
      <c r="W1299" s="7">
        <f t="shared" ref="W1299:X1299" si="2541">IF(AVERAGE(U1239:U1298) &gt; 0.25, 1, 0)</f>
        <v>1</v>
      </c>
      <c r="X1299" s="7">
        <f t="shared" si="2541"/>
        <v>1</v>
      </c>
      <c r="Y1299" s="8">
        <v>1.0</v>
      </c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</row>
    <row r="1300" ht="22.5" customHeight="1">
      <c r="B1300" s="6">
        <v>1299.0</v>
      </c>
      <c r="C1300" s="6">
        <v>20435.0</v>
      </c>
      <c r="D1300" s="6">
        <v>1.85</v>
      </c>
      <c r="E1300" s="6">
        <v>-0.13</v>
      </c>
      <c r="F1300" s="6">
        <v>10.47</v>
      </c>
      <c r="G1300" s="6">
        <v>-0.13</v>
      </c>
      <c r="H1300" s="6">
        <v>0.04</v>
      </c>
      <c r="I1300" s="6">
        <v>-0.09</v>
      </c>
      <c r="J1300" s="6">
        <v>33.29</v>
      </c>
      <c r="K1300" s="7">
        <f t="shared" ref="K1300:P1300" si="2542">abs(D1300-D1299)/200</f>
        <v>0.0019</v>
      </c>
      <c r="L1300" s="7">
        <f t="shared" si="2542"/>
        <v>0.00325</v>
      </c>
      <c r="M1300" s="7">
        <f t="shared" si="2542"/>
        <v>0.0004</v>
      </c>
      <c r="N1300" s="7">
        <f t="shared" si="2542"/>
        <v>0.0001</v>
      </c>
      <c r="O1300" s="7">
        <f t="shared" si="2542"/>
        <v>0.00015</v>
      </c>
      <c r="P1300" s="7">
        <f t="shared" si="2542"/>
        <v>0.0003</v>
      </c>
      <c r="Q1300" s="7">
        <f t="shared" si="7"/>
        <v>0.04927254151</v>
      </c>
      <c r="R1300" s="7">
        <f t="shared" si="8"/>
        <v>0.1782994373</v>
      </c>
      <c r="S1300" s="7">
        <f t="shared" si="2"/>
        <v>0.8329817079</v>
      </c>
      <c r="T1300" s="7">
        <f t="shared" si="3"/>
        <v>0.1630950643</v>
      </c>
      <c r="U1300" s="7">
        <f t="shared" si="4"/>
        <v>1</v>
      </c>
      <c r="V1300" s="7">
        <f t="shared" si="5"/>
        <v>0</v>
      </c>
      <c r="W1300" s="7">
        <f t="shared" ref="W1300:X1300" si="2543">IF(AVERAGE(U1240:U1299) &gt; 0.25, 1, 0)</f>
        <v>1</v>
      </c>
      <c r="X1300" s="7">
        <f t="shared" si="2543"/>
        <v>1</v>
      </c>
      <c r="Y1300" s="8">
        <v>1.0</v>
      </c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</row>
    <row r="1301" ht="22.5" customHeight="1">
      <c r="B1301" s="6">
        <v>1300.0</v>
      </c>
      <c r="C1301" s="6">
        <v>20639.0</v>
      </c>
      <c r="D1301" s="6">
        <v>1.95</v>
      </c>
      <c r="E1301" s="6">
        <v>-0.23</v>
      </c>
      <c r="F1301" s="6">
        <v>10.58</v>
      </c>
      <c r="G1301" s="6">
        <v>-0.11</v>
      </c>
      <c r="H1301" s="6">
        <v>0.06</v>
      </c>
      <c r="I1301" s="6">
        <v>-0.15</v>
      </c>
      <c r="J1301" s="6">
        <v>33.28</v>
      </c>
      <c r="K1301" s="7">
        <f t="shared" ref="K1301:P1301" si="2544">abs(D1301-D1300)/200</f>
        <v>0.0005</v>
      </c>
      <c r="L1301" s="7">
        <f t="shared" si="2544"/>
        <v>0.0005</v>
      </c>
      <c r="M1301" s="7">
        <f t="shared" si="2544"/>
        <v>0.00055</v>
      </c>
      <c r="N1301" s="7">
        <f t="shared" si="2544"/>
        <v>0.0001</v>
      </c>
      <c r="O1301" s="7">
        <f t="shared" si="2544"/>
        <v>0.0001</v>
      </c>
      <c r="P1301" s="7">
        <f t="shared" si="2544"/>
        <v>0.0003</v>
      </c>
      <c r="Q1301" s="7">
        <f t="shared" si="7"/>
        <v>0.03235313855</v>
      </c>
      <c r="R1301" s="7">
        <f t="shared" si="8"/>
        <v>0.1276781232</v>
      </c>
      <c r="S1301" s="7">
        <f t="shared" si="2"/>
        <v>0.9606598311</v>
      </c>
      <c r="T1301" s="7">
        <f t="shared" si="3"/>
        <v>0.1954482029</v>
      </c>
      <c r="U1301" s="7">
        <f t="shared" si="4"/>
        <v>1</v>
      </c>
      <c r="V1301" s="7">
        <f t="shared" si="5"/>
        <v>0</v>
      </c>
      <c r="W1301" s="7">
        <f t="shared" ref="W1301:X1301" si="2545">IF(AVERAGE(U1241:U1300) &gt; 0.25, 1, 0)</f>
        <v>1</v>
      </c>
      <c r="X1301" s="7">
        <f t="shared" si="2545"/>
        <v>1</v>
      </c>
      <c r="Y1301" s="8">
        <v>1.0</v>
      </c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</row>
    <row r="1302" ht="22.5" customHeight="1">
      <c r="B1302" s="6">
        <v>1301.0</v>
      </c>
      <c r="C1302" s="6">
        <v>20843.0</v>
      </c>
      <c r="D1302" s="6">
        <v>1.96</v>
      </c>
      <c r="E1302" s="6">
        <v>-0.38</v>
      </c>
      <c r="F1302" s="6">
        <v>10.61</v>
      </c>
      <c r="G1302" s="6">
        <v>-0.09</v>
      </c>
      <c r="H1302" s="6">
        <v>0.01</v>
      </c>
      <c r="I1302" s="6">
        <v>-0.02</v>
      </c>
      <c r="J1302" s="6">
        <v>33.28</v>
      </c>
      <c r="K1302" s="7">
        <f t="shared" ref="K1302:P1302" si="2546">abs(D1302-D1301)/200</f>
        <v>0.00005</v>
      </c>
      <c r="L1302" s="7">
        <f t="shared" si="2546"/>
        <v>0.00075</v>
      </c>
      <c r="M1302" s="7">
        <f t="shared" si="2546"/>
        <v>0.00015</v>
      </c>
      <c r="N1302" s="7">
        <f t="shared" si="2546"/>
        <v>0.0001</v>
      </c>
      <c r="O1302" s="7">
        <f t="shared" si="2546"/>
        <v>0.00025</v>
      </c>
      <c r="P1302" s="7">
        <f t="shared" si="2546"/>
        <v>0.00065</v>
      </c>
      <c r="Q1302" s="7">
        <f t="shared" si="7"/>
        <v>0.1027120179</v>
      </c>
      <c r="R1302" s="7">
        <f t="shared" si="8"/>
        <v>0.03554783644</v>
      </c>
      <c r="S1302" s="7">
        <f t="shared" si="2"/>
        <v>0.9962076675</v>
      </c>
      <c r="T1302" s="7">
        <f t="shared" si="3"/>
        <v>0.09273618495</v>
      </c>
      <c r="U1302" s="7">
        <f t="shared" si="4"/>
        <v>1</v>
      </c>
      <c r="V1302" s="7">
        <f t="shared" si="5"/>
        <v>1</v>
      </c>
      <c r="W1302" s="7">
        <f t="shared" ref="W1302:X1302" si="2547">IF(AVERAGE(U1242:U1301) &gt; 0.25, 1, 0)</f>
        <v>1</v>
      </c>
      <c r="X1302" s="7">
        <f t="shared" si="2547"/>
        <v>1</v>
      </c>
      <c r="Y1302" s="8">
        <v>1.0</v>
      </c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</row>
    <row r="1303" ht="22.5" customHeight="1">
      <c r="B1303" s="6">
        <v>1302.0</v>
      </c>
      <c r="C1303" s="6">
        <v>21047.0</v>
      </c>
      <c r="D1303" s="6">
        <v>1.97</v>
      </c>
      <c r="E1303" s="6">
        <v>-0.45</v>
      </c>
      <c r="F1303" s="6">
        <v>10.57</v>
      </c>
      <c r="G1303" s="6">
        <v>-0.1</v>
      </c>
      <c r="H1303" s="6">
        <v>0.01</v>
      </c>
      <c r="I1303" s="6">
        <v>-0.01</v>
      </c>
      <c r="J1303" s="6">
        <v>33.29</v>
      </c>
      <c r="K1303" s="7">
        <f t="shared" ref="K1303:P1303" si="2548">abs(D1303-D1302)/200</f>
        <v>0.00005</v>
      </c>
      <c r="L1303" s="7">
        <f t="shared" si="2548"/>
        <v>0.00035</v>
      </c>
      <c r="M1303" s="7">
        <f t="shared" si="2548"/>
        <v>0.0002</v>
      </c>
      <c r="N1303" s="7">
        <f t="shared" si="2548"/>
        <v>0.00005</v>
      </c>
      <c r="O1303" s="7">
        <f t="shared" si="2548"/>
        <v>0</v>
      </c>
      <c r="P1303" s="7">
        <f t="shared" si="2548"/>
        <v>0.00005</v>
      </c>
      <c r="Q1303" s="7">
        <f t="shared" si="7"/>
        <v>0.008258864429</v>
      </c>
      <c r="R1303" s="7">
        <f t="shared" si="8"/>
        <v>0.03478118214</v>
      </c>
      <c r="S1303" s="7">
        <f t="shared" si="2"/>
        <v>0.9614264854</v>
      </c>
      <c r="T1303" s="7">
        <f t="shared" si="3"/>
        <v>0.1009950494</v>
      </c>
      <c r="U1303" s="7">
        <f t="shared" si="4"/>
        <v>1</v>
      </c>
      <c r="V1303" s="7">
        <f t="shared" si="5"/>
        <v>0</v>
      </c>
      <c r="W1303" s="7">
        <f t="shared" ref="W1303:X1303" si="2549">IF(AVERAGE(U1243:U1302) &gt; 0.25, 1, 0)</f>
        <v>1</v>
      </c>
      <c r="X1303" s="7">
        <f t="shared" si="2549"/>
        <v>1</v>
      </c>
      <c r="Y1303" s="8">
        <v>1.0</v>
      </c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</row>
    <row r="1304" ht="22.5" customHeight="1">
      <c r="B1304" s="6">
        <v>1303.0</v>
      </c>
      <c r="C1304" s="6">
        <v>21251.0</v>
      </c>
      <c r="D1304" s="6">
        <v>2.07</v>
      </c>
      <c r="E1304" s="6">
        <v>-0.46</v>
      </c>
      <c r="F1304" s="6">
        <v>10.6</v>
      </c>
      <c r="G1304" s="6">
        <v>-0.12</v>
      </c>
      <c r="H1304" s="6">
        <v>-0.04</v>
      </c>
      <c r="I1304" s="6">
        <v>0.03</v>
      </c>
      <c r="J1304" s="6">
        <v>33.29</v>
      </c>
      <c r="K1304" s="7">
        <f t="shared" ref="K1304:P1304" si="2550">abs(D1304-D1303)/200</f>
        <v>0.0005</v>
      </c>
      <c r="L1304" s="7">
        <f t="shared" si="2550"/>
        <v>0.00005</v>
      </c>
      <c r="M1304" s="7">
        <f t="shared" si="2550"/>
        <v>0.00015</v>
      </c>
      <c r="N1304" s="7">
        <f t="shared" si="2550"/>
        <v>0.0001</v>
      </c>
      <c r="O1304" s="7">
        <f t="shared" si="2550"/>
        <v>0.00025</v>
      </c>
      <c r="P1304" s="7">
        <f t="shared" si="2550"/>
        <v>0.0002</v>
      </c>
      <c r="Q1304" s="7">
        <f t="shared" si="7"/>
        <v>0.02900495062</v>
      </c>
      <c r="R1304" s="7">
        <f t="shared" si="8"/>
        <v>0.048592016</v>
      </c>
      <c r="S1304" s="7">
        <f t="shared" si="2"/>
        <v>1.010018501</v>
      </c>
      <c r="T1304" s="7">
        <f t="shared" si="3"/>
        <v>0.13</v>
      </c>
      <c r="U1304" s="7">
        <f t="shared" si="4"/>
        <v>1</v>
      </c>
      <c r="V1304" s="7">
        <f t="shared" si="5"/>
        <v>0</v>
      </c>
      <c r="W1304" s="7">
        <f t="shared" ref="W1304:X1304" si="2551">IF(AVERAGE(U1244:U1303) &gt; 0.25, 1, 0)</f>
        <v>1</v>
      </c>
      <c r="X1304" s="7">
        <f t="shared" si="2551"/>
        <v>1</v>
      </c>
      <c r="Y1304" s="8">
        <v>1.0</v>
      </c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</row>
    <row r="1305" ht="22.5" customHeight="1">
      <c r="B1305" s="6">
        <v>1304.0</v>
      </c>
      <c r="C1305" s="6">
        <v>21455.0</v>
      </c>
      <c r="D1305" s="6">
        <v>2.26</v>
      </c>
      <c r="E1305" s="6">
        <v>-0.68</v>
      </c>
      <c r="F1305" s="6">
        <v>10.5</v>
      </c>
      <c r="G1305" s="6">
        <v>-0.09</v>
      </c>
      <c r="H1305" s="6">
        <v>-0.09</v>
      </c>
      <c r="I1305" s="6">
        <v>0.11</v>
      </c>
      <c r="J1305" s="6">
        <v>33.28</v>
      </c>
      <c r="K1305" s="7">
        <f t="shared" ref="K1305:P1305" si="2552">abs(D1305-D1304)/200</f>
        <v>0.00095</v>
      </c>
      <c r="L1305" s="7">
        <f t="shared" si="2552"/>
        <v>0.0011</v>
      </c>
      <c r="M1305" s="7">
        <f t="shared" si="2552"/>
        <v>0.0005</v>
      </c>
      <c r="N1305" s="7">
        <f t="shared" si="2552"/>
        <v>0.00015</v>
      </c>
      <c r="O1305" s="7">
        <f t="shared" si="2552"/>
        <v>0.00025</v>
      </c>
      <c r="P1305" s="7">
        <f t="shared" si="2552"/>
        <v>0.0004</v>
      </c>
      <c r="Q1305" s="7">
        <f t="shared" si="7"/>
        <v>0.03822603841</v>
      </c>
      <c r="R1305" s="7">
        <f t="shared" si="8"/>
        <v>0.0480484215</v>
      </c>
      <c r="S1305" s="7">
        <f t="shared" si="2"/>
        <v>0.9619700799</v>
      </c>
      <c r="T1305" s="7">
        <f t="shared" si="3"/>
        <v>0.1682260384</v>
      </c>
      <c r="U1305" s="7">
        <f t="shared" si="4"/>
        <v>1</v>
      </c>
      <c r="V1305" s="7">
        <f t="shared" si="5"/>
        <v>1</v>
      </c>
      <c r="W1305" s="7">
        <f t="shared" ref="W1305:X1305" si="2553">IF(AVERAGE(U1245:U1304) &gt; 0.25, 1, 0)</f>
        <v>1</v>
      </c>
      <c r="X1305" s="7">
        <f t="shared" si="2553"/>
        <v>1</v>
      </c>
      <c r="Y1305" s="8">
        <v>1.0</v>
      </c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</row>
    <row r="1306" ht="22.5" customHeight="1">
      <c r="B1306" s="6">
        <v>1305.0</v>
      </c>
      <c r="C1306" s="6">
        <v>21659.0</v>
      </c>
      <c r="D1306" s="6">
        <v>2.12</v>
      </c>
      <c r="E1306" s="6">
        <v>-0.41</v>
      </c>
      <c r="F1306" s="6">
        <v>10.53</v>
      </c>
      <c r="G1306" s="6">
        <v>-0.1</v>
      </c>
      <c r="H1306" s="6">
        <v>0.0</v>
      </c>
      <c r="I1306" s="6">
        <v>-0.01</v>
      </c>
      <c r="J1306" s="6">
        <v>33.29</v>
      </c>
      <c r="K1306" s="7">
        <f t="shared" ref="K1306:P1306" si="2554">abs(D1306-D1305)/200</f>
        <v>0.0007</v>
      </c>
      <c r="L1306" s="7">
        <f t="shared" si="2554"/>
        <v>0.00135</v>
      </c>
      <c r="M1306" s="7">
        <f t="shared" si="2554"/>
        <v>0.00015</v>
      </c>
      <c r="N1306" s="7">
        <f t="shared" si="2554"/>
        <v>0.00005</v>
      </c>
      <c r="O1306" s="7">
        <f t="shared" si="2554"/>
        <v>0.00045</v>
      </c>
      <c r="P1306" s="7">
        <f t="shared" si="2554"/>
        <v>0.0006</v>
      </c>
      <c r="Q1306" s="7">
        <f t="shared" si="7"/>
        <v>0.0677272822</v>
      </c>
      <c r="R1306" s="7">
        <f t="shared" si="8"/>
        <v>0.01285848867</v>
      </c>
      <c r="S1306" s="7">
        <f t="shared" si="2"/>
        <v>0.9491115912</v>
      </c>
      <c r="T1306" s="7">
        <f t="shared" si="3"/>
        <v>0.1004987562</v>
      </c>
      <c r="U1306" s="7">
        <f t="shared" si="4"/>
        <v>1</v>
      </c>
      <c r="V1306" s="7">
        <f t="shared" si="5"/>
        <v>1</v>
      </c>
      <c r="W1306" s="7">
        <f t="shared" ref="W1306:X1306" si="2555">IF(AVERAGE(U1246:U1305) &gt; 0.25, 1, 0)</f>
        <v>1</v>
      </c>
      <c r="X1306" s="7">
        <f t="shared" si="2555"/>
        <v>1</v>
      </c>
      <c r="Y1306" s="8">
        <v>1.0</v>
      </c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</row>
    <row r="1307" ht="22.5" customHeight="1">
      <c r="B1307" s="6">
        <v>1306.0</v>
      </c>
      <c r="C1307" s="6">
        <v>21863.0</v>
      </c>
      <c r="D1307" s="6">
        <v>2.17</v>
      </c>
      <c r="E1307" s="6">
        <v>-0.49</v>
      </c>
      <c r="F1307" s="6">
        <v>10.53</v>
      </c>
      <c r="G1307" s="6">
        <v>-0.11</v>
      </c>
      <c r="H1307" s="6">
        <v>-0.02</v>
      </c>
      <c r="I1307" s="6">
        <v>0.0</v>
      </c>
      <c r="J1307" s="6">
        <v>33.29</v>
      </c>
      <c r="K1307" s="7">
        <f t="shared" ref="K1307:P1307" si="2556">abs(D1307-D1306)/200</f>
        <v>0.00025</v>
      </c>
      <c r="L1307" s="7">
        <f t="shared" si="2556"/>
        <v>0.0004</v>
      </c>
      <c r="M1307" s="7">
        <f t="shared" si="2556"/>
        <v>0</v>
      </c>
      <c r="N1307" s="7">
        <f t="shared" si="2556"/>
        <v>0.00005</v>
      </c>
      <c r="O1307" s="7">
        <f t="shared" si="2556"/>
        <v>0.0001</v>
      </c>
      <c r="P1307" s="7">
        <f t="shared" si="2556"/>
        <v>0.00005</v>
      </c>
      <c r="Q1307" s="7">
        <f t="shared" si="7"/>
        <v>0.01130464266</v>
      </c>
      <c r="R1307" s="7">
        <f t="shared" si="8"/>
        <v>0.0133184318</v>
      </c>
      <c r="S1307" s="7">
        <f t="shared" si="2"/>
        <v>0.962430023</v>
      </c>
      <c r="T1307" s="7">
        <f t="shared" si="3"/>
        <v>0.1118033989</v>
      </c>
      <c r="U1307" s="7">
        <f t="shared" si="4"/>
        <v>1</v>
      </c>
      <c r="V1307" s="7">
        <f t="shared" si="5"/>
        <v>0</v>
      </c>
      <c r="W1307" s="7">
        <f t="shared" ref="W1307:X1307" si="2557">IF(AVERAGE(U1247:U1306) &gt; 0.25, 1, 0)</f>
        <v>1</v>
      </c>
      <c r="X1307" s="7">
        <f t="shared" si="2557"/>
        <v>1</v>
      </c>
      <c r="Y1307" s="8">
        <v>1.0</v>
      </c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</row>
    <row r="1308" ht="22.5" customHeight="1">
      <c r="B1308" s="6">
        <v>1307.0</v>
      </c>
      <c r="C1308" s="6">
        <v>22067.0</v>
      </c>
      <c r="D1308" s="6">
        <v>2.08</v>
      </c>
      <c r="E1308" s="6">
        <v>-0.42</v>
      </c>
      <c r="F1308" s="6">
        <v>10.57</v>
      </c>
      <c r="G1308" s="6">
        <v>-0.08</v>
      </c>
      <c r="H1308" s="6">
        <v>0.02</v>
      </c>
      <c r="I1308" s="6">
        <v>-0.02</v>
      </c>
      <c r="J1308" s="6">
        <v>33.29</v>
      </c>
      <c r="K1308" s="7">
        <f t="shared" ref="K1308:P1308" si="2558">abs(D1308-D1307)/200</f>
        <v>0.00045</v>
      </c>
      <c r="L1308" s="7">
        <f t="shared" si="2558"/>
        <v>0.00035</v>
      </c>
      <c r="M1308" s="7">
        <f t="shared" si="2558"/>
        <v>0.0002</v>
      </c>
      <c r="N1308" s="7">
        <f t="shared" si="2558"/>
        <v>0.00015</v>
      </c>
      <c r="O1308" s="7">
        <f t="shared" si="2558"/>
        <v>0.0002</v>
      </c>
      <c r="P1308" s="7">
        <f t="shared" si="2558"/>
        <v>0.0001</v>
      </c>
      <c r="Q1308" s="7">
        <f t="shared" si="7"/>
        <v>0.02695058513</v>
      </c>
      <c r="R1308" s="7">
        <f t="shared" si="8"/>
        <v>0.01846511609</v>
      </c>
      <c r="S1308" s="7">
        <f t="shared" si="2"/>
        <v>0.9808951391</v>
      </c>
      <c r="T1308" s="7">
        <f t="shared" si="3"/>
        <v>0.08485281374</v>
      </c>
      <c r="U1308" s="7">
        <f t="shared" si="4"/>
        <v>1</v>
      </c>
      <c r="V1308" s="7">
        <f t="shared" si="5"/>
        <v>0</v>
      </c>
      <c r="W1308" s="7">
        <f t="shared" ref="W1308:X1308" si="2559">IF(AVERAGE(U1248:U1307) &gt; 0.25, 1, 0)</f>
        <v>1</v>
      </c>
      <c r="X1308" s="7">
        <f t="shared" si="2559"/>
        <v>1</v>
      </c>
      <c r="Y1308" s="8">
        <v>1.0</v>
      </c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</row>
    <row r="1309" ht="22.5" customHeight="1">
      <c r="B1309" s="6">
        <v>1308.0</v>
      </c>
      <c r="C1309" s="6">
        <v>22271.0</v>
      </c>
      <c r="D1309" s="6">
        <v>2.21</v>
      </c>
      <c r="E1309" s="6">
        <v>-0.28</v>
      </c>
      <c r="F1309" s="6">
        <v>10.55</v>
      </c>
      <c r="G1309" s="6">
        <v>-0.09</v>
      </c>
      <c r="H1309" s="6">
        <v>0.0</v>
      </c>
      <c r="I1309" s="6">
        <v>-0.04</v>
      </c>
      <c r="J1309" s="6">
        <v>33.29</v>
      </c>
      <c r="K1309" s="7">
        <f t="shared" ref="K1309:P1309" si="2560">abs(D1309-D1308)/200</f>
        <v>0.00065</v>
      </c>
      <c r="L1309" s="7">
        <f t="shared" si="2560"/>
        <v>0.0007</v>
      </c>
      <c r="M1309" s="7">
        <f t="shared" si="2560"/>
        <v>0.0001</v>
      </c>
      <c r="N1309" s="7">
        <f t="shared" si="2560"/>
        <v>0.00005</v>
      </c>
      <c r="O1309" s="7">
        <f t="shared" si="2560"/>
        <v>0.0001</v>
      </c>
      <c r="P1309" s="7">
        <f t="shared" si="2560"/>
        <v>0.0001</v>
      </c>
      <c r="Q1309" s="7">
        <f t="shared" si="7"/>
        <v>0.01363576428</v>
      </c>
      <c r="R1309" s="7">
        <f t="shared" si="8"/>
        <v>0.001729773243</v>
      </c>
      <c r="S1309" s="7">
        <f t="shared" si="2"/>
        <v>0.9826249123</v>
      </c>
      <c r="T1309" s="7">
        <f t="shared" si="3"/>
        <v>0.09848857802</v>
      </c>
      <c r="U1309" s="7">
        <f t="shared" si="4"/>
        <v>1</v>
      </c>
      <c r="V1309" s="7">
        <f t="shared" si="5"/>
        <v>0</v>
      </c>
      <c r="W1309" s="7">
        <f t="shared" ref="W1309:X1309" si="2561">IF(AVERAGE(U1249:U1308) &gt; 0.25, 1, 0)</f>
        <v>1</v>
      </c>
      <c r="X1309" s="7">
        <f t="shared" si="2561"/>
        <v>1</v>
      </c>
      <c r="Y1309" s="8">
        <v>1.0</v>
      </c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</row>
    <row r="1310" ht="22.5" customHeight="1">
      <c r="B1310" s="6">
        <v>1309.0</v>
      </c>
      <c r="C1310" s="6">
        <v>22475.0</v>
      </c>
      <c r="D1310" s="6">
        <v>2.15</v>
      </c>
      <c r="E1310" s="6">
        <v>-0.36</v>
      </c>
      <c r="F1310" s="6">
        <v>10.57</v>
      </c>
      <c r="G1310" s="6">
        <v>-0.08</v>
      </c>
      <c r="H1310" s="6">
        <v>0.03</v>
      </c>
      <c r="I1310" s="6">
        <v>-0.01</v>
      </c>
      <c r="J1310" s="6">
        <v>33.3</v>
      </c>
      <c r="K1310" s="7">
        <f t="shared" ref="K1310:P1310" si="2562">abs(D1310-D1309)/200</f>
        <v>0.0003</v>
      </c>
      <c r="L1310" s="7">
        <f t="shared" si="2562"/>
        <v>0.0004</v>
      </c>
      <c r="M1310" s="7">
        <f t="shared" si="2562"/>
        <v>0.0001</v>
      </c>
      <c r="N1310" s="7">
        <f t="shared" si="2562"/>
        <v>0.00005</v>
      </c>
      <c r="O1310" s="7">
        <f t="shared" si="2562"/>
        <v>0.00015</v>
      </c>
      <c r="P1310" s="7">
        <f t="shared" si="2562"/>
        <v>0.00015</v>
      </c>
      <c r="Q1310" s="7">
        <f t="shared" si="7"/>
        <v>0.01246532535</v>
      </c>
      <c r="R1310" s="7">
        <f t="shared" si="8"/>
        <v>0.009826153114</v>
      </c>
      <c r="S1310" s="7">
        <f t="shared" si="2"/>
        <v>0.9924510654</v>
      </c>
      <c r="T1310" s="7">
        <f t="shared" si="3"/>
        <v>0.08602325267</v>
      </c>
      <c r="U1310" s="7">
        <f t="shared" si="4"/>
        <v>1</v>
      </c>
      <c r="V1310" s="7">
        <f t="shared" si="5"/>
        <v>0</v>
      </c>
      <c r="W1310" s="7">
        <f t="shared" ref="W1310:X1310" si="2563">IF(AVERAGE(U1250:U1309) &gt; 0.25, 1, 0)</f>
        <v>1</v>
      </c>
      <c r="X1310" s="7">
        <f t="shared" si="2563"/>
        <v>1</v>
      </c>
      <c r="Y1310" s="8">
        <v>1.0</v>
      </c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</row>
    <row r="1311" ht="22.5" customHeight="1">
      <c r="B1311" s="6">
        <v>1310.0</v>
      </c>
      <c r="C1311" s="6">
        <v>22679.0</v>
      </c>
      <c r="D1311" s="6">
        <v>2.11</v>
      </c>
      <c r="E1311" s="6">
        <v>-0.57</v>
      </c>
      <c r="F1311" s="6">
        <v>10.52</v>
      </c>
      <c r="G1311" s="6">
        <v>-0.11</v>
      </c>
      <c r="H1311" s="6">
        <v>0.01</v>
      </c>
      <c r="I1311" s="6">
        <v>-0.01</v>
      </c>
      <c r="J1311" s="6">
        <v>33.3</v>
      </c>
      <c r="K1311" s="7">
        <f t="shared" ref="K1311:P1311" si="2564">abs(D1311-D1310)/200</f>
        <v>0.0002</v>
      </c>
      <c r="L1311" s="7">
        <f t="shared" si="2564"/>
        <v>0.00105</v>
      </c>
      <c r="M1311" s="7">
        <f t="shared" si="2564"/>
        <v>0.00025</v>
      </c>
      <c r="N1311" s="7">
        <f t="shared" si="2564"/>
        <v>0.00015</v>
      </c>
      <c r="O1311" s="7">
        <f t="shared" si="2564"/>
        <v>0.0001</v>
      </c>
      <c r="P1311" s="7">
        <f t="shared" si="2564"/>
        <v>0</v>
      </c>
      <c r="Q1311" s="7">
        <f t="shared" si="7"/>
        <v>0.02488211239</v>
      </c>
      <c r="R1311" s="7">
        <f t="shared" si="8"/>
        <v>0.0478058875</v>
      </c>
      <c r="S1311" s="7">
        <f t="shared" si="2"/>
        <v>0.9446451779</v>
      </c>
      <c r="T1311" s="7">
        <f t="shared" si="3"/>
        <v>0.1109053651</v>
      </c>
      <c r="U1311" s="7">
        <f t="shared" si="4"/>
        <v>1</v>
      </c>
      <c r="V1311" s="7">
        <f t="shared" si="5"/>
        <v>0</v>
      </c>
      <c r="W1311" s="7">
        <f t="shared" ref="W1311:X1311" si="2565">IF(AVERAGE(U1251:U1310) &gt; 0.25, 1, 0)</f>
        <v>1</v>
      </c>
      <c r="X1311" s="7">
        <f t="shared" si="2565"/>
        <v>1</v>
      </c>
      <c r="Y1311" s="8">
        <v>1.0</v>
      </c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</row>
    <row r="1312" ht="22.5" customHeight="1">
      <c r="B1312" s="6">
        <v>1311.0</v>
      </c>
      <c r="C1312" s="6">
        <v>22883.0</v>
      </c>
      <c r="D1312" s="6">
        <v>2.1</v>
      </c>
      <c r="E1312" s="6">
        <v>-0.38</v>
      </c>
      <c r="F1312" s="6">
        <v>10.57</v>
      </c>
      <c r="G1312" s="6">
        <v>-0.08</v>
      </c>
      <c r="H1312" s="6">
        <v>0.0</v>
      </c>
      <c r="I1312" s="6">
        <v>0.04</v>
      </c>
      <c r="J1312" s="6">
        <v>33.3</v>
      </c>
      <c r="K1312" s="7">
        <f t="shared" ref="K1312:P1312" si="2566">abs(D1312-D1311)/200</f>
        <v>0.00005</v>
      </c>
      <c r="L1312" s="7">
        <f t="shared" si="2566"/>
        <v>0.00095</v>
      </c>
      <c r="M1312" s="7">
        <f t="shared" si="2566"/>
        <v>0.00025</v>
      </c>
      <c r="N1312" s="7">
        <f t="shared" si="2566"/>
        <v>0.00015</v>
      </c>
      <c r="O1312" s="7">
        <f t="shared" si="2566"/>
        <v>0.00005</v>
      </c>
      <c r="P1312" s="7">
        <f t="shared" si="2566"/>
        <v>0.00025</v>
      </c>
      <c r="Q1312" s="7">
        <f t="shared" si="7"/>
        <v>0.02146264596</v>
      </c>
      <c r="R1312" s="7">
        <f t="shared" si="8"/>
        <v>0.03864281784</v>
      </c>
      <c r="S1312" s="7">
        <f t="shared" si="2"/>
        <v>0.9832879958</v>
      </c>
      <c r="T1312" s="7">
        <f t="shared" si="3"/>
        <v>0.0894427191</v>
      </c>
      <c r="U1312" s="7">
        <f t="shared" si="4"/>
        <v>1</v>
      </c>
      <c r="V1312" s="7">
        <f t="shared" si="5"/>
        <v>0</v>
      </c>
      <c r="W1312" s="7">
        <f t="shared" ref="W1312:X1312" si="2567">IF(AVERAGE(U1252:U1311) &gt; 0.25, 1, 0)</f>
        <v>1</v>
      </c>
      <c r="X1312" s="7">
        <f t="shared" si="2567"/>
        <v>1</v>
      </c>
      <c r="Y1312" s="8">
        <v>1.0</v>
      </c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</row>
    <row r="1313" ht="22.5" customHeight="1">
      <c r="B1313" s="6">
        <v>1312.0</v>
      </c>
      <c r="C1313" s="6">
        <v>23087.0</v>
      </c>
      <c r="D1313" s="6">
        <v>2.16</v>
      </c>
      <c r="E1313" s="6">
        <v>-0.48</v>
      </c>
      <c r="F1313" s="6">
        <v>10.57</v>
      </c>
      <c r="G1313" s="6">
        <v>-0.1</v>
      </c>
      <c r="H1313" s="6">
        <v>0.0</v>
      </c>
      <c r="I1313" s="6">
        <v>0.02</v>
      </c>
      <c r="J1313" s="6">
        <v>33.29</v>
      </c>
      <c r="K1313" s="7">
        <f t="shared" ref="K1313:P1313" si="2568">abs(D1313-D1312)/200</f>
        <v>0.0003</v>
      </c>
      <c r="L1313" s="7">
        <f t="shared" si="2568"/>
        <v>0.0005</v>
      </c>
      <c r="M1313" s="7">
        <f t="shared" si="2568"/>
        <v>0</v>
      </c>
      <c r="N1313" s="7">
        <f t="shared" si="2568"/>
        <v>0.0001</v>
      </c>
      <c r="O1313" s="7">
        <f t="shared" si="2568"/>
        <v>0</v>
      </c>
      <c r="P1313" s="7">
        <f t="shared" si="2568"/>
        <v>0.0001</v>
      </c>
      <c r="Q1313" s="7">
        <f t="shared" si="7"/>
        <v>0.01253767117</v>
      </c>
      <c r="R1313" s="7">
        <f t="shared" si="8"/>
        <v>0.01582770875</v>
      </c>
      <c r="S1313" s="7">
        <f t="shared" si="2"/>
        <v>0.9991157045</v>
      </c>
      <c r="T1313" s="7">
        <f t="shared" si="3"/>
        <v>0.1019803903</v>
      </c>
      <c r="U1313" s="7">
        <f t="shared" si="4"/>
        <v>1</v>
      </c>
      <c r="V1313" s="7">
        <f t="shared" si="5"/>
        <v>0</v>
      </c>
      <c r="W1313" s="7">
        <f t="shared" ref="W1313:X1313" si="2569">IF(AVERAGE(U1253:U1312) &gt; 0.25, 1, 0)</f>
        <v>1</v>
      </c>
      <c r="X1313" s="7">
        <f t="shared" si="2569"/>
        <v>1</v>
      </c>
      <c r="Y1313" s="8">
        <v>1.0</v>
      </c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</row>
    <row r="1314" ht="22.5" customHeight="1">
      <c r="B1314" s="6">
        <v>1313.0</v>
      </c>
      <c r="C1314" s="6">
        <v>23291.0</v>
      </c>
      <c r="D1314" s="6">
        <v>2.14</v>
      </c>
      <c r="E1314" s="6">
        <v>-0.45</v>
      </c>
      <c r="F1314" s="6">
        <v>10.52</v>
      </c>
      <c r="G1314" s="6">
        <v>-0.09</v>
      </c>
      <c r="H1314" s="6">
        <v>-0.01</v>
      </c>
      <c r="I1314" s="6">
        <v>0.05</v>
      </c>
      <c r="J1314" s="6">
        <v>33.29</v>
      </c>
      <c r="K1314" s="7">
        <f t="shared" ref="K1314:P1314" si="2570">abs(D1314-D1313)/200</f>
        <v>0.0001</v>
      </c>
      <c r="L1314" s="7">
        <f t="shared" si="2570"/>
        <v>0.00015</v>
      </c>
      <c r="M1314" s="7">
        <f t="shared" si="2570"/>
        <v>0.00025</v>
      </c>
      <c r="N1314" s="7">
        <f t="shared" si="2570"/>
        <v>0.00005</v>
      </c>
      <c r="O1314" s="7">
        <f t="shared" si="2570"/>
        <v>0.00005</v>
      </c>
      <c r="P1314" s="7">
        <f t="shared" si="2570"/>
        <v>0.00015</v>
      </c>
      <c r="Q1314" s="7">
        <f t="shared" si="7"/>
        <v>0.001460414056</v>
      </c>
      <c r="R1314" s="7">
        <f t="shared" si="8"/>
        <v>0.05423320169</v>
      </c>
      <c r="S1314" s="7">
        <f t="shared" si="2"/>
        <v>0.9448825028</v>
      </c>
      <c r="T1314" s="7">
        <f t="shared" si="3"/>
        <v>0.1034408043</v>
      </c>
      <c r="U1314" s="7">
        <f t="shared" si="4"/>
        <v>0</v>
      </c>
      <c r="V1314" s="7">
        <f t="shared" si="5"/>
        <v>0</v>
      </c>
      <c r="W1314" s="7">
        <f t="shared" ref="W1314:X1314" si="2571">IF(AVERAGE(U1254:U1313) &gt; 0.25, 1, 0)</f>
        <v>1</v>
      </c>
      <c r="X1314" s="7">
        <f t="shared" si="2571"/>
        <v>1</v>
      </c>
      <c r="Y1314" s="8">
        <v>1.0</v>
      </c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</row>
    <row r="1315" ht="22.5" customHeight="1">
      <c r="B1315" s="6">
        <v>1314.0</v>
      </c>
      <c r="C1315" s="6">
        <v>23495.0</v>
      </c>
      <c r="D1315" s="6">
        <v>2.17</v>
      </c>
      <c r="E1315" s="6">
        <v>-0.58</v>
      </c>
      <c r="F1315" s="6">
        <v>10.53</v>
      </c>
      <c r="G1315" s="6">
        <v>-0.1</v>
      </c>
      <c r="H1315" s="6">
        <v>-0.02</v>
      </c>
      <c r="I1315" s="6">
        <v>0.02</v>
      </c>
      <c r="J1315" s="6">
        <v>33.29</v>
      </c>
      <c r="K1315" s="7">
        <f t="shared" ref="K1315:P1315" si="2572">abs(D1315-D1314)/200</f>
        <v>0.00015</v>
      </c>
      <c r="L1315" s="7">
        <f t="shared" si="2572"/>
        <v>0.00065</v>
      </c>
      <c r="M1315" s="7">
        <f t="shared" si="2572"/>
        <v>0.00005</v>
      </c>
      <c r="N1315" s="7">
        <f t="shared" si="2572"/>
        <v>0.00005</v>
      </c>
      <c r="O1315" s="7">
        <f t="shared" si="2572"/>
        <v>0.00005</v>
      </c>
      <c r="P1315" s="7">
        <f t="shared" si="2572"/>
        <v>0.00015</v>
      </c>
      <c r="Q1315" s="7">
        <f t="shared" si="7"/>
        <v>0.0004822441262</v>
      </c>
      <c r="R1315" s="7">
        <f t="shared" si="8"/>
        <v>0.02202048733</v>
      </c>
      <c r="S1315" s="7">
        <f t="shared" si="2"/>
        <v>0.9669029902</v>
      </c>
      <c r="T1315" s="7">
        <f t="shared" si="3"/>
        <v>0.1039230485</v>
      </c>
      <c r="U1315" s="7">
        <f t="shared" si="4"/>
        <v>1</v>
      </c>
      <c r="V1315" s="7">
        <f t="shared" si="5"/>
        <v>0</v>
      </c>
      <c r="W1315" s="7">
        <f t="shared" ref="W1315:X1315" si="2573">IF(AVERAGE(U1255:U1314) &gt; 0.25, 1, 0)</f>
        <v>1</v>
      </c>
      <c r="X1315" s="7">
        <f t="shared" si="2573"/>
        <v>1</v>
      </c>
      <c r="Y1315" s="8">
        <v>1.0</v>
      </c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</row>
    <row r="1316" ht="22.5" customHeight="1">
      <c r="B1316" s="6">
        <v>1315.0</v>
      </c>
      <c r="C1316" s="6">
        <v>23699.0</v>
      </c>
      <c r="D1316" s="6">
        <v>2.18</v>
      </c>
      <c r="E1316" s="6">
        <v>-0.46</v>
      </c>
      <c r="F1316" s="6">
        <v>10.55</v>
      </c>
      <c r="G1316" s="6">
        <v>-0.08</v>
      </c>
      <c r="H1316" s="6">
        <v>-0.01</v>
      </c>
      <c r="I1316" s="6">
        <v>-0.01</v>
      </c>
      <c r="J1316" s="6">
        <v>33.29</v>
      </c>
      <c r="K1316" s="7">
        <f t="shared" ref="K1316:P1316" si="2574">abs(D1316-D1315)/200</f>
        <v>0.00005</v>
      </c>
      <c r="L1316" s="7">
        <f t="shared" si="2574"/>
        <v>0.0006</v>
      </c>
      <c r="M1316" s="7">
        <f t="shared" si="2574"/>
        <v>0.0001</v>
      </c>
      <c r="N1316" s="7">
        <f t="shared" si="2574"/>
        <v>0.0001</v>
      </c>
      <c r="O1316" s="7">
        <f t="shared" si="2574"/>
        <v>0.00005</v>
      </c>
      <c r="P1316" s="7">
        <f t="shared" si="2574"/>
        <v>0.00015</v>
      </c>
      <c r="Q1316" s="7">
        <f t="shared" si="7"/>
        <v>0.02268266441</v>
      </c>
      <c r="R1316" s="7">
        <f t="shared" si="8"/>
        <v>0.01579147827</v>
      </c>
      <c r="S1316" s="7">
        <f t="shared" si="2"/>
        <v>0.9826944685</v>
      </c>
      <c r="T1316" s="7">
        <f t="shared" si="3"/>
        <v>0.08124038405</v>
      </c>
      <c r="U1316" s="7">
        <f t="shared" si="4"/>
        <v>1</v>
      </c>
      <c r="V1316" s="7">
        <f t="shared" si="5"/>
        <v>0</v>
      </c>
      <c r="W1316" s="7">
        <f t="shared" ref="W1316:X1316" si="2575">IF(AVERAGE(U1256:U1315) &gt; 0.25, 1, 0)</f>
        <v>1</v>
      </c>
      <c r="X1316" s="7">
        <f t="shared" si="2575"/>
        <v>1</v>
      </c>
      <c r="Y1316" s="8">
        <v>1.0</v>
      </c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</row>
    <row r="1317" ht="22.5" customHeight="1">
      <c r="B1317" s="6">
        <v>1316.0</v>
      </c>
      <c r="C1317" s="6">
        <v>23903.0</v>
      </c>
      <c r="D1317" s="6">
        <v>2.19</v>
      </c>
      <c r="E1317" s="6">
        <v>-0.4</v>
      </c>
      <c r="F1317" s="6">
        <v>10.5</v>
      </c>
      <c r="G1317" s="6">
        <v>-0.09</v>
      </c>
      <c r="H1317" s="6">
        <v>-0.01</v>
      </c>
      <c r="I1317" s="6">
        <v>-0.01</v>
      </c>
      <c r="J1317" s="6">
        <v>33.3</v>
      </c>
      <c r="K1317" s="7">
        <f t="shared" ref="K1317:P1317" si="2576">abs(D1317-D1316)/200</f>
        <v>0.00005</v>
      </c>
      <c r="L1317" s="7">
        <f t="shared" si="2576"/>
        <v>0.0003</v>
      </c>
      <c r="M1317" s="7">
        <f t="shared" si="2576"/>
        <v>0.00025</v>
      </c>
      <c r="N1317" s="7">
        <f t="shared" si="2576"/>
        <v>0.00005</v>
      </c>
      <c r="O1317" s="7">
        <f t="shared" si="2576"/>
        <v>0</v>
      </c>
      <c r="P1317" s="7">
        <f t="shared" si="2576"/>
        <v>0</v>
      </c>
      <c r="Q1317" s="7">
        <f t="shared" si="7"/>
        <v>0.009863951745</v>
      </c>
      <c r="R1317" s="7">
        <f t="shared" si="8"/>
        <v>0.04928401324</v>
      </c>
      <c r="S1317" s="7">
        <f t="shared" si="2"/>
        <v>0.9334104552</v>
      </c>
      <c r="T1317" s="7">
        <f t="shared" si="3"/>
        <v>0.09110433579</v>
      </c>
      <c r="U1317" s="7">
        <f t="shared" si="4"/>
        <v>0</v>
      </c>
      <c r="V1317" s="7">
        <f t="shared" si="5"/>
        <v>0</v>
      </c>
      <c r="W1317" s="7">
        <f t="shared" ref="W1317:X1317" si="2577">IF(AVERAGE(U1257:U1316) &gt; 0.25, 1, 0)</f>
        <v>1</v>
      </c>
      <c r="X1317" s="7">
        <f t="shared" si="2577"/>
        <v>1</v>
      </c>
      <c r="Y1317" s="8">
        <v>1.0</v>
      </c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</row>
    <row r="1318" ht="22.5" customHeight="1">
      <c r="B1318" s="6">
        <v>1317.0</v>
      </c>
      <c r="C1318" s="6">
        <v>24107.0</v>
      </c>
      <c r="D1318" s="6">
        <v>2.19</v>
      </c>
      <c r="E1318" s="6">
        <v>-0.38</v>
      </c>
      <c r="F1318" s="6">
        <v>10.54</v>
      </c>
      <c r="G1318" s="6">
        <v>-0.1</v>
      </c>
      <c r="H1318" s="6">
        <v>-0.02</v>
      </c>
      <c r="I1318" s="6">
        <v>-0.02</v>
      </c>
      <c r="J1318" s="6">
        <v>33.3</v>
      </c>
      <c r="K1318" s="7">
        <f t="shared" ref="K1318:P1318" si="2578">abs(D1318-D1317)/200</f>
        <v>0</v>
      </c>
      <c r="L1318" s="7">
        <f t="shared" si="2578"/>
        <v>0.0001</v>
      </c>
      <c r="M1318" s="7">
        <f t="shared" si="2578"/>
        <v>0.0002</v>
      </c>
      <c r="N1318" s="7">
        <f t="shared" si="2578"/>
        <v>0.00005</v>
      </c>
      <c r="O1318" s="7">
        <f t="shared" si="2578"/>
        <v>0.00005</v>
      </c>
      <c r="P1318" s="7">
        <f t="shared" si="2578"/>
        <v>0.00005</v>
      </c>
      <c r="Q1318" s="7">
        <f t="shared" si="7"/>
        <v>0.01281871266</v>
      </c>
      <c r="R1318" s="7">
        <f t="shared" si="8"/>
        <v>0.03840926107</v>
      </c>
      <c r="S1318" s="7">
        <f t="shared" si="2"/>
        <v>0.9718197163</v>
      </c>
      <c r="T1318" s="7">
        <f t="shared" si="3"/>
        <v>0.1039230485</v>
      </c>
      <c r="U1318" s="7">
        <f t="shared" si="4"/>
        <v>0</v>
      </c>
      <c r="V1318" s="7">
        <f t="shared" si="5"/>
        <v>0</v>
      </c>
      <c r="W1318" s="7">
        <f t="shared" ref="W1318:X1318" si="2579">IF(AVERAGE(U1258:U1317) &gt; 0.25, 1, 0)</f>
        <v>1</v>
      </c>
      <c r="X1318" s="7">
        <f t="shared" si="2579"/>
        <v>1</v>
      </c>
      <c r="Y1318" s="8">
        <v>1.0</v>
      </c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</row>
    <row r="1319" ht="22.5" customHeight="1">
      <c r="B1319" s="6">
        <v>1318.0</v>
      </c>
      <c r="C1319" s="6">
        <v>24311.0</v>
      </c>
      <c r="D1319" s="6">
        <v>2.16</v>
      </c>
      <c r="E1319" s="6">
        <v>-0.38</v>
      </c>
      <c r="F1319" s="6">
        <v>10.54</v>
      </c>
      <c r="G1319" s="6">
        <v>-0.08</v>
      </c>
      <c r="H1319" s="6">
        <v>0.02</v>
      </c>
      <c r="I1319" s="6">
        <v>-0.03</v>
      </c>
      <c r="J1319" s="6">
        <v>33.31</v>
      </c>
      <c r="K1319" s="7">
        <f t="shared" ref="K1319:P1319" si="2580">abs(D1319-D1318)/200</f>
        <v>0.00015</v>
      </c>
      <c r="L1319" s="7">
        <f t="shared" si="2580"/>
        <v>0</v>
      </c>
      <c r="M1319" s="7">
        <f t="shared" si="2580"/>
        <v>0</v>
      </c>
      <c r="N1319" s="7">
        <f t="shared" si="2580"/>
        <v>0.0001</v>
      </c>
      <c r="O1319" s="7">
        <f t="shared" si="2580"/>
        <v>0.0002</v>
      </c>
      <c r="P1319" s="7">
        <f t="shared" si="2580"/>
        <v>0.00005</v>
      </c>
      <c r="Q1319" s="7">
        <f t="shared" si="7"/>
        <v>0.01617340458</v>
      </c>
      <c r="R1319" s="7">
        <f t="shared" si="8"/>
        <v>0.006059176493</v>
      </c>
      <c r="S1319" s="7">
        <f t="shared" si="2"/>
        <v>0.9657605398</v>
      </c>
      <c r="T1319" s="7">
        <f t="shared" si="3"/>
        <v>0.08774964387</v>
      </c>
      <c r="U1319" s="7">
        <f t="shared" si="4"/>
        <v>0</v>
      </c>
      <c r="V1319" s="7">
        <f t="shared" si="5"/>
        <v>0</v>
      </c>
      <c r="W1319" s="7">
        <f t="shared" ref="W1319:X1319" si="2581">IF(AVERAGE(U1259:U1318) &gt; 0.25, 1, 0)</f>
        <v>1</v>
      </c>
      <c r="X1319" s="7">
        <f t="shared" si="2581"/>
        <v>1</v>
      </c>
      <c r="Y1319" s="8">
        <v>1.0</v>
      </c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</row>
    <row r="1320" ht="22.5" customHeight="1">
      <c r="B1320" s="6">
        <v>1319.0</v>
      </c>
      <c r="C1320" s="6">
        <v>24515.0</v>
      </c>
      <c r="D1320" s="6">
        <v>2.22</v>
      </c>
      <c r="E1320" s="6">
        <v>-0.45</v>
      </c>
      <c r="F1320" s="6">
        <v>10.47</v>
      </c>
      <c r="G1320" s="6">
        <v>-0.17</v>
      </c>
      <c r="H1320" s="6">
        <v>0.0</v>
      </c>
      <c r="I1320" s="6">
        <v>-0.04</v>
      </c>
      <c r="J1320" s="6">
        <v>33.31</v>
      </c>
      <c r="K1320" s="7">
        <f t="shared" ref="K1320:P1320" si="2582">abs(D1320-D1319)/200</f>
        <v>0.0003</v>
      </c>
      <c r="L1320" s="7">
        <f t="shared" si="2582"/>
        <v>0.00035</v>
      </c>
      <c r="M1320" s="7">
        <f t="shared" si="2582"/>
        <v>0.00035</v>
      </c>
      <c r="N1320" s="7">
        <f t="shared" si="2582"/>
        <v>0.00045</v>
      </c>
      <c r="O1320" s="7">
        <f t="shared" si="2582"/>
        <v>0.0001</v>
      </c>
      <c r="P1320" s="7">
        <f t="shared" si="2582"/>
        <v>0.00005</v>
      </c>
      <c r="Q1320" s="7">
        <f t="shared" si="7"/>
        <v>0.08689284809</v>
      </c>
      <c r="R1320" s="7">
        <f t="shared" si="8"/>
        <v>0.0535338805</v>
      </c>
      <c r="S1320" s="7">
        <f t="shared" si="2"/>
        <v>0.9122266593</v>
      </c>
      <c r="T1320" s="7">
        <f t="shared" si="3"/>
        <v>0.174642492</v>
      </c>
      <c r="U1320" s="7">
        <f t="shared" si="4"/>
        <v>1</v>
      </c>
      <c r="V1320" s="7">
        <f t="shared" si="5"/>
        <v>1</v>
      </c>
      <c r="W1320" s="7">
        <f t="shared" ref="W1320:X1320" si="2583">IF(AVERAGE(U1260:U1319) &gt; 0.25, 1, 0)</f>
        <v>1</v>
      </c>
      <c r="X1320" s="7">
        <f t="shared" si="2583"/>
        <v>1</v>
      </c>
      <c r="Y1320" s="8">
        <v>1.0</v>
      </c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</row>
    <row r="1321" ht="22.5" customHeight="1">
      <c r="B1321" s="6">
        <v>1320.0</v>
      </c>
      <c r="C1321" s="6">
        <v>24719.0</v>
      </c>
      <c r="D1321" s="6">
        <v>2.17</v>
      </c>
      <c r="E1321" s="6">
        <v>-0.43</v>
      </c>
      <c r="F1321" s="6">
        <v>10.52</v>
      </c>
      <c r="G1321" s="6">
        <v>-0.09</v>
      </c>
      <c r="H1321" s="6">
        <v>0.04</v>
      </c>
      <c r="I1321" s="6">
        <v>-0.05</v>
      </c>
      <c r="J1321" s="6">
        <v>33.31</v>
      </c>
      <c r="K1321" s="7">
        <f t="shared" ref="K1321:P1321" si="2584">abs(D1321-D1320)/200</f>
        <v>0.00025</v>
      </c>
      <c r="L1321" s="7">
        <f t="shared" si="2584"/>
        <v>0.0001</v>
      </c>
      <c r="M1321" s="7">
        <f t="shared" si="2584"/>
        <v>0.00025</v>
      </c>
      <c r="N1321" s="7">
        <f t="shared" si="2584"/>
        <v>0.0004</v>
      </c>
      <c r="O1321" s="7">
        <f t="shared" si="2584"/>
        <v>0.0002</v>
      </c>
      <c r="P1321" s="7">
        <f t="shared" si="2584"/>
        <v>0.00005</v>
      </c>
      <c r="Q1321" s="7">
        <f t="shared" si="7"/>
        <v>0.06418888179</v>
      </c>
      <c r="R1321" s="7">
        <f t="shared" si="8"/>
        <v>0.03785241019</v>
      </c>
      <c r="S1321" s="7">
        <f t="shared" si="2"/>
        <v>0.9500790695</v>
      </c>
      <c r="T1321" s="7">
        <f t="shared" si="3"/>
        <v>0.1104536102</v>
      </c>
      <c r="U1321" s="7">
        <f t="shared" si="4"/>
        <v>0</v>
      </c>
      <c r="V1321" s="7">
        <f t="shared" si="5"/>
        <v>1</v>
      </c>
      <c r="W1321" s="7">
        <f t="shared" ref="W1321:X1321" si="2585">IF(AVERAGE(U1261:U1320) &gt; 0.25, 1, 0)</f>
        <v>1</v>
      </c>
      <c r="X1321" s="7">
        <f t="shared" si="2585"/>
        <v>1</v>
      </c>
      <c r="Y1321" s="8">
        <v>1.0</v>
      </c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</row>
    <row r="1322" ht="22.5" customHeight="1">
      <c r="B1322" s="6">
        <v>1321.0</v>
      </c>
      <c r="C1322" s="6">
        <v>24923.0</v>
      </c>
      <c r="D1322" s="6">
        <v>2.12</v>
      </c>
      <c r="E1322" s="6">
        <v>-0.49</v>
      </c>
      <c r="F1322" s="6">
        <v>10.54</v>
      </c>
      <c r="G1322" s="6">
        <v>-0.08</v>
      </c>
      <c r="H1322" s="6">
        <v>0.01</v>
      </c>
      <c r="I1322" s="6">
        <v>-0.02</v>
      </c>
      <c r="J1322" s="6">
        <v>33.31</v>
      </c>
      <c r="K1322" s="7">
        <f t="shared" ref="K1322:P1322" si="2586">abs(D1322-D1321)/200</f>
        <v>0.00025</v>
      </c>
      <c r="L1322" s="7">
        <f t="shared" si="2586"/>
        <v>0.0003</v>
      </c>
      <c r="M1322" s="7">
        <f t="shared" si="2586"/>
        <v>0.0001</v>
      </c>
      <c r="N1322" s="7">
        <f t="shared" si="2586"/>
        <v>0.00005</v>
      </c>
      <c r="O1322" s="7">
        <f t="shared" si="2586"/>
        <v>0.00015</v>
      </c>
      <c r="P1322" s="7">
        <f t="shared" si="2586"/>
        <v>0.00015</v>
      </c>
      <c r="Q1322" s="7">
        <f t="shared" si="7"/>
        <v>0.02738737154</v>
      </c>
      <c r="R1322" s="7">
        <f t="shared" si="8"/>
        <v>0.01217441202</v>
      </c>
      <c r="S1322" s="7">
        <f t="shared" si="2"/>
        <v>0.9622534815</v>
      </c>
      <c r="T1322" s="7">
        <f t="shared" si="3"/>
        <v>0.08306623863</v>
      </c>
      <c r="U1322" s="7">
        <f t="shared" si="4"/>
        <v>0</v>
      </c>
      <c r="V1322" s="7">
        <f t="shared" si="5"/>
        <v>0</v>
      </c>
      <c r="W1322" s="7">
        <f t="shared" ref="W1322:X1322" si="2587">IF(AVERAGE(U1262:U1321) &gt; 0.25, 1, 0)</f>
        <v>1</v>
      </c>
      <c r="X1322" s="7">
        <f t="shared" si="2587"/>
        <v>1</v>
      </c>
      <c r="Y1322" s="8">
        <v>1.0</v>
      </c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</row>
    <row r="1323" ht="22.5" customHeight="1">
      <c r="B1323" s="6">
        <v>1322.0</v>
      </c>
      <c r="C1323" s="6">
        <v>25127.0</v>
      </c>
      <c r="D1323" s="6">
        <v>2.11</v>
      </c>
      <c r="E1323" s="6">
        <v>-0.54</v>
      </c>
      <c r="F1323" s="6">
        <v>10.55</v>
      </c>
      <c r="G1323" s="6">
        <v>-0.09</v>
      </c>
      <c r="H1323" s="6">
        <v>0.01</v>
      </c>
      <c r="I1323" s="6">
        <v>0.0</v>
      </c>
      <c r="J1323" s="6">
        <v>33.31</v>
      </c>
      <c r="K1323" s="7">
        <f t="shared" ref="K1323:P1323" si="2588">abs(D1323-D1322)/200</f>
        <v>0.00005</v>
      </c>
      <c r="L1323" s="7">
        <f t="shared" si="2588"/>
        <v>0.00025</v>
      </c>
      <c r="M1323" s="7">
        <f t="shared" si="2588"/>
        <v>0.00005</v>
      </c>
      <c r="N1323" s="7">
        <f t="shared" si="2588"/>
        <v>0.00005</v>
      </c>
      <c r="O1323" s="7">
        <f t="shared" si="2588"/>
        <v>0</v>
      </c>
      <c r="P1323" s="7">
        <f t="shared" si="2588"/>
        <v>0.0001</v>
      </c>
      <c r="Q1323" s="7">
        <f t="shared" si="7"/>
        <v>0.007487612752</v>
      </c>
      <c r="R1323" s="7">
        <f t="shared" si="8"/>
        <v>0.01022070042</v>
      </c>
      <c r="S1323" s="7">
        <f t="shared" si="2"/>
        <v>0.9724741819</v>
      </c>
      <c r="T1323" s="7">
        <f t="shared" si="3"/>
        <v>0.09055385138</v>
      </c>
      <c r="U1323" s="7">
        <f t="shared" si="4"/>
        <v>0</v>
      </c>
      <c r="V1323" s="7">
        <f t="shared" si="5"/>
        <v>0</v>
      </c>
      <c r="W1323" s="7">
        <f t="shared" ref="W1323:X1323" si="2589">IF(AVERAGE(U1263:U1322) &gt; 0.25, 1, 0)</f>
        <v>1</v>
      </c>
      <c r="X1323" s="7">
        <f t="shared" si="2589"/>
        <v>1</v>
      </c>
      <c r="Y1323" s="8">
        <v>1.0</v>
      </c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</row>
    <row r="1324" ht="22.5" customHeight="1">
      <c r="B1324" s="6">
        <v>1323.0</v>
      </c>
      <c r="C1324" s="6">
        <v>25331.0</v>
      </c>
      <c r="D1324" s="6">
        <v>2.11</v>
      </c>
      <c r="E1324" s="6">
        <v>-0.5</v>
      </c>
      <c r="F1324" s="6">
        <v>10.59</v>
      </c>
      <c r="G1324" s="6">
        <v>-0.09</v>
      </c>
      <c r="H1324" s="6">
        <v>0.0</v>
      </c>
      <c r="I1324" s="6">
        <v>0.01</v>
      </c>
      <c r="J1324" s="6">
        <v>33.32</v>
      </c>
      <c r="K1324" s="7">
        <f t="shared" ref="K1324:P1324" si="2590">abs(D1324-D1323)/200</f>
        <v>0</v>
      </c>
      <c r="L1324" s="7">
        <f t="shared" si="2590"/>
        <v>0.0002</v>
      </c>
      <c r="M1324" s="7">
        <f t="shared" si="2590"/>
        <v>0.0002</v>
      </c>
      <c r="N1324" s="7">
        <f t="shared" si="2590"/>
        <v>0</v>
      </c>
      <c r="O1324" s="7">
        <f t="shared" si="2590"/>
        <v>0.00005</v>
      </c>
      <c r="P1324" s="7">
        <f t="shared" si="2590"/>
        <v>0.00005</v>
      </c>
      <c r="Q1324" s="7">
        <f t="shared" si="7"/>
        <v>0</v>
      </c>
      <c r="R1324" s="7">
        <f t="shared" si="8"/>
        <v>0.03725291917</v>
      </c>
      <c r="S1324" s="7">
        <f t="shared" si="2"/>
        <v>1.009727101</v>
      </c>
      <c r="T1324" s="7">
        <f t="shared" si="3"/>
        <v>0.09055385138</v>
      </c>
      <c r="U1324" s="7">
        <f t="shared" si="4"/>
        <v>0</v>
      </c>
      <c r="V1324" s="7">
        <f t="shared" si="5"/>
        <v>0</v>
      </c>
      <c r="W1324" s="7">
        <f t="shared" ref="W1324:X1324" si="2591">IF(AVERAGE(U1264:U1323) &gt; 0.25, 1, 0)</f>
        <v>1</v>
      </c>
      <c r="X1324" s="7">
        <f t="shared" si="2591"/>
        <v>1</v>
      </c>
      <c r="Y1324" s="8">
        <v>1.0</v>
      </c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</row>
    <row r="1325" ht="22.5" customHeight="1">
      <c r="B1325" s="6">
        <v>1324.0</v>
      </c>
      <c r="C1325" s="6">
        <v>25535.0</v>
      </c>
      <c r="D1325" s="6">
        <v>2.11</v>
      </c>
      <c r="E1325" s="6">
        <v>-0.49</v>
      </c>
      <c r="F1325" s="6">
        <v>10.59</v>
      </c>
      <c r="G1325" s="6">
        <v>-0.1</v>
      </c>
      <c r="H1325" s="6">
        <v>-0.01</v>
      </c>
      <c r="I1325" s="6">
        <v>0.01</v>
      </c>
      <c r="J1325" s="6">
        <v>33.33</v>
      </c>
      <c r="K1325" s="7">
        <f t="shared" ref="K1325:P1325" si="2592">abs(D1325-D1324)/200</f>
        <v>0</v>
      </c>
      <c r="L1325" s="7">
        <f t="shared" si="2592"/>
        <v>0.00005</v>
      </c>
      <c r="M1325" s="7">
        <f t="shared" si="2592"/>
        <v>0</v>
      </c>
      <c r="N1325" s="7">
        <f t="shared" si="2592"/>
        <v>0.00005</v>
      </c>
      <c r="O1325" s="7">
        <f t="shared" si="2592"/>
        <v>0.00005</v>
      </c>
      <c r="P1325" s="7">
        <f t="shared" si="2592"/>
        <v>0</v>
      </c>
      <c r="Q1325" s="7">
        <f t="shared" si="7"/>
        <v>0.010441198</v>
      </c>
      <c r="R1325" s="7">
        <f t="shared" si="8"/>
        <v>0.0004579306031</v>
      </c>
      <c r="S1325" s="7">
        <f t="shared" si="2"/>
        <v>1.00926917</v>
      </c>
      <c r="T1325" s="7">
        <f t="shared" si="3"/>
        <v>0.1009950494</v>
      </c>
      <c r="U1325" s="7">
        <f t="shared" si="4"/>
        <v>0</v>
      </c>
      <c r="V1325" s="7">
        <f t="shared" si="5"/>
        <v>0</v>
      </c>
      <c r="W1325" s="7">
        <f t="shared" ref="W1325:X1325" si="2593">IF(AVERAGE(U1265:U1324) &gt; 0.25, 1, 0)</f>
        <v>1</v>
      </c>
      <c r="X1325" s="7">
        <f t="shared" si="2593"/>
        <v>1</v>
      </c>
      <c r="Y1325" s="8">
        <v>1.0</v>
      </c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</row>
    <row r="1326" ht="22.5" customHeight="1">
      <c r="B1326" s="6">
        <v>1325.0</v>
      </c>
      <c r="C1326" s="6">
        <v>25739.0</v>
      </c>
      <c r="D1326" s="6">
        <v>2.07</v>
      </c>
      <c r="E1326" s="6">
        <v>-0.52</v>
      </c>
      <c r="F1326" s="6">
        <v>10.53</v>
      </c>
      <c r="G1326" s="6">
        <v>-0.13</v>
      </c>
      <c r="H1326" s="6">
        <v>0.01</v>
      </c>
      <c r="I1326" s="6">
        <v>0.02</v>
      </c>
      <c r="J1326" s="6">
        <v>33.32</v>
      </c>
      <c r="K1326" s="7">
        <f t="shared" ref="K1326:P1326" si="2594">abs(D1326-D1325)/200</f>
        <v>0.0002</v>
      </c>
      <c r="L1326" s="7">
        <f t="shared" si="2594"/>
        <v>0.00015</v>
      </c>
      <c r="M1326" s="7">
        <f t="shared" si="2594"/>
        <v>0.0003</v>
      </c>
      <c r="N1326" s="7">
        <f t="shared" si="2594"/>
        <v>0.00015</v>
      </c>
      <c r="O1326" s="7">
        <f t="shared" si="2594"/>
        <v>0.0001</v>
      </c>
      <c r="P1326" s="7">
        <f t="shared" si="2594"/>
        <v>0.00005</v>
      </c>
      <c r="Q1326" s="7">
        <f t="shared" si="7"/>
        <v>0.0309140102</v>
      </c>
      <c r="R1326" s="7">
        <f t="shared" si="8"/>
        <v>0.06514519503</v>
      </c>
      <c r="S1326" s="7">
        <f t="shared" si="2"/>
        <v>0.9441239755</v>
      </c>
      <c r="T1326" s="7">
        <f t="shared" si="3"/>
        <v>0.1319090596</v>
      </c>
      <c r="U1326" s="7">
        <f t="shared" si="4"/>
        <v>1</v>
      </c>
      <c r="V1326" s="7">
        <f t="shared" si="5"/>
        <v>0</v>
      </c>
      <c r="W1326" s="7">
        <f t="shared" ref="W1326:X1326" si="2595">IF(AVERAGE(U1266:U1325) &gt; 0.25, 1, 0)</f>
        <v>1</v>
      </c>
      <c r="X1326" s="7">
        <f t="shared" si="2595"/>
        <v>1</v>
      </c>
      <c r="Y1326" s="8">
        <v>1.0</v>
      </c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</row>
    <row r="1327" ht="22.5" customHeight="1">
      <c r="B1327" s="6">
        <v>1326.0</v>
      </c>
      <c r="C1327" s="6">
        <v>25943.0</v>
      </c>
      <c r="D1327" s="6">
        <v>2.13</v>
      </c>
      <c r="E1327" s="6">
        <v>-0.7</v>
      </c>
      <c r="F1327" s="6">
        <v>10.54</v>
      </c>
      <c r="G1327" s="6">
        <v>-0.09</v>
      </c>
      <c r="H1327" s="6">
        <v>-0.05</v>
      </c>
      <c r="I1327" s="6">
        <v>0.08</v>
      </c>
      <c r="J1327" s="6">
        <v>33.32</v>
      </c>
      <c r="K1327" s="7">
        <f t="shared" ref="K1327:P1327" si="2596">abs(D1327-D1326)/200</f>
        <v>0.0003</v>
      </c>
      <c r="L1327" s="7">
        <f t="shared" si="2596"/>
        <v>0.0009</v>
      </c>
      <c r="M1327" s="7">
        <f t="shared" si="2596"/>
        <v>0.00005</v>
      </c>
      <c r="N1327" s="7">
        <f t="shared" si="2596"/>
        <v>0.0002</v>
      </c>
      <c r="O1327" s="7">
        <f t="shared" si="2596"/>
        <v>0.0003</v>
      </c>
      <c r="P1327" s="7">
        <f t="shared" si="2596"/>
        <v>0.0003</v>
      </c>
      <c r="Q1327" s="7">
        <f t="shared" si="7"/>
        <v>0.001525011479</v>
      </c>
      <c r="R1327" s="7">
        <f t="shared" si="8"/>
        <v>0.03170545898</v>
      </c>
      <c r="S1327" s="7">
        <f t="shared" si="2"/>
        <v>0.9758294344</v>
      </c>
      <c r="T1327" s="7">
        <f t="shared" si="3"/>
        <v>0.1303840481</v>
      </c>
      <c r="U1327" s="7">
        <f t="shared" si="4"/>
        <v>1</v>
      </c>
      <c r="V1327" s="7">
        <f t="shared" si="5"/>
        <v>0</v>
      </c>
      <c r="W1327" s="7">
        <f t="shared" ref="W1327:X1327" si="2597">IF(AVERAGE(U1267:U1326) &gt; 0.25, 1, 0)</f>
        <v>1</v>
      </c>
      <c r="X1327" s="7">
        <f t="shared" si="2597"/>
        <v>1</v>
      </c>
      <c r="Y1327" s="8">
        <v>1.0</v>
      </c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</row>
    <row r="1328" ht="22.5" customHeight="1">
      <c r="B1328" s="6">
        <v>1327.0</v>
      </c>
      <c r="C1328" s="6">
        <v>26147.0</v>
      </c>
      <c r="D1328" s="6">
        <v>2.13</v>
      </c>
      <c r="E1328" s="6">
        <v>-0.66</v>
      </c>
      <c r="F1328" s="6">
        <v>10.51</v>
      </c>
      <c r="G1328" s="6">
        <v>-0.09</v>
      </c>
      <c r="H1328" s="6">
        <v>0.0</v>
      </c>
      <c r="I1328" s="6">
        <v>-0.03</v>
      </c>
      <c r="J1328" s="6">
        <v>33.32</v>
      </c>
      <c r="K1328" s="7">
        <f t="shared" ref="K1328:P1328" si="2598">abs(D1328-D1327)/200</f>
        <v>0</v>
      </c>
      <c r="L1328" s="7">
        <f t="shared" si="2598"/>
        <v>0.0002</v>
      </c>
      <c r="M1328" s="7">
        <f t="shared" si="2598"/>
        <v>0.00015</v>
      </c>
      <c r="N1328" s="7">
        <f t="shared" si="2598"/>
        <v>0</v>
      </c>
      <c r="O1328" s="7">
        <f t="shared" si="2598"/>
        <v>0.00025</v>
      </c>
      <c r="P1328" s="7">
        <f t="shared" si="2598"/>
        <v>0.00055</v>
      </c>
      <c r="Q1328" s="7">
        <f t="shared" si="7"/>
        <v>0.0355157183</v>
      </c>
      <c r="R1328" s="7">
        <f t="shared" si="8"/>
        <v>0.03187299372</v>
      </c>
      <c r="S1328" s="7">
        <f t="shared" si="2"/>
        <v>0.9439564407</v>
      </c>
      <c r="T1328" s="7">
        <f t="shared" si="3"/>
        <v>0.09486832981</v>
      </c>
      <c r="U1328" s="7">
        <f t="shared" si="4"/>
        <v>0</v>
      </c>
      <c r="V1328" s="7">
        <f t="shared" si="5"/>
        <v>1</v>
      </c>
      <c r="W1328" s="7">
        <f t="shared" ref="W1328:X1328" si="2599">IF(AVERAGE(U1268:U1327) &gt; 0.25, 1, 0)</f>
        <v>1</v>
      </c>
      <c r="X1328" s="7">
        <f t="shared" si="2599"/>
        <v>1</v>
      </c>
      <c r="Y1328" s="8">
        <v>1.0</v>
      </c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</row>
    <row r="1329" ht="22.5" customHeight="1">
      <c r="B1329" s="6">
        <v>1328.0</v>
      </c>
      <c r="C1329" s="6">
        <v>26351.0</v>
      </c>
      <c r="D1329" s="6">
        <v>2.15</v>
      </c>
      <c r="E1329" s="6">
        <v>-0.44</v>
      </c>
      <c r="F1329" s="6">
        <v>10.55</v>
      </c>
      <c r="G1329" s="6">
        <v>-0.1</v>
      </c>
      <c r="H1329" s="6">
        <v>-0.02</v>
      </c>
      <c r="I1329" s="6">
        <v>-0.02</v>
      </c>
      <c r="J1329" s="6">
        <v>33.32</v>
      </c>
      <c r="K1329" s="7">
        <f t="shared" ref="K1329:P1329" si="2600">abs(D1329-D1328)/200</f>
        <v>0.0001</v>
      </c>
      <c r="L1329" s="7">
        <f t="shared" si="2600"/>
        <v>0.0011</v>
      </c>
      <c r="M1329" s="7">
        <f t="shared" si="2600"/>
        <v>0.0002</v>
      </c>
      <c r="N1329" s="7">
        <f t="shared" si="2600"/>
        <v>0.00005</v>
      </c>
      <c r="O1329" s="7">
        <f t="shared" si="2600"/>
        <v>0.0001</v>
      </c>
      <c r="P1329" s="7">
        <f t="shared" si="2600"/>
        <v>0.00005</v>
      </c>
      <c r="Q1329" s="7">
        <f t="shared" si="7"/>
        <v>0.009054718649</v>
      </c>
      <c r="R1329" s="7">
        <f t="shared" si="8"/>
        <v>0.03187763373</v>
      </c>
      <c r="S1329" s="7">
        <f t="shared" si="2"/>
        <v>0.9758340744</v>
      </c>
      <c r="T1329" s="7">
        <f t="shared" si="3"/>
        <v>0.1039230485</v>
      </c>
      <c r="U1329" s="7">
        <f t="shared" si="4"/>
        <v>1</v>
      </c>
      <c r="V1329" s="7">
        <f t="shared" si="5"/>
        <v>0</v>
      </c>
      <c r="W1329" s="7">
        <f t="shared" ref="W1329:X1329" si="2601">IF(AVERAGE(U1269:U1328) &gt; 0.25, 1, 0)</f>
        <v>1</v>
      </c>
      <c r="X1329" s="7">
        <f t="shared" si="2601"/>
        <v>1</v>
      </c>
      <c r="Y1329" s="8">
        <v>1.0</v>
      </c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</row>
    <row r="1330" ht="22.5" customHeight="1">
      <c r="B1330" s="6">
        <v>1329.0</v>
      </c>
      <c r="C1330" s="6">
        <v>26555.0</v>
      </c>
      <c r="D1330" s="6">
        <v>2.17</v>
      </c>
      <c r="E1330" s="6">
        <v>-0.41</v>
      </c>
      <c r="F1330" s="6">
        <v>10.54</v>
      </c>
      <c r="G1330" s="6">
        <v>-0.09</v>
      </c>
      <c r="H1330" s="6">
        <v>-0.01</v>
      </c>
      <c r="I1330" s="6">
        <v>-0.03</v>
      </c>
      <c r="J1330" s="6">
        <v>33.3</v>
      </c>
      <c r="K1330" s="7">
        <f t="shared" ref="K1330:P1330" si="2602">abs(D1330-D1329)/200</f>
        <v>0.0001</v>
      </c>
      <c r="L1330" s="7">
        <f t="shared" si="2602"/>
        <v>0.00015</v>
      </c>
      <c r="M1330" s="7">
        <f t="shared" si="2602"/>
        <v>0.00005</v>
      </c>
      <c r="N1330" s="7">
        <f t="shared" si="2602"/>
        <v>0.00005</v>
      </c>
      <c r="O1330" s="7">
        <f t="shared" si="2602"/>
        <v>0.00005</v>
      </c>
      <c r="P1330" s="7">
        <f t="shared" si="2602"/>
        <v>0.00005</v>
      </c>
      <c r="Q1330" s="7">
        <f t="shared" si="7"/>
        <v>0.008529128312</v>
      </c>
      <c r="R1330" s="7">
        <f t="shared" si="8"/>
        <v>0.006962267242</v>
      </c>
      <c r="S1330" s="7">
        <f t="shared" si="2"/>
        <v>0.9688718072</v>
      </c>
      <c r="T1330" s="7">
        <f t="shared" si="3"/>
        <v>0.09539392014</v>
      </c>
      <c r="U1330" s="7">
        <f t="shared" si="4"/>
        <v>0</v>
      </c>
      <c r="V1330" s="7">
        <f t="shared" si="5"/>
        <v>0</v>
      </c>
      <c r="W1330" s="7">
        <f t="shared" ref="W1330:X1330" si="2603">IF(AVERAGE(U1270:U1329) &gt; 0.25, 1, 0)</f>
        <v>1</v>
      </c>
      <c r="X1330" s="7">
        <f t="shared" si="2603"/>
        <v>1</v>
      </c>
      <c r="Y1330" s="8">
        <v>1.0</v>
      </c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</row>
    <row r="1331" ht="22.5" customHeight="1">
      <c r="B1331" s="6">
        <v>1330.0</v>
      </c>
      <c r="C1331" s="6">
        <v>26759.0</v>
      </c>
      <c r="D1331" s="6">
        <v>2.18</v>
      </c>
      <c r="E1331" s="6">
        <v>-0.47</v>
      </c>
      <c r="F1331" s="6">
        <v>10.57</v>
      </c>
      <c r="G1331" s="6">
        <v>-0.08</v>
      </c>
      <c r="H1331" s="6">
        <v>-0.01</v>
      </c>
      <c r="I1331" s="6">
        <v>-0.03</v>
      </c>
      <c r="J1331" s="6">
        <v>33.31</v>
      </c>
      <c r="K1331" s="7">
        <f t="shared" ref="K1331:P1331" si="2604">abs(D1331-D1330)/200</f>
        <v>0.00005</v>
      </c>
      <c r="L1331" s="7">
        <f t="shared" si="2604"/>
        <v>0.0003</v>
      </c>
      <c r="M1331" s="7">
        <f t="shared" si="2604"/>
        <v>0.00015</v>
      </c>
      <c r="N1331" s="7">
        <f t="shared" si="2604"/>
        <v>0.00005</v>
      </c>
      <c r="O1331" s="7">
        <f t="shared" si="2604"/>
        <v>0</v>
      </c>
      <c r="P1331" s="7">
        <f t="shared" si="2604"/>
        <v>0</v>
      </c>
      <c r="Q1331" s="7">
        <f t="shared" si="7"/>
        <v>0.009370667471</v>
      </c>
      <c r="R1331" s="7">
        <f t="shared" si="8"/>
        <v>0.03382230121</v>
      </c>
      <c r="S1331" s="7">
        <f t="shared" si="2"/>
        <v>1.002694108</v>
      </c>
      <c r="T1331" s="7">
        <f t="shared" si="3"/>
        <v>0.08602325267</v>
      </c>
      <c r="U1331" s="7">
        <f t="shared" si="4"/>
        <v>0</v>
      </c>
      <c r="V1331" s="7">
        <f t="shared" si="5"/>
        <v>0</v>
      </c>
      <c r="W1331" s="7">
        <f t="shared" ref="W1331:X1331" si="2605">IF(AVERAGE(U1271:U1330) &gt; 0.25, 1, 0)</f>
        <v>1</v>
      </c>
      <c r="X1331" s="7">
        <f t="shared" si="2605"/>
        <v>1</v>
      </c>
      <c r="Y1331" s="8">
        <v>1.0</v>
      </c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</row>
    <row r="1332" ht="22.5" customHeight="1">
      <c r="B1332" s="6">
        <v>1331.0</v>
      </c>
      <c r="C1332" s="6">
        <v>26963.0</v>
      </c>
      <c r="D1332" s="6">
        <v>2.25</v>
      </c>
      <c r="E1332" s="6">
        <v>-0.4</v>
      </c>
      <c r="F1332" s="6">
        <v>10.53</v>
      </c>
      <c r="G1332" s="6">
        <v>-0.11</v>
      </c>
      <c r="H1332" s="6">
        <v>-0.01</v>
      </c>
      <c r="I1332" s="6">
        <v>-0.03</v>
      </c>
      <c r="J1332" s="6">
        <v>33.32</v>
      </c>
      <c r="K1332" s="7">
        <f t="shared" ref="K1332:P1332" si="2606">abs(D1332-D1331)/200</f>
        <v>0.00035</v>
      </c>
      <c r="L1332" s="7">
        <f t="shared" si="2606"/>
        <v>0.00035</v>
      </c>
      <c r="M1332" s="7">
        <f t="shared" si="2606"/>
        <v>0.0002</v>
      </c>
      <c r="N1332" s="7">
        <f t="shared" si="2606"/>
        <v>0.00015</v>
      </c>
      <c r="O1332" s="7">
        <f t="shared" si="2606"/>
        <v>0</v>
      </c>
      <c r="P1332" s="7">
        <f t="shared" si="2606"/>
        <v>0</v>
      </c>
      <c r="Q1332" s="7">
        <f t="shared" si="7"/>
        <v>0.02843197875</v>
      </c>
      <c r="R1332" s="7">
        <f t="shared" si="8"/>
        <v>0.02756533888</v>
      </c>
      <c r="S1332" s="7">
        <f t="shared" si="2"/>
        <v>0.9751287695</v>
      </c>
      <c r="T1332" s="7">
        <f t="shared" si="3"/>
        <v>0.1144552314</v>
      </c>
      <c r="U1332" s="7">
        <f t="shared" si="4"/>
        <v>1</v>
      </c>
      <c r="V1332" s="7">
        <f t="shared" si="5"/>
        <v>0</v>
      </c>
      <c r="W1332" s="7">
        <f t="shared" ref="W1332:X1332" si="2607">IF(AVERAGE(U1272:U1331) &gt; 0.25, 1, 0)</f>
        <v>1</v>
      </c>
      <c r="X1332" s="7">
        <f t="shared" si="2607"/>
        <v>1</v>
      </c>
      <c r="Y1332" s="8">
        <v>1.0</v>
      </c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</row>
    <row r="1333" ht="22.5" customHeight="1">
      <c r="B1333" s="6">
        <v>1332.0</v>
      </c>
      <c r="C1333" s="6">
        <v>27167.0</v>
      </c>
      <c r="D1333" s="6">
        <v>2.19</v>
      </c>
      <c r="E1333" s="6">
        <v>-0.4</v>
      </c>
      <c r="F1333" s="6">
        <v>10.56</v>
      </c>
      <c r="G1333" s="6">
        <v>-0.1</v>
      </c>
      <c r="H1333" s="6">
        <v>0.04</v>
      </c>
      <c r="I1333" s="6">
        <v>-0.03</v>
      </c>
      <c r="J1333" s="6">
        <v>33.32</v>
      </c>
      <c r="K1333" s="7">
        <f t="shared" ref="K1333:P1333" si="2608">abs(D1333-D1332)/200</f>
        <v>0.0003</v>
      </c>
      <c r="L1333" s="7">
        <f t="shared" si="2608"/>
        <v>0</v>
      </c>
      <c r="M1333" s="7">
        <f t="shared" si="2608"/>
        <v>0.00015</v>
      </c>
      <c r="N1333" s="7">
        <f t="shared" si="2608"/>
        <v>0.00005</v>
      </c>
      <c r="O1333" s="7">
        <f t="shared" si="2608"/>
        <v>0.00025</v>
      </c>
      <c r="P1333" s="7">
        <f t="shared" si="2608"/>
        <v>0</v>
      </c>
      <c r="Q1333" s="7">
        <f t="shared" si="7"/>
        <v>0.002651832548</v>
      </c>
      <c r="R1333" s="7">
        <f t="shared" si="8"/>
        <v>0.01698409126</v>
      </c>
      <c r="S1333" s="7">
        <f t="shared" si="2"/>
        <v>0.9921128608</v>
      </c>
      <c r="T1333" s="7">
        <f t="shared" si="3"/>
        <v>0.1118033989</v>
      </c>
      <c r="U1333" s="7">
        <f t="shared" si="4"/>
        <v>0</v>
      </c>
      <c r="V1333" s="7">
        <f t="shared" si="5"/>
        <v>0</v>
      </c>
      <c r="W1333" s="7">
        <f t="shared" ref="W1333:X1333" si="2609">IF(AVERAGE(U1273:U1332) &gt; 0.25, 1, 0)</f>
        <v>1</v>
      </c>
      <c r="X1333" s="7">
        <f t="shared" si="2609"/>
        <v>1</v>
      </c>
      <c r="Y1333" s="8">
        <v>1.0</v>
      </c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</row>
    <row r="1334" ht="22.5" customHeight="1">
      <c r="B1334" s="6">
        <v>1333.0</v>
      </c>
      <c r="C1334" s="6">
        <v>27371.0</v>
      </c>
      <c r="D1334" s="6">
        <v>2.16</v>
      </c>
      <c r="E1334" s="6">
        <v>-0.44</v>
      </c>
      <c r="F1334" s="6">
        <v>10.57</v>
      </c>
      <c r="G1334" s="6">
        <v>-0.08</v>
      </c>
      <c r="H1334" s="6">
        <v>0.02</v>
      </c>
      <c r="I1334" s="6">
        <v>-0.02</v>
      </c>
      <c r="J1334" s="6">
        <v>33.31</v>
      </c>
      <c r="K1334" s="7">
        <f t="shared" ref="K1334:P1334" si="2610">abs(D1334-D1333)/200</f>
        <v>0.00015</v>
      </c>
      <c r="L1334" s="7">
        <f t="shared" si="2610"/>
        <v>0.0002</v>
      </c>
      <c r="M1334" s="7">
        <f t="shared" si="2610"/>
        <v>0.00005</v>
      </c>
      <c r="N1334" s="7">
        <f t="shared" si="2610"/>
        <v>0.0001</v>
      </c>
      <c r="O1334" s="7">
        <f t="shared" si="2610"/>
        <v>0.0001</v>
      </c>
      <c r="P1334" s="7">
        <f t="shared" si="2610"/>
        <v>0.00005</v>
      </c>
      <c r="Q1334" s="7">
        <f t="shared" si="7"/>
        <v>0.02695058513</v>
      </c>
      <c r="R1334" s="7">
        <f t="shared" si="8"/>
        <v>0.005298866102</v>
      </c>
      <c r="S1334" s="7">
        <f t="shared" si="2"/>
        <v>0.9974117269</v>
      </c>
      <c r="T1334" s="7">
        <f t="shared" si="3"/>
        <v>0.08485281374</v>
      </c>
      <c r="U1334" s="7">
        <f t="shared" si="4"/>
        <v>0</v>
      </c>
      <c r="V1334" s="7">
        <f t="shared" si="5"/>
        <v>0</v>
      </c>
      <c r="W1334" s="7">
        <f t="shared" ref="W1334:X1334" si="2611">IF(AVERAGE(U1274:U1333) &gt; 0.25, 1, 0)</f>
        <v>1</v>
      </c>
      <c r="X1334" s="7">
        <f t="shared" si="2611"/>
        <v>1</v>
      </c>
      <c r="Y1334" s="8">
        <v>1.0</v>
      </c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</row>
    <row r="1335" ht="22.5" customHeight="1">
      <c r="B1335" s="6">
        <v>1334.0</v>
      </c>
      <c r="C1335" s="6">
        <v>27575.0</v>
      </c>
      <c r="D1335" s="6">
        <v>2.15</v>
      </c>
      <c r="E1335" s="6">
        <v>-0.51</v>
      </c>
      <c r="F1335" s="6">
        <v>10.58</v>
      </c>
      <c r="G1335" s="6">
        <v>-0.08</v>
      </c>
      <c r="H1335" s="6">
        <v>-0.01</v>
      </c>
      <c r="I1335" s="6">
        <v>0.02</v>
      </c>
      <c r="J1335" s="6">
        <v>33.31</v>
      </c>
      <c r="K1335" s="7">
        <f t="shared" ref="K1335:P1335" si="2612">abs(D1335-D1334)/200</f>
        <v>0.00005</v>
      </c>
      <c r="L1335" s="7">
        <f t="shared" si="2612"/>
        <v>0.00035</v>
      </c>
      <c r="M1335" s="7">
        <f t="shared" si="2612"/>
        <v>0.00005</v>
      </c>
      <c r="N1335" s="7">
        <f t="shared" si="2612"/>
        <v>0</v>
      </c>
      <c r="O1335" s="7">
        <f t="shared" si="2612"/>
        <v>0.00015</v>
      </c>
      <c r="P1335" s="7">
        <f t="shared" si="2612"/>
        <v>0.0002</v>
      </c>
      <c r="Q1335" s="7">
        <f t="shared" si="7"/>
        <v>0.001786575113</v>
      </c>
      <c r="R1335" s="7">
        <f t="shared" si="8"/>
        <v>0.01087213319</v>
      </c>
      <c r="S1335" s="7">
        <f t="shared" si="2"/>
        <v>1.00828386</v>
      </c>
      <c r="T1335" s="7">
        <f t="shared" si="3"/>
        <v>0.08306623863</v>
      </c>
      <c r="U1335" s="7">
        <f t="shared" si="4"/>
        <v>1</v>
      </c>
      <c r="V1335" s="7">
        <f t="shared" si="5"/>
        <v>0</v>
      </c>
      <c r="W1335" s="7">
        <f t="shared" ref="W1335:X1335" si="2613">IF(AVERAGE(U1275:U1334) &gt; 0.25, 1, 0)</f>
        <v>1</v>
      </c>
      <c r="X1335" s="7">
        <f t="shared" si="2613"/>
        <v>1</v>
      </c>
      <c r="Y1335" s="8">
        <v>1.0</v>
      </c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</row>
    <row r="1336" ht="22.5" customHeight="1">
      <c r="B1336" s="6">
        <v>1335.0</v>
      </c>
      <c r="C1336" s="6">
        <v>27779.0</v>
      </c>
      <c r="D1336" s="6">
        <v>2.17</v>
      </c>
      <c r="E1336" s="6">
        <v>-0.45</v>
      </c>
      <c r="F1336" s="6">
        <v>10.52</v>
      </c>
      <c r="G1336" s="6">
        <v>-0.1</v>
      </c>
      <c r="H1336" s="6">
        <v>-0.02</v>
      </c>
      <c r="I1336" s="6">
        <v>0.01</v>
      </c>
      <c r="J1336" s="6">
        <v>33.32</v>
      </c>
      <c r="K1336" s="7">
        <f t="shared" ref="K1336:P1336" si="2614">abs(D1336-D1335)/200</f>
        <v>0.0001</v>
      </c>
      <c r="L1336" s="7">
        <f t="shared" si="2614"/>
        <v>0.0003</v>
      </c>
      <c r="M1336" s="7">
        <f t="shared" si="2614"/>
        <v>0.0003</v>
      </c>
      <c r="N1336" s="7">
        <f t="shared" si="2614"/>
        <v>0.0001</v>
      </c>
      <c r="O1336" s="7">
        <f t="shared" si="2614"/>
        <v>0.00005</v>
      </c>
      <c r="P1336" s="7">
        <f t="shared" si="2614"/>
        <v>0.00005</v>
      </c>
      <c r="Q1336" s="7">
        <f t="shared" si="7"/>
        <v>0.01940326903</v>
      </c>
      <c r="R1336" s="7">
        <f t="shared" si="8"/>
        <v>0.05738622314</v>
      </c>
      <c r="S1336" s="7">
        <f t="shared" si="2"/>
        <v>0.9508976369</v>
      </c>
      <c r="T1336" s="7">
        <f t="shared" si="3"/>
        <v>0.1024695077</v>
      </c>
      <c r="U1336" s="7">
        <f t="shared" si="4"/>
        <v>1</v>
      </c>
      <c r="V1336" s="7">
        <f t="shared" si="5"/>
        <v>0</v>
      </c>
      <c r="W1336" s="7">
        <f t="shared" ref="W1336:X1336" si="2615">IF(AVERAGE(U1276:U1335) &gt; 0.25, 1, 0)</f>
        <v>1</v>
      </c>
      <c r="X1336" s="7">
        <f t="shared" si="2615"/>
        <v>1</v>
      </c>
      <c r="Y1336" s="8">
        <v>1.0</v>
      </c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</row>
    <row r="1337" ht="22.5" customHeight="1">
      <c r="B1337" s="6">
        <v>1336.0</v>
      </c>
      <c r="C1337" s="6">
        <v>27983.0</v>
      </c>
      <c r="D1337" s="6">
        <v>2.18</v>
      </c>
      <c r="E1337" s="6">
        <v>-0.46</v>
      </c>
      <c r="F1337" s="6">
        <v>10.52</v>
      </c>
      <c r="G1337" s="6">
        <v>-0.11</v>
      </c>
      <c r="H1337" s="6">
        <v>-0.01</v>
      </c>
      <c r="I1337" s="6">
        <v>0.01</v>
      </c>
      <c r="J1337" s="6">
        <v>33.32</v>
      </c>
      <c r="K1337" s="7">
        <f t="shared" ref="K1337:P1337" si="2616">abs(D1337-D1336)/200</f>
        <v>0.00005</v>
      </c>
      <c r="L1337" s="7">
        <f t="shared" si="2616"/>
        <v>0.00005</v>
      </c>
      <c r="M1337" s="7">
        <f t="shared" si="2616"/>
        <v>0</v>
      </c>
      <c r="N1337" s="7">
        <f t="shared" si="2616"/>
        <v>0.00005</v>
      </c>
      <c r="O1337" s="7">
        <f t="shared" si="2616"/>
        <v>0.00005</v>
      </c>
      <c r="P1337" s="7">
        <f t="shared" si="2616"/>
        <v>0</v>
      </c>
      <c r="Q1337" s="7">
        <f t="shared" si="7"/>
        <v>0.008435857404</v>
      </c>
      <c r="R1337" s="7">
        <f t="shared" si="8"/>
        <v>0.0024460291</v>
      </c>
      <c r="S1337" s="7">
        <f t="shared" si="2"/>
        <v>0.953343666</v>
      </c>
      <c r="T1337" s="7">
        <f t="shared" si="3"/>
        <v>0.1109053651</v>
      </c>
      <c r="U1337" s="7">
        <f t="shared" si="4"/>
        <v>0</v>
      </c>
      <c r="V1337" s="7">
        <f t="shared" si="5"/>
        <v>0</v>
      </c>
      <c r="W1337" s="7">
        <f t="shared" ref="W1337:X1337" si="2617">IF(AVERAGE(U1277:U1336) &gt; 0.25, 1, 0)</f>
        <v>1</v>
      </c>
      <c r="X1337" s="7">
        <f t="shared" si="2617"/>
        <v>1</v>
      </c>
      <c r="Y1337" s="8">
        <v>1.0</v>
      </c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</row>
    <row r="1338" ht="22.5" customHeight="1">
      <c r="B1338" s="6">
        <v>1337.0</v>
      </c>
      <c r="C1338" s="6">
        <v>28187.0</v>
      </c>
      <c r="D1338" s="6">
        <v>2.28</v>
      </c>
      <c r="E1338" s="6">
        <v>-0.69</v>
      </c>
      <c r="F1338" s="6">
        <v>10.54</v>
      </c>
      <c r="G1338" s="6">
        <v>-0.1</v>
      </c>
      <c r="H1338" s="6">
        <v>-0.02</v>
      </c>
      <c r="I1338" s="6">
        <v>0.07</v>
      </c>
      <c r="J1338" s="6">
        <v>33.32</v>
      </c>
      <c r="K1338" s="7">
        <f t="shared" ref="K1338:P1338" si="2618">abs(D1338-D1337)/200</f>
        <v>0.0005</v>
      </c>
      <c r="L1338" s="7">
        <f t="shared" si="2618"/>
        <v>0.00115</v>
      </c>
      <c r="M1338" s="7">
        <f t="shared" si="2618"/>
        <v>0.0001</v>
      </c>
      <c r="N1338" s="7">
        <f t="shared" si="2618"/>
        <v>0.00005</v>
      </c>
      <c r="O1338" s="7">
        <f t="shared" si="2618"/>
        <v>0.00005</v>
      </c>
      <c r="P1338" s="7">
        <f t="shared" si="2618"/>
        <v>0.0003</v>
      </c>
      <c r="Q1338" s="7">
        <f t="shared" si="7"/>
        <v>0.0127878037</v>
      </c>
      <c r="R1338" s="7">
        <f t="shared" si="8"/>
        <v>0.05249271991</v>
      </c>
      <c r="S1338" s="7">
        <f t="shared" si="2"/>
        <v>1.005836386</v>
      </c>
      <c r="T1338" s="7">
        <f t="shared" si="3"/>
        <v>0.1236931688</v>
      </c>
      <c r="U1338" s="7">
        <f t="shared" si="4"/>
        <v>1</v>
      </c>
      <c r="V1338" s="7">
        <f t="shared" si="5"/>
        <v>0</v>
      </c>
      <c r="W1338" s="7">
        <f t="shared" ref="W1338:X1338" si="2619">IF(AVERAGE(U1278:U1337) &gt; 0.25, 1, 0)</f>
        <v>1</v>
      </c>
      <c r="X1338" s="7">
        <f t="shared" si="2619"/>
        <v>1</v>
      </c>
      <c r="Y1338" s="8">
        <v>1.0</v>
      </c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</row>
    <row r="1339" ht="22.5" customHeight="1">
      <c r="B1339" s="6">
        <v>1338.0</v>
      </c>
      <c r="C1339" s="6">
        <v>28391.0</v>
      </c>
      <c r="D1339" s="6">
        <v>2.29</v>
      </c>
      <c r="E1339" s="6">
        <v>-0.46</v>
      </c>
      <c r="F1339" s="6">
        <v>10.47</v>
      </c>
      <c r="G1339" s="6">
        <v>-0.06</v>
      </c>
      <c r="H1339" s="6">
        <v>-0.01</v>
      </c>
      <c r="I1339" s="6">
        <v>0.0</v>
      </c>
      <c r="J1339" s="6">
        <v>33.32</v>
      </c>
      <c r="K1339" s="7">
        <f t="shared" ref="K1339:P1339" si="2620">abs(D1339-D1338)/200</f>
        <v>0.00005</v>
      </c>
      <c r="L1339" s="7">
        <f t="shared" si="2620"/>
        <v>0.00115</v>
      </c>
      <c r="M1339" s="7">
        <f t="shared" si="2620"/>
        <v>0.00035</v>
      </c>
      <c r="N1339" s="7">
        <f t="shared" si="2620"/>
        <v>0.0002</v>
      </c>
      <c r="O1339" s="7">
        <f t="shared" si="2620"/>
        <v>0.00005</v>
      </c>
      <c r="P1339" s="7">
        <f t="shared" si="2620"/>
        <v>0.00035</v>
      </c>
      <c r="Q1339" s="7">
        <f t="shared" si="7"/>
        <v>0.06286554347</v>
      </c>
      <c r="R1339" s="7">
        <f t="shared" si="8"/>
        <v>0.07846019231</v>
      </c>
      <c r="S1339" s="7">
        <f t="shared" si="2"/>
        <v>0.9273761936</v>
      </c>
      <c r="T1339" s="7">
        <f t="shared" si="3"/>
        <v>0.0608276253</v>
      </c>
      <c r="U1339" s="7">
        <f t="shared" si="4"/>
        <v>1</v>
      </c>
      <c r="V1339" s="7">
        <f t="shared" si="5"/>
        <v>1</v>
      </c>
      <c r="W1339" s="7">
        <f t="shared" ref="W1339:X1339" si="2621">IF(AVERAGE(U1279:U1338) &gt; 0.25, 1, 0)</f>
        <v>1</v>
      </c>
      <c r="X1339" s="7">
        <f t="shared" si="2621"/>
        <v>1</v>
      </c>
      <c r="Y1339" s="8">
        <v>1.0</v>
      </c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</row>
    <row r="1340" ht="22.5" customHeight="1">
      <c r="B1340" s="6">
        <v>1339.0</v>
      </c>
      <c r="C1340" s="6">
        <v>28595.0</v>
      </c>
      <c r="D1340" s="6">
        <v>2.14</v>
      </c>
      <c r="E1340" s="6">
        <v>-0.14</v>
      </c>
      <c r="F1340" s="6">
        <v>10.57</v>
      </c>
      <c r="G1340" s="6">
        <v>-0.09</v>
      </c>
      <c r="H1340" s="6">
        <v>0.0</v>
      </c>
      <c r="I1340" s="6">
        <v>-0.04</v>
      </c>
      <c r="J1340" s="6">
        <v>33.32</v>
      </c>
      <c r="K1340" s="7">
        <f t="shared" ref="K1340:P1340" si="2622">abs(D1340-D1339)/200</f>
        <v>0.00075</v>
      </c>
      <c r="L1340" s="7">
        <f t="shared" si="2622"/>
        <v>0.0016</v>
      </c>
      <c r="M1340" s="7">
        <f t="shared" si="2622"/>
        <v>0.0005</v>
      </c>
      <c r="N1340" s="7">
        <f t="shared" si="2622"/>
        <v>0.00015</v>
      </c>
      <c r="O1340" s="7">
        <f t="shared" si="2622"/>
        <v>0.00005</v>
      </c>
      <c r="P1340" s="7">
        <f t="shared" si="2622"/>
        <v>0.0002</v>
      </c>
      <c r="Q1340" s="7">
        <f t="shared" si="7"/>
        <v>0.03766095271</v>
      </c>
      <c r="R1340" s="7">
        <f t="shared" si="8"/>
        <v>0.05798889058</v>
      </c>
      <c r="S1340" s="7">
        <f t="shared" si="2"/>
        <v>0.9853650842</v>
      </c>
      <c r="T1340" s="7">
        <f t="shared" si="3"/>
        <v>0.09848857802</v>
      </c>
      <c r="U1340" s="7">
        <f t="shared" si="4"/>
        <v>1</v>
      </c>
      <c r="V1340" s="7">
        <f t="shared" si="5"/>
        <v>0</v>
      </c>
      <c r="W1340" s="7">
        <f t="shared" ref="W1340:X1340" si="2623">IF(AVERAGE(U1280:U1339) &gt; 0.25, 1, 0)</f>
        <v>1</v>
      </c>
      <c r="X1340" s="7">
        <f t="shared" si="2623"/>
        <v>1</v>
      </c>
      <c r="Y1340" s="8">
        <v>1.0</v>
      </c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</row>
    <row r="1341" ht="22.5" customHeight="1">
      <c r="B1341" s="6">
        <v>1340.0</v>
      </c>
      <c r="C1341" s="6">
        <v>799.0</v>
      </c>
      <c r="D1341" s="6">
        <v>2.23</v>
      </c>
      <c r="E1341" s="6">
        <v>-0.38</v>
      </c>
      <c r="F1341" s="6">
        <v>10.59</v>
      </c>
      <c r="G1341" s="6">
        <v>-0.1</v>
      </c>
      <c r="H1341" s="6">
        <v>-0.01</v>
      </c>
      <c r="I1341" s="6">
        <v>-0.05</v>
      </c>
      <c r="J1341" s="6">
        <v>33.31</v>
      </c>
      <c r="K1341" s="7">
        <f t="shared" ref="K1341:P1341" si="2624">abs(D1341-D1340)/200</f>
        <v>0.00045</v>
      </c>
      <c r="L1341" s="7">
        <f t="shared" si="2624"/>
        <v>0.0012</v>
      </c>
      <c r="M1341" s="7">
        <f t="shared" si="2624"/>
        <v>0.0001</v>
      </c>
      <c r="N1341" s="7">
        <f t="shared" si="2624"/>
        <v>0.00005</v>
      </c>
      <c r="O1341" s="7">
        <f t="shared" si="2624"/>
        <v>0.00005</v>
      </c>
      <c r="P1341" s="7">
        <f t="shared" si="2624"/>
        <v>0.00005</v>
      </c>
      <c r="Q1341" s="7">
        <f t="shared" si="7"/>
        <v>0.01376114359</v>
      </c>
      <c r="R1341" s="7">
        <f t="shared" si="8"/>
        <v>0.04354991221</v>
      </c>
      <c r="S1341" s="7">
        <f t="shared" si="2"/>
        <v>1.028914996</v>
      </c>
      <c r="T1341" s="7">
        <f t="shared" si="3"/>
        <v>0.1122497216</v>
      </c>
      <c r="U1341" s="7">
        <f t="shared" si="4"/>
        <v>1</v>
      </c>
      <c r="V1341" s="7">
        <f t="shared" si="5"/>
        <v>0</v>
      </c>
      <c r="W1341" s="7">
        <f t="shared" ref="W1341:X1341" si="2625">IF(AVERAGE(U1281:U1340) &gt; 0.25, 1, 0)</f>
        <v>1</v>
      </c>
      <c r="X1341" s="7">
        <f t="shared" si="2625"/>
        <v>1</v>
      </c>
      <c r="Y1341" s="8">
        <v>1.0</v>
      </c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</row>
    <row r="1342" ht="22.5" customHeight="1">
      <c r="B1342" s="6">
        <v>1341.0</v>
      </c>
      <c r="C1342" s="6">
        <v>29003.0</v>
      </c>
      <c r="D1342" s="6">
        <v>2.15</v>
      </c>
      <c r="E1342" s="6">
        <v>-0.28</v>
      </c>
      <c r="F1342" s="6">
        <v>10.55</v>
      </c>
      <c r="G1342" s="6">
        <v>-0.11</v>
      </c>
      <c r="H1342" s="6">
        <v>0.01</v>
      </c>
      <c r="I1342" s="6">
        <v>-0.03</v>
      </c>
      <c r="J1342" s="6">
        <v>33.33</v>
      </c>
      <c r="K1342" s="7">
        <f t="shared" ref="K1342:P1342" si="2626">abs(D1342-D1341)/200</f>
        <v>0.0004</v>
      </c>
      <c r="L1342" s="7">
        <f t="shared" si="2626"/>
        <v>0.0005</v>
      </c>
      <c r="M1342" s="7">
        <f t="shared" si="2626"/>
        <v>0.0002</v>
      </c>
      <c r="N1342" s="7">
        <f t="shared" si="2626"/>
        <v>0.00005</v>
      </c>
      <c r="O1342" s="7">
        <f t="shared" si="2626"/>
        <v>0.0001</v>
      </c>
      <c r="P1342" s="7">
        <f t="shared" si="2626"/>
        <v>0.0001</v>
      </c>
      <c r="Q1342" s="7">
        <f t="shared" si="7"/>
        <v>0.002205509819</v>
      </c>
      <c r="R1342" s="7">
        <f t="shared" si="8"/>
        <v>0.05842754228</v>
      </c>
      <c r="S1342" s="7">
        <f t="shared" si="2"/>
        <v>0.9704874541</v>
      </c>
      <c r="T1342" s="7">
        <f t="shared" si="3"/>
        <v>0.1144552314</v>
      </c>
      <c r="U1342" s="7">
        <f t="shared" si="4"/>
        <v>1</v>
      </c>
      <c r="V1342" s="7">
        <f t="shared" si="5"/>
        <v>0</v>
      </c>
      <c r="W1342" s="7">
        <f t="shared" ref="W1342:X1342" si="2627">IF(AVERAGE(U1282:U1341) &gt; 0.25, 1, 0)</f>
        <v>1</v>
      </c>
      <c r="X1342" s="7">
        <f t="shared" si="2627"/>
        <v>1</v>
      </c>
      <c r="Y1342" s="8">
        <v>1.0</v>
      </c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</row>
    <row r="1343" ht="22.5" customHeight="1">
      <c r="B1343" s="6">
        <v>1342.0</v>
      </c>
      <c r="C1343" s="6">
        <v>29207.0</v>
      </c>
      <c r="D1343" s="6">
        <v>2.18</v>
      </c>
      <c r="E1343" s="6">
        <v>-0.41</v>
      </c>
      <c r="F1343" s="6">
        <v>10.54</v>
      </c>
      <c r="G1343" s="6">
        <v>-0.09</v>
      </c>
      <c r="H1343" s="6">
        <v>0.03</v>
      </c>
      <c r="I1343" s="6">
        <v>-0.02</v>
      </c>
      <c r="J1343" s="6">
        <v>33.31</v>
      </c>
      <c r="K1343" s="7">
        <f t="shared" ref="K1343:P1343" si="2628">abs(D1343-D1342)/200</f>
        <v>0.00015</v>
      </c>
      <c r="L1343" s="7">
        <f t="shared" si="2628"/>
        <v>0.00065</v>
      </c>
      <c r="M1343" s="7">
        <f t="shared" si="2628"/>
        <v>0.00005</v>
      </c>
      <c r="N1343" s="7">
        <f t="shared" si="2628"/>
        <v>0.0001</v>
      </c>
      <c r="O1343" s="7">
        <f t="shared" si="2628"/>
        <v>0.0001</v>
      </c>
      <c r="P1343" s="7">
        <f t="shared" si="2628"/>
        <v>0.00005</v>
      </c>
      <c r="Q1343" s="7">
        <f t="shared" si="7"/>
        <v>0.01750163427</v>
      </c>
      <c r="R1343" s="7">
        <f t="shared" si="8"/>
        <v>0.0004038738694</v>
      </c>
      <c r="S1343" s="7">
        <f t="shared" si="2"/>
        <v>0.970891328</v>
      </c>
      <c r="T1343" s="7">
        <f t="shared" si="3"/>
        <v>0.09695359715</v>
      </c>
      <c r="U1343" s="7">
        <f t="shared" si="4"/>
        <v>1</v>
      </c>
      <c r="V1343" s="7">
        <f t="shared" si="5"/>
        <v>0</v>
      </c>
      <c r="W1343" s="7">
        <f t="shared" ref="W1343:X1343" si="2629">IF(AVERAGE(U1283:U1342) &gt; 0.25, 1, 0)</f>
        <v>1</v>
      </c>
      <c r="X1343" s="7">
        <f t="shared" si="2629"/>
        <v>1</v>
      </c>
      <c r="Y1343" s="8">
        <v>1.0</v>
      </c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</row>
    <row r="1344" ht="22.5" customHeight="1">
      <c r="B1344" s="6">
        <v>1343.0</v>
      </c>
      <c r="C1344" s="6">
        <v>29411.0</v>
      </c>
      <c r="D1344" s="6">
        <v>2.27</v>
      </c>
      <c r="E1344" s="6">
        <v>-0.84</v>
      </c>
      <c r="F1344" s="6">
        <v>10.54</v>
      </c>
      <c r="G1344" s="6">
        <v>-0.07</v>
      </c>
      <c r="H1344" s="6">
        <v>-0.03</v>
      </c>
      <c r="I1344" s="6">
        <v>0.04</v>
      </c>
      <c r="J1344" s="6">
        <v>33.31</v>
      </c>
      <c r="K1344" s="7">
        <f t="shared" ref="K1344:P1344" si="2630">abs(D1344-D1343)/200</f>
        <v>0.00045</v>
      </c>
      <c r="L1344" s="7">
        <f t="shared" si="2630"/>
        <v>0.00215</v>
      </c>
      <c r="M1344" s="7">
        <f t="shared" si="2630"/>
        <v>0</v>
      </c>
      <c r="N1344" s="7">
        <f t="shared" si="2630"/>
        <v>0.0001</v>
      </c>
      <c r="O1344" s="7">
        <f t="shared" si="2630"/>
        <v>0.0003</v>
      </c>
      <c r="P1344" s="7">
        <f t="shared" si="2630"/>
        <v>0.0003</v>
      </c>
      <c r="Q1344" s="7">
        <f t="shared" si="7"/>
        <v>0.01093034448</v>
      </c>
      <c r="R1344" s="7">
        <f t="shared" si="8"/>
        <v>0.04345562406</v>
      </c>
      <c r="S1344" s="7">
        <f t="shared" si="2"/>
        <v>1.014346952</v>
      </c>
      <c r="T1344" s="7">
        <f t="shared" si="3"/>
        <v>0.08602325267</v>
      </c>
      <c r="U1344" s="7">
        <f t="shared" si="4"/>
        <v>1</v>
      </c>
      <c r="V1344" s="7">
        <f t="shared" si="5"/>
        <v>0</v>
      </c>
      <c r="W1344" s="7">
        <f t="shared" ref="W1344:X1344" si="2631">IF(AVERAGE(U1284:U1343) &gt; 0.25, 1, 0)</f>
        <v>1</v>
      </c>
      <c r="X1344" s="7">
        <f t="shared" si="2631"/>
        <v>1</v>
      </c>
      <c r="Y1344" s="8">
        <v>1.0</v>
      </c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</row>
    <row r="1345" ht="22.5" customHeight="1">
      <c r="B1345" s="6">
        <v>1344.0</v>
      </c>
      <c r="C1345" s="6">
        <v>29615.0</v>
      </c>
      <c r="D1345" s="6">
        <v>2.2</v>
      </c>
      <c r="E1345" s="6">
        <v>-0.38</v>
      </c>
      <c r="F1345" s="6">
        <v>10.57</v>
      </c>
      <c r="G1345" s="6">
        <v>-0.1</v>
      </c>
      <c r="H1345" s="6">
        <v>-0.02</v>
      </c>
      <c r="I1345" s="6">
        <v>-0.01</v>
      </c>
      <c r="J1345" s="6">
        <v>33.31</v>
      </c>
      <c r="K1345" s="7">
        <f t="shared" ref="K1345:P1345" si="2632">abs(D1345-D1344)/200</f>
        <v>0.00035</v>
      </c>
      <c r="L1345" s="7">
        <f t="shared" si="2632"/>
        <v>0.0023</v>
      </c>
      <c r="M1345" s="7">
        <f t="shared" si="2632"/>
        <v>0.00015</v>
      </c>
      <c r="N1345" s="7">
        <f t="shared" si="2632"/>
        <v>0.00015</v>
      </c>
      <c r="O1345" s="7">
        <f t="shared" si="2632"/>
        <v>0.00005</v>
      </c>
      <c r="P1345" s="7">
        <f t="shared" si="2632"/>
        <v>0.00025</v>
      </c>
      <c r="Q1345" s="7">
        <f t="shared" si="7"/>
        <v>0.01644625499</v>
      </c>
      <c r="R1345" s="7">
        <f t="shared" si="8"/>
        <v>0.01113909515</v>
      </c>
      <c r="S1345" s="7">
        <f t="shared" si="2"/>
        <v>1.003207857</v>
      </c>
      <c r="T1345" s="7">
        <f t="shared" si="3"/>
        <v>0.1024695077</v>
      </c>
      <c r="U1345" s="7">
        <f t="shared" si="4"/>
        <v>1</v>
      </c>
      <c r="V1345" s="7">
        <f t="shared" si="5"/>
        <v>0</v>
      </c>
      <c r="W1345" s="7">
        <f t="shared" ref="W1345:X1345" si="2633">IF(AVERAGE(U1285:U1344) &gt; 0.25, 1, 0)</f>
        <v>1</v>
      </c>
      <c r="X1345" s="7">
        <f t="shared" si="2633"/>
        <v>1</v>
      </c>
      <c r="Y1345" s="8">
        <v>1.0</v>
      </c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</row>
    <row r="1346" ht="22.5" customHeight="1">
      <c r="B1346" s="6">
        <v>1345.0</v>
      </c>
      <c r="C1346" s="6">
        <v>29819.0</v>
      </c>
      <c r="D1346" s="6">
        <v>2.25</v>
      </c>
      <c r="E1346" s="6">
        <v>-0.54</v>
      </c>
      <c r="F1346" s="6">
        <v>10.51</v>
      </c>
      <c r="G1346" s="6">
        <v>-0.12</v>
      </c>
      <c r="H1346" s="6">
        <v>0.0</v>
      </c>
      <c r="I1346" s="6">
        <v>0.03</v>
      </c>
      <c r="J1346" s="6">
        <v>33.32</v>
      </c>
      <c r="K1346" s="7">
        <f t="shared" ref="K1346:P1346" si="2634">abs(D1346-D1345)/200</f>
        <v>0.00025</v>
      </c>
      <c r="L1346" s="7">
        <f t="shared" si="2634"/>
        <v>0.0008</v>
      </c>
      <c r="M1346" s="7">
        <f t="shared" si="2634"/>
        <v>0.0003</v>
      </c>
      <c r="N1346" s="7">
        <f t="shared" si="2634"/>
        <v>0.0001</v>
      </c>
      <c r="O1346" s="7">
        <f t="shared" si="2634"/>
        <v>0.0001</v>
      </c>
      <c r="P1346" s="7">
        <f t="shared" si="2634"/>
        <v>0.0002</v>
      </c>
      <c r="Q1346" s="7">
        <f t="shared" si="7"/>
        <v>0.02122366111</v>
      </c>
      <c r="R1346" s="7">
        <f t="shared" si="8"/>
        <v>0.04150724782</v>
      </c>
      <c r="S1346" s="7">
        <f t="shared" si="2"/>
        <v>0.9617006091</v>
      </c>
      <c r="T1346" s="7">
        <f t="shared" si="3"/>
        <v>0.1236931688</v>
      </c>
      <c r="U1346" s="7">
        <f t="shared" si="4"/>
        <v>1</v>
      </c>
      <c r="V1346" s="7">
        <f t="shared" si="5"/>
        <v>0</v>
      </c>
      <c r="W1346" s="7">
        <f t="shared" ref="W1346:X1346" si="2635">IF(AVERAGE(U1286:U1345) &gt; 0.25, 1, 0)</f>
        <v>1</v>
      </c>
      <c r="X1346" s="7">
        <f t="shared" si="2635"/>
        <v>1</v>
      </c>
      <c r="Y1346" s="8">
        <v>1.0</v>
      </c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</row>
    <row r="1347" ht="22.5" customHeight="1">
      <c r="B1347" s="6">
        <v>1346.0</v>
      </c>
      <c r="C1347" s="6">
        <v>30023.0</v>
      </c>
      <c r="D1347" s="6">
        <v>2.29</v>
      </c>
      <c r="E1347" s="6">
        <v>-0.69</v>
      </c>
      <c r="F1347" s="6">
        <v>10.51</v>
      </c>
      <c r="G1347" s="6">
        <v>-0.09</v>
      </c>
      <c r="H1347" s="6">
        <v>0.0</v>
      </c>
      <c r="I1347" s="6">
        <v>0.06</v>
      </c>
      <c r="J1347" s="6">
        <v>33.32</v>
      </c>
      <c r="K1347" s="7">
        <f t="shared" ref="K1347:P1347" si="2636">abs(D1347-D1346)/200</f>
        <v>0.0002</v>
      </c>
      <c r="L1347" s="7">
        <f t="shared" si="2636"/>
        <v>0.00075</v>
      </c>
      <c r="M1347" s="7">
        <f t="shared" si="2636"/>
        <v>0</v>
      </c>
      <c r="N1347" s="7">
        <f t="shared" si="2636"/>
        <v>0.00015</v>
      </c>
      <c r="O1347" s="7">
        <f t="shared" si="2636"/>
        <v>0</v>
      </c>
      <c r="P1347" s="7">
        <f t="shared" si="2636"/>
        <v>0.00015</v>
      </c>
      <c r="Q1347" s="7">
        <f t="shared" si="7"/>
        <v>0.0155266305</v>
      </c>
      <c r="R1347" s="7">
        <f t="shared" si="8"/>
        <v>0.01699597258</v>
      </c>
      <c r="S1347" s="7">
        <f t="shared" si="2"/>
        <v>0.9786965817</v>
      </c>
      <c r="T1347" s="7">
        <f t="shared" si="3"/>
        <v>0.1081665383</v>
      </c>
      <c r="U1347" s="7">
        <f t="shared" si="4"/>
        <v>1</v>
      </c>
      <c r="V1347" s="7">
        <f t="shared" si="5"/>
        <v>0</v>
      </c>
      <c r="W1347" s="7">
        <f t="shared" ref="W1347:X1347" si="2637">IF(AVERAGE(U1287:U1346) &gt; 0.25, 1, 0)</f>
        <v>1</v>
      </c>
      <c r="X1347" s="7">
        <f t="shared" si="2637"/>
        <v>1</v>
      </c>
      <c r="Y1347" s="8">
        <v>1.0</v>
      </c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</row>
    <row r="1348" ht="22.5" customHeight="1">
      <c r="B1348" s="6">
        <v>1347.0</v>
      </c>
      <c r="C1348" s="6">
        <v>30227.0</v>
      </c>
      <c r="D1348" s="6">
        <v>2.13</v>
      </c>
      <c r="E1348" s="6">
        <v>-0.54</v>
      </c>
      <c r="F1348" s="6">
        <v>10.53</v>
      </c>
      <c r="G1348" s="6">
        <v>-0.11</v>
      </c>
      <c r="H1348" s="6">
        <v>-0.03</v>
      </c>
      <c r="I1348" s="6">
        <v>-0.08</v>
      </c>
      <c r="J1348" s="6">
        <v>33.32</v>
      </c>
      <c r="K1348" s="7">
        <f t="shared" ref="K1348:P1348" si="2638">abs(D1348-D1347)/200</f>
        <v>0.0008</v>
      </c>
      <c r="L1348" s="7">
        <f t="shared" si="2638"/>
        <v>0.00075</v>
      </c>
      <c r="M1348" s="7">
        <f t="shared" si="2638"/>
        <v>0.0001</v>
      </c>
      <c r="N1348" s="7">
        <f t="shared" si="2638"/>
        <v>0.0001</v>
      </c>
      <c r="O1348" s="7">
        <f t="shared" si="2638"/>
        <v>0.00015</v>
      </c>
      <c r="P1348" s="7">
        <f t="shared" si="2638"/>
        <v>0.0007</v>
      </c>
      <c r="Q1348" s="7">
        <f t="shared" si="7"/>
        <v>0.03111734451</v>
      </c>
      <c r="R1348" s="7">
        <f t="shared" si="8"/>
        <v>0.02186619351</v>
      </c>
      <c r="S1348" s="7">
        <f t="shared" si="2"/>
        <v>0.9568303882</v>
      </c>
      <c r="T1348" s="7">
        <f t="shared" si="3"/>
        <v>0.1392838828</v>
      </c>
      <c r="U1348" s="7">
        <f t="shared" si="4"/>
        <v>1</v>
      </c>
      <c r="V1348" s="7">
        <f t="shared" si="5"/>
        <v>1</v>
      </c>
      <c r="W1348" s="7">
        <f t="shared" ref="W1348:X1348" si="2639">IF(AVERAGE(U1288:U1347) &gt; 0.25, 1, 0)</f>
        <v>1</v>
      </c>
      <c r="X1348" s="7">
        <f t="shared" si="2639"/>
        <v>1</v>
      </c>
      <c r="Y1348" s="8">
        <v>1.0</v>
      </c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</row>
    <row r="1349" ht="22.5" customHeight="1">
      <c r="B1349" s="6">
        <v>1348.0</v>
      </c>
      <c r="C1349" s="6">
        <v>30431.0</v>
      </c>
      <c r="D1349" s="6">
        <v>2.17</v>
      </c>
      <c r="E1349" s="6">
        <v>-0.08</v>
      </c>
      <c r="F1349" s="6">
        <v>10.57</v>
      </c>
      <c r="G1349" s="6">
        <v>-0.1</v>
      </c>
      <c r="H1349" s="6">
        <v>0.0</v>
      </c>
      <c r="I1349" s="6">
        <v>-0.06</v>
      </c>
      <c r="J1349" s="6">
        <v>33.31</v>
      </c>
      <c r="K1349" s="7">
        <f t="shared" ref="K1349:P1349" si="2640">abs(D1349-D1348)/200</f>
        <v>0.0002</v>
      </c>
      <c r="L1349" s="7">
        <f t="shared" si="2640"/>
        <v>0.0023</v>
      </c>
      <c r="M1349" s="7">
        <f t="shared" si="2640"/>
        <v>0.0002</v>
      </c>
      <c r="N1349" s="7">
        <f t="shared" si="2640"/>
        <v>0.00005</v>
      </c>
      <c r="O1349" s="7">
        <f t="shared" si="2640"/>
        <v>0.00015</v>
      </c>
      <c r="P1349" s="7">
        <f t="shared" si="2640"/>
        <v>0.0001</v>
      </c>
      <c r="Q1349" s="7">
        <f t="shared" si="7"/>
        <v>0.02266484487</v>
      </c>
      <c r="R1349" s="7">
        <f t="shared" si="8"/>
        <v>0.0339156472</v>
      </c>
      <c r="S1349" s="7">
        <f t="shared" si="2"/>
        <v>0.9907460354</v>
      </c>
      <c r="T1349" s="7">
        <f t="shared" si="3"/>
        <v>0.1166190379</v>
      </c>
      <c r="U1349" s="7">
        <f t="shared" si="4"/>
        <v>1</v>
      </c>
      <c r="V1349" s="7">
        <f t="shared" si="5"/>
        <v>0</v>
      </c>
      <c r="W1349" s="7">
        <f t="shared" ref="W1349:X1349" si="2641">IF(AVERAGE(U1289:U1348) &gt; 0.25, 1, 0)</f>
        <v>1</v>
      </c>
      <c r="X1349" s="7">
        <f t="shared" si="2641"/>
        <v>1</v>
      </c>
      <c r="Y1349" s="8">
        <v>1.0</v>
      </c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</row>
    <row r="1350" ht="22.5" customHeight="1">
      <c r="B1350" s="6">
        <v>1349.0</v>
      </c>
      <c r="C1350" s="6">
        <v>30635.0</v>
      </c>
      <c r="D1350" s="6">
        <v>2.25</v>
      </c>
      <c r="E1350" s="6">
        <v>-0.44</v>
      </c>
      <c r="F1350" s="6">
        <v>10.59</v>
      </c>
      <c r="G1350" s="6">
        <v>-0.08</v>
      </c>
      <c r="H1350" s="6">
        <v>-0.03</v>
      </c>
      <c r="I1350" s="6">
        <v>-0.03</v>
      </c>
      <c r="J1350" s="6">
        <v>33.32</v>
      </c>
      <c r="K1350" s="7">
        <f t="shared" ref="K1350:P1350" si="2642">abs(D1350-D1349)/200</f>
        <v>0.0004</v>
      </c>
      <c r="L1350" s="7">
        <f t="shared" si="2642"/>
        <v>0.0018</v>
      </c>
      <c r="M1350" s="7">
        <f t="shared" si="2642"/>
        <v>0.0001</v>
      </c>
      <c r="N1350" s="7">
        <f t="shared" si="2642"/>
        <v>0.0001</v>
      </c>
      <c r="O1350" s="7">
        <f t="shared" si="2642"/>
        <v>0.00015</v>
      </c>
      <c r="P1350" s="7">
        <f t="shared" si="2642"/>
        <v>0.00015</v>
      </c>
      <c r="Q1350" s="7">
        <f t="shared" si="7"/>
        <v>0.02606518652</v>
      </c>
      <c r="R1350" s="7">
        <f t="shared" si="8"/>
        <v>0.0445758334</v>
      </c>
      <c r="S1350" s="7">
        <f t="shared" si="2"/>
        <v>1.035321869</v>
      </c>
      <c r="T1350" s="7">
        <f t="shared" si="3"/>
        <v>0.09055385138</v>
      </c>
      <c r="U1350" s="7">
        <f t="shared" si="4"/>
        <v>1</v>
      </c>
      <c r="V1350" s="7">
        <f t="shared" si="5"/>
        <v>0</v>
      </c>
      <c r="W1350" s="7">
        <f t="shared" ref="W1350:X1350" si="2643">IF(AVERAGE(U1290:U1349) &gt; 0.25, 1, 0)</f>
        <v>1</v>
      </c>
      <c r="X1350" s="7">
        <f t="shared" si="2643"/>
        <v>1</v>
      </c>
      <c r="Y1350" s="8">
        <v>1.0</v>
      </c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</row>
    <row r="1351" ht="22.5" customHeight="1">
      <c r="B1351" s="6">
        <v>1350.0</v>
      </c>
      <c r="C1351" s="6">
        <v>30839.0</v>
      </c>
      <c r="D1351" s="6">
        <v>2.26</v>
      </c>
      <c r="E1351" s="6">
        <v>-0.4</v>
      </c>
      <c r="F1351" s="6">
        <v>10.52</v>
      </c>
      <c r="G1351" s="6">
        <v>-0.1</v>
      </c>
      <c r="H1351" s="6">
        <v>-0.01</v>
      </c>
      <c r="I1351" s="6">
        <v>-0.02</v>
      </c>
      <c r="J1351" s="6">
        <v>33.32</v>
      </c>
      <c r="K1351" s="7">
        <f t="shared" ref="K1351:P1351" si="2644">abs(D1351-D1350)/200</f>
        <v>0.00005</v>
      </c>
      <c r="L1351" s="7">
        <f t="shared" si="2644"/>
        <v>0.0002</v>
      </c>
      <c r="M1351" s="7">
        <f t="shared" si="2644"/>
        <v>0.00035</v>
      </c>
      <c r="N1351" s="7">
        <f t="shared" si="2644"/>
        <v>0.0001</v>
      </c>
      <c r="O1351" s="7">
        <f t="shared" si="2644"/>
        <v>0.0001</v>
      </c>
      <c r="P1351" s="7">
        <f t="shared" si="2644"/>
        <v>0.00005</v>
      </c>
      <c r="Q1351" s="7">
        <f t="shared" si="7"/>
        <v>0.01191565628</v>
      </c>
      <c r="R1351" s="7">
        <f t="shared" si="8"/>
        <v>0.06787091695</v>
      </c>
      <c r="S1351" s="7">
        <f t="shared" si="2"/>
        <v>0.9674509518</v>
      </c>
      <c r="T1351" s="7">
        <f t="shared" si="3"/>
        <v>0.1024695077</v>
      </c>
      <c r="U1351" s="7">
        <f t="shared" si="4"/>
        <v>1</v>
      </c>
      <c r="V1351" s="7">
        <f t="shared" si="5"/>
        <v>0</v>
      </c>
      <c r="W1351" s="7">
        <f t="shared" ref="W1351:X1351" si="2645">IF(AVERAGE(U1291:U1350) &gt; 0.25, 1, 0)</f>
        <v>1</v>
      </c>
      <c r="X1351" s="7">
        <f t="shared" si="2645"/>
        <v>0</v>
      </c>
      <c r="Y1351" s="8">
        <v>1.0</v>
      </c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</row>
    <row r="1352" ht="22.5" customHeight="1">
      <c r="B1352" s="6">
        <v>1351.0</v>
      </c>
      <c r="C1352" s="6">
        <v>31043.0</v>
      </c>
      <c r="D1352" s="6">
        <v>2.23</v>
      </c>
      <c r="E1352" s="6">
        <v>-0.22</v>
      </c>
      <c r="F1352" s="6">
        <v>10.56</v>
      </c>
      <c r="G1352" s="6">
        <v>-0.1</v>
      </c>
      <c r="H1352" s="6">
        <v>0.03</v>
      </c>
      <c r="I1352" s="6">
        <v>-0.02</v>
      </c>
      <c r="J1352" s="6">
        <v>33.32</v>
      </c>
      <c r="K1352" s="7">
        <f t="shared" ref="K1352:P1352" si="2646">abs(D1352-D1351)/200</f>
        <v>0.00015</v>
      </c>
      <c r="L1352" s="7">
        <f t="shared" si="2646"/>
        <v>0.0009</v>
      </c>
      <c r="M1352" s="7">
        <f t="shared" si="2646"/>
        <v>0.0002</v>
      </c>
      <c r="N1352" s="7">
        <f t="shared" si="2646"/>
        <v>0</v>
      </c>
      <c r="O1352" s="7">
        <f t="shared" si="2646"/>
        <v>0.0002</v>
      </c>
      <c r="P1352" s="7">
        <f t="shared" si="2646"/>
        <v>0</v>
      </c>
      <c r="Q1352" s="7">
        <f t="shared" si="7"/>
        <v>0.003831950468</v>
      </c>
      <c r="R1352" s="7">
        <f t="shared" si="8"/>
        <v>0.02768221085</v>
      </c>
      <c r="S1352" s="7">
        <f t="shared" si="2"/>
        <v>0.9951331627</v>
      </c>
      <c r="T1352" s="7">
        <f t="shared" si="3"/>
        <v>0.1063014581</v>
      </c>
      <c r="U1352" s="7">
        <f t="shared" si="4"/>
        <v>1</v>
      </c>
      <c r="V1352" s="7">
        <f t="shared" si="5"/>
        <v>0</v>
      </c>
      <c r="W1352" s="7">
        <f t="shared" ref="W1352:X1352" si="2647">IF(AVERAGE(U1292:U1351) &gt; 0.25, 1, 0)</f>
        <v>1</v>
      </c>
      <c r="X1352" s="7">
        <f t="shared" si="2647"/>
        <v>0</v>
      </c>
      <c r="Y1352" s="8">
        <v>1.0</v>
      </c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</row>
    <row r="1353" ht="22.5" customHeight="1">
      <c r="B1353" s="6">
        <v>1352.0</v>
      </c>
      <c r="C1353" s="6">
        <v>31247.0</v>
      </c>
      <c r="D1353" s="6">
        <v>2.21</v>
      </c>
      <c r="E1353" s="6">
        <v>-0.25</v>
      </c>
      <c r="F1353" s="6">
        <v>10.53</v>
      </c>
      <c r="G1353" s="6">
        <v>-0.13</v>
      </c>
      <c r="H1353" s="6">
        <v>0.04</v>
      </c>
      <c r="I1353" s="6">
        <v>0.01</v>
      </c>
      <c r="J1353" s="6">
        <v>33.32</v>
      </c>
      <c r="K1353" s="7">
        <f t="shared" ref="K1353:P1353" si="2648">abs(D1353-D1352)/200</f>
        <v>0.0001</v>
      </c>
      <c r="L1353" s="7">
        <f t="shared" si="2648"/>
        <v>0.00015</v>
      </c>
      <c r="M1353" s="7">
        <f t="shared" si="2648"/>
        <v>0.00015</v>
      </c>
      <c r="N1353" s="7">
        <f t="shared" si="2648"/>
        <v>0.00015</v>
      </c>
      <c r="O1353" s="7">
        <f t="shared" si="2648"/>
        <v>0.00005</v>
      </c>
      <c r="P1353" s="7">
        <f t="shared" si="2648"/>
        <v>0.00015</v>
      </c>
      <c r="Q1353" s="7">
        <f t="shared" si="7"/>
        <v>0.03008035884</v>
      </c>
      <c r="R1353" s="7">
        <f t="shared" si="8"/>
        <v>0.03281463924</v>
      </c>
      <c r="S1353" s="7">
        <f t="shared" si="2"/>
        <v>0.9623185234</v>
      </c>
      <c r="T1353" s="7">
        <f t="shared" si="3"/>
        <v>0.136381817</v>
      </c>
      <c r="U1353" s="7">
        <f t="shared" si="4"/>
        <v>0</v>
      </c>
      <c r="V1353" s="7">
        <f t="shared" si="5"/>
        <v>0</v>
      </c>
      <c r="W1353" s="7">
        <f t="shared" ref="W1353:X1353" si="2649">IF(AVERAGE(U1293:U1352) &gt; 0.25, 1, 0)</f>
        <v>1</v>
      </c>
      <c r="X1353" s="7">
        <f t="shared" si="2649"/>
        <v>0</v>
      </c>
      <c r="Y1353" s="8">
        <v>1.0</v>
      </c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</row>
    <row r="1354" ht="22.5" customHeight="1">
      <c r="B1354" s="6">
        <v>1353.0</v>
      </c>
      <c r="C1354" s="6">
        <v>31451.0</v>
      </c>
      <c r="D1354" s="6">
        <v>2.19</v>
      </c>
      <c r="E1354" s="6">
        <v>-0.72</v>
      </c>
      <c r="F1354" s="6">
        <v>10.54</v>
      </c>
      <c r="G1354" s="6">
        <v>-0.07</v>
      </c>
      <c r="H1354" s="6">
        <v>0.0</v>
      </c>
      <c r="I1354" s="6">
        <v>0.02</v>
      </c>
      <c r="J1354" s="6">
        <v>33.32</v>
      </c>
      <c r="K1354" s="7">
        <f t="shared" ref="K1354:P1354" si="2650">abs(D1354-D1353)/200</f>
        <v>0.0001</v>
      </c>
      <c r="L1354" s="7">
        <f t="shared" si="2650"/>
        <v>0.00235</v>
      </c>
      <c r="M1354" s="7">
        <f t="shared" si="2650"/>
        <v>0.00005</v>
      </c>
      <c r="N1354" s="7">
        <f t="shared" si="2650"/>
        <v>0.0003</v>
      </c>
      <c r="O1354" s="7">
        <f t="shared" si="2650"/>
        <v>0.0002</v>
      </c>
      <c r="P1354" s="7">
        <f t="shared" si="2650"/>
        <v>0.00005</v>
      </c>
      <c r="Q1354" s="7">
        <f t="shared" si="7"/>
        <v>0.06358071808</v>
      </c>
      <c r="R1354" s="7">
        <f t="shared" si="8"/>
        <v>0.02684733866</v>
      </c>
      <c r="S1354" s="7">
        <f t="shared" si="2"/>
        <v>0.9891658621</v>
      </c>
      <c r="T1354" s="7">
        <f t="shared" si="3"/>
        <v>0.07280109889</v>
      </c>
      <c r="U1354" s="7">
        <f t="shared" si="4"/>
        <v>1</v>
      </c>
      <c r="V1354" s="7">
        <f t="shared" si="5"/>
        <v>0</v>
      </c>
      <c r="W1354" s="7">
        <f t="shared" ref="W1354:X1354" si="2651">IF(AVERAGE(U1294:U1353) &gt; 0.25, 1, 0)</f>
        <v>1</v>
      </c>
      <c r="X1354" s="7">
        <f t="shared" si="2651"/>
        <v>0</v>
      </c>
      <c r="Y1354" s="8">
        <v>1.0</v>
      </c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</row>
    <row r="1355" ht="22.5" customHeight="1">
      <c r="B1355" s="6">
        <v>1354.0</v>
      </c>
      <c r="C1355" s="6">
        <v>31655.0</v>
      </c>
      <c r="D1355" s="6">
        <v>2.23</v>
      </c>
      <c r="E1355" s="6">
        <v>-0.56</v>
      </c>
      <c r="F1355" s="6">
        <v>10.55</v>
      </c>
      <c r="G1355" s="6">
        <v>-0.09</v>
      </c>
      <c r="H1355" s="6">
        <v>-0.02</v>
      </c>
      <c r="I1355" s="6">
        <v>-0.01</v>
      </c>
      <c r="J1355" s="6">
        <v>33.33</v>
      </c>
      <c r="K1355" s="7">
        <f t="shared" ref="K1355:P1355" si="2652">abs(D1355-D1354)/200</f>
        <v>0.0002</v>
      </c>
      <c r="L1355" s="7">
        <f t="shared" si="2652"/>
        <v>0.0008</v>
      </c>
      <c r="M1355" s="7">
        <f t="shared" si="2652"/>
        <v>0.00005</v>
      </c>
      <c r="N1355" s="7">
        <f t="shared" si="2652"/>
        <v>0.0001</v>
      </c>
      <c r="O1355" s="7">
        <f t="shared" si="2652"/>
        <v>0.0001</v>
      </c>
      <c r="P1355" s="7">
        <f t="shared" si="2652"/>
        <v>0.00015</v>
      </c>
      <c r="Q1355" s="7">
        <f t="shared" si="7"/>
        <v>0.01993508606</v>
      </c>
      <c r="R1355" s="7">
        <f t="shared" si="8"/>
        <v>0.008472768633</v>
      </c>
      <c r="S1355" s="7">
        <f t="shared" si="2"/>
        <v>0.9976386307</v>
      </c>
      <c r="T1355" s="7">
        <f t="shared" si="3"/>
        <v>0.09273618495</v>
      </c>
      <c r="U1355" s="7">
        <f t="shared" si="4"/>
        <v>1</v>
      </c>
      <c r="V1355" s="7">
        <f t="shared" si="5"/>
        <v>0</v>
      </c>
      <c r="W1355" s="7">
        <f t="shared" ref="W1355:X1355" si="2653">IF(AVERAGE(U1295:U1354) &gt; 0.25, 1, 0)</f>
        <v>1</v>
      </c>
      <c r="X1355" s="7">
        <f t="shared" si="2653"/>
        <v>0</v>
      </c>
      <c r="Y1355" s="8">
        <v>1.0</v>
      </c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</row>
    <row r="1356" ht="22.5" customHeight="1">
      <c r="B1356" s="6">
        <v>1355.0</v>
      </c>
      <c r="C1356" s="6">
        <v>31859.0</v>
      </c>
      <c r="D1356" s="6">
        <v>2.18</v>
      </c>
      <c r="E1356" s="6">
        <v>-0.45</v>
      </c>
      <c r="F1356" s="6">
        <v>10.59</v>
      </c>
      <c r="G1356" s="6">
        <v>-0.12</v>
      </c>
      <c r="H1356" s="6">
        <v>0.0</v>
      </c>
      <c r="I1356" s="6">
        <v>0.01</v>
      </c>
      <c r="J1356" s="6">
        <v>33.32</v>
      </c>
      <c r="K1356" s="7">
        <f t="shared" ref="K1356:P1356" si="2654">abs(D1356-D1355)/200</f>
        <v>0.00025</v>
      </c>
      <c r="L1356" s="7">
        <f t="shared" si="2654"/>
        <v>0.00055</v>
      </c>
      <c r="M1356" s="7">
        <f t="shared" si="2654"/>
        <v>0.0002</v>
      </c>
      <c r="N1356" s="7">
        <f t="shared" si="2654"/>
        <v>0.00015</v>
      </c>
      <c r="O1356" s="7">
        <f t="shared" si="2654"/>
        <v>0.0001</v>
      </c>
      <c r="P1356" s="7">
        <f t="shared" si="2654"/>
        <v>0.0001</v>
      </c>
      <c r="Q1356" s="7">
        <f t="shared" si="7"/>
        <v>0.02767976083</v>
      </c>
      <c r="R1356" s="7">
        <f t="shared" si="8"/>
        <v>0.02377532493</v>
      </c>
      <c r="S1356" s="7">
        <f t="shared" si="2"/>
        <v>1.021413956</v>
      </c>
      <c r="T1356" s="7">
        <f t="shared" si="3"/>
        <v>0.1204159458</v>
      </c>
      <c r="U1356" s="7">
        <f t="shared" si="4"/>
        <v>1</v>
      </c>
      <c r="V1356" s="7">
        <f t="shared" si="5"/>
        <v>0</v>
      </c>
      <c r="W1356" s="7">
        <f t="shared" ref="W1356:X1356" si="2655">IF(AVERAGE(U1296:U1355) &gt; 0.25, 1, 0)</f>
        <v>1</v>
      </c>
      <c r="X1356" s="7">
        <f t="shared" si="2655"/>
        <v>0</v>
      </c>
      <c r="Y1356" s="8">
        <v>1.0</v>
      </c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</row>
    <row r="1357" ht="22.5" customHeight="1">
      <c r="B1357" s="6">
        <v>1356.0</v>
      </c>
      <c r="C1357" s="6">
        <v>32063.0</v>
      </c>
      <c r="D1357" s="6">
        <v>2.23</v>
      </c>
      <c r="E1357" s="6">
        <v>-0.57</v>
      </c>
      <c r="F1357" s="6">
        <v>10.52</v>
      </c>
      <c r="G1357" s="6">
        <v>-0.1</v>
      </c>
      <c r="H1357" s="6">
        <v>0.0</v>
      </c>
      <c r="I1357" s="6">
        <v>0.05</v>
      </c>
      <c r="J1357" s="6">
        <v>33.33</v>
      </c>
      <c r="K1357" s="7">
        <f t="shared" ref="K1357:P1357" si="2656">abs(D1357-D1356)/200</f>
        <v>0.00025</v>
      </c>
      <c r="L1357" s="7">
        <f t="shared" si="2656"/>
        <v>0.0006</v>
      </c>
      <c r="M1357" s="7">
        <f t="shared" si="2656"/>
        <v>0.00035</v>
      </c>
      <c r="N1357" s="7">
        <f t="shared" si="2656"/>
        <v>0.0001</v>
      </c>
      <c r="O1357" s="7">
        <f t="shared" si="2656"/>
        <v>0</v>
      </c>
      <c r="P1357" s="7">
        <f t="shared" si="2656"/>
        <v>0.0002</v>
      </c>
      <c r="Q1357" s="7">
        <f t="shared" si="7"/>
        <v>0.008612546913</v>
      </c>
      <c r="R1357" s="7">
        <f t="shared" si="8"/>
        <v>0.05256072053</v>
      </c>
      <c r="S1357" s="7">
        <f t="shared" si="2"/>
        <v>0.9688532351</v>
      </c>
      <c r="T1357" s="7">
        <f t="shared" si="3"/>
        <v>0.1118033989</v>
      </c>
      <c r="U1357" s="7">
        <f t="shared" si="4"/>
        <v>1</v>
      </c>
      <c r="V1357" s="7">
        <f t="shared" si="5"/>
        <v>0</v>
      </c>
      <c r="W1357" s="7">
        <f t="shared" ref="W1357:X1357" si="2657">IF(AVERAGE(U1297:U1356) &gt; 0.25, 1, 0)</f>
        <v>1</v>
      </c>
      <c r="X1357" s="7">
        <f t="shared" si="2657"/>
        <v>0</v>
      </c>
      <c r="Y1357" s="8">
        <v>1.0</v>
      </c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</row>
    <row r="1358" ht="22.5" customHeight="1">
      <c r="B1358" s="6">
        <v>1357.0</v>
      </c>
      <c r="C1358" s="6">
        <v>32267.0</v>
      </c>
      <c r="D1358" s="6">
        <v>2.2</v>
      </c>
      <c r="E1358" s="6">
        <v>-0.77</v>
      </c>
      <c r="F1358" s="6">
        <v>10.51</v>
      </c>
      <c r="G1358" s="6">
        <v>-0.09</v>
      </c>
      <c r="H1358" s="6">
        <v>0.0</v>
      </c>
      <c r="I1358" s="6">
        <v>0.02</v>
      </c>
      <c r="J1358" s="6">
        <v>33.32</v>
      </c>
      <c r="K1358" s="7">
        <f t="shared" ref="K1358:P1358" si="2658">abs(D1358-D1357)/200</f>
        <v>0.00015</v>
      </c>
      <c r="L1358" s="7">
        <f t="shared" si="2658"/>
        <v>0.001</v>
      </c>
      <c r="M1358" s="7">
        <f t="shared" si="2658"/>
        <v>0.00005</v>
      </c>
      <c r="N1358" s="7">
        <f t="shared" si="2658"/>
        <v>0.00005</v>
      </c>
      <c r="O1358" s="7">
        <f t="shared" si="2658"/>
        <v>0</v>
      </c>
      <c r="P1358" s="7">
        <f t="shared" si="2658"/>
        <v>0.00015</v>
      </c>
      <c r="Q1358" s="7">
        <f t="shared" si="7"/>
        <v>0.0196079543</v>
      </c>
      <c r="R1358" s="7">
        <f t="shared" si="8"/>
        <v>0.003492117185</v>
      </c>
      <c r="S1358" s="7">
        <f t="shared" si="2"/>
        <v>0.965361118</v>
      </c>
      <c r="T1358" s="7">
        <f t="shared" si="3"/>
        <v>0.09219544457</v>
      </c>
      <c r="U1358" s="7">
        <f t="shared" si="4"/>
        <v>1</v>
      </c>
      <c r="V1358" s="7">
        <f t="shared" si="5"/>
        <v>0</v>
      </c>
      <c r="W1358" s="7">
        <f t="shared" ref="W1358:X1358" si="2659">IF(AVERAGE(U1298:U1357) &gt; 0.25, 1, 0)</f>
        <v>1</v>
      </c>
      <c r="X1358" s="7">
        <f t="shared" si="2659"/>
        <v>0</v>
      </c>
      <c r="Y1358" s="8">
        <v>1.0</v>
      </c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</row>
    <row r="1359" ht="22.5" customHeight="1">
      <c r="B1359" s="6">
        <v>1358.0</v>
      </c>
      <c r="C1359" s="6">
        <v>32471.0</v>
      </c>
      <c r="D1359" s="6">
        <v>2.17</v>
      </c>
      <c r="E1359" s="6">
        <v>-0.39</v>
      </c>
      <c r="F1359" s="6">
        <v>10.51</v>
      </c>
      <c r="G1359" s="6">
        <v>-0.11</v>
      </c>
      <c r="H1359" s="6">
        <v>-0.01</v>
      </c>
      <c r="I1359" s="6">
        <v>-0.06</v>
      </c>
      <c r="J1359" s="6">
        <v>33.32</v>
      </c>
      <c r="K1359" s="7">
        <f t="shared" ref="K1359:P1359" si="2660">abs(D1359-D1358)/200</f>
        <v>0.00015</v>
      </c>
      <c r="L1359" s="7">
        <f t="shared" si="2660"/>
        <v>0.0019</v>
      </c>
      <c r="M1359" s="7">
        <f t="shared" si="2660"/>
        <v>0</v>
      </c>
      <c r="N1359" s="7">
        <f t="shared" si="2660"/>
        <v>0.0001</v>
      </c>
      <c r="O1359" s="7">
        <f t="shared" si="2660"/>
        <v>0.00005</v>
      </c>
      <c r="P1359" s="7">
        <f t="shared" si="2660"/>
        <v>0.0004</v>
      </c>
      <c r="Q1359" s="7">
        <f t="shared" si="7"/>
        <v>0.03350260633</v>
      </c>
      <c r="R1359" s="7">
        <f t="shared" si="8"/>
        <v>0.0265948946</v>
      </c>
      <c r="S1359" s="7">
        <f t="shared" si="2"/>
        <v>0.9387662234</v>
      </c>
      <c r="T1359" s="7">
        <f t="shared" si="3"/>
        <v>0.1256980509</v>
      </c>
      <c r="U1359" s="7">
        <f t="shared" si="4"/>
        <v>1</v>
      </c>
      <c r="V1359" s="7">
        <f t="shared" si="5"/>
        <v>1</v>
      </c>
      <c r="W1359" s="7">
        <f t="shared" ref="W1359:X1359" si="2661">IF(AVERAGE(U1299:U1358) &gt; 0.25, 1, 0)</f>
        <v>1</v>
      </c>
      <c r="X1359" s="7">
        <f t="shared" si="2661"/>
        <v>0</v>
      </c>
      <c r="Y1359" s="8">
        <v>1.0</v>
      </c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</row>
    <row r="1360" ht="22.5" customHeight="1">
      <c r="B1360" s="6">
        <v>1359.0</v>
      </c>
      <c r="C1360" s="6">
        <v>32675.0</v>
      </c>
      <c r="D1360" s="6">
        <v>2.23</v>
      </c>
      <c r="E1360" s="6">
        <v>-0.4</v>
      </c>
      <c r="F1360" s="6">
        <v>10.53</v>
      </c>
      <c r="G1360" s="6">
        <v>-0.1</v>
      </c>
      <c r="H1360" s="6">
        <v>-0.02</v>
      </c>
      <c r="I1360" s="6">
        <v>-0.01</v>
      </c>
      <c r="J1360" s="6">
        <v>33.33</v>
      </c>
      <c r="K1360" s="7">
        <f t="shared" ref="K1360:P1360" si="2662">abs(D1360-D1359)/200</f>
        <v>0.0003</v>
      </c>
      <c r="L1360" s="7">
        <f t="shared" si="2662"/>
        <v>0.00005</v>
      </c>
      <c r="M1360" s="7">
        <f t="shared" si="2662"/>
        <v>0.0001</v>
      </c>
      <c r="N1360" s="7">
        <f t="shared" si="2662"/>
        <v>0.00005</v>
      </c>
      <c r="O1360" s="7">
        <f t="shared" si="2662"/>
        <v>0.00005</v>
      </c>
      <c r="P1360" s="7">
        <f t="shared" si="2662"/>
        <v>0.00025</v>
      </c>
      <c r="Q1360" s="7">
        <f t="shared" si="7"/>
        <v>0.02322854324</v>
      </c>
      <c r="R1360" s="7">
        <f t="shared" si="8"/>
        <v>0.03220402077</v>
      </c>
      <c r="S1360" s="7">
        <f t="shared" si="2"/>
        <v>0.9709702441</v>
      </c>
      <c r="T1360" s="7">
        <f t="shared" si="3"/>
        <v>0.1024695077</v>
      </c>
      <c r="U1360" s="7">
        <f t="shared" si="4"/>
        <v>0</v>
      </c>
      <c r="V1360" s="7">
        <f t="shared" si="5"/>
        <v>0</v>
      </c>
      <c r="W1360" s="7">
        <f t="shared" ref="W1360:X1360" si="2663">IF(AVERAGE(U1300:U1359) &gt; 0.25, 1, 0)</f>
        <v>1</v>
      </c>
      <c r="X1360" s="7">
        <f t="shared" si="2663"/>
        <v>0</v>
      </c>
      <c r="Y1360" s="8">
        <v>1.0</v>
      </c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</row>
    <row r="1361" ht="22.5" customHeight="1">
      <c r="B1361" s="6">
        <v>1360.0</v>
      </c>
      <c r="C1361" s="6">
        <v>32879.0</v>
      </c>
      <c r="D1361" s="6">
        <v>2.26</v>
      </c>
      <c r="E1361" s="6">
        <v>-0.5</v>
      </c>
      <c r="F1361" s="6">
        <v>10.51</v>
      </c>
      <c r="G1361" s="6">
        <v>-0.07</v>
      </c>
      <c r="H1361" s="6">
        <v>-0.01</v>
      </c>
      <c r="I1361" s="6">
        <v>-0.03</v>
      </c>
      <c r="J1361" s="6">
        <v>33.34</v>
      </c>
      <c r="K1361" s="7">
        <f t="shared" ref="K1361:P1361" si="2664">abs(D1361-D1360)/200</f>
        <v>0.00015</v>
      </c>
      <c r="L1361" s="7">
        <f t="shared" si="2664"/>
        <v>0.0005</v>
      </c>
      <c r="M1361" s="7">
        <f t="shared" si="2664"/>
        <v>0.0001</v>
      </c>
      <c r="N1361" s="7">
        <f t="shared" si="2664"/>
        <v>0.00015</v>
      </c>
      <c r="O1361" s="7">
        <f t="shared" si="2664"/>
        <v>0.00005</v>
      </c>
      <c r="P1361" s="7">
        <f t="shared" si="2664"/>
        <v>0.0001</v>
      </c>
      <c r="Q1361" s="7">
        <f t="shared" si="7"/>
        <v>0.02565805018</v>
      </c>
      <c r="R1361" s="7">
        <f t="shared" si="8"/>
        <v>0.009107022553</v>
      </c>
      <c r="S1361" s="7">
        <f t="shared" si="2"/>
        <v>0.9618632216</v>
      </c>
      <c r="T1361" s="7">
        <f t="shared" si="3"/>
        <v>0.07681145748</v>
      </c>
      <c r="U1361" s="7">
        <f t="shared" si="4"/>
        <v>1</v>
      </c>
      <c r="V1361" s="7">
        <f t="shared" si="5"/>
        <v>0</v>
      </c>
      <c r="W1361" s="7">
        <f t="shared" ref="W1361:X1361" si="2665">IF(AVERAGE(U1301:U1360) &gt; 0.25, 1, 0)</f>
        <v>1</v>
      </c>
      <c r="X1361" s="7">
        <f t="shared" si="2665"/>
        <v>0</v>
      </c>
      <c r="Y1361" s="8">
        <v>1.0</v>
      </c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</row>
    <row r="1362" ht="22.5" customHeight="1">
      <c r="B1362" s="6">
        <v>1361.0</v>
      </c>
      <c r="C1362" s="6">
        <v>33083.0</v>
      </c>
      <c r="D1362" s="6">
        <v>2.33</v>
      </c>
      <c r="E1362" s="6">
        <v>-0.42</v>
      </c>
      <c r="F1362" s="6">
        <v>10.55</v>
      </c>
      <c r="G1362" s="6">
        <v>-0.09</v>
      </c>
      <c r="H1362" s="6">
        <v>-0.03</v>
      </c>
      <c r="I1362" s="6">
        <v>-0.03</v>
      </c>
      <c r="J1362" s="6">
        <v>33.33</v>
      </c>
      <c r="K1362" s="7">
        <f t="shared" ref="K1362:P1362" si="2666">abs(D1362-D1361)/200</f>
        <v>0.00035</v>
      </c>
      <c r="L1362" s="7">
        <f t="shared" si="2666"/>
        <v>0.0004</v>
      </c>
      <c r="M1362" s="7">
        <f t="shared" si="2666"/>
        <v>0.0002</v>
      </c>
      <c r="N1362" s="7">
        <f t="shared" si="2666"/>
        <v>0.0001</v>
      </c>
      <c r="O1362" s="7">
        <f t="shared" si="2666"/>
        <v>0.0001</v>
      </c>
      <c r="P1362" s="7">
        <f t="shared" si="2666"/>
        <v>0</v>
      </c>
      <c r="Q1362" s="7">
        <f t="shared" si="7"/>
        <v>0.02268728623</v>
      </c>
      <c r="R1362" s="7">
        <f t="shared" si="8"/>
        <v>0.05052781833</v>
      </c>
      <c r="S1362" s="7">
        <f t="shared" si="2"/>
        <v>1.01239104</v>
      </c>
      <c r="T1362" s="7">
        <f t="shared" si="3"/>
        <v>0.09949874371</v>
      </c>
      <c r="U1362" s="7">
        <f t="shared" si="4"/>
        <v>1</v>
      </c>
      <c r="V1362" s="7">
        <f t="shared" si="5"/>
        <v>0</v>
      </c>
      <c r="W1362" s="7">
        <f t="shared" ref="W1362:X1362" si="2667">IF(AVERAGE(U1302:U1361) &gt; 0.25, 1, 0)</f>
        <v>1</v>
      </c>
      <c r="X1362" s="7">
        <f t="shared" si="2667"/>
        <v>0</v>
      </c>
      <c r="Y1362" s="8">
        <v>1.0</v>
      </c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</row>
    <row r="1363" ht="22.5" customHeight="1">
      <c r="B1363" s="6">
        <v>1362.0</v>
      </c>
      <c r="C1363" s="6">
        <v>33287.0</v>
      </c>
      <c r="D1363" s="6">
        <v>2.28</v>
      </c>
      <c r="E1363" s="6">
        <v>-0.27</v>
      </c>
      <c r="F1363" s="6">
        <v>10.53</v>
      </c>
      <c r="G1363" s="6">
        <v>-0.08</v>
      </c>
      <c r="H1363" s="6">
        <v>0.08</v>
      </c>
      <c r="I1363" s="6">
        <v>-0.03</v>
      </c>
      <c r="J1363" s="6">
        <v>33.32</v>
      </c>
      <c r="K1363" s="7">
        <f t="shared" ref="K1363:P1363" si="2668">abs(D1363-D1362)/200</f>
        <v>0.00025</v>
      </c>
      <c r="L1363" s="7">
        <f t="shared" si="2668"/>
        <v>0.00075</v>
      </c>
      <c r="M1363" s="7">
        <f t="shared" si="2668"/>
        <v>0.0001</v>
      </c>
      <c r="N1363" s="7">
        <f t="shared" si="2668"/>
        <v>0.00005</v>
      </c>
      <c r="O1363" s="7">
        <f t="shared" si="2668"/>
        <v>0.00055</v>
      </c>
      <c r="P1363" s="7">
        <f t="shared" si="2668"/>
        <v>0</v>
      </c>
      <c r="Q1363" s="7">
        <f t="shared" si="7"/>
        <v>0.0175482554</v>
      </c>
      <c r="R1363" s="7">
        <f t="shared" si="8"/>
        <v>0.03499803418</v>
      </c>
      <c r="S1363" s="7">
        <f t="shared" si="2"/>
        <v>0.9773930057</v>
      </c>
      <c r="T1363" s="7">
        <f t="shared" si="3"/>
        <v>0.1170469991</v>
      </c>
      <c r="U1363" s="7">
        <f t="shared" si="4"/>
        <v>1</v>
      </c>
      <c r="V1363" s="7">
        <f t="shared" si="5"/>
        <v>1</v>
      </c>
      <c r="W1363" s="7">
        <f t="shared" ref="W1363:X1363" si="2669">IF(AVERAGE(U1303:U1362) &gt; 0.25, 1, 0)</f>
        <v>1</v>
      </c>
      <c r="X1363" s="7">
        <f t="shared" si="2669"/>
        <v>0</v>
      </c>
      <c r="Y1363" s="8">
        <v>1.0</v>
      </c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</row>
    <row r="1364" ht="22.5" customHeight="1">
      <c r="B1364" s="6">
        <v>1363.0</v>
      </c>
      <c r="C1364" s="6">
        <v>33491.0</v>
      </c>
      <c r="D1364" s="6">
        <v>2.19</v>
      </c>
      <c r="E1364" s="6">
        <v>-0.41</v>
      </c>
      <c r="F1364" s="6">
        <v>10.54</v>
      </c>
      <c r="G1364" s="6">
        <v>-0.1</v>
      </c>
      <c r="H1364" s="6">
        <v>0.03</v>
      </c>
      <c r="I1364" s="6">
        <v>-0.02</v>
      </c>
      <c r="J1364" s="6">
        <v>33.32</v>
      </c>
      <c r="K1364" s="7">
        <f t="shared" ref="K1364:P1364" si="2670">abs(D1364-D1363)/200</f>
        <v>0.00045</v>
      </c>
      <c r="L1364" s="7">
        <f t="shared" si="2670"/>
        <v>0.0007</v>
      </c>
      <c r="M1364" s="7">
        <f t="shared" si="2670"/>
        <v>0.00005</v>
      </c>
      <c r="N1364" s="7">
        <f t="shared" si="2670"/>
        <v>0.0001</v>
      </c>
      <c r="O1364" s="7">
        <f t="shared" si="2670"/>
        <v>0.00025</v>
      </c>
      <c r="P1364" s="7">
        <f t="shared" si="2670"/>
        <v>0.00005</v>
      </c>
      <c r="Q1364" s="7">
        <f t="shared" si="7"/>
        <v>0.01074554098</v>
      </c>
      <c r="R1364" s="7">
        <f t="shared" si="8"/>
        <v>0.004473252944</v>
      </c>
      <c r="S1364" s="7">
        <f t="shared" si="2"/>
        <v>0.9729197528</v>
      </c>
      <c r="T1364" s="7">
        <f t="shared" si="3"/>
        <v>0.1063014581</v>
      </c>
      <c r="U1364" s="7">
        <f t="shared" si="4"/>
        <v>1</v>
      </c>
      <c r="V1364" s="7">
        <f t="shared" si="5"/>
        <v>0</v>
      </c>
      <c r="W1364" s="7">
        <f t="shared" ref="W1364:X1364" si="2671">IF(AVERAGE(U1304:U1363) &gt; 0.25, 1, 0)</f>
        <v>1</v>
      </c>
      <c r="X1364" s="7">
        <f t="shared" si="2671"/>
        <v>0</v>
      </c>
      <c r="Y1364" s="8">
        <v>1.0</v>
      </c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</row>
    <row r="1365" ht="22.5" customHeight="1">
      <c r="B1365" s="6">
        <v>1364.0</v>
      </c>
      <c r="C1365" s="6">
        <v>33695.0</v>
      </c>
      <c r="D1365" s="6">
        <v>2.35</v>
      </c>
      <c r="E1365" s="6">
        <v>-0.79</v>
      </c>
      <c r="F1365" s="6">
        <v>10.47</v>
      </c>
      <c r="G1365" s="6">
        <v>-0.1</v>
      </c>
      <c r="H1365" s="6">
        <v>0.0</v>
      </c>
      <c r="I1365" s="6">
        <v>0.07</v>
      </c>
      <c r="J1365" s="6">
        <v>33.34</v>
      </c>
      <c r="K1365" s="7">
        <f t="shared" ref="K1365:P1365" si="2672">abs(D1365-D1364)/200</f>
        <v>0.0008</v>
      </c>
      <c r="L1365" s="7">
        <f t="shared" si="2672"/>
        <v>0.0019</v>
      </c>
      <c r="M1365" s="7">
        <f t="shared" si="2672"/>
        <v>0.00035</v>
      </c>
      <c r="N1365" s="7">
        <f t="shared" si="2672"/>
        <v>0</v>
      </c>
      <c r="O1365" s="7">
        <f t="shared" si="2672"/>
        <v>0.00015</v>
      </c>
      <c r="P1365" s="7">
        <f t="shared" si="2672"/>
        <v>0.00045</v>
      </c>
      <c r="Q1365" s="7">
        <f t="shared" si="7"/>
        <v>0.01576409803</v>
      </c>
      <c r="R1365" s="7">
        <f t="shared" si="8"/>
        <v>0.01338909388</v>
      </c>
      <c r="S1365" s="7">
        <f t="shared" si="2"/>
        <v>0.9595306589</v>
      </c>
      <c r="T1365" s="7">
        <f t="shared" si="3"/>
        <v>0.1220655562</v>
      </c>
      <c r="U1365" s="7">
        <f t="shared" si="4"/>
        <v>1</v>
      </c>
      <c r="V1365" s="7">
        <f t="shared" si="5"/>
        <v>1</v>
      </c>
      <c r="W1365" s="7">
        <f t="shared" ref="W1365:X1365" si="2673">IF(AVERAGE(U1305:U1364) &gt; 0.25, 1, 0)</f>
        <v>1</v>
      </c>
      <c r="X1365" s="7">
        <f t="shared" si="2673"/>
        <v>0</v>
      </c>
      <c r="Y1365" s="8">
        <v>1.0</v>
      </c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</row>
    <row r="1366" ht="22.5" customHeight="1">
      <c r="B1366" s="6">
        <v>1365.0</v>
      </c>
      <c r="C1366" s="6">
        <v>33899.0</v>
      </c>
      <c r="D1366" s="6">
        <v>2.39</v>
      </c>
      <c r="E1366" s="6">
        <v>-0.66</v>
      </c>
      <c r="F1366" s="6">
        <v>10.4</v>
      </c>
      <c r="G1366" s="6">
        <v>-0.09</v>
      </c>
      <c r="H1366" s="6">
        <v>-0.04</v>
      </c>
      <c r="I1366" s="6">
        <v>0.3</v>
      </c>
      <c r="J1366" s="6">
        <v>33.32</v>
      </c>
      <c r="K1366" s="7">
        <f t="shared" ref="K1366:P1366" si="2674">abs(D1366-D1365)/200</f>
        <v>0.0002</v>
      </c>
      <c r="L1366" s="7">
        <f t="shared" si="2674"/>
        <v>0.00065</v>
      </c>
      <c r="M1366" s="7">
        <f t="shared" si="2674"/>
        <v>0.00035</v>
      </c>
      <c r="N1366" s="7">
        <f t="shared" si="2674"/>
        <v>0.00005</v>
      </c>
      <c r="O1366" s="7">
        <f t="shared" si="2674"/>
        <v>0.0002</v>
      </c>
      <c r="P1366" s="7">
        <f t="shared" si="2674"/>
        <v>0.00115</v>
      </c>
      <c r="Q1366" s="7">
        <f t="shared" si="7"/>
        <v>0.1936875119</v>
      </c>
      <c r="R1366" s="7">
        <f t="shared" si="8"/>
        <v>0.06805274423</v>
      </c>
      <c r="S1366" s="7">
        <f t="shared" si="2"/>
        <v>0.8914779147</v>
      </c>
      <c r="T1366" s="7">
        <f t="shared" si="3"/>
        <v>0.3157530681</v>
      </c>
      <c r="U1366" s="7">
        <f t="shared" si="4"/>
        <v>1</v>
      </c>
      <c r="V1366" s="7">
        <f t="shared" si="5"/>
        <v>1</v>
      </c>
      <c r="W1366" s="7">
        <f t="shared" ref="W1366:X1366" si="2675">IF(AVERAGE(U1306:U1365) &gt; 0.25, 1, 0)</f>
        <v>1</v>
      </c>
      <c r="X1366" s="7">
        <f t="shared" si="2675"/>
        <v>0</v>
      </c>
      <c r="Y1366" s="8">
        <v>1.0</v>
      </c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</row>
    <row r="1367" ht="22.5" customHeight="1">
      <c r="B1367" s="6">
        <v>1366.0</v>
      </c>
      <c r="C1367" s="6">
        <v>34103.0</v>
      </c>
      <c r="D1367" s="6">
        <v>2.35</v>
      </c>
      <c r="E1367" s="6">
        <v>-0.79</v>
      </c>
      <c r="F1367" s="6">
        <v>10.51</v>
      </c>
      <c r="G1367" s="6">
        <v>-0.16</v>
      </c>
      <c r="H1367" s="6">
        <v>0.04</v>
      </c>
      <c r="I1367" s="6">
        <v>-0.15</v>
      </c>
      <c r="J1367" s="6">
        <v>33.32</v>
      </c>
      <c r="K1367" s="7">
        <f t="shared" ref="K1367:P1367" si="2676">abs(D1367-D1366)/200</f>
        <v>0.0002</v>
      </c>
      <c r="L1367" s="7">
        <f t="shared" si="2676"/>
        <v>0.00065</v>
      </c>
      <c r="M1367" s="7">
        <f t="shared" si="2676"/>
        <v>0.00055</v>
      </c>
      <c r="N1367" s="7">
        <f t="shared" si="2676"/>
        <v>0.00035</v>
      </c>
      <c r="O1367" s="7">
        <f t="shared" si="2676"/>
        <v>0.0004</v>
      </c>
      <c r="P1367" s="7">
        <f t="shared" si="2676"/>
        <v>0.00225</v>
      </c>
      <c r="Q1367" s="7">
        <f t="shared" si="7"/>
        <v>0.09281809998</v>
      </c>
      <c r="R1367" s="7">
        <f t="shared" si="8"/>
        <v>0.1069803086</v>
      </c>
      <c r="S1367" s="7">
        <f t="shared" si="2"/>
        <v>0.9984582233</v>
      </c>
      <c r="T1367" s="7">
        <f t="shared" si="3"/>
        <v>0.2229349681</v>
      </c>
      <c r="U1367" s="7">
        <f t="shared" si="4"/>
        <v>1</v>
      </c>
      <c r="V1367" s="7">
        <f t="shared" si="5"/>
        <v>1</v>
      </c>
      <c r="W1367" s="7">
        <f t="shared" ref="W1367:X1367" si="2677">IF(AVERAGE(U1307:U1366) &gt; 0.25, 1, 0)</f>
        <v>1</v>
      </c>
      <c r="X1367" s="7">
        <f t="shared" si="2677"/>
        <v>0</v>
      </c>
      <c r="Y1367" s="8">
        <v>1.0</v>
      </c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</row>
    <row r="1368" ht="22.5" customHeight="1">
      <c r="B1368" s="6">
        <v>1367.0</v>
      </c>
      <c r="C1368" s="6">
        <v>34307.0</v>
      </c>
      <c r="D1368" s="6">
        <v>2.2</v>
      </c>
      <c r="E1368" s="6">
        <v>-0.69</v>
      </c>
      <c r="F1368" s="6">
        <v>10.6</v>
      </c>
      <c r="G1368" s="6">
        <v>-0.14</v>
      </c>
      <c r="H1368" s="6">
        <v>0.04</v>
      </c>
      <c r="I1368" s="6">
        <v>-0.15</v>
      </c>
      <c r="J1368" s="6">
        <v>33.33</v>
      </c>
      <c r="K1368" s="7">
        <f t="shared" ref="K1368:P1368" si="2678">abs(D1368-D1367)/200</f>
        <v>0.00075</v>
      </c>
      <c r="L1368" s="7">
        <f t="shared" si="2678"/>
        <v>0.0005</v>
      </c>
      <c r="M1368" s="7">
        <f t="shared" si="2678"/>
        <v>0.00045</v>
      </c>
      <c r="N1368" s="7">
        <f t="shared" si="2678"/>
        <v>0.0001</v>
      </c>
      <c r="O1368" s="7">
        <f t="shared" si="2678"/>
        <v>0</v>
      </c>
      <c r="P1368" s="7">
        <f t="shared" si="2678"/>
        <v>0</v>
      </c>
      <c r="Q1368" s="7">
        <f t="shared" si="7"/>
        <v>0.01388951849</v>
      </c>
      <c r="R1368" s="7">
        <f t="shared" si="8"/>
        <v>0.04940331713</v>
      </c>
      <c r="S1368" s="7">
        <f t="shared" si="2"/>
        <v>1.04786154</v>
      </c>
      <c r="T1368" s="7">
        <f t="shared" si="3"/>
        <v>0.2090454496</v>
      </c>
      <c r="U1368" s="7">
        <f t="shared" si="4"/>
        <v>1</v>
      </c>
      <c r="V1368" s="7">
        <f t="shared" si="5"/>
        <v>0</v>
      </c>
      <c r="W1368" s="7">
        <f t="shared" ref="W1368:X1368" si="2679">IF(AVERAGE(U1308:U1367) &gt; 0.25, 1, 0)</f>
        <v>1</v>
      </c>
      <c r="X1368" s="7">
        <f t="shared" si="2679"/>
        <v>0</v>
      </c>
      <c r="Y1368" s="8">
        <v>1.0</v>
      </c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</row>
    <row r="1369" ht="22.5" customHeight="1">
      <c r="B1369" s="6">
        <v>1368.0</v>
      </c>
      <c r="C1369" s="6">
        <v>34511.0</v>
      </c>
      <c r="D1369" s="6">
        <v>1.76</v>
      </c>
      <c r="E1369" s="6">
        <v>-0.48</v>
      </c>
      <c r="F1369" s="6">
        <v>10.55</v>
      </c>
      <c r="G1369" s="6">
        <v>-0.09</v>
      </c>
      <c r="H1369" s="6">
        <v>0.0</v>
      </c>
      <c r="I1369" s="6">
        <v>-0.19</v>
      </c>
      <c r="J1369" s="6">
        <v>33.33</v>
      </c>
      <c r="K1369" s="7">
        <f t="shared" ref="K1369:P1369" si="2680">abs(D1369-D1368)/200</f>
        <v>0.0022</v>
      </c>
      <c r="L1369" s="7">
        <f t="shared" si="2680"/>
        <v>0.00105</v>
      </c>
      <c r="M1369" s="7">
        <f t="shared" si="2680"/>
        <v>0.00025</v>
      </c>
      <c r="N1369" s="7">
        <f t="shared" si="2680"/>
        <v>0.00025</v>
      </c>
      <c r="O1369" s="7">
        <f t="shared" si="2680"/>
        <v>0.0002</v>
      </c>
      <c r="P1369" s="7">
        <f t="shared" si="2680"/>
        <v>0.0002</v>
      </c>
      <c r="Q1369" s="7">
        <f t="shared" si="7"/>
        <v>0.001192510813</v>
      </c>
      <c r="R1369" s="7">
        <f t="shared" si="8"/>
        <v>0.1412981329</v>
      </c>
      <c r="S1369" s="7">
        <f t="shared" si="2"/>
        <v>0.9065634076</v>
      </c>
      <c r="T1369" s="7">
        <f t="shared" si="3"/>
        <v>0.2102379604</v>
      </c>
      <c r="U1369" s="7">
        <f t="shared" si="4"/>
        <v>1</v>
      </c>
      <c r="V1369" s="7">
        <f t="shared" si="5"/>
        <v>0</v>
      </c>
      <c r="W1369" s="7">
        <f t="shared" ref="W1369:X1369" si="2681">IF(AVERAGE(U1309:U1368) &gt; 0.25, 1, 0)</f>
        <v>1</v>
      </c>
      <c r="X1369" s="7">
        <f t="shared" si="2681"/>
        <v>0</v>
      </c>
      <c r="Y1369" s="8">
        <v>1.0</v>
      </c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</row>
    <row r="1370" ht="22.5" customHeight="1">
      <c r="B1370" s="6">
        <v>1369.0</v>
      </c>
      <c r="C1370" s="6">
        <v>34715.0</v>
      </c>
      <c r="D1370" s="6">
        <v>1.95</v>
      </c>
      <c r="E1370" s="6">
        <v>-0.52</v>
      </c>
      <c r="F1370" s="6">
        <v>10.66</v>
      </c>
      <c r="G1370" s="6">
        <v>-0.16</v>
      </c>
      <c r="H1370" s="6">
        <v>-0.02</v>
      </c>
      <c r="I1370" s="6">
        <v>-0.32</v>
      </c>
      <c r="J1370" s="6">
        <v>33.34</v>
      </c>
      <c r="K1370" s="7">
        <f t="shared" ref="K1370:P1370" si="2682">abs(D1370-D1369)/200</f>
        <v>0.00095</v>
      </c>
      <c r="L1370" s="7">
        <f t="shared" si="2682"/>
        <v>0.0002</v>
      </c>
      <c r="M1370" s="7">
        <f t="shared" si="2682"/>
        <v>0.00055</v>
      </c>
      <c r="N1370" s="7">
        <f t="shared" si="2682"/>
        <v>0.00035</v>
      </c>
      <c r="O1370" s="7">
        <f t="shared" si="2682"/>
        <v>0.0001</v>
      </c>
      <c r="P1370" s="7">
        <f t="shared" si="2682"/>
        <v>0.00065</v>
      </c>
      <c r="Q1370" s="7">
        <f t="shared" si="7"/>
        <v>0.1480914969</v>
      </c>
      <c r="R1370" s="7">
        <f t="shared" si="8"/>
        <v>0.142791412</v>
      </c>
      <c r="S1370" s="7">
        <f t="shared" si="2"/>
        <v>1.04935482</v>
      </c>
      <c r="T1370" s="7">
        <f t="shared" si="3"/>
        <v>0.3583294573</v>
      </c>
      <c r="U1370" s="7">
        <f t="shared" si="4"/>
        <v>1</v>
      </c>
      <c r="V1370" s="7">
        <f t="shared" si="5"/>
        <v>1</v>
      </c>
      <c r="W1370" s="7">
        <f t="shared" ref="W1370:X1370" si="2683">IF(AVERAGE(U1310:U1369) &gt; 0.25, 1, 0)</f>
        <v>1</v>
      </c>
      <c r="X1370" s="7">
        <f t="shared" si="2683"/>
        <v>0</v>
      </c>
      <c r="Y1370" s="8">
        <v>1.0</v>
      </c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</row>
    <row r="1371" ht="22.5" customHeight="1">
      <c r="B1371" s="6">
        <v>1370.0</v>
      </c>
      <c r="C1371" s="6">
        <v>34919.0</v>
      </c>
      <c r="D1371" s="6">
        <v>1.94</v>
      </c>
      <c r="E1371" s="6">
        <v>-0.56</v>
      </c>
      <c r="F1371" s="6">
        <v>10.4</v>
      </c>
      <c r="G1371" s="6">
        <v>-0.13</v>
      </c>
      <c r="H1371" s="6">
        <v>0.03</v>
      </c>
      <c r="I1371" s="6">
        <v>-0.14</v>
      </c>
      <c r="J1371" s="6">
        <v>33.33</v>
      </c>
      <c r="K1371" s="7">
        <f t="shared" ref="K1371:P1371" si="2684">abs(D1371-D1370)/200</f>
        <v>0.00005</v>
      </c>
      <c r="L1371" s="7">
        <f t="shared" si="2684"/>
        <v>0.0002</v>
      </c>
      <c r="M1371" s="7">
        <f t="shared" si="2684"/>
        <v>0.0013</v>
      </c>
      <c r="N1371" s="7">
        <f t="shared" si="2684"/>
        <v>0.00015</v>
      </c>
      <c r="O1371" s="7">
        <f t="shared" si="2684"/>
        <v>0.00025</v>
      </c>
      <c r="P1371" s="7">
        <f t="shared" si="2684"/>
        <v>0.0009</v>
      </c>
      <c r="Q1371" s="7">
        <f t="shared" si="7"/>
        <v>0.1649386613</v>
      </c>
      <c r="R1371" s="7">
        <f t="shared" si="8"/>
        <v>0.2551488559</v>
      </c>
      <c r="S1371" s="7">
        <f t="shared" si="2"/>
        <v>0.7942059636</v>
      </c>
      <c r="T1371" s="7">
        <f t="shared" si="3"/>
        <v>0.1933907961</v>
      </c>
      <c r="U1371" s="7">
        <f t="shared" si="4"/>
        <v>1</v>
      </c>
      <c r="V1371" s="7">
        <f t="shared" si="5"/>
        <v>1</v>
      </c>
      <c r="W1371" s="7">
        <f t="shared" ref="W1371:X1371" si="2685">IF(AVERAGE(U1311:U1370) &gt; 0.25, 1, 0)</f>
        <v>1</v>
      </c>
      <c r="X1371" s="7">
        <f t="shared" si="2685"/>
        <v>0</v>
      </c>
      <c r="Y1371" s="8">
        <v>1.0</v>
      </c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</row>
    <row r="1372" ht="22.5" customHeight="1">
      <c r="B1372" s="6">
        <v>1371.0</v>
      </c>
      <c r="C1372" s="6">
        <v>35123.0</v>
      </c>
      <c r="D1372" s="6">
        <v>2.25</v>
      </c>
      <c r="E1372" s="6">
        <v>-0.32</v>
      </c>
      <c r="F1372" s="6">
        <v>10.33</v>
      </c>
      <c r="G1372" s="6">
        <v>-0.11</v>
      </c>
      <c r="H1372" s="6">
        <v>-0.07</v>
      </c>
      <c r="I1372" s="6">
        <v>0.07</v>
      </c>
      <c r="J1372" s="6">
        <v>33.35</v>
      </c>
      <c r="K1372" s="7">
        <f t="shared" ref="K1372:P1372" si="2686">abs(D1372-D1371)/200</f>
        <v>0.00155</v>
      </c>
      <c r="L1372" s="7">
        <f t="shared" si="2686"/>
        <v>0.0012</v>
      </c>
      <c r="M1372" s="7">
        <f t="shared" si="2686"/>
        <v>0.00035</v>
      </c>
      <c r="N1372" s="7">
        <f t="shared" si="2686"/>
        <v>0.0001</v>
      </c>
      <c r="O1372" s="7">
        <f t="shared" si="2686"/>
        <v>0.0005</v>
      </c>
      <c r="P1372" s="7">
        <f t="shared" si="2686"/>
        <v>0.00105</v>
      </c>
      <c r="Q1372" s="7">
        <f t="shared" si="7"/>
        <v>0.04540431019</v>
      </c>
      <c r="R1372" s="7">
        <f t="shared" si="8"/>
        <v>0.01716478947</v>
      </c>
      <c r="S1372" s="7">
        <f t="shared" si="2"/>
        <v>0.7770411742</v>
      </c>
      <c r="T1372" s="7">
        <f t="shared" si="3"/>
        <v>0.1479864859</v>
      </c>
      <c r="U1372" s="7">
        <f t="shared" si="4"/>
        <v>1</v>
      </c>
      <c r="V1372" s="7">
        <f t="shared" si="5"/>
        <v>1</v>
      </c>
      <c r="W1372" s="7">
        <f t="shared" ref="W1372:X1372" si="2687">IF(AVERAGE(U1312:U1371) &gt; 0.25, 1, 0)</f>
        <v>1</v>
      </c>
      <c r="X1372" s="7">
        <f t="shared" si="2687"/>
        <v>0</v>
      </c>
      <c r="Y1372" s="8">
        <v>1.0</v>
      </c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</row>
    <row r="1373" ht="22.5" customHeight="1">
      <c r="B1373" s="6">
        <v>1372.0</v>
      </c>
      <c r="C1373" s="6">
        <v>35327.0</v>
      </c>
      <c r="D1373" s="6">
        <v>2.29</v>
      </c>
      <c r="E1373" s="6">
        <v>-0.62</v>
      </c>
      <c r="F1373" s="6">
        <v>10.46</v>
      </c>
      <c r="G1373" s="6">
        <v>-0.12</v>
      </c>
      <c r="H1373" s="6">
        <v>0.09</v>
      </c>
      <c r="I1373" s="6">
        <v>0.09</v>
      </c>
      <c r="J1373" s="6">
        <v>33.34</v>
      </c>
      <c r="K1373" s="7">
        <f t="shared" ref="K1373:P1373" si="2688">abs(D1373-D1372)/200</f>
        <v>0.0002</v>
      </c>
      <c r="L1373" s="7">
        <f t="shared" si="2688"/>
        <v>0.0015</v>
      </c>
      <c r="M1373" s="7">
        <f t="shared" si="2688"/>
        <v>0.00065</v>
      </c>
      <c r="N1373" s="7">
        <f t="shared" si="2688"/>
        <v>0.00005</v>
      </c>
      <c r="O1373" s="7">
        <f t="shared" si="2688"/>
        <v>0.0008</v>
      </c>
      <c r="P1373" s="7">
        <f t="shared" si="2688"/>
        <v>0.0001</v>
      </c>
      <c r="Q1373" s="7">
        <f t="shared" si="7"/>
        <v>0.02694207098</v>
      </c>
      <c r="R1373" s="7">
        <f t="shared" si="8"/>
        <v>0.1486336298</v>
      </c>
      <c r="S1373" s="7">
        <f t="shared" si="2"/>
        <v>0.9256748039</v>
      </c>
      <c r="T1373" s="7">
        <f t="shared" si="3"/>
        <v>0.1749285568</v>
      </c>
      <c r="U1373" s="7">
        <f t="shared" si="4"/>
        <v>1</v>
      </c>
      <c r="V1373" s="7">
        <f t="shared" si="5"/>
        <v>1</v>
      </c>
      <c r="W1373" s="7">
        <f t="shared" ref="W1373:X1373" si="2689">IF(AVERAGE(U1313:U1372) &gt; 0.25, 1, 0)</f>
        <v>1</v>
      </c>
      <c r="X1373" s="7">
        <f t="shared" si="2689"/>
        <v>0</v>
      </c>
      <c r="Y1373" s="8">
        <v>1.0</v>
      </c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</row>
    <row r="1374" ht="22.5" customHeight="1">
      <c r="B1374" s="6">
        <v>1373.0</v>
      </c>
      <c r="C1374" s="6">
        <v>35531.0</v>
      </c>
      <c r="D1374" s="6">
        <v>2.08</v>
      </c>
      <c r="E1374" s="6">
        <v>-0.73</v>
      </c>
      <c r="F1374" s="6">
        <v>10.56</v>
      </c>
      <c r="G1374" s="6">
        <v>-0.1</v>
      </c>
      <c r="H1374" s="6">
        <v>0.04</v>
      </c>
      <c r="I1374" s="6">
        <v>0.0</v>
      </c>
      <c r="J1374" s="6">
        <v>33.34</v>
      </c>
      <c r="K1374" s="7">
        <f t="shared" ref="K1374:P1374" si="2690">abs(D1374-D1373)/200</f>
        <v>0.00105</v>
      </c>
      <c r="L1374" s="7">
        <f t="shared" si="2690"/>
        <v>0.00055</v>
      </c>
      <c r="M1374" s="7">
        <f t="shared" si="2690"/>
        <v>0.0005</v>
      </c>
      <c r="N1374" s="7">
        <f t="shared" si="2690"/>
        <v>0.0001</v>
      </c>
      <c r="O1374" s="7">
        <f t="shared" si="2690"/>
        <v>0.00025</v>
      </c>
      <c r="P1374" s="7">
        <f t="shared" si="2690"/>
        <v>0.00045</v>
      </c>
      <c r="Q1374" s="7">
        <f t="shared" si="7"/>
        <v>0.0672252607</v>
      </c>
      <c r="R1374" s="7">
        <f t="shared" si="8"/>
        <v>0.06195236796</v>
      </c>
      <c r="S1374" s="7">
        <f t="shared" si="2"/>
        <v>0.9876271719</v>
      </c>
      <c r="T1374" s="7">
        <f t="shared" si="3"/>
        <v>0.1077032961</v>
      </c>
      <c r="U1374" s="7">
        <f t="shared" si="4"/>
        <v>1</v>
      </c>
      <c r="V1374" s="7">
        <f t="shared" si="5"/>
        <v>1</v>
      </c>
      <c r="W1374" s="7">
        <f t="shared" ref="W1374:X1374" si="2691">IF(AVERAGE(U1314:U1373) &gt; 0.25, 1, 0)</f>
        <v>1</v>
      </c>
      <c r="X1374" s="7">
        <f t="shared" si="2691"/>
        <v>0</v>
      </c>
      <c r="Y1374" s="8">
        <v>1.0</v>
      </c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</row>
    <row r="1375" ht="22.5" customHeight="1">
      <c r="B1375" s="6">
        <v>1374.0</v>
      </c>
      <c r="C1375" s="6">
        <v>35735.0</v>
      </c>
      <c r="D1375" s="6">
        <v>1.88</v>
      </c>
      <c r="E1375" s="6">
        <v>-0.67</v>
      </c>
      <c r="F1375" s="6">
        <v>10.56</v>
      </c>
      <c r="G1375" s="6">
        <v>-0.11</v>
      </c>
      <c r="H1375" s="6">
        <v>0.05</v>
      </c>
      <c r="I1375" s="6">
        <v>-0.01</v>
      </c>
      <c r="J1375" s="6">
        <v>33.33</v>
      </c>
      <c r="K1375" s="7">
        <f t="shared" ref="K1375:P1375" si="2692">abs(D1375-D1374)/200</f>
        <v>0.001</v>
      </c>
      <c r="L1375" s="7">
        <f t="shared" si="2692"/>
        <v>0.0003</v>
      </c>
      <c r="M1375" s="7">
        <f t="shared" si="2692"/>
        <v>0</v>
      </c>
      <c r="N1375" s="7">
        <f t="shared" si="2692"/>
        <v>0.00005</v>
      </c>
      <c r="O1375" s="7">
        <f t="shared" si="2692"/>
        <v>0.00005</v>
      </c>
      <c r="P1375" s="7">
        <f t="shared" si="2692"/>
        <v>0.00005</v>
      </c>
      <c r="Q1375" s="7">
        <f t="shared" si="7"/>
        <v>0.01354026039</v>
      </c>
      <c r="R1375" s="7">
        <f t="shared" si="8"/>
        <v>0.04067876782</v>
      </c>
      <c r="S1375" s="7">
        <f t="shared" si="2"/>
        <v>0.9469484041</v>
      </c>
      <c r="T1375" s="7">
        <f t="shared" si="3"/>
        <v>0.1212435565</v>
      </c>
      <c r="U1375" s="7">
        <f t="shared" si="4"/>
        <v>1</v>
      </c>
      <c r="V1375" s="7">
        <f t="shared" si="5"/>
        <v>0</v>
      </c>
      <c r="W1375" s="7">
        <f t="shared" ref="W1375:X1375" si="2693">IF(AVERAGE(U1315:U1374) &gt; 0.25, 1, 0)</f>
        <v>1</v>
      </c>
      <c r="X1375" s="7">
        <f t="shared" si="2693"/>
        <v>0</v>
      </c>
      <c r="Y1375" s="8">
        <v>1.0</v>
      </c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</row>
    <row r="1376" ht="22.5" customHeight="1">
      <c r="B1376" s="6">
        <v>1375.0</v>
      </c>
      <c r="C1376" s="6">
        <v>35939.0</v>
      </c>
      <c r="D1376" s="6">
        <v>1.85</v>
      </c>
      <c r="E1376" s="6">
        <v>-0.6</v>
      </c>
      <c r="F1376" s="6">
        <v>10.61</v>
      </c>
      <c r="G1376" s="6">
        <v>-0.06</v>
      </c>
      <c r="H1376" s="6">
        <v>0.04</v>
      </c>
      <c r="I1376" s="6">
        <v>0.01</v>
      </c>
      <c r="J1376" s="6">
        <v>33.33</v>
      </c>
      <c r="K1376" s="7">
        <f t="shared" ref="K1376:P1376" si="2694">abs(D1376-D1375)/200</f>
        <v>0.00015</v>
      </c>
      <c r="L1376" s="7">
        <f t="shared" si="2694"/>
        <v>0.00035</v>
      </c>
      <c r="M1376" s="7">
        <f t="shared" si="2694"/>
        <v>0.00025</v>
      </c>
      <c r="N1376" s="7">
        <f t="shared" si="2694"/>
        <v>0.00025</v>
      </c>
      <c r="O1376" s="7">
        <f t="shared" si="2694"/>
        <v>0.00005</v>
      </c>
      <c r="P1376" s="7">
        <f t="shared" si="2694"/>
        <v>0.0001</v>
      </c>
      <c r="Q1376" s="7">
        <f t="shared" si="7"/>
        <v>0.04844245764</v>
      </c>
      <c r="R1376" s="7">
        <f t="shared" si="8"/>
        <v>0.03983054053</v>
      </c>
      <c r="S1376" s="7">
        <f t="shared" si="2"/>
        <v>0.9867789446</v>
      </c>
      <c r="T1376" s="7">
        <f t="shared" si="3"/>
        <v>0.07280109889</v>
      </c>
      <c r="U1376" s="7">
        <f t="shared" si="4"/>
        <v>1</v>
      </c>
      <c r="V1376" s="7">
        <f t="shared" si="5"/>
        <v>0</v>
      </c>
      <c r="W1376" s="7">
        <f t="shared" ref="W1376:X1376" si="2695">IF(AVERAGE(U1316:U1375) &gt; 0.25, 1, 0)</f>
        <v>1</v>
      </c>
      <c r="X1376" s="7">
        <f t="shared" si="2695"/>
        <v>0</v>
      </c>
      <c r="Y1376" s="8">
        <v>1.0</v>
      </c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</row>
    <row r="1377" ht="22.5" customHeight="1">
      <c r="B1377" s="6">
        <v>1376.0</v>
      </c>
      <c r="C1377" s="6">
        <v>36143.0</v>
      </c>
      <c r="D1377" s="6">
        <v>1.58</v>
      </c>
      <c r="E1377" s="6">
        <v>-0.71</v>
      </c>
      <c r="F1377" s="6">
        <v>10.69</v>
      </c>
      <c r="G1377" s="6">
        <v>-0.1</v>
      </c>
      <c r="H1377" s="6">
        <v>0.01</v>
      </c>
      <c r="I1377" s="6">
        <v>0.09</v>
      </c>
      <c r="J1377" s="6">
        <v>33.34</v>
      </c>
      <c r="K1377" s="7">
        <f t="shared" ref="K1377:P1377" si="2696">abs(D1377-D1376)/200</f>
        <v>0.00135</v>
      </c>
      <c r="L1377" s="7">
        <f t="shared" si="2696"/>
        <v>0.00055</v>
      </c>
      <c r="M1377" s="7">
        <f t="shared" si="2696"/>
        <v>0.0004</v>
      </c>
      <c r="N1377" s="7">
        <f t="shared" si="2696"/>
        <v>0.0002</v>
      </c>
      <c r="O1377" s="7">
        <f t="shared" si="2696"/>
        <v>0.00015</v>
      </c>
      <c r="P1377" s="7">
        <f t="shared" si="2696"/>
        <v>0.0004</v>
      </c>
      <c r="Q1377" s="7">
        <f t="shared" si="7"/>
        <v>0.06210627674</v>
      </c>
      <c r="R1377" s="7">
        <f t="shared" si="8"/>
        <v>0.04265317346</v>
      </c>
      <c r="S1377" s="7">
        <f t="shared" si="2"/>
        <v>1.029432118</v>
      </c>
      <c r="T1377" s="7">
        <f t="shared" si="3"/>
        <v>0.1349073756</v>
      </c>
      <c r="U1377" s="7">
        <f t="shared" si="4"/>
        <v>1</v>
      </c>
      <c r="V1377" s="7">
        <f t="shared" si="5"/>
        <v>1</v>
      </c>
      <c r="W1377" s="7">
        <f t="shared" ref="W1377:X1377" si="2697">IF(AVERAGE(U1317:U1376) &gt; 0.25, 1, 0)</f>
        <v>1</v>
      </c>
      <c r="X1377" s="7">
        <f t="shared" si="2697"/>
        <v>0</v>
      </c>
      <c r="Y1377" s="8">
        <v>1.0</v>
      </c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</row>
    <row r="1378" ht="22.5" customHeight="1">
      <c r="B1378" s="6">
        <v>1377.0</v>
      </c>
      <c r="C1378" s="6">
        <v>36347.0</v>
      </c>
      <c r="D1378" s="6">
        <v>1.4</v>
      </c>
      <c r="E1378" s="6">
        <v>-0.61</v>
      </c>
      <c r="F1378" s="6">
        <v>10.65</v>
      </c>
      <c r="G1378" s="6">
        <v>-0.08</v>
      </c>
      <c r="H1378" s="6">
        <v>0.03</v>
      </c>
      <c r="I1378" s="6">
        <v>0.09</v>
      </c>
      <c r="J1378" s="6">
        <v>33.34</v>
      </c>
      <c r="K1378" s="7">
        <f t="shared" ref="K1378:P1378" si="2698">abs(D1378-D1377)/200</f>
        <v>0.0009</v>
      </c>
      <c r="L1378" s="7">
        <f t="shared" si="2698"/>
        <v>0.0005</v>
      </c>
      <c r="M1378" s="7">
        <f t="shared" si="2698"/>
        <v>0.0002</v>
      </c>
      <c r="N1378" s="7">
        <f t="shared" si="2698"/>
        <v>0.0001</v>
      </c>
      <c r="O1378" s="7">
        <f t="shared" si="2698"/>
        <v>0.0001</v>
      </c>
      <c r="P1378" s="7">
        <f t="shared" si="2698"/>
        <v>0</v>
      </c>
      <c r="Q1378" s="7">
        <f t="shared" si="7"/>
        <v>0.01081063917</v>
      </c>
      <c r="R1378" s="7">
        <f t="shared" si="8"/>
        <v>0.07050094439</v>
      </c>
      <c r="S1378" s="7">
        <f t="shared" si="2"/>
        <v>0.9589311737</v>
      </c>
      <c r="T1378" s="7">
        <f t="shared" si="3"/>
        <v>0.1240967365</v>
      </c>
      <c r="U1378" s="7">
        <f t="shared" si="4"/>
        <v>1</v>
      </c>
      <c r="V1378" s="7">
        <f t="shared" si="5"/>
        <v>0</v>
      </c>
      <c r="W1378" s="7">
        <f t="shared" ref="W1378:X1378" si="2699">IF(AVERAGE(U1318:U1377) &gt; 0.25, 1, 0)</f>
        <v>1</v>
      </c>
      <c r="X1378" s="7">
        <f t="shared" si="2699"/>
        <v>1</v>
      </c>
      <c r="Y1378" s="8">
        <v>1.0</v>
      </c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</row>
    <row r="1379" ht="22.5" customHeight="1">
      <c r="B1379" s="6">
        <v>1378.0</v>
      </c>
      <c r="C1379" s="6">
        <v>36551.0</v>
      </c>
      <c r="D1379" s="6">
        <v>1.71</v>
      </c>
      <c r="E1379" s="6">
        <v>-0.61</v>
      </c>
      <c r="F1379" s="6">
        <v>10.58</v>
      </c>
      <c r="G1379" s="6">
        <v>0.04</v>
      </c>
      <c r="H1379" s="6">
        <v>-0.08</v>
      </c>
      <c r="I1379" s="6">
        <v>0.37</v>
      </c>
      <c r="J1379" s="6">
        <v>33.34</v>
      </c>
      <c r="K1379" s="7">
        <f t="shared" ref="K1379:P1379" si="2700">abs(D1379-D1378)/200</f>
        <v>0.00155</v>
      </c>
      <c r="L1379" s="7">
        <f t="shared" si="2700"/>
        <v>0</v>
      </c>
      <c r="M1379" s="7">
        <f t="shared" si="2700"/>
        <v>0.00035</v>
      </c>
      <c r="N1379" s="7">
        <f t="shared" si="2700"/>
        <v>0.0006</v>
      </c>
      <c r="O1379" s="7">
        <f t="shared" si="2700"/>
        <v>0.00055</v>
      </c>
      <c r="P1379" s="7">
        <f t="shared" si="2700"/>
        <v>0.0014</v>
      </c>
      <c r="Q1379" s="7">
        <f t="shared" si="7"/>
        <v>0.2565605898</v>
      </c>
      <c r="R1379" s="7">
        <f t="shared" si="8"/>
        <v>0.02428632627</v>
      </c>
      <c r="S1379" s="7">
        <f t="shared" si="2"/>
        <v>0.9346448474</v>
      </c>
      <c r="T1379" s="7">
        <f t="shared" si="3"/>
        <v>0.3806573262</v>
      </c>
      <c r="U1379" s="7">
        <f t="shared" si="4"/>
        <v>1</v>
      </c>
      <c r="V1379" s="7">
        <f t="shared" si="5"/>
        <v>1</v>
      </c>
      <c r="W1379" s="7">
        <f t="shared" ref="W1379:X1379" si="2701">IF(AVERAGE(U1319:U1378) &gt; 0.25, 1, 0)</f>
        <v>1</v>
      </c>
      <c r="X1379" s="7">
        <f t="shared" si="2701"/>
        <v>1</v>
      </c>
      <c r="Y1379" s="8">
        <v>1.0</v>
      </c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</row>
    <row r="1380" ht="22.5" customHeight="1">
      <c r="B1380" s="6">
        <v>1379.0</v>
      </c>
      <c r="C1380" s="6">
        <v>36755.0</v>
      </c>
      <c r="D1380" s="6">
        <v>1.57</v>
      </c>
      <c r="E1380" s="6">
        <v>-0.45</v>
      </c>
      <c r="F1380" s="6">
        <v>10.64</v>
      </c>
      <c r="G1380" s="6">
        <v>-0.02</v>
      </c>
      <c r="H1380" s="6">
        <v>-0.01</v>
      </c>
      <c r="I1380" s="6">
        <v>0.17</v>
      </c>
      <c r="J1380" s="6">
        <v>33.32</v>
      </c>
      <c r="K1380" s="7">
        <f t="shared" ref="K1380:P1380" si="2702">abs(D1380-D1379)/200</f>
        <v>0.0007</v>
      </c>
      <c r="L1380" s="7">
        <f t="shared" si="2702"/>
        <v>0.0008</v>
      </c>
      <c r="M1380" s="7">
        <f t="shared" si="2702"/>
        <v>0.0003</v>
      </c>
      <c r="N1380" s="7">
        <f t="shared" si="2702"/>
        <v>0.0003</v>
      </c>
      <c r="O1380" s="7">
        <f t="shared" si="2702"/>
        <v>0.00035</v>
      </c>
      <c r="P1380" s="7">
        <f t="shared" si="2702"/>
        <v>0.001</v>
      </c>
      <c r="Q1380" s="7">
        <f t="shared" si="7"/>
        <v>0.2091930442</v>
      </c>
      <c r="R1380" s="7">
        <f t="shared" si="8"/>
        <v>0.02997312073</v>
      </c>
      <c r="S1380" s="7">
        <f t="shared" si="2"/>
        <v>0.9646179681</v>
      </c>
      <c r="T1380" s="7">
        <f t="shared" si="3"/>
        <v>0.171464282</v>
      </c>
      <c r="U1380" s="7">
        <f t="shared" si="4"/>
        <v>1</v>
      </c>
      <c r="V1380" s="7">
        <f t="shared" si="5"/>
        <v>1</v>
      </c>
      <c r="W1380" s="7">
        <f t="shared" ref="W1380:X1380" si="2703">IF(AVERAGE(U1320:U1379) &gt; 0.25, 1, 0)</f>
        <v>1</v>
      </c>
      <c r="X1380" s="7">
        <f t="shared" si="2703"/>
        <v>1</v>
      </c>
      <c r="Y1380" s="8">
        <v>1.0</v>
      </c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</row>
    <row r="1381" ht="22.5" customHeight="1">
      <c r="B1381" s="6">
        <v>1380.0</v>
      </c>
      <c r="C1381" s="6">
        <v>36959.0</v>
      </c>
      <c r="D1381" s="6">
        <v>1.56</v>
      </c>
      <c r="E1381" s="6">
        <v>-0.06</v>
      </c>
      <c r="F1381" s="6">
        <v>10.72</v>
      </c>
      <c r="G1381" s="6">
        <v>-0.03</v>
      </c>
      <c r="H1381" s="6">
        <v>-0.03</v>
      </c>
      <c r="I1381" s="6">
        <v>0.01</v>
      </c>
      <c r="J1381" s="6">
        <v>33.34</v>
      </c>
      <c r="K1381" s="7">
        <f t="shared" ref="K1381:P1381" si="2704">abs(D1381-D1380)/200</f>
        <v>0.00005</v>
      </c>
      <c r="L1381" s="7">
        <f t="shared" si="2704"/>
        <v>0.00195</v>
      </c>
      <c r="M1381" s="7">
        <f t="shared" si="2704"/>
        <v>0.0004</v>
      </c>
      <c r="N1381" s="7">
        <f t="shared" si="2704"/>
        <v>0.00005</v>
      </c>
      <c r="O1381" s="7">
        <f t="shared" si="2704"/>
        <v>0.0001</v>
      </c>
      <c r="P1381" s="7">
        <f t="shared" si="2704"/>
        <v>0.0008</v>
      </c>
      <c r="Q1381" s="7">
        <f t="shared" si="7"/>
        <v>0.1278752926</v>
      </c>
      <c r="R1381" s="7">
        <f t="shared" si="8"/>
        <v>0.06846100323</v>
      </c>
      <c r="S1381" s="7">
        <f t="shared" si="2"/>
        <v>1.033078971</v>
      </c>
      <c r="T1381" s="7">
        <f t="shared" si="3"/>
        <v>0.04358898944</v>
      </c>
      <c r="U1381" s="7">
        <f t="shared" si="4"/>
        <v>1</v>
      </c>
      <c r="V1381" s="7">
        <f t="shared" si="5"/>
        <v>1</v>
      </c>
      <c r="W1381" s="7">
        <f t="shared" ref="W1381:X1381" si="2705">IF(AVERAGE(U1321:U1380) &gt; 0.25, 1, 0)</f>
        <v>1</v>
      </c>
      <c r="X1381" s="7">
        <f t="shared" si="2705"/>
        <v>1</v>
      </c>
      <c r="Y1381" s="8">
        <v>1.0</v>
      </c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</row>
    <row r="1382" ht="22.5" customHeight="1">
      <c r="B1382" s="6">
        <v>1381.0</v>
      </c>
      <c r="C1382" s="6">
        <v>37163.0</v>
      </c>
      <c r="D1382" s="6">
        <v>1.73</v>
      </c>
      <c r="E1382" s="6">
        <v>-0.12</v>
      </c>
      <c r="F1382" s="6">
        <v>10.74</v>
      </c>
      <c r="G1382" s="6">
        <v>0.02</v>
      </c>
      <c r="H1382" s="6">
        <v>-0.05</v>
      </c>
      <c r="I1382" s="6">
        <v>0.16</v>
      </c>
      <c r="J1382" s="6">
        <v>33.33</v>
      </c>
      <c r="K1382" s="7">
        <f t="shared" ref="K1382:P1382" si="2706">abs(D1382-D1381)/200</f>
        <v>0.00085</v>
      </c>
      <c r="L1382" s="7">
        <f t="shared" si="2706"/>
        <v>0.0003</v>
      </c>
      <c r="M1382" s="7">
        <f t="shared" si="2706"/>
        <v>0.0001</v>
      </c>
      <c r="N1382" s="7">
        <f t="shared" si="2706"/>
        <v>0.00025</v>
      </c>
      <c r="O1382" s="7">
        <f t="shared" si="2706"/>
        <v>0.0001</v>
      </c>
      <c r="P1382" s="7">
        <f t="shared" si="2706"/>
        <v>0.00075</v>
      </c>
      <c r="Q1382" s="7">
        <f t="shared" si="7"/>
        <v>0.1252304407</v>
      </c>
      <c r="R1382" s="7">
        <f t="shared" si="8"/>
        <v>0.04602485201</v>
      </c>
      <c r="S1382" s="7">
        <f t="shared" si="2"/>
        <v>1.079103823</v>
      </c>
      <c r="T1382" s="7">
        <f t="shared" si="3"/>
        <v>0.1688194302</v>
      </c>
      <c r="U1382" s="7">
        <f t="shared" si="4"/>
        <v>1</v>
      </c>
      <c r="V1382" s="7">
        <f t="shared" si="5"/>
        <v>1</v>
      </c>
      <c r="W1382" s="7">
        <f t="shared" ref="W1382:X1382" si="2707">IF(AVERAGE(U1322:U1381) &gt; 0.25, 1, 0)</f>
        <v>1</v>
      </c>
      <c r="X1382" s="7">
        <f t="shared" si="2707"/>
        <v>1</v>
      </c>
      <c r="Y1382" s="8">
        <v>1.0</v>
      </c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</row>
    <row r="1383" ht="22.5" customHeight="1">
      <c r="B1383" s="6">
        <v>1382.0</v>
      </c>
      <c r="C1383" s="6">
        <v>37367.0</v>
      </c>
      <c r="D1383" s="6">
        <v>3.24</v>
      </c>
      <c r="E1383" s="6">
        <v>-0.93</v>
      </c>
      <c r="F1383" s="6">
        <v>10.33</v>
      </c>
      <c r="G1383" s="6">
        <v>0.02</v>
      </c>
      <c r="H1383" s="6">
        <v>0.0</v>
      </c>
      <c r="I1383" s="6">
        <v>0.2</v>
      </c>
      <c r="J1383" s="6">
        <v>33.32</v>
      </c>
      <c r="K1383" s="7">
        <f t="shared" ref="K1383:P1383" si="2708">abs(D1383-D1382)/200</f>
        <v>0.00755</v>
      </c>
      <c r="L1383" s="7">
        <f t="shared" si="2708"/>
        <v>0.00405</v>
      </c>
      <c r="M1383" s="7">
        <f t="shared" si="2708"/>
        <v>0.00205</v>
      </c>
      <c r="N1383" s="7">
        <f t="shared" si="2708"/>
        <v>0</v>
      </c>
      <c r="O1383" s="7">
        <f t="shared" si="2708"/>
        <v>0.00025</v>
      </c>
      <c r="P1383" s="7">
        <f t="shared" si="2708"/>
        <v>0.0002</v>
      </c>
      <c r="Q1383" s="7">
        <f t="shared" si="7"/>
        <v>0.03217808226</v>
      </c>
      <c r="R1383" s="7">
        <f t="shared" si="8"/>
        <v>0.01303737779</v>
      </c>
      <c r="S1383" s="7">
        <f t="shared" si="2"/>
        <v>1.066066446</v>
      </c>
      <c r="T1383" s="7">
        <f t="shared" si="3"/>
        <v>0.2009975124</v>
      </c>
      <c r="U1383" s="7">
        <f t="shared" si="4"/>
        <v>1</v>
      </c>
      <c r="V1383" s="7">
        <f t="shared" si="5"/>
        <v>0</v>
      </c>
      <c r="W1383" s="7">
        <f t="shared" ref="W1383:X1383" si="2709">IF(AVERAGE(U1323:U1382) &gt; 0.25, 1, 0)</f>
        <v>1</v>
      </c>
      <c r="X1383" s="7">
        <f t="shared" si="2709"/>
        <v>1</v>
      </c>
      <c r="Y1383" s="8">
        <v>1.0</v>
      </c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</row>
    <row r="1384" ht="22.5" customHeight="1">
      <c r="B1384" s="6">
        <v>1383.0</v>
      </c>
      <c r="C1384" s="6">
        <v>37571.0</v>
      </c>
      <c r="D1384" s="6">
        <v>2.47</v>
      </c>
      <c r="E1384" s="6">
        <v>-0.38</v>
      </c>
      <c r="F1384" s="6">
        <v>10.52</v>
      </c>
      <c r="G1384" s="6">
        <v>0.05</v>
      </c>
      <c r="H1384" s="6">
        <v>-0.38</v>
      </c>
      <c r="I1384" s="6">
        <v>0.22</v>
      </c>
      <c r="J1384" s="6">
        <v>33.32</v>
      </c>
      <c r="K1384" s="7">
        <f t="shared" ref="K1384:P1384" si="2710">abs(D1384-D1383)/200</f>
        <v>0.00385</v>
      </c>
      <c r="L1384" s="7">
        <f t="shared" si="2710"/>
        <v>0.00275</v>
      </c>
      <c r="M1384" s="7">
        <f t="shared" si="2710"/>
        <v>0.00095</v>
      </c>
      <c r="N1384" s="7">
        <f t="shared" si="2710"/>
        <v>0.00015</v>
      </c>
      <c r="O1384" s="7">
        <f t="shared" si="2710"/>
        <v>0.0019</v>
      </c>
      <c r="P1384" s="7">
        <f t="shared" si="2710"/>
        <v>0.0001</v>
      </c>
      <c r="Q1384" s="7">
        <f t="shared" si="7"/>
        <v>0.2409300835</v>
      </c>
      <c r="R1384" s="7">
        <f t="shared" si="8"/>
        <v>0.05331009025</v>
      </c>
      <c r="S1384" s="7">
        <f t="shared" si="2"/>
        <v>1.012756355</v>
      </c>
      <c r="T1384" s="7">
        <f t="shared" si="3"/>
        <v>0.4419275959</v>
      </c>
      <c r="U1384" s="7">
        <f t="shared" si="4"/>
        <v>1</v>
      </c>
      <c r="V1384" s="7">
        <f t="shared" si="5"/>
        <v>1</v>
      </c>
      <c r="W1384" s="7">
        <f t="shared" ref="W1384:X1384" si="2711">IF(AVERAGE(U1324:U1383) &gt; 0.25, 1, 0)</f>
        <v>1</v>
      </c>
      <c r="X1384" s="7">
        <f t="shared" si="2711"/>
        <v>1</v>
      </c>
      <c r="Y1384" s="8">
        <v>1.0</v>
      </c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</row>
    <row r="1385" ht="22.5" customHeight="1">
      <c r="B1385" s="6">
        <v>1384.0</v>
      </c>
      <c r="C1385" s="6">
        <v>37775.0</v>
      </c>
      <c r="D1385" s="6">
        <v>2.63</v>
      </c>
      <c r="E1385" s="6">
        <v>-0.15</v>
      </c>
      <c r="F1385" s="6">
        <v>10.46</v>
      </c>
      <c r="G1385" s="6">
        <v>-0.11</v>
      </c>
      <c r="H1385" s="6">
        <v>0.01</v>
      </c>
      <c r="I1385" s="6">
        <v>-0.2</v>
      </c>
      <c r="J1385" s="6">
        <v>33.32</v>
      </c>
      <c r="K1385" s="7">
        <f t="shared" ref="K1385:P1385" si="2712">abs(D1385-D1384)/200</f>
        <v>0.0008</v>
      </c>
      <c r="L1385" s="7">
        <f t="shared" si="2712"/>
        <v>0.00115</v>
      </c>
      <c r="M1385" s="7">
        <f t="shared" si="2712"/>
        <v>0.0003</v>
      </c>
      <c r="N1385" s="7">
        <f t="shared" si="2712"/>
        <v>0.0008</v>
      </c>
      <c r="O1385" s="7">
        <f t="shared" si="2712"/>
        <v>0.00195</v>
      </c>
      <c r="P1385" s="7">
        <f t="shared" si="2712"/>
        <v>0.0021</v>
      </c>
      <c r="Q1385" s="7">
        <f t="shared" si="7"/>
        <v>0.2134544027</v>
      </c>
      <c r="R1385" s="7">
        <f t="shared" si="8"/>
        <v>0.02614428296</v>
      </c>
      <c r="S1385" s="7">
        <f t="shared" si="2"/>
        <v>0.9866120724</v>
      </c>
      <c r="T1385" s="7">
        <f t="shared" si="3"/>
        <v>0.2284731932</v>
      </c>
      <c r="U1385" s="7">
        <f t="shared" si="4"/>
        <v>1</v>
      </c>
      <c r="V1385" s="7">
        <f t="shared" si="5"/>
        <v>1</v>
      </c>
      <c r="W1385" s="7">
        <f t="shared" ref="W1385:X1385" si="2713">IF(AVERAGE(U1325:U1384) &gt; 0.25, 1, 0)</f>
        <v>1</v>
      </c>
      <c r="X1385" s="7">
        <f t="shared" si="2713"/>
        <v>1</v>
      </c>
      <c r="Y1385" s="8">
        <v>1.0</v>
      </c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</row>
    <row r="1386" ht="22.5" customHeight="1">
      <c r="B1386" s="6">
        <v>1385.0</v>
      </c>
      <c r="C1386" s="6">
        <v>37979.0</v>
      </c>
      <c r="D1386" s="6">
        <v>2.42</v>
      </c>
      <c r="E1386" s="6">
        <v>0.08</v>
      </c>
      <c r="F1386" s="6">
        <v>10.55</v>
      </c>
      <c r="G1386" s="6">
        <v>-0.15</v>
      </c>
      <c r="H1386" s="6">
        <v>-0.03</v>
      </c>
      <c r="I1386" s="6">
        <v>-0.16</v>
      </c>
      <c r="J1386" s="6">
        <v>33.32</v>
      </c>
      <c r="K1386" s="7">
        <f t="shared" ref="K1386:P1386" si="2714">abs(D1386-D1385)/200</f>
        <v>0.00105</v>
      </c>
      <c r="L1386" s="7">
        <f t="shared" si="2714"/>
        <v>0.00115</v>
      </c>
      <c r="M1386" s="7">
        <f t="shared" si="2714"/>
        <v>0.00045</v>
      </c>
      <c r="N1386" s="7">
        <f t="shared" si="2714"/>
        <v>0.0002</v>
      </c>
      <c r="O1386" s="7">
        <f t="shared" si="2714"/>
        <v>0.0002</v>
      </c>
      <c r="P1386" s="7">
        <f t="shared" si="2714"/>
        <v>0.0002</v>
      </c>
      <c r="Q1386" s="7">
        <f t="shared" si="7"/>
        <v>0.007113756964</v>
      </c>
      <c r="R1386" s="7">
        <f t="shared" si="8"/>
        <v>0.03768005228</v>
      </c>
      <c r="S1386" s="7">
        <f t="shared" si="2"/>
        <v>1.024292125</v>
      </c>
      <c r="T1386" s="7">
        <f t="shared" si="3"/>
        <v>0.2213594362</v>
      </c>
      <c r="U1386" s="7">
        <f t="shared" si="4"/>
        <v>1</v>
      </c>
      <c r="V1386" s="7">
        <f t="shared" si="5"/>
        <v>0</v>
      </c>
      <c r="W1386" s="7">
        <f t="shared" ref="W1386:X1386" si="2715">IF(AVERAGE(U1326:U1385) &gt; 0.25, 1, 0)</f>
        <v>1</v>
      </c>
      <c r="X1386" s="7">
        <f t="shared" si="2715"/>
        <v>1</v>
      </c>
      <c r="Y1386" s="8">
        <v>1.0</v>
      </c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</row>
    <row r="1387" ht="22.5" customHeight="1">
      <c r="B1387" s="6">
        <v>1386.0</v>
      </c>
      <c r="C1387" s="6">
        <v>38183.0</v>
      </c>
      <c r="D1387" s="6">
        <v>2.62</v>
      </c>
      <c r="E1387" s="6">
        <v>-0.05</v>
      </c>
      <c r="F1387" s="6">
        <v>10.41</v>
      </c>
      <c r="G1387" s="6">
        <v>-0.13</v>
      </c>
      <c r="H1387" s="6">
        <v>0.03</v>
      </c>
      <c r="I1387" s="6">
        <v>0.01</v>
      </c>
      <c r="J1387" s="6">
        <v>33.33</v>
      </c>
      <c r="K1387" s="7">
        <f t="shared" ref="K1387:P1387" si="2716">abs(D1387-D1386)/200</f>
        <v>0.001</v>
      </c>
      <c r="L1387" s="7">
        <f t="shared" si="2716"/>
        <v>0.00065</v>
      </c>
      <c r="M1387" s="7">
        <f t="shared" si="2716"/>
        <v>0.0007</v>
      </c>
      <c r="N1387" s="7">
        <f t="shared" si="2716"/>
        <v>0.0001</v>
      </c>
      <c r="O1387" s="7">
        <f t="shared" si="2716"/>
        <v>0.0003</v>
      </c>
      <c r="P1387" s="7">
        <f t="shared" si="2716"/>
        <v>0.00085</v>
      </c>
      <c r="Q1387" s="7">
        <f t="shared" si="7"/>
        <v>0.08756855461</v>
      </c>
      <c r="R1387" s="7">
        <f t="shared" si="8"/>
        <v>0.08953549025</v>
      </c>
      <c r="S1387" s="7">
        <f t="shared" si="2"/>
        <v>0.9347566344</v>
      </c>
      <c r="T1387" s="7">
        <f t="shared" si="3"/>
        <v>0.1337908816</v>
      </c>
      <c r="U1387" s="7">
        <f t="shared" si="4"/>
        <v>1</v>
      </c>
      <c r="V1387" s="7">
        <f t="shared" si="5"/>
        <v>1</v>
      </c>
      <c r="W1387" s="7">
        <f t="shared" ref="W1387:X1387" si="2717">IF(AVERAGE(U1327:U1386) &gt; 0.25, 1, 0)</f>
        <v>1</v>
      </c>
      <c r="X1387" s="7">
        <f t="shared" si="2717"/>
        <v>1</v>
      </c>
      <c r="Y1387" s="8">
        <v>1.0</v>
      </c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</row>
    <row r="1388" ht="22.5" customHeight="1">
      <c r="B1388" s="6">
        <v>1387.0</v>
      </c>
      <c r="C1388" s="6">
        <v>38387.0</v>
      </c>
      <c r="D1388" s="6">
        <v>2.26</v>
      </c>
      <c r="E1388" s="6">
        <v>-0.27</v>
      </c>
      <c r="F1388" s="6">
        <v>10.36</v>
      </c>
      <c r="G1388" s="6">
        <v>-0.17</v>
      </c>
      <c r="H1388" s="6">
        <v>0.02</v>
      </c>
      <c r="I1388" s="6">
        <v>-0.01</v>
      </c>
      <c r="J1388" s="6">
        <v>33.34</v>
      </c>
      <c r="K1388" s="7">
        <f t="shared" ref="K1388:P1388" si="2718">abs(D1388-D1387)/200</f>
        <v>0.0018</v>
      </c>
      <c r="L1388" s="7">
        <f t="shared" si="2718"/>
        <v>0.0011</v>
      </c>
      <c r="M1388" s="7">
        <f t="shared" si="2718"/>
        <v>0.00025</v>
      </c>
      <c r="N1388" s="7">
        <f t="shared" si="2718"/>
        <v>0.0002</v>
      </c>
      <c r="O1388" s="7">
        <f t="shared" si="2718"/>
        <v>0.00005</v>
      </c>
      <c r="P1388" s="7">
        <f t="shared" si="2718"/>
        <v>0.0001</v>
      </c>
      <c r="Q1388" s="7">
        <f t="shared" si="7"/>
        <v>0.03767340039</v>
      </c>
      <c r="R1388" s="7">
        <f t="shared" si="8"/>
        <v>0.1276788087</v>
      </c>
      <c r="S1388" s="7">
        <f t="shared" si="2"/>
        <v>0.8070778257</v>
      </c>
      <c r="T1388" s="7">
        <f t="shared" si="3"/>
        <v>0.171464282</v>
      </c>
      <c r="U1388" s="7">
        <f t="shared" si="4"/>
        <v>1</v>
      </c>
      <c r="V1388" s="7">
        <f t="shared" si="5"/>
        <v>0</v>
      </c>
      <c r="W1388" s="7">
        <f t="shared" ref="W1388:X1388" si="2719">IF(AVERAGE(U1328:U1387) &gt; 0.25, 1, 0)</f>
        <v>1</v>
      </c>
      <c r="X1388" s="7">
        <f t="shared" si="2719"/>
        <v>1</v>
      </c>
      <c r="Y1388" s="8">
        <v>1.0</v>
      </c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</row>
    <row r="1389" ht="22.5" customHeight="1">
      <c r="B1389" s="6">
        <v>1388.0</v>
      </c>
      <c r="C1389" s="6">
        <v>38591.0</v>
      </c>
      <c r="D1389" s="6">
        <v>2.42</v>
      </c>
      <c r="E1389" s="6">
        <v>0.15</v>
      </c>
      <c r="F1389" s="6">
        <v>10.84</v>
      </c>
      <c r="G1389" s="6">
        <v>-0.08</v>
      </c>
      <c r="H1389" s="6">
        <v>-0.24</v>
      </c>
      <c r="I1389" s="6">
        <v>0.11</v>
      </c>
      <c r="J1389" s="6">
        <v>33.33</v>
      </c>
      <c r="K1389" s="7">
        <f t="shared" ref="K1389:P1389" si="2720">abs(D1389-D1388)/200</f>
        <v>0.0008</v>
      </c>
      <c r="L1389" s="7">
        <f t="shared" si="2720"/>
        <v>0.0021</v>
      </c>
      <c r="M1389" s="7">
        <f t="shared" si="2720"/>
        <v>0.0024</v>
      </c>
      <c r="N1389" s="7">
        <f t="shared" si="2720"/>
        <v>0.00045</v>
      </c>
      <c r="O1389" s="7">
        <f t="shared" si="2720"/>
        <v>0.0013</v>
      </c>
      <c r="P1389" s="7">
        <f t="shared" si="2720"/>
        <v>0.0006</v>
      </c>
      <c r="Q1389" s="7">
        <f t="shared" si="7"/>
        <v>0.1043980025</v>
      </c>
      <c r="R1389" s="7">
        <f t="shared" si="8"/>
        <v>0.5007797535</v>
      </c>
      <c r="S1389" s="7">
        <f t="shared" si="2"/>
        <v>1.307857579</v>
      </c>
      <c r="T1389" s="7">
        <f t="shared" si="3"/>
        <v>0.2758622845</v>
      </c>
      <c r="U1389" s="7">
        <f t="shared" si="4"/>
        <v>1</v>
      </c>
      <c r="V1389" s="7">
        <f t="shared" si="5"/>
        <v>1</v>
      </c>
      <c r="W1389" s="7">
        <f t="shared" ref="W1389:X1389" si="2721">IF(AVERAGE(U1329:U1388) &gt; 0.25, 1, 0)</f>
        <v>1</v>
      </c>
      <c r="X1389" s="7">
        <f t="shared" si="2721"/>
        <v>1</v>
      </c>
      <c r="Y1389" s="8">
        <v>1.0</v>
      </c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</row>
    <row r="1390" ht="22.5" customHeight="1">
      <c r="B1390" s="6">
        <v>1389.0</v>
      </c>
      <c r="C1390" s="6">
        <v>38795.0</v>
      </c>
      <c r="D1390" s="6">
        <v>2.18</v>
      </c>
      <c r="E1390" s="6">
        <v>-0.16</v>
      </c>
      <c r="F1390" s="6">
        <v>10.59</v>
      </c>
      <c r="G1390" s="6">
        <v>-0.1</v>
      </c>
      <c r="H1390" s="6">
        <v>0.01</v>
      </c>
      <c r="I1390" s="6">
        <v>-0.01</v>
      </c>
      <c r="J1390" s="6">
        <v>33.34</v>
      </c>
      <c r="K1390" s="7">
        <f t="shared" ref="K1390:P1390" si="2722">abs(D1390-D1389)/200</f>
        <v>0.0012</v>
      </c>
      <c r="L1390" s="7">
        <f t="shared" si="2722"/>
        <v>0.00155</v>
      </c>
      <c r="M1390" s="7">
        <f t="shared" si="2722"/>
        <v>0.00125</v>
      </c>
      <c r="N1390" s="7">
        <f t="shared" si="2722"/>
        <v>0.0001</v>
      </c>
      <c r="O1390" s="7">
        <f t="shared" si="2722"/>
        <v>0.00125</v>
      </c>
      <c r="P1390" s="7">
        <f t="shared" si="2722"/>
        <v>0.0006</v>
      </c>
      <c r="Q1390" s="7">
        <f t="shared" si="7"/>
        <v>0.1748672351</v>
      </c>
      <c r="R1390" s="7">
        <f t="shared" si="8"/>
        <v>0.2946203211</v>
      </c>
      <c r="S1390" s="7">
        <f t="shared" si="2"/>
        <v>1.013237258</v>
      </c>
      <c r="T1390" s="7">
        <f t="shared" si="3"/>
        <v>0.1009950494</v>
      </c>
      <c r="U1390" s="7">
        <f t="shared" si="4"/>
        <v>1</v>
      </c>
      <c r="V1390" s="7">
        <f t="shared" si="5"/>
        <v>1</v>
      </c>
      <c r="W1390" s="7">
        <f t="shared" ref="W1390:X1390" si="2723">IF(AVERAGE(U1330:U1389) &gt; 0.25, 1, 0)</f>
        <v>1</v>
      </c>
      <c r="X1390" s="7">
        <f t="shared" si="2723"/>
        <v>1</v>
      </c>
      <c r="Y1390" s="8">
        <v>1.0</v>
      </c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</row>
    <row r="1391" ht="22.5" customHeight="1">
      <c r="B1391" s="6">
        <v>1390.0</v>
      </c>
      <c r="C1391" s="6">
        <v>38999.0</v>
      </c>
      <c r="D1391" s="6">
        <v>2.19</v>
      </c>
      <c r="E1391" s="6">
        <v>-0.16</v>
      </c>
      <c r="F1391" s="6">
        <v>10.54</v>
      </c>
      <c r="G1391" s="6">
        <v>-0.1</v>
      </c>
      <c r="H1391" s="6">
        <v>0.0</v>
      </c>
      <c r="I1391" s="6">
        <v>-0.01</v>
      </c>
      <c r="J1391" s="6">
        <v>33.33</v>
      </c>
      <c r="K1391" s="7">
        <f t="shared" ref="K1391:P1391" si="2724">abs(D1391-D1390)/200</f>
        <v>0.00005</v>
      </c>
      <c r="L1391" s="7">
        <f t="shared" si="2724"/>
        <v>0</v>
      </c>
      <c r="M1391" s="7">
        <f t="shared" si="2724"/>
        <v>0.00025</v>
      </c>
      <c r="N1391" s="7">
        <f t="shared" si="2724"/>
        <v>0</v>
      </c>
      <c r="O1391" s="7">
        <f t="shared" si="2724"/>
        <v>0.00005</v>
      </c>
      <c r="P1391" s="7">
        <f t="shared" si="2724"/>
        <v>0</v>
      </c>
      <c r="Q1391" s="7">
        <f t="shared" si="7"/>
        <v>0.0004962931724</v>
      </c>
      <c r="R1391" s="7">
        <f t="shared" si="8"/>
        <v>0.04693334264</v>
      </c>
      <c r="S1391" s="7">
        <f t="shared" si="2"/>
        <v>0.9663039155</v>
      </c>
      <c r="T1391" s="7">
        <f t="shared" si="3"/>
        <v>0.1004987562</v>
      </c>
      <c r="U1391" s="7">
        <f t="shared" si="4"/>
        <v>0</v>
      </c>
      <c r="V1391" s="7">
        <f t="shared" si="5"/>
        <v>0</v>
      </c>
      <c r="W1391" s="7">
        <f t="shared" ref="W1391:X1391" si="2725">IF(AVERAGE(U1331:U1390) &gt; 0.25, 1, 0)</f>
        <v>1</v>
      </c>
      <c r="X1391" s="7">
        <f t="shared" si="2725"/>
        <v>1</v>
      </c>
      <c r="Y1391" s="8">
        <v>1.0</v>
      </c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</row>
    <row r="1392" ht="22.5" customHeight="1">
      <c r="B1392" s="6">
        <v>1391.0</v>
      </c>
      <c r="C1392" s="6">
        <v>39203.0</v>
      </c>
      <c r="D1392" s="6">
        <v>2.19</v>
      </c>
      <c r="E1392" s="6">
        <v>-0.17</v>
      </c>
      <c r="F1392" s="6">
        <v>10.55</v>
      </c>
      <c r="G1392" s="6">
        <v>-0.1</v>
      </c>
      <c r="H1392" s="6">
        <v>0.0</v>
      </c>
      <c r="I1392" s="6">
        <v>-0.01</v>
      </c>
      <c r="J1392" s="6">
        <v>33.33</v>
      </c>
      <c r="K1392" s="7">
        <f t="shared" ref="K1392:P1392" si="2726">abs(D1392-D1391)/200</f>
        <v>0</v>
      </c>
      <c r="L1392" s="7">
        <f t="shared" si="2726"/>
        <v>0.00005</v>
      </c>
      <c r="M1392" s="7">
        <f t="shared" si="2726"/>
        <v>0.00005</v>
      </c>
      <c r="N1392" s="7">
        <f t="shared" si="2726"/>
        <v>0</v>
      </c>
      <c r="O1392" s="7">
        <f t="shared" si="2726"/>
        <v>0</v>
      </c>
      <c r="P1392" s="7">
        <f t="shared" si="2726"/>
        <v>0</v>
      </c>
      <c r="Q1392" s="7">
        <f t="shared" si="7"/>
        <v>0</v>
      </c>
      <c r="R1392" s="7">
        <f t="shared" si="8"/>
        <v>0.009943112149</v>
      </c>
      <c r="S1392" s="7">
        <f t="shared" si="2"/>
        <v>0.9762470276</v>
      </c>
      <c r="T1392" s="7">
        <f t="shared" si="3"/>
        <v>0.1004987562</v>
      </c>
      <c r="U1392" s="7">
        <f t="shared" si="4"/>
        <v>0</v>
      </c>
      <c r="V1392" s="7">
        <f t="shared" si="5"/>
        <v>0</v>
      </c>
      <c r="W1392" s="7">
        <f t="shared" ref="W1392:X1392" si="2727">IF(AVERAGE(U1332:U1391) &gt; 0.25, 1, 0)</f>
        <v>1</v>
      </c>
      <c r="X1392" s="7">
        <f t="shared" si="2727"/>
        <v>1</v>
      </c>
      <c r="Y1392" s="8">
        <v>1.0</v>
      </c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</row>
    <row r="1393" ht="22.5" customHeight="1">
      <c r="B1393" s="6">
        <v>1392.0</v>
      </c>
      <c r="C1393" s="6">
        <v>41039.0</v>
      </c>
      <c r="D1393" s="6">
        <v>2.18</v>
      </c>
      <c r="E1393" s="6">
        <v>-0.16</v>
      </c>
      <c r="F1393" s="6">
        <v>10.56</v>
      </c>
      <c r="G1393" s="6">
        <v>-0.1</v>
      </c>
      <c r="H1393" s="6">
        <v>0.0</v>
      </c>
      <c r="I1393" s="6">
        <v>-0.01</v>
      </c>
      <c r="J1393" s="6">
        <v>33.33</v>
      </c>
      <c r="K1393" s="7">
        <f t="shared" ref="K1393:P1393" si="2728">abs(D1393-D1392)/200</f>
        <v>0.00005</v>
      </c>
      <c r="L1393" s="7">
        <f t="shared" si="2728"/>
        <v>0.00005</v>
      </c>
      <c r="M1393" s="7">
        <f t="shared" si="2728"/>
        <v>0.00005</v>
      </c>
      <c r="N1393" s="7">
        <f t="shared" si="2728"/>
        <v>0</v>
      </c>
      <c r="O1393" s="7">
        <f t="shared" si="2728"/>
        <v>0</v>
      </c>
      <c r="P1393" s="7">
        <f t="shared" si="2728"/>
        <v>0</v>
      </c>
      <c r="Q1393" s="7">
        <f t="shared" si="7"/>
        <v>0</v>
      </c>
      <c r="R1393" s="7">
        <f t="shared" si="8"/>
        <v>0.007611280068</v>
      </c>
      <c r="S1393" s="7">
        <f t="shared" si="2"/>
        <v>0.9838583077</v>
      </c>
      <c r="T1393" s="7">
        <f t="shared" si="3"/>
        <v>0.1004987562</v>
      </c>
      <c r="U1393" s="7">
        <f t="shared" si="4"/>
        <v>0</v>
      </c>
      <c r="V1393" s="7">
        <f t="shared" si="5"/>
        <v>0</v>
      </c>
      <c r="W1393" s="7">
        <f t="shared" ref="W1393:X1393" si="2729">IF(AVERAGE(U1333:U1392) &gt; 0.25, 1, 0)</f>
        <v>1</v>
      </c>
      <c r="X1393" s="7">
        <f t="shared" si="2729"/>
        <v>1</v>
      </c>
      <c r="Y1393" s="8">
        <v>1.0</v>
      </c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</row>
    <row r="1394" ht="22.5" customHeight="1">
      <c r="B1394" s="6">
        <v>1393.0</v>
      </c>
      <c r="C1394" s="6">
        <v>41243.0</v>
      </c>
      <c r="D1394" s="6">
        <v>2.18</v>
      </c>
      <c r="E1394" s="6">
        <v>-0.16</v>
      </c>
      <c r="F1394" s="6">
        <v>10.56</v>
      </c>
      <c r="G1394" s="6">
        <v>-0.1</v>
      </c>
      <c r="H1394" s="6">
        <v>0.0</v>
      </c>
      <c r="I1394" s="6">
        <v>-0.01</v>
      </c>
      <c r="J1394" s="6">
        <v>33.34</v>
      </c>
      <c r="K1394" s="7">
        <f t="shared" ref="K1394:P1394" si="2730">abs(D1394-D1393)/200</f>
        <v>0</v>
      </c>
      <c r="L1394" s="7">
        <f t="shared" si="2730"/>
        <v>0</v>
      </c>
      <c r="M1394" s="7">
        <f t="shared" si="2730"/>
        <v>0</v>
      </c>
      <c r="N1394" s="7">
        <f t="shared" si="2730"/>
        <v>0</v>
      </c>
      <c r="O1394" s="7">
        <f t="shared" si="2730"/>
        <v>0</v>
      </c>
      <c r="P1394" s="7">
        <f t="shared" si="2730"/>
        <v>0</v>
      </c>
      <c r="Q1394" s="7">
        <f t="shared" si="7"/>
        <v>0</v>
      </c>
      <c r="R1394" s="7">
        <f t="shared" si="8"/>
        <v>0</v>
      </c>
      <c r="S1394" s="7">
        <f t="shared" si="2"/>
        <v>0.9838583077</v>
      </c>
      <c r="T1394" s="7">
        <f t="shared" si="3"/>
        <v>0.1004987562</v>
      </c>
      <c r="U1394" s="7">
        <f t="shared" si="4"/>
        <v>0</v>
      </c>
      <c r="V1394" s="7">
        <f t="shared" si="5"/>
        <v>0</v>
      </c>
      <c r="W1394" s="7">
        <f t="shared" ref="W1394:X1394" si="2731">IF(AVERAGE(U1334:U1393) &gt; 0.25, 1, 0)</f>
        <v>1</v>
      </c>
      <c r="X1394" s="7">
        <f t="shared" si="2731"/>
        <v>1</v>
      </c>
      <c r="Y1394" s="8">
        <v>1.0</v>
      </c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</row>
    <row r="1395" ht="22.5" customHeight="1">
      <c r="B1395" s="6">
        <v>1394.0</v>
      </c>
      <c r="C1395" s="6">
        <v>41447.0</v>
      </c>
      <c r="D1395" s="6">
        <v>2.18</v>
      </c>
      <c r="E1395" s="6">
        <v>-0.17</v>
      </c>
      <c r="F1395" s="6">
        <v>10.56</v>
      </c>
      <c r="G1395" s="6">
        <v>-0.1</v>
      </c>
      <c r="H1395" s="6">
        <v>0.0</v>
      </c>
      <c r="I1395" s="6">
        <v>-0.01</v>
      </c>
      <c r="J1395" s="6">
        <v>33.33</v>
      </c>
      <c r="K1395" s="7">
        <f t="shared" ref="K1395:P1395" si="2732">abs(D1395-D1394)/200</f>
        <v>0</v>
      </c>
      <c r="L1395" s="7">
        <f t="shared" si="2732"/>
        <v>0.00005</v>
      </c>
      <c r="M1395" s="7">
        <f t="shared" si="2732"/>
        <v>0</v>
      </c>
      <c r="N1395" s="7">
        <f t="shared" si="2732"/>
        <v>0</v>
      </c>
      <c r="O1395" s="7">
        <f t="shared" si="2732"/>
        <v>0</v>
      </c>
      <c r="P1395" s="7">
        <f t="shared" si="2732"/>
        <v>0</v>
      </c>
      <c r="Q1395" s="7">
        <f t="shared" si="7"/>
        <v>0</v>
      </c>
      <c r="R1395" s="7">
        <f t="shared" si="8"/>
        <v>0.000153005376</v>
      </c>
      <c r="S1395" s="7">
        <f t="shared" si="2"/>
        <v>0.9840113131</v>
      </c>
      <c r="T1395" s="7">
        <f t="shared" si="3"/>
        <v>0.1004987562</v>
      </c>
      <c r="U1395" s="7">
        <f t="shared" si="4"/>
        <v>0</v>
      </c>
      <c r="V1395" s="7">
        <f t="shared" si="5"/>
        <v>0</v>
      </c>
      <c r="W1395" s="7">
        <f t="shared" ref="W1395:X1395" si="2733">IF(AVERAGE(U1335:U1394) &gt; 0.25, 1, 0)</f>
        <v>1</v>
      </c>
      <c r="X1395" s="7">
        <f t="shared" si="2733"/>
        <v>1</v>
      </c>
      <c r="Y1395" s="8">
        <v>1.0</v>
      </c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</row>
    <row r="1396" ht="22.5" customHeight="1">
      <c r="B1396" s="6">
        <v>1395.0</v>
      </c>
      <c r="C1396" s="6">
        <v>41651.0</v>
      </c>
      <c r="D1396" s="6">
        <v>2.18</v>
      </c>
      <c r="E1396" s="6">
        <v>-0.16</v>
      </c>
      <c r="F1396" s="6">
        <v>10.55</v>
      </c>
      <c r="G1396" s="6">
        <v>-0.1</v>
      </c>
      <c r="H1396" s="6">
        <v>0.0</v>
      </c>
      <c r="I1396" s="6">
        <v>-0.01</v>
      </c>
      <c r="J1396" s="6">
        <v>33.35</v>
      </c>
      <c r="K1396" s="7">
        <f t="shared" ref="K1396:P1396" si="2734">abs(D1396-D1395)/200</f>
        <v>0</v>
      </c>
      <c r="L1396" s="7">
        <f t="shared" si="2734"/>
        <v>0.00005</v>
      </c>
      <c r="M1396" s="7">
        <f t="shared" si="2734"/>
        <v>0.00005</v>
      </c>
      <c r="N1396" s="7">
        <f t="shared" si="2734"/>
        <v>0</v>
      </c>
      <c r="O1396" s="7">
        <f t="shared" si="2734"/>
        <v>0</v>
      </c>
      <c r="P1396" s="7">
        <f t="shared" si="2734"/>
        <v>0</v>
      </c>
      <c r="Q1396" s="7">
        <f t="shared" si="7"/>
        <v>0</v>
      </c>
      <c r="R1396" s="7">
        <f t="shared" si="8"/>
        <v>0.009945228234</v>
      </c>
      <c r="S1396" s="7">
        <f t="shared" si="2"/>
        <v>0.9740660848</v>
      </c>
      <c r="T1396" s="7">
        <f t="shared" si="3"/>
        <v>0.1004987562</v>
      </c>
      <c r="U1396" s="7">
        <f t="shared" si="4"/>
        <v>0</v>
      </c>
      <c r="V1396" s="7">
        <f t="shared" si="5"/>
        <v>0</v>
      </c>
      <c r="W1396" s="7">
        <f t="shared" ref="W1396:X1396" si="2735">IF(AVERAGE(U1336:U1395) &gt; 0.25, 1, 0)</f>
        <v>1</v>
      </c>
      <c r="X1396" s="7">
        <f t="shared" si="2735"/>
        <v>1</v>
      </c>
      <c r="Y1396" s="8">
        <v>1.0</v>
      </c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</row>
    <row r="1397" ht="22.5" customHeight="1">
      <c r="B1397" s="6">
        <v>1396.0</v>
      </c>
      <c r="C1397" s="6">
        <v>41855.0</v>
      </c>
      <c r="D1397" s="6">
        <v>2.18</v>
      </c>
      <c r="E1397" s="6">
        <v>-0.17</v>
      </c>
      <c r="F1397" s="6">
        <v>10.55</v>
      </c>
      <c r="G1397" s="6">
        <v>-0.1</v>
      </c>
      <c r="H1397" s="6">
        <v>0.0</v>
      </c>
      <c r="I1397" s="6">
        <v>-0.01</v>
      </c>
      <c r="J1397" s="6">
        <v>33.34</v>
      </c>
      <c r="K1397" s="7">
        <f t="shared" ref="K1397:P1397" si="2736">abs(D1397-D1396)/200</f>
        <v>0</v>
      </c>
      <c r="L1397" s="7">
        <f t="shared" si="2736"/>
        <v>0.00005</v>
      </c>
      <c r="M1397" s="7">
        <f t="shared" si="2736"/>
        <v>0</v>
      </c>
      <c r="N1397" s="7">
        <f t="shared" si="2736"/>
        <v>0</v>
      </c>
      <c r="O1397" s="7">
        <f t="shared" si="2736"/>
        <v>0</v>
      </c>
      <c r="P1397" s="7">
        <f t="shared" si="2736"/>
        <v>0</v>
      </c>
      <c r="Q1397" s="7">
        <f t="shared" si="7"/>
        <v>0</v>
      </c>
      <c r="R1397" s="7">
        <f t="shared" si="8"/>
        <v>0.0001531444359</v>
      </c>
      <c r="S1397" s="7">
        <f t="shared" si="2"/>
        <v>0.9742192293</v>
      </c>
      <c r="T1397" s="7">
        <f t="shared" si="3"/>
        <v>0.1004987562</v>
      </c>
      <c r="U1397" s="7">
        <f t="shared" si="4"/>
        <v>0</v>
      </c>
      <c r="V1397" s="7">
        <f t="shared" si="5"/>
        <v>0</v>
      </c>
      <c r="W1397" s="7">
        <f t="shared" ref="W1397:X1397" si="2737">IF(AVERAGE(U1337:U1396) &gt; 0.25, 1, 0)</f>
        <v>1</v>
      </c>
      <c r="X1397" s="7">
        <f t="shared" si="2737"/>
        <v>1</v>
      </c>
      <c r="Y1397" s="8">
        <v>1.0</v>
      </c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</row>
    <row r="1398" ht="22.5" customHeight="1">
      <c r="B1398" s="6">
        <v>1397.0</v>
      </c>
      <c r="C1398" s="6">
        <v>42059.0</v>
      </c>
      <c r="D1398" s="6">
        <v>2.18</v>
      </c>
      <c r="E1398" s="6">
        <v>-0.17</v>
      </c>
      <c r="F1398" s="6">
        <v>10.56</v>
      </c>
      <c r="G1398" s="6">
        <v>-0.1</v>
      </c>
      <c r="H1398" s="6">
        <v>0.0</v>
      </c>
      <c r="I1398" s="6">
        <v>-0.01</v>
      </c>
      <c r="J1398" s="6">
        <v>33.33</v>
      </c>
      <c r="K1398" s="7">
        <f t="shared" ref="K1398:P1398" si="2738">abs(D1398-D1397)/200</f>
        <v>0</v>
      </c>
      <c r="L1398" s="7">
        <f t="shared" si="2738"/>
        <v>0</v>
      </c>
      <c r="M1398" s="7">
        <f t="shared" si="2738"/>
        <v>0.00005</v>
      </c>
      <c r="N1398" s="7">
        <f t="shared" si="2738"/>
        <v>0</v>
      </c>
      <c r="O1398" s="7">
        <f t="shared" si="2738"/>
        <v>0</v>
      </c>
      <c r="P1398" s="7">
        <f t="shared" si="2738"/>
        <v>0</v>
      </c>
      <c r="Q1398" s="7">
        <f t="shared" si="7"/>
        <v>0</v>
      </c>
      <c r="R1398" s="7">
        <f t="shared" si="8"/>
        <v>0.009792083798</v>
      </c>
      <c r="S1398" s="7">
        <f t="shared" si="2"/>
        <v>0.9840113131</v>
      </c>
      <c r="T1398" s="7">
        <f t="shared" si="3"/>
        <v>0.1004987562</v>
      </c>
      <c r="U1398" s="7">
        <f t="shared" si="4"/>
        <v>0</v>
      </c>
      <c r="V1398" s="7">
        <f t="shared" si="5"/>
        <v>0</v>
      </c>
      <c r="W1398" s="7">
        <f t="shared" ref="W1398:X1398" si="2739">IF(AVERAGE(U1338:U1397) &gt; 0.25, 1, 0)</f>
        <v>1</v>
      </c>
      <c r="X1398" s="7">
        <f t="shared" si="2739"/>
        <v>1</v>
      </c>
      <c r="Y1398" s="8">
        <v>1.0</v>
      </c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</row>
    <row r="1399" ht="22.5" customHeight="1">
      <c r="B1399" s="6">
        <v>1398.0</v>
      </c>
      <c r="C1399" s="6">
        <v>42263.0</v>
      </c>
      <c r="D1399" s="6">
        <v>2.18</v>
      </c>
      <c r="E1399" s="6">
        <v>-0.17</v>
      </c>
      <c r="F1399" s="6">
        <v>10.55</v>
      </c>
      <c r="G1399" s="6">
        <v>-0.1</v>
      </c>
      <c r="H1399" s="6">
        <v>0.0</v>
      </c>
      <c r="I1399" s="6">
        <v>-0.01</v>
      </c>
      <c r="J1399" s="6">
        <v>33.32</v>
      </c>
      <c r="K1399" s="7">
        <f t="shared" ref="K1399:P1399" si="2740">abs(D1399-D1398)/200</f>
        <v>0</v>
      </c>
      <c r="L1399" s="7">
        <f t="shared" si="2740"/>
        <v>0</v>
      </c>
      <c r="M1399" s="7">
        <f t="shared" si="2740"/>
        <v>0.00005</v>
      </c>
      <c r="N1399" s="7">
        <f t="shared" si="2740"/>
        <v>0</v>
      </c>
      <c r="O1399" s="7">
        <f t="shared" si="2740"/>
        <v>0</v>
      </c>
      <c r="P1399" s="7">
        <f t="shared" si="2740"/>
        <v>0</v>
      </c>
      <c r="Q1399" s="7">
        <f t="shared" si="7"/>
        <v>0</v>
      </c>
      <c r="R1399" s="7">
        <f t="shared" si="8"/>
        <v>0.009792083798</v>
      </c>
      <c r="S1399" s="7">
        <f t="shared" si="2"/>
        <v>0.9742192293</v>
      </c>
      <c r="T1399" s="7">
        <f t="shared" si="3"/>
        <v>0.1004987562</v>
      </c>
      <c r="U1399" s="7">
        <f t="shared" si="4"/>
        <v>0</v>
      </c>
      <c r="V1399" s="7">
        <f t="shared" si="5"/>
        <v>0</v>
      </c>
      <c r="W1399" s="7">
        <f t="shared" ref="W1399:X1399" si="2741">IF(AVERAGE(U1339:U1398) &gt; 0.25, 1, 0)</f>
        <v>1</v>
      </c>
      <c r="X1399" s="7">
        <f t="shared" si="2741"/>
        <v>1</v>
      </c>
      <c r="Y1399" s="8">
        <v>1.0</v>
      </c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</row>
    <row r="1400" ht="22.5" customHeight="1">
      <c r="B1400" s="6">
        <v>1399.0</v>
      </c>
      <c r="C1400" s="6">
        <v>42467.0</v>
      </c>
      <c r="D1400" s="6">
        <v>2.18</v>
      </c>
      <c r="E1400" s="6">
        <v>-0.17</v>
      </c>
      <c r="F1400" s="6">
        <v>10.55</v>
      </c>
      <c r="G1400" s="6">
        <v>-0.1</v>
      </c>
      <c r="H1400" s="6">
        <v>0.0</v>
      </c>
      <c r="I1400" s="6">
        <v>-0.01</v>
      </c>
      <c r="J1400" s="6">
        <v>33.34</v>
      </c>
      <c r="K1400" s="7">
        <f t="shared" ref="K1400:P1400" si="2742">abs(D1400-D1399)/200</f>
        <v>0</v>
      </c>
      <c r="L1400" s="7">
        <f t="shared" si="2742"/>
        <v>0</v>
      </c>
      <c r="M1400" s="7">
        <f t="shared" si="2742"/>
        <v>0</v>
      </c>
      <c r="N1400" s="7">
        <f t="shared" si="2742"/>
        <v>0</v>
      </c>
      <c r="O1400" s="7">
        <f t="shared" si="2742"/>
        <v>0</v>
      </c>
      <c r="P1400" s="7">
        <f t="shared" si="2742"/>
        <v>0</v>
      </c>
      <c r="Q1400" s="7">
        <f t="shared" si="7"/>
        <v>0</v>
      </c>
      <c r="R1400" s="7">
        <f t="shared" si="8"/>
        <v>0</v>
      </c>
      <c r="S1400" s="7">
        <f t="shared" si="2"/>
        <v>0.9742192293</v>
      </c>
      <c r="T1400" s="7">
        <f t="shared" si="3"/>
        <v>0.1004987562</v>
      </c>
      <c r="U1400" s="7">
        <f t="shared" si="4"/>
        <v>0</v>
      </c>
      <c r="V1400" s="7">
        <f t="shared" si="5"/>
        <v>0</v>
      </c>
      <c r="W1400" s="7">
        <f t="shared" ref="W1400:X1400" si="2743">IF(AVERAGE(U1340:U1399) &gt; 0.25, 1, 0)</f>
        <v>1</v>
      </c>
      <c r="X1400" s="7">
        <f t="shared" si="2743"/>
        <v>1</v>
      </c>
      <c r="Y1400" s="8">
        <v>1.0</v>
      </c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</row>
    <row r="1401" ht="22.5" customHeight="1">
      <c r="B1401" s="6">
        <v>1400.0</v>
      </c>
      <c r="C1401" s="6">
        <v>42671.0</v>
      </c>
      <c r="D1401" s="6">
        <v>2.16</v>
      </c>
      <c r="E1401" s="6">
        <v>-0.16</v>
      </c>
      <c r="F1401" s="6">
        <v>10.57</v>
      </c>
      <c r="G1401" s="6">
        <v>-0.1</v>
      </c>
      <c r="H1401" s="6">
        <v>0.0</v>
      </c>
      <c r="I1401" s="6">
        <v>-0.01</v>
      </c>
      <c r="J1401" s="6">
        <v>33.32</v>
      </c>
      <c r="K1401" s="7">
        <f t="shared" ref="K1401:P1401" si="2744">abs(D1401-D1400)/200</f>
        <v>0.0001</v>
      </c>
      <c r="L1401" s="7">
        <f t="shared" si="2744"/>
        <v>0.00005</v>
      </c>
      <c r="M1401" s="7">
        <f t="shared" si="2744"/>
        <v>0.0001</v>
      </c>
      <c r="N1401" s="7">
        <f t="shared" si="2744"/>
        <v>0</v>
      </c>
      <c r="O1401" s="7">
        <f t="shared" si="2744"/>
        <v>0</v>
      </c>
      <c r="P1401" s="7">
        <f t="shared" si="2744"/>
        <v>0</v>
      </c>
      <c r="Q1401" s="7">
        <f t="shared" si="7"/>
        <v>0</v>
      </c>
      <c r="R1401" s="7">
        <f t="shared" si="8"/>
        <v>0.01541005075</v>
      </c>
      <c r="S1401" s="7">
        <f t="shared" si="2"/>
        <v>0.98962928</v>
      </c>
      <c r="T1401" s="7">
        <f t="shared" si="3"/>
        <v>0.1004987562</v>
      </c>
      <c r="U1401" s="7">
        <f t="shared" si="4"/>
        <v>0</v>
      </c>
      <c r="V1401" s="7">
        <f t="shared" si="5"/>
        <v>0</v>
      </c>
      <c r="W1401" s="7">
        <f t="shared" ref="W1401:X1401" si="2745">IF(AVERAGE(U1341:U1400) &gt; 0.25, 1, 0)</f>
        <v>1</v>
      </c>
      <c r="X1401" s="7">
        <f t="shared" si="2745"/>
        <v>1</v>
      </c>
      <c r="Y1401" s="8">
        <v>1.0</v>
      </c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</row>
    <row r="1402" ht="22.5" customHeight="1">
      <c r="B1402" s="6">
        <v>1401.0</v>
      </c>
      <c r="C1402" s="6">
        <v>42875.0</v>
      </c>
      <c r="D1402" s="6">
        <v>2.18</v>
      </c>
      <c r="E1402" s="6">
        <v>-0.17</v>
      </c>
      <c r="F1402" s="6">
        <v>10.57</v>
      </c>
      <c r="G1402" s="6">
        <v>-0.1</v>
      </c>
      <c r="H1402" s="6">
        <v>0.0</v>
      </c>
      <c r="I1402" s="6">
        <v>-0.01</v>
      </c>
      <c r="J1402" s="6">
        <v>33.33</v>
      </c>
      <c r="K1402" s="7">
        <f t="shared" ref="K1402:P1402" si="2746">abs(D1402-D1401)/200</f>
        <v>0.0001</v>
      </c>
      <c r="L1402" s="7">
        <f t="shared" si="2746"/>
        <v>0.00005</v>
      </c>
      <c r="M1402" s="7">
        <f t="shared" si="2746"/>
        <v>0</v>
      </c>
      <c r="N1402" s="7">
        <f t="shared" si="2746"/>
        <v>0</v>
      </c>
      <c r="O1402" s="7">
        <f t="shared" si="2746"/>
        <v>0</v>
      </c>
      <c r="P1402" s="7">
        <f t="shared" si="2746"/>
        <v>0</v>
      </c>
      <c r="Q1402" s="7">
        <f t="shared" si="7"/>
        <v>0</v>
      </c>
      <c r="R1402" s="7">
        <f t="shared" si="8"/>
        <v>0.004174498086</v>
      </c>
      <c r="S1402" s="7">
        <f t="shared" si="2"/>
        <v>0.9938037781</v>
      </c>
      <c r="T1402" s="7">
        <f t="shared" si="3"/>
        <v>0.1004987562</v>
      </c>
      <c r="U1402" s="7">
        <f t="shared" si="4"/>
        <v>0</v>
      </c>
      <c r="V1402" s="7">
        <f t="shared" si="5"/>
        <v>0</v>
      </c>
      <c r="W1402" s="7">
        <f t="shared" ref="W1402:X1402" si="2747">IF(AVERAGE(U1342:U1401) &gt; 0.25, 1, 0)</f>
        <v>1</v>
      </c>
      <c r="X1402" s="7">
        <f t="shared" si="2747"/>
        <v>1</v>
      </c>
      <c r="Y1402" s="8">
        <v>1.0</v>
      </c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</row>
    <row r="1403" ht="22.5" customHeight="1">
      <c r="B1403" s="6">
        <v>1402.0</v>
      </c>
      <c r="C1403" s="6">
        <v>43079.0</v>
      </c>
      <c r="D1403" s="6">
        <v>2.18</v>
      </c>
      <c r="E1403" s="6">
        <v>-0.16</v>
      </c>
      <c r="F1403" s="6">
        <v>10.55</v>
      </c>
      <c r="G1403" s="6">
        <v>-0.1</v>
      </c>
      <c r="H1403" s="6">
        <v>0.0</v>
      </c>
      <c r="I1403" s="6">
        <v>-0.01</v>
      </c>
      <c r="J1403" s="6">
        <v>33.33</v>
      </c>
      <c r="K1403" s="7">
        <f t="shared" ref="K1403:P1403" si="2748">abs(D1403-D1402)/200</f>
        <v>0</v>
      </c>
      <c r="L1403" s="7">
        <f t="shared" si="2748"/>
        <v>0.00005</v>
      </c>
      <c r="M1403" s="7">
        <f t="shared" si="2748"/>
        <v>0.0001</v>
      </c>
      <c r="N1403" s="7">
        <f t="shared" si="2748"/>
        <v>0</v>
      </c>
      <c r="O1403" s="7">
        <f t="shared" si="2748"/>
        <v>0</v>
      </c>
      <c r="P1403" s="7">
        <f t="shared" si="2748"/>
        <v>0</v>
      </c>
      <c r="Q1403" s="7">
        <f t="shared" si="7"/>
        <v>0</v>
      </c>
      <c r="R1403" s="7">
        <f t="shared" si="8"/>
        <v>0.01973769328</v>
      </c>
      <c r="S1403" s="7">
        <f t="shared" si="2"/>
        <v>0.9740660848</v>
      </c>
      <c r="T1403" s="7">
        <f t="shared" si="3"/>
        <v>0.1004987562</v>
      </c>
      <c r="U1403" s="7">
        <f t="shared" si="4"/>
        <v>0</v>
      </c>
      <c r="V1403" s="7">
        <f t="shared" si="5"/>
        <v>0</v>
      </c>
      <c r="W1403" s="7">
        <f t="shared" ref="W1403:X1403" si="2749">IF(AVERAGE(U1343:U1402) &gt; 0.25, 1, 0)</f>
        <v>1</v>
      </c>
      <c r="X1403" s="7">
        <f t="shared" si="2749"/>
        <v>1</v>
      </c>
      <c r="Y1403" s="8">
        <v>1.0</v>
      </c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</row>
    <row r="1404" ht="22.5" customHeight="1">
      <c r="B1404" s="6">
        <v>1403.0</v>
      </c>
      <c r="C1404" s="6">
        <v>43283.0</v>
      </c>
      <c r="D1404" s="6">
        <v>2.18</v>
      </c>
      <c r="E1404" s="6">
        <v>-0.16</v>
      </c>
      <c r="F1404" s="6">
        <v>10.56</v>
      </c>
      <c r="G1404" s="6">
        <v>-0.1</v>
      </c>
      <c r="H1404" s="6">
        <v>0.0</v>
      </c>
      <c r="I1404" s="6">
        <v>-0.01</v>
      </c>
      <c r="J1404" s="6">
        <v>33.33</v>
      </c>
      <c r="K1404" s="7">
        <f t="shared" ref="K1404:P1404" si="2750">abs(D1404-D1403)/200</f>
        <v>0</v>
      </c>
      <c r="L1404" s="7">
        <f t="shared" si="2750"/>
        <v>0</v>
      </c>
      <c r="M1404" s="7">
        <f t="shared" si="2750"/>
        <v>0.00005</v>
      </c>
      <c r="N1404" s="7">
        <f t="shared" si="2750"/>
        <v>0</v>
      </c>
      <c r="O1404" s="7">
        <f t="shared" si="2750"/>
        <v>0</v>
      </c>
      <c r="P1404" s="7">
        <f t="shared" si="2750"/>
        <v>0</v>
      </c>
      <c r="Q1404" s="7">
        <f t="shared" si="7"/>
        <v>0</v>
      </c>
      <c r="R1404" s="7">
        <f t="shared" si="8"/>
        <v>0.009792222858</v>
      </c>
      <c r="S1404" s="7">
        <f t="shared" si="2"/>
        <v>0.9838583077</v>
      </c>
      <c r="T1404" s="7">
        <f t="shared" si="3"/>
        <v>0.1004987562</v>
      </c>
      <c r="U1404" s="7">
        <f t="shared" si="4"/>
        <v>0</v>
      </c>
      <c r="V1404" s="7">
        <f t="shared" si="5"/>
        <v>0</v>
      </c>
      <c r="W1404" s="7">
        <f t="shared" ref="W1404:X1404" si="2751">IF(AVERAGE(U1344:U1403) &gt; 0.25, 1, 0)</f>
        <v>1</v>
      </c>
      <c r="X1404" s="7">
        <f t="shared" si="2751"/>
        <v>1</v>
      </c>
      <c r="Y1404" s="8">
        <v>1.0</v>
      </c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</row>
    <row r="1405" ht="22.5" customHeight="1">
      <c r="B1405" s="6">
        <v>1404.0</v>
      </c>
      <c r="C1405" s="6">
        <v>43487.0</v>
      </c>
      <c r="D1405" s="6">
        <v>2.18</v>
      </c>
      <c r="E1405" s="6">
        <v>-0.17</v>
      </c>
      <c r="F1405" s="6">
        <v>10.55</v>
      </c>
      <c r="G1405" s="6">
        <v>-0.1</v>
      </c>
      <c r="H1405" s="6">
        <v>0.0</v>
      </c>
      <c r="I1405" s="6">
        <v>-0.01</v>
      </c>
      <c r="J1405" s="6">
        <v>33.33</v>
      </c>
      <c r="K1405" s="7">
        <f t="shared" ref="K1405:P1405" si="2752">abs(D1405-D1404)/200</f>
        <v>0</v>
      </c>
      <c r="L1405" s="7">
        <f t="shared" si="2752"/>
        <v>0.00005</v>
      </c>
      <c r="M1405" s="7">
        <f t="shared" si="2752"/>
        <v>0.00005</v>
      </c>
      <c r="N1405" s="7">
        <f t="shared" si="2752"/>
        <v>0</v>
      </c>
      <c r="O1405" s="7">
        <f t="shared" si="2752"/>
        <v>0</v>
      </c>
      <c r="P1405" s="7">
        <f t="shared" si="2752"/>
        <v>0</v>
      </c>
      <c r="Q1405" s="7">
        <f t="shared" si="7"/>
        <v>0</v>
      </c>
      <c r="R1405" s="7">
        <f t="shared" si="8"/>
        <v>0.009639078422</v>
      </c>
      <c r="S1405" s="7">
        <f t="shared" si="2"/>
        <v>0.9742192293</v>
      </c>
      <c r="T1405" s="7">
        <f t="shared" si="3"/>
        <v>0.1004987562</v>
      </c>
      <c r="U1405" s="7">
        <f t="shared" si="4"/>
        <v>0</v>
      </c>
      <c r="V1405" s="7">
        <f t="shared" si="5"/>
        <v>0</v>
      </c>
      <c r="W1405" s="7">
        <f t="shared" ref="W1405:X1405" si="2753">IF(AVERAGE(U1345:U1404) &gt; 0.25, 1, 0)</f>
        <v>1</v>
      </c>
      <c r="X1405" s="7">
        <f t="shared" si="2753"/>
        <v>1</v>
      </c>
      <c r="Y1405" s="8">
        <v>1.0</v>
      </c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</row>
    <row r="1406" ht="22.5" customHeight="1">
      <c r="B1406" s="6">
        <v>1405.0</v>
      </c>
      <c r="C1406" s="6">
        <v>43691.0</v>
      </c>
      <c r="D1406" s="6">
        <v>2.17</v>
      </c>
      <c r="E1406" s="6">
        <v>-0.17</v>
      </c>
      <c r="F1406" s="6">
        <v>10.55</v>
      </c>
      <c r="G1406" s="6">
        <v>-0.1</v>
      </c>
      <c r="H1406" s="6">
        <v>0.0</v>
      </c>
      <c r="I1406" s="6">
        <v>-0.01</v>
      </c>
      <c r="J1406" s="6">
        <v>33.32</v>
      </c>
      <c r="K1406" s="7">
        <f t="shared" ref="K1406:P1406" si="2754">abs(D1406-D1405)/200</f>
        <v>0.00005</v>
      </c>
      <c r="L1406" s="7">
        <f t="shared" si="2754"/>
        <v>0</v>
      </c>
      <c r="M1406" s="7">
        <f t="shared" si="2754"/>
        <v>0</v>
      </c>
      <c r="N1406" s="7">
        <f t="shared" si="2754"/>
        <v>0</v>
      </c>
      <c r="O1406" s="7">
        <f t="shared" si="2754"/>
        <v>0</v>
      </c>
      <c r="P1406" s="7">
        <f t="shared" si="2754"/>
        <v>0</v>
      </c>
      <c r="Q1406" s="7">
        <f t="shared" si="7"/>
        <v>0</v>
      </c>
      <c r="R1406" s="7">
        <f t="shared" si="8"/>
        <v>0.002018896916</v>
      </c>
      <c r="S1406" s="7">
        <f t="shared" si="2"/>
        <v>0.9722003323</v>
      </c>
      <c r="T1406" s="7">
        <f t="shared" si="3"/>
        <v>0.1004987562</v>
      </c>
      <c r="U1406" s="7">
        <f t="shared" si="4"/>
        <v>0</v>
      </c>
      <c r="V1406" s="7">
        <f t="shared" si="5"/>
        <v>0</v>
      </c>
      <c r="W1406" s="7">
        <f t="shared" ref="W1406:X1406" si="2755">IF(AVERAGE(U1346:U1405) &gt; 0.25, 1, 0)</f>
        <v>1</v>
      </c>
      <c r="X1406" s="7">
        <f t="shared" si="2755"/>
        <v>1</v>
      </c>
      <c r="Y1406" s="8">
        <v>1.0</v>
      </c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</row>
    <row r="1407" ht="22.5" customHeight="1">
      <c r="B1407" s="6">
        <v>1406.0</v>
      </c>
      <c r="C1407" s="6">
        <v>43895.0</v>
      </c>
      <c r="D1407" s="6">
        <v>2.18</v>
      </c>
      <c r="E1407" s="6">
        <v>-0.17</v>
      </c>
      <c r="F1407" s="6">
        <v>10.56</v>
      </c>
      <c r="G1407" s="6">
        <v>-0.1</v>
      </c>
      <c r="H1407" s="6">
        <v>0.0</v>
      </c>
      <c r="I1407" s="6">
        <v>-0.01</v>
      </c>
      <c r="J1407" s="6">
        <v>33.32</v>
      </c>
      <c r="K1407" s="7">
        <f t="shared" ref="K1407:P1407" si="2756">abs(D1407-D1406)/200</f>
        <v>0.00005</v>
      </c>
      <c r="L1407" s="7">
        <f t="shared" si="2756"/>
        <v>0</v>
      </c>
      <c r="M1407" s="7">
        <f t="shared" si="2756"/>
        <v>0.00005</v>
      </c>
      <c r="N1407" s="7">
        <f t="shared" si="2756"/>
        <v>0</v>
      </c>
      <c r="O1407" s="7">
        <f t="shared" si="2756"/>
        <v>0</v>
      </c>
      <c r="P1407" s="7">
        <f t="shared" si="2756"/>
        <v>0</v>
      </c>
      <c r="Q1407" s="7">
        <f t="shared" si="7"/>
        <v>0</v>
      </c>
      <c r="R1407" s="7">
        <f t="shared" si="8"/>
        <v>0.01181098071</v>
      </c>
      <c r="S1407" s="7">
        <f t="shared" si="2"/>
        <v>0.9840113131</v>
      </c>
      <c r="T1407" s="7">
        <f t="shared" si="3"/>
        <v>0.1004987562</v>
      </c>
      <c r="U1407" s="7">
        <f t="shared" si="4"/>
        <v>0</v>
      </c>
      <c r="V1407" s="7">
        <f t="shared" si="5"/>
        <v>0</v>
      </c>
      <c r="W1407" s="7">
        <f t="shared" ref="W1407:X1407" si="2757">IF(AVERAGE(U1347:U1406) &gt; 0.25, 1, 0)</f>
        <v>1</v>
      </c>
      <c r="X1407" s="7">
        <f t="shared" si="2757"/>
        <v>1</v>
      </c>
      <c r="Y1407" s="8">
        <v>1.0</v>
      </c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</row>
    <row r="1408" ht="22.5" customHeight="1">
      <c r="B1408" s="6">
        <v>1407.0</v>
      </c>
      <c r="C1408" s="6">
        <v>44099.0</v>
      </c>
      <c r="D1408" s="6">
        <v>2.18</v>
      </c>
      <c r="E1408" s="6">
        <v>-0.17</v>
      </c>
      <c r="F1408" s="6">
        <v>10.56</v>
      </c>
      <c r="G1408" s="6">
        <v>-0.1</v>
      </c>
      <c r="H1408" s="6">
        <v>0.0</v>
      </c>
      <c r="I1408" s="6">
        <v>-0.01</v>
      </c>
      <c r="J1408" s="6">
        <v>33.33</v>
      </c>
      <c r="K1408" s="7">
        <f t="shared" ref="K1408:P1408" si="2758">abs(D1408-D1407)/200</f>
        <v>0</v>
      </c>
      <c r="L1408" s="7">
        <f t="shared" si="2758"/>
        <v>0</v>
      </c>
      <c r="M1408" s="7">
        <f t="shared" si="2758"/>
        <v>0</v>
      </c>
      <c r="N1408" s="7">
        <f t="shared" si="2758"/>
        <v>0</v>
      </c>
      <c r="O1408" s="7">
        <f t="shared" si="2758"/>
        <v>0</v>
      </c>
      <c r="P1408" s="7">
        <f t="shared" si="2758"/>
        <v>0</v>
      </c>
      <c r="Q1408" s="7">
        <f t="shared" si="7"/>
        <v>0</v>
      </c>
      <c r="R1408" s="7">
        <f t="shared" si="8"/>
        <v>0</v>
      </c>
      <c r="S1408" s="7">
        <f t="shared" si="2"/>
        <v>0.9840113131</v>
      </c>
      <c r="T1408" s="7">
        <f t="shared" si="3"/>
        <v>0.1004987562</v>
      </c>
      <c r="U1408" s="7">
        <f t="shared" si="4"/>
        <v>0</v>
      </c>
      <c r="V1408" s="7">
        <f t="shared" si="5"/>
        <v>0</v>
      </c>
      <c r="W1408" s="7">
        <f t="shared" ref="W1408:X1408" si="2759">IF(AVERAGE(U1348:U1407) &gt; 0.25, 1, 0)</f>
        <v>1</v>
      </c>
      <c r="X1408" s="7">
        <f t="shared" si="2759"/>
        <v>1</v>
      </c>
      <c r="Y1408" s="8">
        <v>1.0</v>
      </c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</row>
    <row r="1409" ht="22.5" customHeight="1">
      <c r="B1409" s="6">
        <v>1408.0</v>
      </c>
      <c r="C1409" s="6">
        <v>44303.0</v>
      </c>
      <c r="D1409" s="6">
        <v>2.18</v>
      </c>
      <c r="E1409" s="6">
        <v>-0.17</v>
      </c>
      <c r="F1409" s="6">
        <v>10.55</v>
      </c>
      <c r="G1409" s="6">
        <v>-0.1</v>
      </c>
      <c r="H1409" s="6">
        <v>0.0</v>
      </c>
      <c r="I1409" s="6">
        <v>-0.01</v>
      </c>
      <c r="J1409" s="6">
        <v>33.34</v>
      </c>
      <c r="K1409" s="7">
        <f t="shared" ref="K1409:P1409" si="2760">abs(D1409-D1408)/200</f>
        <v>0</v>
      </c>
      <c r="L1409" s="7">
        <f t="shared" si="2760"/>
        <v>0</v>
      </c>
      <c r="M1409" s="7">
        <f t="shared" si="2760"/>
        <v>0.00005</v>
      </c>
      <c r="N1409" s="7">
        <f t="shared" si="2760"/>
        <v>0</v>
      </c>
      <c r="O1409" s="7">
        <f t="shared" si="2760"/>
        <v>0</v>
      </c>
      <c r="P1409" s="7">
        <f t="shared" si="2760"/>
        <v>0</v>
      </c>
      <c r="Q1409" s="7">
        <f t="shared" si="7"/>
        <v>0</v>
      </c>
      <c r="R1409" s="7">
        <f t="shared" si="8"/>
        <v>0.009792083798</v>
      </c>
      <c r="S1409" s="7">
        <f t="shared" si="2"/>
        <v>0.9742192293</v>
      </c>
      <c r="T1409" s="7">
        <f t="shared" si="3"/>
        <v>0.1004987562</v>
      </c>
      <c r="U1409" s="7">
        <f t="shared" si="4"/>
        <v>0</v>
      </c>
      <c r="V1409" s="7">
        <f t="shared" si="5"/>
        <v>0</v>
      </c>
      <c r="W1409" s="7">
        <f t="shared" ref="W1409:X1409" si="2761">IF(AVERAGE(U1349:U1408) &gt; 0.25, 1, 0)</f>
        <v>1</v>
      </c>
      <c r="X1409" s="7">
        <f t="shared" si="2761"/>
        <v>1</v>
      </c>
      <c r="Y1409" s="8">
        <v>1.0</v>
      </c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</row>
    <row r="1410" ht="22.5" customHeight="1">
      <c r="B1410" s="6">
        <v>1409.0</v>
      </c>
      <c r="C1410" s="6">
        <v>44507.0</v>
      </c>
      <c r="D1410" s="6">
        <v>2.18</v>
      </c>
      <c r="E1410" s="6">
        <v>-0.17</v>
      </c>
      <c r="F1410" s="6">
        <v>10.54</v>
      </c>
      <c r="G1410" s="6">
        <v>-0.1</v>
      </c>
      <c r="H1410" s="6">
        <v>0.0</v>
      </c>
      <c r="I1410" s="6">
        <v>-0.01</v>
      </c>
      <c r="J1410" s="6">
        <v>33.34</v>
      </c>
      <c r="K1410" s="7">
        <f t="shared" ref="K1410:P1410" si="2762">abs(D1410-D1409)/200</f>
        <v>0</v>
      </c>
      <c r="L1410" s="7">
        <f t="shared" si="2762"/>
        <v>0</v>
      </c>
      <c r="M1410" s="7">
        <f t="shared" si="2762"/>
        <v>0.00005</v>
      </c>
      <c r="N1410" s="7">
        <f t="shared" si="2762"/>
        <v>0</v>
      </c>
      <c r="O1410" s="7">
        <f t="shared" si="2762"/>
        <v>0</v>
      </c>
      <c r="P1410" s="7">
        <f t="shared" si="2762"/>
        <v>0</v>
      </c>
      <c r="Q1410" s="7">
        <f t="shared" si="7"/>
        <v>0</v>
      </c>
      <c r="R1410" s="7">
        <f t="shared" si="8"/>
        <v>0.009791701511</v>
      </c>
      <c r="S1410" s="7">
        <f t="shared" si="2"/>
        <v>0.9644275277</v>
      </c>
      <c r="T1410" s="7">
        <f t="shared" si="3"/>
        <v>0.1004987562</v>
      </c>
      <c r="U1410" s="7">
        <f t="shared" si="4"/>
        <v>0</v>
      </c>
      <c r="V1410" s="7">
        <f t="shared" si="5"/>
        <v>0</v>
      </c>
      <c r="W1410" s="7">
        <f t="shared" ref="W1410:X1410" si="2763">IF(AVERAGE(U1350:U1409) &gt; 0.25, 1, 0)</f>
        <v>1</v>
      </c>
      <c r="X1410" s="7">
        <f t="shared" si="2763"/>
        <v>1</v>
      </c>
      <c r="Y1410" s="8">
        <v>1.0</v>
      </c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</row>
    <row r="1411" ht="22.5" customHeight="1">
      <c r="B1411" s="6">
        <v>1410.0</v>
      </c>
      <c r="C1411" s="6">
        <v>44711.0</v>
      </c>
      <c r="D1411" s="6">
        <v>2.17</v>
      </c>
      <c r="E1411" s="6">
        <v>-0.17</v>
      </c>
      <c r="F1411" s="6">
        <v>10.55</v>
      </c>
      <c r="G1411" s="6">
        <v>-0.1</v>
      </c>
      <c r="H1411" s="6">
        <v>0.0</v>
      </c>
      <c r="I1411" s="6">
        <v>-0.01</v>
      </c>
      <c r="J1411" s="6">
        <v>33.34</v>
      </c>
      <c r="K1411" s="7">
        <f t="shared" ref="K1411:P1411" si="2764">abs(D1411-D1410)/200</f>
        <v>0.00005</v>
      </c>
      <c r="L1411" s="7">
        <f t="shared" si="2764"/>
        <v>0</v>
      </c>
      <c r="M1411" s="7">
        <f t="shared" si="2764"/>
        <v>0.00005</v>
      </c>
      <c r="N1411" s="7">
        <f t="shared" si="2764"/>
        <v>0</v>
      </c>
      <c r="O1411" s="7">
        <f t="shared" si="2764"/>
        <v>0</v>
      </c>
      <c r="P1411" s="7">
        <f t="shared" si="2764"/>
        <v>0</v>
      </c>
      <c r="Q1411" s="7">
        <f t="shared" si="7"/>
        <v>0</v>
      </c>
      <c r="R1411" s="7">
        <f t="shared" si="8"/>
        <v>0.007772804595</v>
      </c>
      <c r="S1411" s="7">
        <f t="shared" si="2"/>
        <v>0.9722003323</v>
      </c>
      <c r="T1411" s="7">
        <f t="shared" si="3"/>
        <v>0.1004987562</v>
      </c>
      <c r="U1411" s="7">
        <f t="shared" si="4"/>
        <v>0</v>
      </c>
      <c r="V1411" s="7">
        <f t="shared" si="5"/>
        <v>0</v>
      </c>
      <c r="W1411" s="7">
        <f t="shared" ref="W1411:X1411" si="2765">IF(AVERAGE(U1351:U1410) &gt; 0.25, 1, 0)</f>
        <v>1</v>
      </c>
      <c r="X1411" s="7">
        <f t="shared" si="2765"/>
        <v>1</v>
      </c>
      <c r="Y1411" s="8">
        <v>1.0</v>
      </c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</row>
    <row r="1412" ht="22.5" customHeight="1">
      <c r="B1412" s="6">
        <v>1411.0</v>
      </c>
      <c r="C1412" s="6">
        <v>44915.0</v>
      </c>
      <c r="D1412" s="6">
        <v>2.17</v>
      </c>
      <c r="E1412" s="6">
        <v>-0.17</v>
      </c>
      <c r="F1412" s="6">
        <v>10.56</v>
      </c>
      <c r="G1412" s="6">
        <v>-0.1</v>
      </c>
      <c r="H1412" s="6">
        <v>0.0</v>
      </c>
      <c r="I1412" s="6">
        <v>-0.01</v>
      </c>
      <c r="J1412" s="6">
        <v>33.34</v>
      </c>
      <c r="K1412" s="7">
        <f t="shared" ref="K1412:P1412" si="2766">abs(D1412-D1411)/200</f>
        <v>0</v>
      </c>
      <c r="L1412" s="7">
        <f t="shared" si="2766"/>
        <v>0</v>
      </c>
      <c r="M1412" s="7">
        <f t="shared" si="2766"/>
        <v>0.00005</v>
      </c>
      <c r="N1412" s="7">
        <f t="shared" si="2766"/>
        <v>0</v>
      </c>
      <c r="O1412" s="7">
        <f t="shared" si="2766"/>
        <v>0</v>
      </c>
      <c r="P1412" s="7">
        <f t="shared" si="2766"/>
        <v>0</v>
      </c>
      <c r="Q1412" s="7">
        <f t="shared" si="7"/>
        <v>0</v>
      </c>
      <c r="R1412" s="7">
        <f t="shared" si="8"/>
        <v>0.009793917337</v>
      </c>
      <c r="S1412" s="7">
        <f t="shared" si="2"/>
        <v>0.9819942497</v>
      </c>
      <c r="T1412" s="7">
        <f t="shared" si="3"/>
        <v>0.1004987562</v>
      </c>
      <c r="U1412" s="7">
        <f t="shared" si="4"/>
        <v>0</v>
      </c>
      <c r="V1412" s="7">
        <f t="shared" si="5"/>
        <v>0</v>
      </c>
      <c r="W1412" s="7">
        <f t="shared" ref="W1412:X1412" si="2767">IF(AVERAGE(U1352:U1411) &gt; 0.25, 1, 0)</f>
        <v>1</v>
      </c>
      <c r="X1412" s="7">
        <f t="shared" si="2767"/>
        <v>1</v>
      </c>
      <c r="Y1412" s="8">
        <v>1.0</v>
      </c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</row>
    <row r="1413" ht="22.5" customHeight="1">
      <c r="B1413" s="6">
        <v>1412.0</v>
      </c>
      <c r="C1413" s="6">
        <v>45119.0</v>
      </c>
      <c r="D1413" s="6">
        <v>2.17</v>
      </c>
      <c r="E1413" s="6">
        <v>-0.16</v>
      </c>
      <c r="F1413" s="6">
        <v>10.56</v>
      </c>
      <c r="G1413" s="6">
        <v>-0.1</v>
      </c>
      <c r="H1413" s="6">
        <v>0.0</v>
      </c>
      <c r="I1413" s="6">
        <v>-0.01</v>
      </c>
      <c r="J1413" s="6">
        <v>33.34</v>
      </c>
      <c r="K1413" s="7">
        <f t="shared" ref="K1413:P1413" si="2768">abs(D1413-D1412)/200</f>
        <v>0</v>
      </c>
      <c r="L1413" s="7">
        <f t="shared" si="2768"/>
        <v>0.00005</v>
      </c>
      <c r="M1413" s="7">
        <f t="shared" si="2768"/>
        <v>0</v>
      </c>
      <c r="N1413" s="7">
        <f t="shared" si="2768"/>
        <v>0</v>
      </c>
      <c r="O1413" s="7">
        <f t="shared" si="2768"/>
        <v>0</v>
      </c>
      <c r="P1413" s="7">
        <f t="shared" si="2768"/>
        <v>0</v>
      </c>
      <c r="Q1413" s="7">
        <f t="shared" si="7"/>
        <v>0</v>
      </c>
      <c r="R1413" s="7">
        <f t="shared" si="8"/>
        <v>0.0001530340002</v>
      </c>
      <c r="S1413" s="7">
        <f t="shared" si="2"/>
        <v>0.9818412157</v>
      </c>
      <c r="T1413" s="7">
        <f t="shared" si="3"/>
        <v>0.1004987562</v>
      </c>
      <c r="U1413" s="7">
        <f t="shared" si="4"/>
        <v>0</v>
      </c>
      <c r="V1413" s="7">
        <f t="shared" si="5"/>
        <v>0</v>
      </c>
      <c r="W1413" s="7">
        <f t="shared" ref="W1413:X1413" si="2769">IF(AVERAGE(U1353:U1412) &gt; 0.25, 1, 0)</f>
        <v>1</v>
      </c>
      <c r="X1413" s="7">
        <f t="shared" si="2769"/>
        <v>1</v>
      </c>
      <c r="Y1413" s="8">
        <v>1.0</v>
      </c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</row>
    <row r="1414" ht="22.5" customHeight="1">
      <c r="B1414" s="6">
        <v>1413.0</v>
      </c>
      <c r="C1414" s="6">
        <v>45323.0</v>
      </c>
      <c r="D1414" s="6">
        <v>2.18</v>
      </c>
      <c r="E1414" s="6">
        <v>-0.17</v>
      </c>
      <c r="F1414" s="6">
        <v>10.56</v>
      </c>
      <c r="G1414" s="6">
        <v>-0.1</v>
      </c>
      <c r="H1414" s="6">
        <v>0.0</v>
      </c>
      <c r="I1414" s="6">
        <v>-0.01</v>
      </c>
      <c r="J1414" s="6">
        <v>33.33</v>
      </c>
      <c r="K1414" s="7">
        <f t="shared" ref="K1414:P1414" si="2770">abs(D1414-D1413)/200</f>
        <v>0.00005</v>
      </c>
      <c r="L1414" s="7">
        <f t="shared" si="2770"/>
        <v>0.00005</v>
      </c>
      <c r="M1414" s="7">
        <f t="shared" si="2770"/>
        <v>0</v>
      </c>
      <c r="N1414" s="7">
        <f t="shared" si="2770"/>
        <v>0</v>
      </c>
      <c r="O1414" s="7">
        <f t="shared" si="2770"/>
        <v>0</v>
      </c>
      <c r="P1414" s="7">
        <f t="shared" si="2770"/>
        <v>0</v>
      </c>
      <c r="Q1414" s="7">
        <f t="shared" si="7"/>
        <v>0</v>
      </c>
      <c r="R1414" s="7">
        <f t="shared" si="8"/>
        <v>0.002170097377</v>
      </c>
      <c r="S1414" s="7">
        <f t="shared" si="2"/>
        <v>0.9840113131</v>
      </c>
      <c r="T1414" s="7">
        <f t="shared" si="3"/>
        <v>0.1004987562</v>
      </c>
      <c r="U1414" s="7">
        <f t="shared" si="4"/>
        <v>0</v>
      </c>
      <c r="V1414" s="7">
        <f t="shared" si="5"/>
        <v>0</v>
      </c>
      <c r="W1414" s="7">
        <f t="shared" ref="W1414:X1414" si="2771">IF(AVERAGE(U1354:U1413) &gt; 0.25, 1, 0)</f>
        <v>1</v>
      </c>
      <c r="X1414" s="7">
        <f t="shared" si="2771"/>
        <v>1</v>
      </c>
      <c r="Y1414" s="8">
        <v>1.0</v>
      </c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</row>
    <row r="1415" ht="22.5" customHeight="1">
      <c r="B1415" s="6">
        <v>1414.0</v>
      </c>
      <c r="C1415" s="6">
        <v>45527.0</v>
      </c>
      <c r="D1415" s="6">
        <v>2.18</v>
      </c>
      <c r="E1415" s="6">
        <v>-0.17</v>
      </c>
      <c r="F1415" s="6">
        <v>10.56</v>
      </c>
      <c r="G1415" s="6">
        <v>-0.1</v>
      </c>
      <c r="H1415" s="6">
        <v>0.0</v>
      </c>
      <c r="I1415" s="6">
        <v>-0.01</v>
      </c>
      <c r="J1415" s="6">
        <v>33.34</v>
      </c>
      <c r="K1415" s="7">
        <f t="shared" ref="K1415:P1415" si="2772">abs(D1415-D1414)/200</f>
        <v>0</v>
      </c>
      <c r="L1415" s="7">
        <f t="shared" si="2772"/>
        <v>0</v>
      </c>
      <c r="M1415" s="7">
        <f t="shared" si="2772"/>
        <v>0</v>
      </c>
      <c r="N1415" s="7">
        <f t="shared" si="2772"/>
        <v>0</v>
      </c>
      <c r="O1415" s="7">
        <f t="shared" si="2772"/>
        <v>0</v>
      </c>
      <c r="P1415" s="7">
        <f t="shared" si="2772"/>
        <v>0</v>
      </c>
      <c r="Q1415" s="7">
        <f t="shared" si="7"/>
        <v>0</v>
      </c>
      <c r="R1415" s="7">
        <f t="shared" si="8"/>
        <v>0</v>
      </c>
      <c r="S1415" s="7">
        <f t="shared" si="2"/>
        <v>0.9840113131</v>
      </c>
      <c r="T1415" s="7">
        <f t="shared" si="3"/>
        <v>0.1004987562</v>
      </c>
      <c r="U1415" s="7">
        <f t="shared" si="4"/>
        <v>0</v>
      </c>
      <c r="V1415" s="7">
        <f t="shared" si="5"/>
        <v>0</v>
      </c>
      <c r="W1415" s="7">
        <f t="shared" ref="W1415:X1415" si="2773">IF(AVERAGE(U1355:U1414) &gt; 0.25, 1, 0)</f>
        <v>1</v>
      </c>
      <c r="X1415" s="7">
        <f t="shared" si="2773"/>
        <v>1</v>
      </c>
      <c r="Y1415" s="8">
        <v>1.0</v>
      </c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</row>
    <row r="1416" ht="22.5" customHeight="1">
      <c r="B1416" s="6">
        <v>1415.0</v>
      </c>
      <c r="C1416" s="6">
        <v>45731.0</v>
      </c>
      <c r="D1416" s="6">
        <v>2.18</v>
      </c>
      <c r="E1416" s="6">
        <v>-0.16</v>
      </c>
      <c r="F1416" s="6">
        <v>10.55</v>
      </c>
      <c r="G1416" s="6">
        <v>-0.1</v>
      </c>
      <c r="H1416" s="6">
        <v>0.0</v>
      </c>
      <c r="I1416" s="6">
        <v>-0.01</v>
      </c>
      <c r="J1416" s="6">
        <v>33.34</v>
      </c>
      <c r="K1416" s="7">
        <f t="shared" ref="K1416:P1416" si="2774">abs(D1416-D1415)/200</f>
        <v>0</v>
      </c>
      <c r="L1416" s="7">
        <f t="shared" si="2774"/>
        <v>0.00005</v>
      </c>
      <c r="M1416" s="7">
        <f t="shared" si="2774"/>
        <v>0.00005</v>
      </c>
      <c r="N1416" s="7">
        <f t="shared" si="2774"/>
        <v>0</v>
      </c>
      <c r="O1416" s="7">
        <f t="shared" si="2774"/>
        <v>0</v>
      </c>
      <c r="P1416" s="7">
        <f t="shared" si="2774"/>
        <v>0</v>
      </c>
      <c r="Q1416" s="7">
        <f t="shared" si="7"/>
        <v>0</v>
      </c>
      <c r="R1416" s="7">
        <f t="shared" si="8"/>
        <v>0.009945228234</v>
      </c>
      <c r="S1416" s="7">
        <f t="shared" si="2"/>
        <v>0.9740660848</v>
      </c>
      <c r="T1416" s="7">
        <f t="shared" si="3"/>
        <v>0.1004987562</v>
      </c>
      <c r="U1416" s="7">
        <f t="shared" si="4"/>
        <v>0</v>
      </c>
      <c r="V1416" s="7">
        <f t="shared" si="5"/>
        <v>0</v>
      </c>
      <c r="W1416" s="7">
        <f t="shared" ref="W1416:X1416" si="2775">IF(AVERAGE(U1356:U1415) &gt; 0.25, 1, 0)</f>
        <v>1</v>
      </c>
      <c r="X1416" s="7">
        <f t="shared" si="2775"/>
        <v>1</v>
      </c>
      <c r="Y1416" s="8">
        <v>1.0</v>
      </c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</row>
    <row r="1417" ht="22.5" customHeight="1">
      <c r="B1417" s="6">
        <v>1416.0</v>
      </c>
      <c r="C1417" s="6">
        <v>45935.0</v>
      </c>
      <c r="D1417" s="6">
        <v>2.18</v>
      </c>
      <c r="E1417" s="6">
        <v>-0.16</v>
      </c>
      <c r="F1417" s="6">
        <v>10.55</v>
      </c>
      <c r="G1417" s="6">
        <v>-0.1</v>
      </c>
      <c r="H1417" s="6">
        <v>0.0</v>
      </c>
      <c r="I1417" s="6">
        <v>-0.01</v>
      </c>
      <c r="J1417" s="6">
        <v>33.34</v>
      </c>
      <c r="K1417" s="7">
        <f t="shared" ref="K1417:P1417" si="2776">abs(D1417-D1416)/200</f>
        <v>0</v>
      </c>
      <c r="L1417" s="7">
        <f t="shared" si="2776"/>
        <v>0</v>
      </c>
      <c r="M1417" s="7">
        <f t="shared" si="2776"/>
        <v>0</v>
      </c>
      <c r="N1417" s="7">
        <f t="shared" si="2776"/>
        <v>0</v>
      </c>
      <c r="O1417" s="7">
        <f t="shared" si="2776"/>
        <v>0</v>
      </c>
      <c r="P1417" s="7">
        <f t="shared" si="2776"/>
        <v>0</v>
      </c>
      <c r="Q1417" s="7">
        <f t="shared" si="7"/>
        <v>0</v>
      </c>
      <c r="R1417" s="7">
        <f t="shared" si="8"/>
        <v>0</v>
      </c>
      <c r="S1417" s="7">
        <f t="shared" si="2"/>
        <v>0.9740660848</v>
      </c>
      <c r="T1417" s="7">
        <f t="shared" si="3"/>
        <v>0.1004987562</v>
      </c>
      <c r="U1417" s="7">
        <f t="shared" si="4"/>
        <v>0</v>
      </c>
      <c r="V1417" s="7">
        <f t="shared" si="5"/>
        <v>0</v>
      </c>
      <c r="W1417" s="7">
        <f t="shared" ref="W1417:X1417" si="2777">IF(AVERAGE(U1357:U1416) &gt; 0.25, 1, 0)</f>
        <v>1</v>
      </c>
      <c r="X1417" s="7">
        <f t="shared" si="2777"/>
        <v>1</v>
      </c>
      <c r="Y1417" s="8">
        <v>1.0</v>
      </c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</row>
    <row r="1418" ht="22.5" customHeight="1">
      <c r="B1418" s="6">
        <v>1417.0</v>
      </c>
      <c r="C1418" s="6">
        <v>46139.0</v>
      </c>
      <c r="D1418" s="6">
        <v>2.19</v>
      </c>
      <c r="E1418" s="6">
        <v>-0.16</v>
      </c>
      <c r="F1418" s="6">
        <v>10.56</v>
      </c>
      <c r="G1418" s="6">
        <v>-0.1</v>
      </c>
      <c r="H1418" s="6">
        <v>0.0</v>
      </c>
      <c r="I1418" s="6">
        <v>-0.01</v>
      </c>
      <c r="J1418" s="6">
        <v>33.34</v>
      </c>
      <c r="K1418" s="7">
        <f t="shared" ref="K1418:P1418" si="2778">abs(D1418-D1417)/200</f>
        <v>0.00005</v>
      </c>
      <c r="L1418" s="7">
        <f t="shared" si="2778"/>
        <v>0</v>
      </c>
      <c r="M1418" s="7">
        <f t="shared" si="2778"/>
        <v>0.00005</v>
      </c>
      <c r="N1418" s="7">
        <f t="shared" si="2778"/>
        <v>0</v>
      </c>
      <c r="O1418" s="7">
        <f t="shared" si="2778"/>
        <v>0</v>
      </c>
      <c r="P1418" s="7">
        <f t="shared" si="2778"/>
        <v>0</v>
      </c>
      <c r="Q1418" s="7">
        <f t="shared" si="7"/>
        <v>0</v>
      </c>
      <c r="R1418" s="7">
        <f t="shared" si="8"/>
        <v>0.01181820902</v>
      </c>
      <c r="S1418" s="7">
        <f t="shared" si="2"/>
        <v>0.9858842938</v>
      </c>
      <c r="T1418" s="7">
        <f t="shared" si="3"/>
        <v>0.1004987562</v>
      </c>
      <c r="U1418" s="7">
        <f t="shared" si="4"/>
        <v>0</v>
      </c>
      <c r="V1418" s="7">
        <f t="shared" si="5"/>
        <v>0</v>
      </c>
      <c r="W1418" s="7">
        <f t="shared" ref="W1418:X1418" si="2779">IF(AVERAGE(U1358:U1417) &gt; 0.25, 1, 0)</f>
        <v>1</v>
      </c>
      <c r="X1418" s="7">
        <f t="shared" si="2779"/>
        <v>1</v>
      </c>
      <c r="Y1418" s="8">
        <v>1.0</v>
      </c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</row>
    <row r="1419" ht="22.5" customHeight="1">
      <c r="B1419" s="6">
        <v>1418.0</v>
      </c>
      <c r="C1419" s="6">
        <v>46343.0</v>
      </c>
      <c r="D1419" s="6">
        <v>2.19</v>
      </c>
      <c r="E1419" s="6">
        <v>-0.16</v>
      </c>
      <c r="F1419" s="6">
        <v>10.31</v>
      </c>
      <c r="G1419" s="6">
        <v>-0.09</v>
      </c>
      <c r="H1419" s="6">
        <v>0.0</v>
      </c>
      <c r="I1419" s="6">
        <v>-0.01</v>
      </c>
      <c r="J1419" s="6">
        <v>33.33</v>
      </c>
      <c r="K1419" s="7">
        <f t="shared" ref="K1419:P1419" si="2780">abs(D1419-D1418)/200</f>
        <v>0</v>
      </c>
      <c r="L1419" s="7">
        <f t="shared" si="2780"/>
        <v>0</v>
      </c>
      <c r="M1419" s="7">
        <f t="shared" si="2780"/>
        <v>0.00125</v>
      </c>
      <c r="N1419" s="7">
        <f t="shared" si="2780"/>
        <v>0.00005</v>
      </c>
      <c r="O1419" s="7">
        <f t="shared" si="2780"/>
        <v>0</v>
      </c>
      <c r="P1419" s="7">
        <f t="shared" si="2780"/>
        <v>0</v>
      </c>
      <c r="Q1419" s="7">
        <f t="shared" si="7"/>
        <v>0.00994490483</v>
      </c>
      <c r="R1419" s="7">
        <f t="shared" si="8"/>
        <v>0.2446414829</v>
      </c>
      <c r="S1419" s="7">
        <f t="shared" si="2"/>
        <v>0.741242811</v>
      </c>
      <c r="T1419" s="7">
        <f t="shared" si="3"/>
        <v>0.09055385138</v>
      </c>
      <c r="U1419" s="7">
        <f t="shared" si="4"/>
        <v>1</v>
      </c>
      <c r="V1419" s="7">
        <f t="shared" si="5"/>
        <v>0</v>
      </c>
      <c r="W1419" s="7">
        <f t="shared" ref="W1419:X1419" si="2781">IF(AVERAGE(U1359:U1418) &gt; 0.25, 1, 0)</f>
        <v>1</v>
      </c>
      <c r="X1419" s="7">
        <f t="shared" si="2781"/>
        <v>1</v>
      </c>
      <c r="Y1419" s="8">
        <v>1.0</v>
      </c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</row>
    <row r="1420" ht="22.5" customHeight="1">
      <c r="B1420" s="6">
        <v>1419.0</v>
      </c>
      <c r="C1420" s="6">
        <v>46547.0</v>
      </c>
      <c r="D1420" s="6">
        <v>2.22</v>
      </c>
      <c r="E1420" s="6">
        <v>-0.26</v>
      </c>
      <c r="F1420" s="6">
        <v>11.13</v>
      </c>
      <c r="G1420" s="6">
        <v>-0.21</v>
      </c>
      <c r="H1420" s="6">
        <v>-0.05</v>
      </c>
      <c r="I1420" s="6">
        <v>0.17</v>
      </c>
      <c r="J1420" s="6">
        <v>33.34</v>
      </c>
      <c r="K1420" s="7">
        <f t="shared" ref="K1420:P1420" si="2782">abs(D1420-D1419)/200</f>
        <v>0.00015</v>
      </c>
      <c r="L1420" s="7">
        <f t="shared" si="2782"/>
        <v>0.0005</v>
      </c>
      <c r="M1420" s="7">
        <f t="shared" si="2782"/>
        <v>0.0041</v>
      </c>
      <c r="N1420" s="7">
        <f t="shared" si="2782"/>
        <v>0.0006</v>
      </c>
      <c r="O1420" s="7">
        <f t="shared" si="2782"/>
        <v>0.00025</v>
      </c>
      <c r="P1420" s="7">
        <f t="shared" si="2782"/>
        <v>0.0009</v>
      </c>
      <c r="Q1420" s="7">
        <f t="shared" si="7"/>
        <v>0.1842187819</v>
      </c>
      <c r="R1420" s="7">
        <f t="shared" si="8"/>
        <v>0.8109772362</v>
      </c>
      <c r="S1420" s="7">
        <f t="shared" si="2"/>
        <v>1.552220047</v>
      </c>
      <c r="T1420" s="7">
        <f t="shared" si="3"/>
        <v>0.2747726333</v>
      </c>
      <c r="U1420" s="7">
        <f t="shared" si="4"/>
        <v>1</v>
      </c>
      <c r="V1420" s="7">
        <f t="shared" si="5"/>
        <v>1</v>
      </c>
      <c r="W1420" s="7">
        <f t="shared" ref="W1420:X1420" si="2783">IF(AVERAGE(U1360:U1419) &gt; 0.25, 1, 0)</f>
        <v>1</v>
      </c>
      <c r="X1420" s="7">
        <f t="shared" si="2783"/>
        <v>1</v>
      </c>
      <c r="Y1420" s="8">
        <v>1.0</v>
      </c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</row>
    <row r="1421" ht="22.5" customHeight="1">
      <c r="B1421" s="6">
        <v>1420.0</v>
      </c>
      <c r="C1421" s="6">
        <v>46751.0</v>
      </c>
      <c r="D1421" s="6">
        <v>3.02</v>
      </c>
      <c r="E1421" s="6">
        <v>-0.94</v>
      </c>
      <c r="F1421" s="6">
        <v>10.06</v>
      </c>
      <c r="G1421" s="6">
        <v>0.05</v>
      </c>
      <c r="H1421" s="6">
        <v>-1.15</v>
      </c>
      <c r="I1421" s="6">
        <v>1.03</v>
      </c>
      <c r="J1421" s="6">
        <v>33.33</v>
      </c>
      <c r="K1421" s="7">
        <f t="shared" ref="K1421:P1421" si="2784">abs(D1421-D1420)/200</f>
        <v>0.004</v>
      </c>
      <c r="L1421" s="7">
        <f t="shared" si="2784"/>
        <v>0.0034</v>
      </c>
      <c r="M1421" s="7">
        <f t="shared" si="2784"/>
        <v>0.00535</v>
      </c>
      <c r="N1421" s="7">
        <f t="shared" si="2784"/>
        <v>0.0013</v>
      </c>
      <c r="O1421" s="7">
        <f t="shared" si="2784"/>
        <v>0.0055</v>
      </c>
      <c r="P1421" s="7">
        <f t="shared" si="2784"/>
        <v>0.0043</v>
      </c>
      <c r="Q1421" s="7">
        <f t="shared" si="7"/>
        <v>1.269863246</v>
      </c>
      <c r="R1421" s="7">
        <f t="shared" si="8"/>
        <v>0.8067186366</v>
      </c>
      <c r="S1421" s="7">
        <f t="shared" si="2"/>
        <v>0.7455014106</v>
      </c>
      <c r="T1421" s="7">
        <f t="shared" si="3"/>
        <v>1.544635879</v>
      </c>
      <c r="U1421" s="7">
        <f t="shared" si="4"/>
        <v>1</v>
      </c>
      <c r="V1421" s="7">
        <f t="shared" si="5"/>
        <v>1</v>
      </c>
      <c r="W1421" s="7">
        <f t="shared" ref="W1421:X1421" si="2785">IF(AVERAGE(U1361:U1420) &gt; 0.25, 1, 0)</f>
        <v>1</v>
      </c>
      <c r="X1421" s="7">
        <f t="shared" si="2785"/>
        <v>1</v>
      </c>
      <c r="Y1421" s="8">
        <v>1.0</v>
      </c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</row>
    <row r="1422" ht="22.5" customHeight="1">
      <c r="B1422" s="6">
        <v>1421.0</v>
      </c>
      <c r="C1422" s="6">
        <v>46955.0</v>
      </c>
      <c r="D1422" s="6">
        <v>3.63</v>
      </c>
      <c r="E1422" s="6">
        <v>0.08</v>
      </c>
      <c r="F1422" s="6">
        <v>10.21</v>
      </c>
      <c r="G1422" s="6">
        <v>-0.07</v>
      </c>
      <c r="H1422" s="6">
        <v>0.32</v>
      </c>
      <c r="I1422" s="6">
        <v>0.0</v>
      </c>
      <c r="J1422" s="6">
        <v>33.34</v>
      </c>
      <c r="K1422" s="7">
        <f t="shared" ref="K1422:P1422" si="2786">abs(D1422-D1421)/200</f>
        <v>0.00305</v>
      </c>
      <c r="L1422" s="7">
        <f t="shared" si="2786"/>
        <v>0.0051</v>
      </c>
      <c r="M1422" s="7">
        <f t="shared" si="2786"/>
        <v>0.00075</v>
      </c>
      <c r="N1422" s="7">
        <f t="shared" si="2786"/>
        <v>0.0006</v>
      </c>
      <c r="O1422" s="7">
        <f t="shared" si="2786"/>
        <v>0.00735</v>
      </c>
      <c r="P1422" s="7">
        <f t="shared" si="2786"/>
        <v>0.00515</v>
      </c>
      <c r="Q1422" s="7">
        <f t="shared" si="7"/>
        <v>1.217069092</v>
      </c>
      <c r="R1422" s="7">
        <f t="shared" si="8"/>
        <v>0.2908909781</v>
      </c>
      <c r="S1422" s="7">
        <f t="shared" si="2"/>
        <v>1.036392389</v>
      </c>
      <c r="T1422" s="7">
        <f t="shared" si="3"/>
        <v>0.3275667871</v>
      </c>
      <c r="U1422" s="7">
        <f t="shared" si="4"/>
        <v>1</v>
      </c>
      <c r="V1422" s="7">
        <f t="shared" si="5"/>
        <v>1</v>
      </c>
      <c r="W1422" s="7">
        <f t="shared" ref="W1422:X1422" si="2787">IF(AVERAGE(U1362:U1421) &gt; 0.25, 1, 0)</f>
        <v>1</v>
      </c>
      <c r="X1422" s="7">
        <f t="shared" si="2787"/>
        <v>1</v>
      </c>
      <c r="Y1422" s="8">
        <v>1.0</v>
      </c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</row>
    <row r="1423" ht="22.5" customHeight="1">
      <c r="B1423" s="6">
        <v>1422.0</v>
      </c>
      <c r="C1423" s="6">
        <v>47159.0</v>
      </c>
      <c r="D1423" s="6">
        <v>2.83</v>
      </c>
      <c r="E1423" s="6">
        <v>-0.31</v>
      </c>
      <c r="F1423" s="6">
        <v>10.25</v>
      </c>
      <c r="G1423" s="6">
        <v>-0.03</v>
      </c>
      <c r="H1423" s="6">
        <v>0.06</v>
      </c>
      <c r="I1423" s="6">
        <v>0.27</v>
      </c>
      <c r="J1423" s="6">
        <v>33.34</v>
      </c>
      <c r="K1423" s="7">
        <f t="shared" ref="K1423:P1423" si="2788">abs(D1423-D1422)/200</f>
        <v>0.004</v>
      </c>
      <c r="L1423" s="7">
        <f t="shared" si="2788"/>
        <v>0.00195</v>
      </c>
      <c r="M1423" s="7">
        <f t="shared" si="2788"/>
        <v>0.0002</v>
      </c>
      <c r="N1423" s="7">
        <f t="shared" si="2788"/>
        <v>0.0002</v>
      </c>
      <c r="O1423" s="7">
        <f t="shared" si="2788"/>
        <v>0.0013</v>
      </c>
      <c r="P1423" s="7">
        <f t="shared" si="2788"/>
        <v>0.00135</v>
      </c>
      <c r="Q1423" s="7">
        <f t="shared" si="7"/>
        <v>0.04935823222</v>
      </c>
      <c r="R1423" s="7">
        <f t="shared" si="8"/>
        <v>0.198370956</v>
      </c>
      <c r="S1423" s="7">
        <f t="shared" si="2"/>
        <v>0.8380214326</v>
      </c>
      <c r="T1423" s="7">
        <f t="shared" si="3"/>
        <v>0.2782085549</v>
      </c>
      <c r="U1423" s="7">
        <f t="shared" si="4"/>
        <v>1</v>
      </c>
      <c r="V1423" s="7">
        <f t="shared" si="5"/>
        <v>1</v>
      </c>
      <c r="W1423" s="7">
        <f t="shared" ref="W1423:X1423" si="2789">IF(AVERAGE(U1363:U1422) &gt; 0.25, 1, 0)</f>
        <v>1</v>
      </c>
      <c r="X1423" s="7">
        <f t="shared" si="2789"/>
        <v>1</v>
      </c>
      <c r="Y1423" s="8">
        <v>1.0</v>
      </c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</row>
    <row r="1424" ht="22.5" customHeight="1">
      <c r="B1424" s="6">
        <v>1423.0</v>
      </c>
      <c r="C1424" s="6">
        <v>47363.0</v>
      </c>
      <c r="D1424" s="6">
        <v>2.72</v>
      </c>
      <c r="E1424" s="6">
        <v>-0.73</v>
      </c>
      <c r="F1424" s="6">
        <v>10.65</v>
      </c>
      <c r="G1424" s="6">
        <v>0.03</v>
      </c>
      <c r="H1424" s="6">
        <v>0.2</v>
      </c>
      <c r="I1424" s="6">
        <v>0.18</v>
      </c>
      <c r="J1424" s="6">
        <v>33.35</v>
      </c>
      <c r="K1424" s="7">
        <f t="shared" ref="K1424:P1424" si="2790">abs(D1424-D1423)/200</f>
        <v>0.00055</v>
      </c>
      <c r="L1424" s="7">
        <f t="shared" si="2790"/>
        <v>0.0021</v>
      </c>
      <c r="M1424" s="7">
        <f t="shared" si="2790"/>
        <v>0.002</v>
      </c>
      <c r="N1424" s="7">
        <f t="shared" si="2790"/>
        <v>0.0003</v>
      </c>
      <c r="O1424" s="7">
        <f t="shared" si="2790"/>
        <v>0.0007</v>
      </c>
      <c r="P1424" s="7">
        <f t="shared" si="2790"/>
        <v>0.00045</v>
      </c>
      <c r="Q1424" s="7">
        <f t="shared" si="7"/>
        <v>0.007468827451</v>
      </c>
      <c r="R1424" s="7">
        <f t="shared" si="8"/>
        <v>0.3780486471</v>
      </c>
      <c r="S1424" s="7">
        <f t="shared" si="2"/>
        <v>1.21607008</v>
      </c>
      <c r="T1424" s="7">
        <f t="shared" si="3"/>
        <v>0.2707397274</v>
      </c>
      <c r="U1424" s="7">
        <f t="shared" si="4"/>
        <v>1</v>
      </c>
      <c r="V1424" s="7">
        <f t="shared" si="5"/>
        <v>1</v>
      </c>
      <c r="W1424" s="7">
        <f t="shared" ref="W1424:X1424" si="2791">IF(AVERAGE(U1364:U1423) &gt; 0.25, 1, 0)</f>
        <v>1</v>
      </c>
      <c r="X1424" s="7">
        <f t="shared" si="2791"/>
        <v>1</v>
      </c>
      <c r="Y1424" s="8">
        <v>1.0</v>
      </c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</row>
    <row r="1425" ht="22.5" customHeight="1">
      <c r="B1425" s="6">
        <v>1424.0</v>
      </c>
      <c r="C1425" s="6">
        <v>47567.0</v>
      </c>
      <c r="D1425" s="6">
        <v>2.5</v>
      </c>
      <c r="E1425" s="6">
        <v>-0.71</v>
      </c>
      <c r="F1425" s="6">
        <v>10.55</v>
      </c>
      <c r="G1425" s="6">
        <v>-0.06</v>
      </c>
      <c r="H1425" s="6">
        <v>-0.01</v>
      </c>
      <c r="I1425" s="6">
        <v>0.02</v>
      </c>
      <c r="J1425" s="6">
        <v>33.33</v>
      </c>
      <c r="K1425" s="7">
        <f t="shared" ref="K1425:P1425" si="2792">abs(D1425-D1424)/200</f>
        <v>0.0011</v>
      </c>
      <c r="L1425" s="7">
        <f t="shared" si="2792"/>
        <v>0.0001</v>
      </c>
      <c r="M1425" s="7">
        <f t="shared" si="2792"/>
        <v>0.0005</v>
      </c>
      <c r="N1425" s="7">
        <f t="shared" si="2792"/>
        <v>0.00045</v>
      </c>
      <c r="O1425" s="7">
        <f t="shared" si="2792"/>
        <v>0.00105</v>
      </c>
      <c r="P1425" s="7">
        <f t="shared" si="2792"/>
        <v>0.0008</v>
      </c>
      <c r="Q1425" s="7">
        <f t="shared" si="7"/>
        <v>0.206708485</v>
      </c>
      <c r="R1425" s="7">
        <f t="shared" si="8"/>
        <v>0.1506846746</v>
      </c>
      <c r="S1425" s="7">
        <f t="shared" si="2"/>
        <v>1.065385405</v>
      </c>
      <c r="T1425" s="7">
        <f t="shared" si="3"/>
        <v>0.06403124237</v>
      </c>
      <c r="U1425" s="7">
        <f t="shared" si="4"/>
        <v>1</v>
      </c>
      <c r="V1425" s="7">
        <f t="shared" si="5"/>
        <v>1</v>
      </c>
      <c r="W1425" s="7">
        <f t="shared" ref="W1425:X1425" si="2793">IF(AVERAGE(U1365:U1424) &gt; 0.25, 1, 0)</f>
        <v>1</v>
      </c>
      <c r="X1425" s="7">
        <f t="shared" si="2793"/>
        <v>1</v>
      </c>
      <c r="Y1425" s="8">
        <v>1.0</v>
      </c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</row>
    <row r="1426" ht="22.5" customHeight="1">
      <c r="B1426" s="6">
        <v>1425.0</v>
      </c>
      <c r="C1426" s="6">
        <v>47771.0</v>
      </c>
      <c r="D1426" s="6">
        <v>2.43</v>
      </c>
      <c r="E1426" s="6">
        <v>-0.89</v>
      </c>
      <c r="F1426" s="6">
        <v>10.38</v>
      </c>
      <c r="G1426" s="6">
        <v>-0.11</v>
      </c>
      <c r="H1426" s="6">
        <v>0.02</v>
      </c>
      <c r="I1426" s="6">
        <v>-0.04</v>
      </c>
      <c r="J1426" s="6">
        <v>33.34</v>
      </c>
      <c r="K1426" s="7">
        <f t="shared" ref="K1426:P1426" si="2794">abs(D1426-D1425)/200</f>
        <v>0.00035</v>
      </c>
      <c r="L1426" s="7">
        <f t="shared" si="2794"/>
        <v>0.0009</v>
      </c>
      <c r="M1426" s="7">
        <f t="shared" si="2794"/>
        <v>0.00085</v>
      </c>
      <c r="N1426" s="7">
        <f t="shared" si="2794"/>
        <v>0.00025</v>
      </c>
      <c r="O1426" s="7">
        <f t="shared" si="2794"/>
        <v>0.00015</v>
      </c>
      <c r="P1426" s="7">
        <f t="shared" si="2794"/>
        <v>0.0003</v>
      </c>
      <c r="Q1426" s="7">
        <f t="shared" si="7"/>
        <v>0.0547121785</v>
      </c>
      <c r="R1426" s="7">
        <f t="shared" si="8"/>
        <v>0.1676566741</v>
      </c>
      <c r="S1426" s="7">
        <f t="shared" si="2"/>
        <v>0.8977287309</v>
      </c>
      <c r="T1426" s="7">
        <f t="shared" si="3"/>
        <v>0.1187434209</v>
      </c>
      <c r="U1426" s="7">
        <f t="shared" si="4"/>
        <v>1</v>
      </c>
      <c r="V1426" s="7">
        <f t="shared" si="5"/>
        <v>0</v>
      </c>
      <c r="W1426" s="7">
        <f t="shared" ref="W1426:X1426" si="2795">IF(AVERAGE(U1366:U1425) &gt; 0.25, 1, 0)</f>
        <v>1</v>
      </c>
      <c r="X1426" s="7">
        <f t="shared" si="2795"/>
        <v>1</v>
      </c>
      <c r="Y1426" s="8">
        <v>1.0</v>
      </c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</row>
    <row r="1427" ht="22.5" customHeight="1">
      <c r="B1427" s="6">
        <v>1426.0</v>
      </c>
      <c r="C1427" s="6">
        <v>47975.0</v>
      </c>
      <c r="D1427" s="6">
        <v>2.53</v>
      </c>
      <c r="E1427" s="6">
        <v>-0.56</v>
      </c>
      <c r="F1427" s="6">
        <v>10.49</v>
      </c>
      <c r="G1427" s="6">
        <v>-0.11</v>
      </c>
      <c r="H1427" s="6">
        <v>-0.02</v>
      </c>
      <c r="I1427" s="6">
        <v>-0.04</v>
      </c>
      <c r="J1427" s="6">
        <v>33.34</v>
      </c>
      <c r="K1427" s="7">
        <f t="shared" ref="K1427:P1427" si="2796">abs(D1427-D1426)/200</f>
        <v>0.0005</v>
      </c>
      <c r="L1427" s="7">
        <f t="shared" si="2796"/>
        <v>0.00165</v>
      </c>
      <c r="M1427" s="7">
        <f t="shared" si="2796"/>
        <v>0.00055</v>
      </c>
      <c r="N1427" s="7">
        <f t="shared" si="2796"/>
        <v>0</v>
      </c>
      <c r="O1427" s="7">
        <f t="shared" si="2796"/>
        <v>0.0002</v>
      </c>
      <c r="P1427" s="7">
        <f t="shared" si="2796"/>
        <v>0</v>
      </c>
      <c r="Q1427" s="7">
        <f t="shared" si="7"/>
        <v>0</v>
      </c>
      <c r="R1427" s="7">
        <f t="shared" si="8"/>
        <v>0.1075755221</v>
      </c>
      <c r="S1427" s="7">
        <f t="shared" si="2"/>
        <v>1.005304253</v>
      </c>
      <c r="T1427" s="7">
        <f t="shared" si="3"/>
        <v>0.1187434209</v>
      </c>
      <c r="U1427" s="7">
        <f t="shared" si="4"/>
        <v>1</v>
      </c>
      <c r="V1427" s="7">
        <f t="shared" si="5"/>
        <v>0</v>
      </c>
      <c r="W1427" s="7">
        <f t="shared" ref="W1427:X1427" si="2797">IF(AVERAGE(U1367:U1426) &gt; 0.25, 1, 0)</f>
        <v>1</v>
      </c>
      <c r="X1427" s="7">
        <f t="shared" si="2797"/>
        <v>1</v>
      </c>
      <c r="Y1427" s="8">
        <v>1.0</v>
      </c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</row>
    <row r="1428" ht="22.5" customHeight="1">
      <c r="B1428" s="6">
        <v>1427.0</v>
      </c>
      <c r="C1428" s="6">
        <v>48179.0</v>
      </c>
      <c r="D1428" s="6">
        <v>2.55</v>
      </c>
      <c r="E1428" s="6">
        <v>0.13</v>
      </c>
      <c r="F1428" s="6">
        <v>10.53</v>
      </c>
      <c r="G1428" s="6">
        <v>-0.09</v>
      </c>
      <c r="H1428" s="6">
        <v>-0.01</v>
      </c>
      <c r="I1428" s="6">
        <v>-0.07</v>
      </c>
      <c r="J1428" s="6">
        <v>33.34</v>
      </c>
      <c r="K1428" s="7">
        <f t="shared" ref="K1428:P1428" si="2798">abs(D1428-D1427)/200</f>
        <v>0.0001</v>
      </c>
      <c r="L1428" s="7">
        <f t="shared" si="2798"/>
        <v>0.00345</v>
      </c>
      <c r="M1428" s="7">
        <f t="shared" si="2798"/>
        <v>0.0002</v>
      </c>
      <c r="N1428" s="7">
        <f t="shared" si="2798"/>
        <v>0.0001</v>
      </c>
      <c r="O1428" s="7">
        <f t="shared" si="2798"/>
        <v>0.00005</v>
      </c>
      <c r="P1428" s="7">
        <f t="shared" si="2798"/>
        <v>0.00015</v>
      </c>
      <c r="Q1428" s="7">
        <f t="shared" si="7"/>
        <v>0.004288189448</v>
      </c>
      <c r="R1428" s="7">
        <f t="shared" si="8"/>
        <v>0.02983764731</v>
      </c>
      <c r="S1428" s="7">
        <f t="shared" si="2"/>
        <v>1.0351419</v>
      </c>
      <c r="T1428" s="7">
        <f t="shared" si="3"/>
        <v>0.1144552314</v>
      </c>
      <c r="U1428" s="7">
        <f t="shared" si="4"/>
        <v>1</v>
      </c>
      <c r="V1428" s="7">
        <f t="shared" si="5"/>
        <v>0</v>
      </c>
      <c r="W1428" s="7">
        <f t="shared" ref="W1428:X1428" si="2799">IF(AVERAGE(U1368:U1427) &gt; 0.25, 1, 0)</f>
        <v>1</v>
      </c>
      <c r="X1428" s="7">
        <f t="shared" si="2799"/>
        <v>1</v>
      </c>
      <c r="Y1428" s="8">
        <v>1.0</v>
      </c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</row>
    <row r="1429" ht="22.5" customHeight="1">
      <c r="B1429" s="6">
        <v>1428.0</v>
      </c>
      <c r="C1429" s="6">
        <v>48383.0</v>
      </c>
      <c r="D1429" s="6">
        <v>2.43</v>
      </c>
      <c r="E1429" s="6">
        <v>0.08</v>
      </c>
      <c r="F1429" s="6">
        <v>10.63</v>
      </c>
      <c r="G1429" s="6">
        <v>-0.06</v>
      </c>
      <c r="H1429" s="6">
        <v>0.03</v>
      </c>
      <c r="I1429" s="6">
        <v>0.1</v>
      </c>
      <c r="J1429" s="6">
        <v>33.34</v>
      </c>
      <c r="K1429" s="7">
        <f t="shared" ref="K1429:P1429" si="2800">abs(D1429-D1428)/200</f>
        <v>0.0006</v>
      </c>
      <c r="L1429" s="7">
        <f t="shared" si="2800"/>
        <v>0.00025</v>
      </c>
      <c r="M1429" s="7">
        <f t="shared" si="2800"/>
        <v>0.0005</v>
      </c>
      <c r="N1429" s="7">
        <f t="shared" si="2800"/>
        <v>0.00015</v>
      </c>
      <c r="O1429" s="7">
        <f t="shared" si="2800"/>
        <v>0.0002</v>
      </c>
      <c r="P1429" s="7">
        <f t="shared" si="2800"/>
        <v>0.00085</v>
      </c>
      <c r="Q1429" s="7">
        <f t="shared" si="7"/>
        <v>0.005960714365</v>
      </c>
      <c r="R1429" s="7">
        <f t="shared" si="8"/>
        <v>0.06936175643</v>
      </c>
      <c r="S1429" s="7">
        <f t="shared" si="2"/>
        <v>1.104503657</v>
      </c>
      <c r="T1429" s="7">
        <f t="shared" si="3"/>
        <v>0.1204159458</v>
      </c>
      <c r="U1429" s="7">
        <f t="shared" si="4"/>
        <v>1</v>
      </c>
      <c r="V1429" s="7">
        <f t="shared" si="5"/>
        <v>1</v>
      </c>
      <c r="W1429" s="7">
        <f t="shared" ref="W1429:X1429" si="2801">IF(AVERAGE(U1369:U1428) &gt; 0.25, 1, 0)</f>
        <v>1</v>
      </c>
      <c r="X1429" s="7">
        <f t="shared" si="2801"/>
        <v>1</v>
      </c>
      <c r="Y1429" s="8">
        <v>1.0</v>
      </c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</row>
    <row r="1430" ht="22.5" customHeight="1">
      <c r="B1430" s="6">
        <v>1429.0</v>
      </c>
      <c r="C1430" s="6">
        <v>48587.0</v>
      </c>
      <c r="D1430" s="6">
        <v>2.39</v>
      </c>
      <c r="E1430" s="6">
        <v>-0.44</v>
      </c>
      <c r="F1430" s="6">
        <v>10.5</v>
      </c>
      <c r="G1430" s="6">
        <v>-0.08</v>
      </c>
      <c r="H1430" s="6">
        <v>0.0</v>
      </c>
      <c r="I1430" s="6">
        <v>0.03</v>
      </c>
      <c r="J1430" s="6">
        <v>33.34</v>
      </c>
      <c r="K1430" s="7">
        <f t="shared" ref="K1430:P1430" si="2802">abs(D1430-D1429)/200</f>
        <v>0.0002</v>
      </c>
      <c r="L1430" s="7">
        <f t="shared" si="2802"/>
        <v>0.0026</v>
      </c>
      <c r="M1430" s="7">
        <f t="shared" si="2802"/>
        <v>0.00065</v>
      </c>
      <c r="N1430" s="7">
        <f t="shared" si="2802"/>
        <v>0.0001</v>
      </c>
      <c r="O1430" s="7">
        <f t="shared" si="2802"/>
        <v>0.00015</v>
      </c>
      <c r="P1430" s="7">
        <f t="shared" si="2802"/>
        <v>0.00035</v>
      </c>
      <c r="Q1430" s="7">
        <f t="shared" si="7"/>
        <v>0.03497590833</v>
      </c>
      <c r="R1430" s="7">
        <f t="shared" si="8"/>
        <v>0.1269482753</v>
      </c>
      <c r="S1430" s="7">
        <f t="shared" si="2"/>
        <v>0.9775553814</v>
      </c>
      <c r="T1430" s="7">
        <f t="shared" si="3"/>
        <v>0.08544003745</v>
      </c>
      <c r="U1430" s="7">
        <f t="shared" si="4"/>
        <v>1</v>
      </c>
      <c r="V1430" s="7">
        <f t="shared" si="5"/>
        <v>1</v>
      </c>
      <c r="W1430" s="7">
        <f t="shared" ref="W1430:X1430" si="2803">IF(AVERAGE(U1370:U1429) &gt; 0.25, 1, 0)</f>
        <v>1</v>
      </c>
      <c r="X1430" s="7">
        <f t="shared" si="2803"/>
        <v>1</v>
      </c>
      <c r="Y1430" s="8">
        <v>1.0</v>
      </c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</row>
    <row r="1431" ht="22.5" customHeight="1">
      <c r="B1431" s="6">
        <v>1430.0</v>
      </c>
      <c r="C1431" s="6">
        <v>48791.0</v>
      </c>
      <c r="D1431" s="6">
        <v>2.41</v>
      </c>
      <c r="E1431" s="6">
        <v>-0.23</v>
      </c>
      <c r="F1431" s="6">
        <v>10.51</v>
      </c>
      <c r="G1431" s="6">
        <v>-0.09</v>
      </c>
      <c r="H1431" s="6">
        <v>0.04</v>
      </c>
      <c r="I1431" s="6">
        <v>-0.11</v>
      </c>
      <c r="J1431" s="6">
        <v>33.34</v>
      </c>
      <c r="K1431" s="7">
        <f t="shared" ref="K1431:P1431" si="2804">abs(D1431-D1430)/200</f>
        <v>0.0001</v>
      </c>
      <c r="L1431" s="7">
        <f t="shared" si="2804"/>
        <v>0.00105</v>
      </c>
      <c r="M1431" s="7">
        <f t="shared" si="2804"/>
        <v>0.00005</v>
      </c>
      <c r="N1431" s="7">
        <f t="shared" si="2804"/>
        <v>0.00005</v>
      </c>
      <c r="O1431" s="7">
        <f t="shared" si="2804"/>
        <v>0.0002</v>
      </c>
      <c r="P1431" s="7">
        <f t="shared" si="2804"/>
        <v>0.0007</v>
      </c>
      <c r="Q1431" s="7">
        <f t="shared" si="7"/>
        <v>0.06220819315</v>
      </c>
      <c r="R1431" s="7">
        <f t="shared" si="8"/>
        <v>0.007670624537</v>
      </c>
      <c r="S1431" s="7">
        <f t="shared" si="2"/>
        <v>0.985226006</v>
      </c>
      <c r="T1431" s="7">
        <f t="shared" si="3"/>
        <v>0.1476482306</v>
      </c>
      <c r="U1431" s="7">
        <f t="shared" si="4"/>
        <v>1</v>
      </c>
      <c r="V1431" s="7">
        <f t="shared" si="5"/>
        <v>1</v>
      </c>
      <c r="W1431" s="7">
        <f t="shared" ref="W1431:X1431" si="2805">IF(AVERAGE(U1371:U1430) &gt; 0.25, 1, 0)</f>
        <v>1</v>
      </c>
      <c r="X1431" s="7">
        <f t="shared" si="2805"/>
        <v>1</v>
      </c>
      <c r="Y1431" s="8">
        <v>1.0</v>
      </c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</row>
    <row r="1432" ht="22.5" customHeight="1">
      <c r="B1432" s="6">
        <v>1431.0</v>
      </c>
      <c r="C1432" s="6">
        <v>48995.0</v>
      </c>
      <c r="D1432" s="6">
        <v>2.51</v>
      </c>
      <c r="E1432" s="6">
        <v>-0.9</v>
      </c>
      <c r="F1432" s="6">
        <v>10.47</v>
      </c>
      <c r="G1432" s="6">
        <v>-0.07</v>
      </c>
      <c r="H1432" s="6">
        <v>0.0</v>
      </c>
      <c r="I1432" s="6">
        <v>0.04</v>
      </c>
      <c r="J1432" s="6">
        <v>33.35</v>
      </c>
      <c r="K1432" s="7">
        <f t="shared" ref="K1432:P1432" si="2806">abs(D1432-D1431)/200</f>
        <v>0.0005</v>
      </c>
      <c r="L1432" s="7">
        <f t="shared" si="2806"/>
        <v>0.00335</v>
      </c>
      <c r="M1432" s="7">
        <f t="shared" si="2806"/>
        <v>0.0002</v>
      </c>
      <c r="N1432" s="7">
        <f t="shared" si="2806"/>
        <v>0.0001</v>
      </c>
      <c r="O1432" s="7">
        <f t="shared" si="2806"/>
        <v>0.0002</v>
      </c>
      <c r="P1432" s="7">
        <f t="shared" si="2806"/>
        <v>0.00075</v>
      </c>
      <c r="Q1432" s="7">
        <f t="shared" si="7"/>
        <v>0.06702565312</v>
      </c>
      <c r="R1432" s="7">
        <f t="shared" si="8"/>
        <v>0.01898613559</v>
      </c>
      <c r="S1432" s="7">
        <f t="shared" si="2"/>
        <v>1.004212142</v>
      </c>
      <c r="T1432" s="7">
        <f t="shared" si="3"/>
        <v>0.08062257748</v>
      </c>
      <c r="U1432" s="7">
        <f t="shared" si="4"/>
        <v>1</v>
      </c>
      <c r="V1432" s="7">
        <f t="shared" si="5"/>
        <v>1</v>
      </c>
      <c r="W1432" s="7">
        <f t="shared" ref="W1432:X1432" si="2807">IF(AVERAGE(U1372:U1431) &gt; 0.25, 1, 0)</f>
        <v>1</v>
      </c>
      <c r="X1432" s="7">
        <f t="shared" si="2807"/>
        <v>1</v>
      </c>
      <c r="Y1432" s="8">
        <v>1.0</v>
      </c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</row>
    <row r="1433" ht="22.5" customHeight="1">
      <c r="B1433" s="6">
        <v>1432.0</v>
      </c>
      <c r="C1433" s="6">
        <v>49199.0</v>
      </c>
      <c r="D1433" s="6">
        <v>2.39</v>
      </c>
      <c r="E1433" s="6">
        <v>-0.51</v>
      </c>
      <c r="F1433" s="6">
        <v>10.49</v>
      </c>
      <c r="G1433" s="6">
        <v>-0.12</v>
      </c>
      <c r="H1433" s="6">
        <v>-0.03</v>
      </c>
      <c r="I1433" s="6">
        <v>-0.01</v>
      </c>
      <c r="J1433" s="6">
        <v>33.34</v>
      </c>
      <c r="K1433" s="7">
        <f t="shared" ref="K1433:P1433" si="2808">abs(D1433-D1432)/200</f>
        <v>0.0006</v>
      </c>
      <c r="L1433" s="7">
        <f t="shared" si="2808"/>
        <v>0.00195</v>
      </c>
      <c r="M1433" s="7">
        <f t="shared" si="2808"/>
        <v>0.0001</v>
      </c>
      <c r="N1433" s="7">
        <f t="shared" si="2808"/>
        <v>0.00025</v>
      </c>
      <c r="O1433" s="7">
        <f t="shared" si="2808"/>
        <v>0.00015</v>
      </c>
      <c r="P1433" s="7">
        <f t="shared" si="2808"/>
        <v>0.00025</v>
      </c>
      <c r="Q1433" s="7">
        <f t="shared" si="7"/>
        <v>0.04347415898</v>
      </c>
      <c r="R1433" s="7">
        <f t="shared" si="8"/>
        <v>0.03331152927</v>
      </c>
      <c r="S1433" s="7">
        <f t="shared" si="2"/>
        <v>0.9709006123</v>
      </c>
      <c r="T1433" s="7">
        <f t="shared" si="3"/>
        <v>0.1240967365</v>
      </c>
      <c r="U1433" s="7">
        <f t="shared" si="4"/>
        <v>1</v>
      </c>
      <c r="V1433" s="7">
        <f t="shared" si="5"/>
        <v>0</v>
      </c>
      <c r="W1433" s="7">
        <f t="shared" ref="W1433:X1433" si="2809">IF(AVERAGE(U1373:U1432) &gt; 0.25, 1, 0)</f>
        <v>1</v>
      </c>
      <c r="X1433" s="7">
        <f t="shared" si="2809"/>
        <v>1</v>
      </c>
      <c r="Y1433" s="8">
        <v>1.0</v>
      </c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</row>
    <row r="1434" ht="22.5" customHeight="1">
      <c r="B1434" s="6">
        <v>1433.0</v>
      </c>
      <c r="C1434" s="6">
        <v>49403.0</v>
      </c>
      <c r="D1434" s="6">
        <v>2.4</v>
      </c>
      <c r="E1434" s="6">
        <v>-0.52</v>
      </c>
      <c r="F1434" s="6">
        <v>10.46</v>
      </c>
      <c r="G1434" s="6">
        <v>-0.11</v>
      </c>
      <c r="H1434" s="6">
        <v>0.0</v>
      </c>
      <c r="I1434" s="6">
        <v>0.0</v>
      </c>
      <c r="J1434" s="6">
        <v>33.35</v>
      </c>
      <c r="K1434" s="7">
        <f t="shared" ref="K1434:P1434" si="2810">abs(D1434-D1433)/200</f>
        <v>0.00005</v>
      </c>
      <c r="L1434" s="7">
        <f t="shared" si="2810"/>
        <v>0.00005</v>
      </c>
      <c r="M1434" s="7">
        <f t="shared" si="2810"/>
        <v>0.00015</v>
      </c>
      <c r="N1434" s="7">
        <f t="shared" si="2810"/>
        <v>0.00005</v>
      </c>
      <c r="O1434" s="7">
        <f t="shared" si="2810"/>
        <v>0.00015</v>
      </c>
      <c r="P1434" s="7">
        <f t="shared" si="2810"/>
        <v>0.00005</v>
      </c>
      <c r="Q1434" s="7">
        <f t="shared" si="7"/>
        <v>0.01409673646</v>
      </c>
      <c r="R1434" s="7">
        <f t="shared" si="8"/>
        <v>0.02650672525</v>
      </c>
      <c r="S1434" s="7">
        <f t="shared" si="2"/>
        <v>0.944393887</v>
      </c>
      <c r="T1434" s="7">
        <f t="shared" si="3"/>
        <v>0.11</v>
      </c>
      <c r="U1434" s="7">
        <f t="shared" si="4"/>
        <v>0</v>
      </c>
      <c r="V1434" s="7">
        <f t="shared" si="5"/>
        <v>0</v>
      </c>
      <c r="W1434" s="7">
        <f t="shared" ref="W1434:X1434" si="2811">IF(AVERAGE(U1374:U1433) &gt; 0.25, 1, 0)</f>
        <v>1</v>
      </c>
      <c r="X1434" s="7">
        <f t="shared" si="2811"/>
        <v>1</v>
      </c>
      <c r="Y1434" s="8">
        <v>1.0</v>
      </c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</row>
    <row r="1435" ht="22.5" customHeight="1">
      <c r="B1435" s="6">
        <v>1434.0</v>
      </c>
      <c r="C1435" s="6">
        <v>49607.0</v>
      </c>
      <c r="D1435" s="6">
        <v>2.43</v>
      </c>
      <c r="E1435" s="6">
        <v>-0.52</v>
      </c>
      <c r="F1435" s="6">
        <v>10.52</v>
      </c>
      <c r="G1435" s="6">
        <v>-0.12</v>
      </c>
      <c r="H1435" s="6">
        <v>-0.02</v>
      </c>
      <c r="I1435" s="6">
        <v>0.02</v>
      </c>
      <c r="J1435" s="6">
        <v>33.34</v>
      </c>
      <c r="K1435" s="7">
        <f t="shared" ref="K1435:P1435" si="2812">abs(D1435-D1434)/200</f>
        <v>0.00015</v>
      </c>
      <c r="L1435" s="7">
        <f t="shared" si="2812"/>
        <v>0</v>
      </c>
      <c r="M1435" s="7">
        <f t="shared" si="2812"/>
        <v>0.0003</v>
      </c>
      <c r="N1435" s="7">
        <f t="shared" si="2812"/>
        <v>0.00005</v>
      </c>
      <c r="O1435" s="7">
        <f t="shared" si="2812"/>
        <v>0.0001</v>
      </c>
      <c r="P1435" s="7">
        <f t="shared" si="2812"/>
        <v>0.0001</v>
      </c>
      <c r="Q1435" s="7">
        <f t="shared" si="7"/>
        <v>0.01328828006</v>
      </c>
      <c r="R1435" s="7">
        <f t="shared" si="8"/>
        <v>0.06512506617</v>
      </c>
      <c r="S1435" s="7">
        <f t="shared" si="2"/>
        <v>1.009518953</v>
      </c>
      <c r="T1435" s="7">
        <f t="shared" si="3"/>
        <v>0.1232882801</v>
      </c>
      <c r="U1435" s="7">
        <f t="shared" si="4"/>
        <v>0</v>
      </c>
      <c r="V1435" s="7">
        <f t="shared" si="5"/>
        <v>0</v>
      </c>
      <c r="W1435" s="7">
        <f t="shared" ref="W1435:X1435" si="2813">IF(AVERAGE(U1375:U1434) &gt; 0.25, 1, 0)</f>
        <v>1</v>
      </c>
      <c r="X1435" s="7">
        <f t="shared" si="2813"/>
        <v>1</v>
      </c>
      <c r="Y1435" s="8">
        <v>1.0</v>
      </c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</row>
    <row r="1436" ht="22.5" customHeight="1">
      <c r="B1436" s="6">
        <v>1435.0</v>
      </c>
      <c r="C1436" s="6">
        <v>49811.0</v>
      </c>
      <c r="D1436" s="6">
        <v>2.44</v>
      </c>
      <c r="E1436" s="6">
        <v>-0.32</v>
      </c>
      <c r="F1436" s="6">
        <v>10.49</v>
      </c>
      <c r="G1436" s="6">
        <v>-0.13</v>
      </c>
      <c r="H1436" s="6">
        <v>0.0</v>
      </c>
      <c r="I1436" s="6">
        <v>-0.04</v>
      </c>
      <c r="J1436" s="6">
        <v>33.35</v>
      </c>
      <c r="K1436" s="7">
        <f t="shared" ref="K1436:P1436" si="2814">abs(D1436-D1435)/200</f>
        <v>0.00005</v>
      </c>
      <c r="L1436" s="7">
        <f t="shared" si="2814"/>
        <v>0.001</v>
      </c>
      <c r="M1436" s="7">
        <f t="shared" si="2814"/>
        <v>0.00015</v>
      </c>
      <c r="N1436" s="7">
        <f t="shared" si="2814"/>
        <v>0.00005</v>
      </c>
      <c r="O1436" s="7">
        <f t="shared" si="2814"/>
        <v>0.0001</v>
      </c>
      <c r="P1436" s="7">
        <f t="shared" si="2814"/>
        <v>0.0003</v>
      </c>
      <c r="Q1436" s="7">
        <f t="shared" si="7"/>
        <v>0.01272642503</v>
      </c>
      <c r="R1436" s="7">
        <f t="shared" si="8"/>
        <v>0.03472893206</v>
      </c>
      <c r="S1436" s="7">
        <f t="shared" si="2"/>
        <v>0.9747900212</v>
      </c>
      <c r="T1436" s="7">
        <f t="shared" si="3"/>
        <v>0.1360147051</v>
      </c>
      <c r="U1436" s="7">
        <f t="shared" si="4"/>
        <v>1</v>
      </c>
      <c r="V1436" s="7">
        <f t="shared" si="5"/>
        <v>0</v>
      </c>
      <c r="W1436" s="7">
        <f t="shared" ref="W1436:X1436" si="2815">IF(AVERAGE(U1376:U1435) &gt; 0.25, 1, 0)</f>
        <v>1</v>
      </c>
      <c r="X1436" s="7">
        <f t="shared" si="2815"/>
        <v>1</v>
      </c>
      <c r="Y1436" s="8">
        <v>1.0</v>
      </c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</row>
    <row r="1437" ht="22.5" customHeight="1">
      <c r="B1437" s="6">
        <v>1436.0</v>
      </c>
      <c r="C1437" s="6">
        <v>50015.0</v>
      </c>
      <c r="D1437" s="6">
        <v>2.42</v>
      </c>
      <c r="E1437" s="6">
        <v>-0.49</v>
      </c>
      <c r="F1437" s="6">
        <v>10.43</v>
      </c>
      <c r="G1437" s="6">
        <v>-0.07</v>
      </c>
      <c r="H1437" s="6">
        <v>0.03</v>
      </c>
      <c r="I1437" s="6">
        <v>-0.01</v>
      </c>
      <c r="J1437" s="6">
        <v>33.35</v>
      </c>
      <c r="K1437" s="7">
        <f t="shared" ref="K1437:P1437" si="2816">abs(D1437-D1436)/200</f>
        <v>0.0001</v>
      </c>
      <c r="L1437" s="7">
        <f t="shared" si="2816"/>
        <v>0.00085</v>
      </c>
      <c r="M1437" s="7">
        <f t="shared" si="2816"/>
        <v>0.0003</v>
      </c>
      <c r="N1437" s="7">
        <f t="shared" si="2816"/>
        <v>0.0003</v>
      </c>
      <c r="O1437" s="7">
        <f t="shared" si="2816"/>
        <v>0.00015</v>
      </c>
      <c r="P1437" s="7">
        <f t="shared" si="2816"/>
        <v>0.00015</v>
      </c>
      <c r="Q1437" s="7">
        <f t="shared" si="7"/>
        <v>0.05920324761</v>
      </c>
      <c r="R1437" s="7">
        <f t="shared" si="8"/>
        <v>0.05651590636</v>
      </c>
      <c r="S1437" s="7">
        <f t="shared" si="2"/>
        <v>0.9182741148</v>
      </c>
      <c r="T1437" s="7">
        <f t="shared" si="3"/>
        <v>0.07681145748</v>
      </c>
      <c r="U1437" s="7">
        <f t="shared" si="4"/>
        <v>1</v>
      </c>
      <c r="V1437" s="7">
        <f t="shared" si="5"/>
        <v>0</v>
      </c>
      <c r="W1437" s="7">
        <f t="shared" ref="W1437:X1437" si="2817">IF(AVERAGE(U1377:U1436) &gt; 0.25, 1, 0)</f>
        <v>1</v>
      </c>
      <c r="X1437" s="7">
        <f t="shared" si="2817"/>
        <v>1</v>
      </c>
      <c r="Y1437" s="8">
        <v>1.0</v>
      </c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</row>
    <row r="1438" ht="22.5" customHeight="1">
      <c r="B1438" s="6">
        <v>1437.0</v>
      </c>
      <c r="C1438" s="6">
        <v>50219.0</v>
      </c>
      <c r="D1438" s="6">
        <v>2.4</v>
      </c>
      <c r="E1438" s="6">
        <v>-0.39</v>
      </c>
      <c r="F1438" s="6">
        <v>10.49</v>
      </c>
      <c r="G1438" s="6">
        <v>-0.07</v>
      </c>
      <c r="H1438" s="6">
        <v>-0.01</v>
      </c>
      <c r="I1438" s="6">
        <v>-0.02</v>
      </c>
      <c r="J1438" s="6">
        <v>33.34</v>
      </c>
      <c r="K1438" s="7">
        <f t="shared" ref="K1438:P1438" si="2818">abs(D1438-D1437)/200</f>
        <v>0.0001</v>
      </c>
      <c r="L1438" s="7">
        <f t="shared" si="2818"/>
        <v>0.0005</v>
      </c>
      <c r="M1438" s="7">
        <f t="shared" si="2818"/>
        <v>0.0003</v>
      </c>
      <c r="N1438" s="7">
        <f t="shared" si="2818"/>
        <v>0</v>
      </c>
      <c r="O1438" s="7">
        <f t="shared" si="2818"/>
        <v>0.0002</v>
      </c>
      <c r="P1438" s="7">
        <f t="shared" si="2818"/>
        <v>0.00005</v>
      </c>
      <c r="Q1438" s="7">
        <f t="shared" si="7"/>
        <v>0.003326765195</v>
      </c>
      <c r="R1438" s="7">
        <f t="shared" si="8"/>
        <v>0.04983621153</v>
      </c>
      <c r="S1438" s="7">
        <f t="shared" si="2"/>
        <v>0.9681103263</v>
      </c>
      <c r="T1438" s="7">
        <f t="shared" si="3"/>
        <v>0.07348469228</v>
      </c>
      <c r="U1438" s="7">
        <f t="shared" si="4"/>
        <v>1</v>
      </c>
      <c r="V1438" s="7">
        <f t="shared" si="5"/>
        <v>0</v>
      </c>
      <c r="W1438" s="7">
        <f t="shared" ref="W1438:X1438" si="2819">IF(AVERAGE(U1378:U1437) &gt; 0.25, 1, 0)</f>
        <v>1</v>
      </c>
      <c r="X1438" s="7">
        <f t="shared" si="2819"/>
        <v>1</v>
      </c>
      <c r="Y1438" s="8">
        <v>1.0</v>
      </c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</row>
    <row r="1439" ht="22.5" customHeight="1">
      <c r="B1439" s="6">
        <v>1438.0</v>
      </c>
      <c r="C1439" s="6">
        <v>50423.0</v>
      </c>
      <c r="D1439" s="6">
        <v>2.38</v>
      </c>
      <c r="E1439" s="6">
        <v>-0.3</v>
      </c>
      <c r="F1439" s="6">
        <v>10.51</v>
      </c>
      <c r="G1439" s="6">
        <v>-0.1</v>
      </c>
      <c r="H1439" s="6">
        <v>0.01</v>
      </c>
      <c r="I1439" s="6">
        <v>-0.01</v>
      </c>
      <c r="J1439" s="6">
        <v>33.36</v>
      </c>
      <c r="K1439" s="7">
        <f t="shared" ref="K1439:P1439" si="2820">abs(D1439-D1438)/200</f>
        <v>0.0001</v>
      </c>
      <c r="L1439" s="7">
        <f t="shared" si="2820"/>
        <v>0.00045</v>
      </c>
      <c r="M1439" s="7">
        <f t="shared" si="2820"/>
        <v>0.0001</v>
      </c>
      <c r="N1439" s="7">
        <f t="shared" si="2820"/>
        <v>0.00015</v>
      </c>
      <c r="O1439" s="7">
        <f t="shared" si="2820"/>
        <v>0.0001</v>
      </c>
      <c r="P1439" s="7">
        <f t="shared" si="2820"/>
        <v>0.00005</v>
      </c>
      <c r="Q1439" s="7">
        <f t="shared" si="7"/>
        <v>0.0275103571</v>
      </c>
      <c r="R1439" s="7">
        <f t="shared" si="8"/>
        <v>0.01217260131</v>
      </c>
      <c r="S1439" s="7">
        <f t="shared" si="2"/>
        <v>0.9802829276</v>
      </c>
      <c r="T1439" s="7">
        <f t="shared" si="3"/>
        <v>0.1009950494</v>
      </c>
      <c r="U1439" s="7">
        <f t="shared" si="4"/>
        <v>1</v>
      </c>
      <c r="V1439" s="7">
        <f t="shared" si="5"/>
        <v>0</v>
      </c>
      <c r="W1439" s="7">
        <f t="shared" ref="W1439:X1439" si="2821">IF(AVERAGE(U1379:U1438) &gt; 0.25, 1, 0)</f>
        <v>1</v>
      </c>
      <c r="X1439" s="7">
        <f t="shared" si="2821"/>
        <v>1</v>
      </c>
      <c r="Y1439" s="8">
        <v>1.0</v>
      </c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</row>
    <row r="1440" ht="22.5" customHeight="1">
      <c r="B1440" s="6">
        <v>1439.0</v>
      </c>
      <c r="C1440" s="6">
        <v>50627.0</v>
      </c>
      <c r="D1440" s="6">
        <v>2.41</v>
      </c>
      <c r="E1440" s="6">
        <v>-0.63</v>
      </c>
      <c r="F1440" s="6">
        <v>10.49</v>
      </c>
      <c r="G1440" s="6">
        <v>-0.06</v>
      </c>
      <c r="H1440" s="6">
        <v>0.02</v>
      </c>
      <c r="I1440" s="6">
        <v>0.02</v>
      </c>
      <c r="J1440" s="6">
        <v>33.34</v>
      </c>
      <c r="K1440" s="7">
        <f t="shared" ref="K1440:P1440" si="2822">abs(D1440-D1439)/200</f>
        <v>0.00015</v>
      </c>
      <c r="L1440" s="7">
        <f t="shared" si="2822"/>
        <v>0.00165</v>
      </c>
      <c r="M1440" s="7">
        <f t="shared" si="2822"/>
        <v>0.0001</v>
      </c>
      <c r="N1440" s="7">
        <f t="shared" si="2822"/>
        <v>0.0002</v>
      </c>
      <c r="O1440" s="7">
        <f t="shared" si="2822"/>
        <v>0.00005</v>
      </c>
      <c r="P1440" s="7">
        <f t="shared" si="2822"/>
        <v>0.00015</v>
      </c>
      <c r="Q1440" s="7">
        <f t="shared" si="7"/>
        <v>0.03466255358</v>
      </c>
      <c r="R1440" s="7">
        <f t="shared" si="8"/>
        <v>0.001419164329</v>
      </c>
      <c r="S1440" s="7">
        <f t="shared" si="2"/>
        <v>0.981702092</v>
      </c>
      <c r="T1440" s="7">
        <f t="shared" si="3"/>
        <v>0.06633249581</v>
      </c>
      <c r="U1440" s="7">
        <f t="shared" si="4"/>
        <v>1</v>
      </c>
      <c r="V1440" s="7">
        <f t="shared" si="5"/>
        <v>0</v>
      </c>
      <c r="W1440" s="7">
        <f t="shared" ref="W1440:X1440" si="2823">IF(AVERAGE(U1380:U1439) &gt; 0.25, 1, 0)</f>
        <v>1</v>
      </c>
      <c r="X1440" s="7">
        <f t="shared" si="2823"/>
        <v>1</v>
      </c>
      <c r="Y1440" s="8">
        <v>1.0</v>
      </c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</row>
    <row r="1441" ht="22.5" customHeight="1">
      <c r="B1441" s="6">
        <v>1440.0</v>
      </c>
      <c r="C1441" s="6">
        <v>50831.0</v>
      </c>
      <c r="D1441" s="6">
        <v>2.39</v>
      </c>
      <c r="E1441" s="6">
        <v>-0.62</v>
      </c>
      <c r="F1441" s="6">
        <v>10.57</v>
      </c>
      <c r="G1441" s="6">
        <v>-0.08</v>
      </c>
      <c r="H1441" s="6">
        <v>-0.02</v>
      </c>
      <c r="I1441" s="6">
        <v>0.0</v>
      </c>
      <c r="J1441" s="6">
        <v>33.34</v>
      </c>
      <c r="K1441" s="7">
        <f t="shared" ref="K1441:P1441" si="2824">abs(D1441-D1440)/200</f>
        <v>0.0001</v>
      </c>
      <c r="L1441" s="7">
        <f t="shared" si="2824"/>
        <v>0.00005</v>
      </c>
      <c r="M1441" s="7">
        <f t="shared" si="2824"/>
        <v>0.0004</v>
      </c>
      <c r="N1441" s="7">
        <f t="shared" si="2824"/>
        <v>0.0001</v>
      </c>
      <c r="O1441" s="7">
        <f t="shared" si="2824"/>
        <v>0.0002</v>
      </c>
      <c r="P1441" s="7">
        <f t="shared" si="2824"/>
        <v>0.0001</v>
      </c>
      <c r="Q1441" s="7">
        <f t="shared" si="7"/>
        <v>0.01612961671</v>
      </c>
      <c r="R1441" s="7">
        <f t="shared" si="8"/>
        <v>0.07285455489</v>
      </c>
      <c r="S1441" s="7">
        <f t="shared" si="2"/>
        <v>1.054556647</v>
      </c>
      <c r="T1441" s="7">
        <f t="shared" si="3"/>
        <v>0.08246211251</v>
      </c>
      <c r="U1441" s="7">
        <f t="shared" si="4"/>
        <v>1</v>
      </c>
      <c r="V1441" s="7">
        <f t="shared" si="5"/>
        <v>0</v>
      </c>
      <c r="W1441" s="7">
        <f t="shared" ref="W1441:X1441" si="2825">IF(AVERAGE(U1381:U1440) &gt; 0.25, 1, 0)</f>
        <v>1</v>
      </c>
      <c r="X1441" s="7">
        <f t="shared" si="2825"/>
        <v>1</v>
      </c>
      <c r="Y1441" s="8">
        <v>1.0</v>
      </c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</row>
    <row r="1442" ht="22.5" customHeight="1">
      <c r="B1442" s="6">
        <v>1441.0</v>
      </c>
      <c r="C1442" s="6">
        <v>51035.0</v>
      </c>
      <c r="D1442" s="6">
        <v>2.41</v>
      </c>
      <c r="E1442" s="6">
        <v>-0.62</v>
      </c>
      <c r="F1442" s="6">
        <v>10.47</v>
      </c>
      <c r="G1442" s="6">
        <v>-0.14</v>
      </c>
      <c r="H1442" s="6">
        <v>0.0</v>
      </c>
      <c r="I1442" s="6">
        <v>0.01</v>
      </c>
      <c r="J1442" s="6">
        <v>33.34</v>
      </c>
      <c r="K1442" s="7">
        <f t="shared" ref="K1442:P1442" si="2826">abs(D1442-D1441)/200</f>
        <v>0.0001</v>
      </c>
      <c r="L1442" s="7">
        <f t="shared" si="2826"/>
        <v>0</v>
      </c>
      <c r="M1442" s="7">
        <f t="shared" si="2826"/>
        <v>0.0005</v>
      </c>
      <c r="N1442" s="7">
        <f t="shared" si="2826"/>
        <v>0.0003</v>
      </c>
      <c r="O1442" s="7">
        <f t="shared" si="2826"/>
        <v>0.0001</v>
      </c>
      <c r="P1442" s="7">
        <f t="shared" si="2826"/>
        <v>0.00005</v>
      </c>
      <c r="Q1442" s="7">
        <f t="shared" si="7"/>
        <v>0.05789457596</v>
      </c>
      <c r="R1442" s="7">
        <f t="shared" si="8"/>
        <v>0.09289320667</v>
      </c>
      <c r="S1442" s="7">
        <f t="shared" si="2"/>
        <v>0.9616634402</v>
      </c>
      <c r="T1442" s="7">
        <f t="shared" si="3"/>
        <v>0.1403566885</v>
      </c>
      <c r="U1442" s="7">
        <f t="shared" si="4"/>
        <v>1</v>
      </c>
      <c r="V1442" s="7">
        <f t="shared" si="5"/>
        <v>0</v>
      </c>
      <c r="W1442" s="7">
        <f t="shared" ref="W1442:X1442" si="2827">IF(AVERAGE(U1382:U1441) &gt; 0.25, 1, 0)</f>
        <v>1</v>
      </c>
      <c r="X1442" s="7">
        <f t="shared" si="2827"/>
        <v>1</v>
      </c>
      <c r="Y1442" s="8">
        <v>1.0</v>
      </c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</row>
    <row r="1443" ht="22.5" customHeight="1">
      <c r="B1443" s="6">
        <v>1442.0</v>
      </c>
      <c r="C1443" s="6">
        <v>51239.0</v>
      </c>
      <c r="D1443" s="6">
        <v>2.37</v>
      </c>
      <c r="E1443" s="6">
        <v>-0.59</v>
      </c>
      <c r="F1443" s="6">
        <v>10.48</v>
      </c>
      <c r="G1443" s="6">
        <v>-0.12</v>
      </c>
      <c r="H1443" s="6">
        <v>-0.01</v>
      </c>
      <c r="I1443" s="6">
        <v>-0.02</v>
      </c>
      <c r="J1443" s="6">
        <v>33.33</v>
      </c>
      <c r="K1443" s="7">
        <f t="shared" ref="K1443:P1443" si="2828">abs(D1443-D1442)/200</f>
        <v>0.0002</v>
      </c>
      <c r="L1443" s="7">
        <f t="shared" si="2828"/>
        <v>0.00015</v>
      </c>
      <c r="M1443" s="7">
        <f t="shared" si="2828"/>
        <v>0.00005</v>
      </c>
      <c r="N1443" s="7">
        <f t="shared" si="2828"/>
        <v>0.0001</v>
      </c>
      <c r="O1443" s="7">
        <f t="shared" si="2828"/>
        <v>0.00005</v>
      </c>
      <c r="P1443" s="7">
        <f t="shared" si="2828"/>
        <v>0.00015</v>
      </c>
      <c r="Q1443" s="7">
        <f t="shared" si="7"/>
        <v>0.01829113232</v>
      </c>
      <c r="R1443" s="7">
        <f t="shared" si="8"/>
        <v>0.0008363344364</v>
      </c>
      <c r="S1443" s="7">
        <f t="shared" si="2"/>
        <v>0.9608271058</v>
      </c>
      <c r="T1443" s="7">
        <f t="shared" si="3"/>
        <v>0.1220655562</v>
      </c>
      <c r="U1443" s="7">
        <f t="shared" si="4"/>
        <v>0</v>
      </c>
      <c r="V1443" s="7">
        <f t="shared" si="5"/>
        <v>0</v>
      </c>
      <c r="W1443" s="7">
        <f t="shared" ref="W1443:X1443" si="2829">IF(AVERAGE(U1383:U1442) &gt; 0.25, 1, 0)</f>
        <v>1</v>
      </c>
      <c r="X1443" s="7">
        <f t="shared" si="2829"/>
        <v>0</v>
      </c>
      <c r="Y1443" s="8">
        <v>1.0</v>
      </c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</row>
    <row r="1444" ht="22.5" customHeight="1">
      <c r="B1444" s="6">
        <v>1443.0</v>
      </c>
      <c r="C1444" s="6">
        <v>51443.0</v>
      </c>
      <c r="D1444" s="6">
        <v>2.43</v>
      </c>
      <c r="E1444" s="6">
        <v>-0.4</v>
      </c>
      <c r="F1444" s="6">
        <v>10.48</v>
      </c>
      <c r="G1444" s="6">
        <v>-0.1</v>
      </c>
      <c r="H1444" s="6">
        <v>-0.01</v>
      </c>
      <c r="I1444" s="6">
        <v>-0.01</v>
      </c>
      <c r="J1444" s="6">
        <v>33.33</v>
      </c>
      <c r="K1444" s="7">
        <f t="shared" ref="K1444:P1444" si="2830">abs(D1444-D1443)/200</f>
        <v>0.0003</v>
      </c>
      <c r="L1444" s="7">
        <f t="shared" si="2830"/>
        <v>0.00095</v>
      </c>
      <c r="M1444" s="7">
        <f t="shared" si="2830"/>
        <v>0</v>
      </c>
      <c r="N1444" s="7">
        <f t="shared" si="2830"/>
        <v>0.0001</v>
      </c>
      <c r="O1444" s="7">
        <f t="shared" si="2830"/>
        <v>0</v>
      </c>
      <c r="P1444" s="7">
        <f t="shared" si="2830"/>
        <v>0.00005</v>
      </c>
      <c r="Q1444" s="7">
        <f t="shared" si="7"/>
        <v>0.02107050677</v>
      </c>
      <c r="R1444" s="7">
        <f t="shared" si="8"/>
        <v>0.004640835768</v>
      </c>
      <c r="S1444" s="7">
        <f t="shared" si="2"/>
        <v>0.9654679415</v>
      </c>
      <c r="T1444" s="7">
        <f t="shared" si="3"/>
        <v>0.1009950494</v>
      </c>
      <c r="U1444" s="7">
        <f t="shared" si="4"/>
        <v>1</v>
      </c>
      <c r="V1444" s="7">
        <f t="shared" si="5"/>
        <v>0</v>
      </c>
      <c r="W1444" s="7">
        <f t="shared" ref="W1444:X1444" si="2831">IF(AVERAGE(U1384:U1443) &gt; 0.25, 1, 0)</f>
        <v>1</v>
      </c>
      <c r="X1444" s="7">
        <f t="shared" si="2831"/>
        <v>0</v>
      </c>
      <c r="Y1444" s="8">
        <v>1.0</v>
      </c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</row>
    <row r="1445" ht="22.5" customHeight="1">
      <c r="B1445" s="6">
        <v>1444.0</v>
      </c>
      <c r="C1445" s="6">
        <v>51647.0</v>
      </c>
      <c r="D1445" s="6">
        <v>2.46</v>
      </c>
      <c r="E1445" s="6">
        <v>-0.45</v>
      </c>
      <c r="F1445" s="6">
        <v>10.41</v>
      </c>
      <c r="G1445" s="6">
        <v>-0.09</v>
      </c>
      <c r="H1445" s="6">
        <v>0.01</v>
      </c>
      <c r="I1445" s="6">
        <v>-0.03</v>
      </c>
      <c r="J1445" s="6">
        <v>33.34</v>
      </c>
      <c r="K1445" s="7">
        <f t="shared" ref="K1445:P1445" si="2832">abs(D1445-D1444)/200</f>
        <v>0.00015</v>
      </c>
      <c r="L1445" s="7">
        <f t="shared" si="2832"/>
        <v>0.00025</v>
      </c>
      <c r="M1445" s="7">
        <f t="shared" si="2832"/>
        <v>0.00035</v>
      </c>
      <c r="N1445" s="7">
        <f t="shared" si="2832"/>
        <v>0.00005</v>
      </c>
      <c r="O1445" s="7">
        <f t="shared" si="2832"/>
        <v>0.0001</v>
      </c>
      <c r="P1445" s="7">
        <f t="shared" si="2832"/>
        <v>0.0001</v>
      </c>
      <c r="Q1445" s="7">
        <f t="shared" si="7"/>
        <v>0.005601129242</v>
      </c>
      <c r="R1445" s="7">
        <f t="shared" si="8"/>
        <v>0.05929215369</v>
      </c>
      <c r="S1445" s="7">
        <f t="shared" si="2"/>
        <v>0.9061757878</v>
      </c>
      <c r="T1445" s="7">
        <f t="shared" si="3"/>
        <v>0.09539392014</v>
      </c>
      <c r="U1445" s="7">
        <f t="shared" si="4"/>
        <v>1</v>
      </c>
      <c r="V1445" s="7">
        <f t="shared" si="5"/>
        <v>0</v>
      </c>
      <c r="W1445" s="7">
        <f t="shared" ref="W1445:X1445" si="2833">IF(AVERAGE(U1385:U1444) &gt; 0.25, 1, 0)</f>
        <v>1</v>
      </c>
      <c r="X1445" s="7">
        <f t="shared" si="2833"/>
        <v>0</v>
      </c>
      <c r="Y1445" s="8">
        <v>1.0</v>
      </c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</row>
    <row r="1446" ht="22.5" customHeight="1">
      <c r="B1446" s="6">
        <v>1445.0</v>
      </c>
      <c r="C1446" s="6">
        <v>51851.0</v>
      </c>
      <c r="D1446" s="6">
        <v>2.38</v>
      </c>
      <c r="E1446" s="6">
        <v>-0.34</v>
      </c>
      <c r="F1446" s="6">
        <v>10.52</v>
      </c>
      <c r="G1446" s="6">
        <v>-0.09</v>
      </c>
      <c r="H1446" s="6">
        <v>0.01</v>
      </c>
      <c r="I1446" s="6">
        <v>-0.03</v>
      </c>
      <c r="J1446" s="6">
        <v>33.33</v>
      </c>
      <c r="K1446" s="7">
        <f t="shared" ref="K1446:P1446" si="2834">abs(D1446-D1445)/200</f>
        <v>0.0004</v>
      </c>
      <c r="L1446" s="7">
        <f t="shared" si="2834"/>
        <v>0.00055</v>
      </c>
      <c r="M1446" s="7">
        <f t="shared" si="2834"/>
        <v>0.00055</v>
      </c>
      <c r="N1446" s="7">
        <f t="shared" si="2834"/>
        <v>0</v>
      </c>
      <c r="O1446" s="7">
        <f t="shared" si="2834"/>
        <v>0</v>
      </c>
      <c r="P1446" s="7">
        <f t="shared" si="2834"/>
        <v>0</v>
      </c>
      <c r="Q1446" s="7">
        <f t="shared" si="7"/>
        <v>0</v>
      </c>
      <c r="R1446" s="7">
        <f t="shared" si="8"/>
        <v>0.08504286439</v>
      </c>
      <c r="S1446" s="7">
        <f t="shared" si="2"/>
        <v>0.9912186522</v>
      </c>
      <c r="T1446" s="7">
        <f t="shared" si="3"/>
        <v>0.09539392014</v>
      </c>
      <c r="U1446" s="7">
        <f t="shared" si="4"/>
        <v>1</v>
      </c>
      <c r="V1446" s="7">
        <f t="shared" si="5"/>
        <v>0</v>
      </c>
      <c r="W1446" s="7">
        <f t="shared" ref="W1446:X1446" si="2835">IF(AVERAGE(U1386:U1445) &gt; 0.25, 1, 0)</f>
        <v>1</v>
      </c>
      <c r="X1446" s="7">
        <f t="shared" si="2835"/>
        <v>0</v>
      </c>
      <c r="Y1446" s="8">
        <v>1.0</v>
      </c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</row>
    <row r="1447" ht="22.5" customHeight="1">
      <c r="B1447" s="6">
        <v>1446.0</v>
      </c>
      <c r="C1447" s="6">
        <v>52055.0</v>
      </c>
      <c r="D1447" s="6">
        <v>2.4</v>
      </c>
      <c r="E1447" s="6">
        <v>-0.43</v>
      </c>
      <c r="F1447" s="6">
        <v>10.49</v>
      </c>
      <c r="G1447" s="6">
        <v>-0.09</v>
      </c>
      <c r="H1447" s="6">
        <v>0.01</v>
      </c>
      <c r="I1447" s="6">
        <v>0.0</v>
      </c>
      <c r="J1447" s="6">
        <v>33.33</v>
      </c>
      <c r="K1447" s="7">
        <f t="shared" ref="K1447:P1447" si="2836">abs(D1447-D1446)/200</f>
        <v>0.0001</v>
      </c>
      <c r="L1447" s="7">
        <f t="shared" si="2836"/>
        <v>0.00045</v>
      </c>
      <c r="M1447" s="7">
        <f t="shared" si="2836"/>
        <v>0.00015</v>
      </c>
      <c r="N1447" s="7">
        <f t="shared" si="2836"/>
        <v>0</v>
      </c>
      <c r="O1447" s="7">
        <f t="shared" si="2836"/>
        <v>0</v>
      </c>
      <c r="P1447" s="7">
        <f t="shared" si="2836"/>
        <v>0.00015</v>
      </c>
      <c r="Q1447" s="7">
        <f t="shared" si="7"/>
        <v>0.00484006876</v>
      </c>
      <c r="R1447" s="7">
        <f t="shared" si="8"/>
        <v>0.02158541798</v>
      </c>
      <c r="S1447" s="7">
        <f t="shared" si="2"/>
        <v>0.9696332342</v>
      </c>
      <c r="T1447" s="7">
        <f t="shared" si="3"/>
        <v>0.09055385138</v>
      </c>
      <c r="U1447" s="7">
        <f t="shared" si="4"/>
        <v>1</v>
      </c>
      <c r="V1447" s="7">
        <f t="shared" si="5"/>
        <v>0</v>
      </c>
      <c r="W1447" s="7">
        <f t="shared" ref="W1447:X1447" si="2837">IF(AVERAGE(U1387:U1446) &gt; 0.25, 1, 0)</f>
        <v>1</v>
      </c>
      <c r="X1447" s="7">
        <f t="shared" si="2837"/>
        <v>0</v>
      </c>
      <c r="Y1447" s="8">
        <v>1.0</v>
      </c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</row>
    <row r="1448" ht="22.5" customHeight="1">
      <c r="B1448" s="6">
        <v>1447.0</v>
      </c>
      <c r="C1448" s="6">
        <v>52259.0</v>
      </c>
      <c r="D1448" s="6">
        <v>2.36</v>
      </c>
      <c r="E1448" s="6">
        <v>-0.67</v>
      </c>
      <c r="F1448" s="6">
        <v>10.49</v>
      </c>
      <c r="G1448" s="6">
        <v>-0.07</v>
      </c>
      <c r="H1448" s="6">
        <v>0.01</v>
      </c>
      <c r="I1448" s="6">
        <v>0.04</v>
      </c>
      <c r="J1448" s="6">
        <v>33.34</v>
      </c>
      <c r="K1448" s="7">
        <f t="shared" ref="K1448:P1448" si="2838">abs(D1448-D1447)/200</f>
        <v>0.0002</v>
      </c>
      <c r="L1448" s="7">
        <f t="shared" si="2838"/>
        <v>0.0012</v>
      </c>
      <c r="M1448" s="7">
        <f t="shared" si="2838"/>
        <v>0</v>
      </c>
      <c r="N1448" s="7">
        <f t="shared" si="2838"/>
        <v>0.0001</v>
      </c>
      <c r="O1448" s="7">
        <f t="shared" si="2838"/>
        <v>0</v>
      </c>
      <c r="P1448" s="7">
        <f t="shared" si="2838"/>
        <v>0.0002</v>
      </c>
      <c r="Q1448" s="7">
        <f t="shared" si="7"/>
        <v>0.009313467335</v>
      </c>
      <c r="R1448" s="7">
        <f t="shared" si="8"/>
        <v>0.00341647325</v>
      </c>
      <c r="S1448" s="7">
        <f t="shared" si="2"/>
        <v>0.9730497075</v>
      </c>
      <c r="T1448" s="7">
        <f t="shared" si="3"/>
        <v>0.08124038405</v>
      </c>
      <c r="U1448" s="7">
        <f t="shared" si="4"/>
        <v>1</v>
      </c>
      <c r="V1448" s="7">
        <f t="shared" si="5"/>
        <v>0</v>
      </c>
      <c r="W1448" s="7">
        <f t="shared" ref="W1448:X1448" si="2839">IF(AVERAGE(U1388:U1447) &gt; 0.25, 1, 0)</f>
        <v>1</v>
      </c>
      <c r="X1448" s="7">
        <f t="shared" si="2839"/>
        <v>0</v>
      </c>
      <c r="Y1448" s="8">
        <v>1.0</v>
      </c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</row>
    <row r="1449" ht="22.5" customHeight="1">
      <c r="B1449" s="6">
        <v>1448.0</v>
      </c>
      <c r="C1449" s="6">
        <v>52463.0</v>
      </c>
      <c r="D1449" s="6">
        <v>2.37</v>
      </c>
      <c r="E1449" s="6">
        <v>-0.5</v>
      </c>
      <c r="F1449" s="6">
        <v>10.53</v>
      </c>
      <c r="G1449" s="6">
        <v>-0.14</v>
      </c>
      <c r="H1449" s="6">
        <v>-0.03</v>
      </c>
      <c r="I1449" s="6">
        <v>0.0</v>
      </c>
      <c r="J1449" s="6">
        <v>33.33</v>
      </c>
      <c r="K1449" s="7">
        <f t="shared" ref="K1449:P1449" si="2840">abs(D1449-D1448)/200</f>
        <v>0.00005</v>
      </c>
      <c r="L1449" s="7">
        <f t="shared" si="2840"/>
        <v>0.00085</v>
      </c>
      <c r="M1449" s="7">
        <f t="shared" si="2840"/>
        <v>0.0002</v>
      </c>
      <c r="N1449" s="7">
        <f t="shared" si="2840"/>
        <v>0.00035</v>
      </c>
      <c r="O1449" s="7">
        <f t="shared" si="2840"/>
        <v>0.0002</v>
      </c>
      <c r="P1449" s="7">
        <f t="shared" si="2840"/>
        <v>0.0002</v>
      </c>
      <c r="Q1449" s="7">
        <f t="shared" si="7"/>
        <v>0.06193782659</v>
      </c>
      <c r="R1449" s="7">
        <f t="shared" si="8"/>
        <v>0.03193988066</v>
      </c>
      <c r="S1449" s="7">
        <f t="shared" si="2"/>
        <v>1.004989588</v>
      </c>
      <c r="T1449" s="7">
        <f t="shared" si="3"/>
        <v>0.1431782106</v>
      </c>
      <c r="U1449" s="7">
        <f t="shared" si="4"/>
        <v>1</v>
      </c>
      <c r="V1449" s="7">
        <f t="shared" si="5"/>
        <v>1</v>
      </c>
      <c r="W1449" s="7">
        <f t="shared" ref="W1449:X1449" si="2841">IF(AVERAGE(U1389:U1448) &gt; 0.25, 1, 0)</f>
        <v>1</v>
      </c>
      <c r="X1449" s="7">
        <f t="shared" si="2841"/>
        <v>0</v>
      </c>
      <c r="Y1449" s="8">
        <v>1.0</v>
      </c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</row>
    <row r="1450" ht="22.5" customHeight="1">
      <c r="B1450" s="6">
        <v>1449.0</v>
      </c>
      <c r="C1450" s="6">
        <v>52667.0</v>
      </c>
      <c r="D1450" s="6">
        <v>2.43</v>
      </c>
      <c r="E1450" s="6">
        <v>-0.66</v>
      </c>
      <c r="F1450" s="6">
        <v>10.48</v>
      </c>
      <c r="G1450" s="6">
        <v>-0.1</v>
      </c>
      <c r="H1450" s="6">
        <v>-0.01</v>
      </c>
      <c r="I1450" s="6">
        <v>0.06</v>
      </c>
      <c r="J1450" s="6">
        <v>33.34</v>
      </c>
      <c r="K1450" s="7">
        <f t="shared" ref="K1450:P1450" si="2842">abs(D1450-D1449)/200</f>
        <v>0.0003</v>
      </c>
      <c r="L1450" s="7">
        <f t="shared" si="2842"/>
        <v>0.0008</v>
      </c>
      <c r="M1450" s="7">
        <f t="shared" si="2842"/>
        <v>0.00025</v>
      </c>
      <c r="N1450" s="7">
        <f t="shared" si="2842"/>
        <v>0.0002</v>
      </c>
      <c r="O1450" s="7">
        <f t="shared" si="2842"/>
        <v>0.0001</v>
      </c>
      <c r="P1450" s="7">
        <f t="shared" si="2842"/>
        <v>0.0003</v>
      </c>
      <c r="Q1450" s="7">
        <f t="shared" si="7"/>
        <v>0.02613121153</v>
      </c>
      <c r="R1450" s="7">
        <f t="shared" si="8"/>
        <v>0.02672906059</v>
      </c>
      <c r="S1450" s="7">
        <f t="shared" si="2"/>
        <v>0.9782605276</v>
      </c>
      <c r="T1450" s="7">
        <f t="shared" si="3"/>
        <v>0.1170469991</v>
      </c>
      <c r="U1450" s="7">
        <f t="shared" si="4"/>
        <v>1</v>
      </c>
      <c r="V1450" s="7">
        <f t="shared" si="5"/>
        <v>0</v>
      </c>
      <c r="W1450" s="7">
        <f t="shared" ref="W1450:X1450" si="2843">IF(AVERAGE(U1390:U1449) &gt; 0.25, 1, 0)</f>
        <v>1</v>
      </c>
      <c r="X1450" s="7">
        <f t="shared" si="2843"/>
        <v>0</v>
      </c>
      <c r="Y1450" s="8">
        <v>1.0</v>
      </c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</row>
    <row r="1451" ht="22.5" customHeight="1">
      <c r="B1451" s="6">
        <v>1450.0</v>
      </c>
      <c r="C1451" s="6">
        <v>52871.0</v>
      </c>
      <c r="D1451" s="6">
        <v>2.36</v>
      </c>
      <c r="E1451" s="6">
        <v>-0.61</v>
      </c>
      <c r="F1451" s="6">
        <v>10.51</v>
      </c>
      <c r="G1451" s="6">
        <v>-0.1</v>
      </c>
      <c r="H1451" s="6">
        <v>-0.01</v>
      </c>
      <c r="I1451" s="6">
        <v>-0.05</v>
      </c>
      <c r="J1451" s="6">
        <v>33.33</v>
      </c>
      <c r="K1451" s="7">
        <f t="shared" ref="K1451:P1451" si="2844">abs(D1451-D1450)/200</f>
        <v>0.00035</v>
      </c>
      <c r="L1451" s="7">
        <f t="shared" si="2844"/>
        <v>0.00025</v>
      </c>
      <c r="M1451" s="7">
        <f t="shared" si="2844"/>
        <v>0.00015</v>
      </c>
      <c r="N1451" s="7">
        <f t="shared" si="2844"/>
        <v>0</v>
      </c>
      <c r="O1451" s="7">
        <f t="shared" si="2844"/>
        <v>0</v>
      </c>
      <c r="P1451" s="7">
        <f t="shared" si="2844"/>
        <v>0.00055</v>
      </c>
      <c r="Q1451" s="7">
        <f t="shared" si="7"/>
        <v>0.004797277504</v>
      </c>
      <c r="R1451" s="7">
        <f t="shared" si="8"/>
        <v>0.01070605872</v>
      </c>
      <c r="S1451" s="7">
        <f t="shared" si="2"/>
        <v>0.9889665863</v>
      </c>
      <c r="T1451" s="7">
        <f t="shared" si="3"/>
        <v>0.1122497216</v>
      </c>
      <c r="U1451" s="7">
        <f t="shared" si="4"/>
        <v>1</v>
      </c>
      <c r="V1451" s="7">
        <f t="shared" si="5"/>
        <v>1</v>
      </c>
      <c r="W1451" s="7">
        <f t="shared" ref="W1451:X1451" si="2845">IF(AVERAGE(U1391:U1450) &gt; 0.25, 1, 0)</f>
        <v>1</v>
      </c>
      <c r="X1451" s="7">
        <f t="shared" si="2845"/>
        <v>0</v>
      </c>
      <c r="Y1451" s="8">
        <v>1.0</v>
      </c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</row>
    <row r="1452" ht="22.5" customHeight="1">
      <c r="B1452" s="6">
        <v>1451.0</v>
      </c>
      <c r="C1452" s="6">
        <v>53075.0</v>
      </c>
      <c r="D1452" s="6">
        <v>2.32</v>
      </c>
      <c r="E1452" s="6">
        <v>-0.31</v>
      </c>
      <c r="F1452" s="6">
        <v>10.56</v>
      </c>
      <c r="G1452" s="6">
        <v>-0.27</v>
      </c>
      <c r="H1452" s="6">
        <v>0.05</v>
      </c>
      <c r="I1452" s="6">
        <v>-0.02</v>
      </c>
      <c r="J1452" s="6">
        <v>33.33</v>
      </c>
      <c r="K1452" s="7">
        <f t="shared" ref="K1452:P1452" si="2846">abs(D1452-D1451)/200</f>
        <v>0.0002</v>
      </c>
      <c r="L1452" s="7">
        <f t="shared" si="2846"/>
        <v>0.0015</v>
      </c>
      <c r="M1452" s="7">
        <f t="shared" si="2846"/>
        <v>0.00025</v>
      </c>
      <c r="N1452" s="7">
        <f t="shared" si="2846"/>
        <v>0.00085</v>
      </c>
      <c r="O1452" s="7">
        <f t="shared" si="2846"/>
        <v>0.0003</v>
      </c>
      <c r="P1452" s="7">
        <f t="shared" si="2846"/>
        <v>0.00015</v>
      </c>
      <c r="Q1452" s="7">
        <f t="shared" si="7"/>
        <v>0.1630682764</v>
      </c>
      <c r="R1452" s="7">
        <f t="shared" si="8"/>
        <v>0.02732205631</v>
      </c>
      <c r="S1452" s="7">
        <f t="shared" si="2"/>
        <v>1.016288643</v>
      </c>
      <c r="T1452" s="7">
        <f t="shared" si="3"/>
        <v>0.275317998</v>
      </c>
      <c r="U1452" s="7">
        <f t="shared" si="4"/>
        <v>1</v>
      </c>
      <c r="V1452" s="7">
        <f t="shared" si="5"/>
        <v>1</v>
      </c>
      <c r="W1452" s="7">
        <f t="shared" ref="W1452:X1452" si="2847">IF(AVERAGE(U1392:U1451) &gt; 0.25, 1, 0)</f>
        <v>1</v>
      </c>
      <c r="X1452" s="7">
        <f t="shared" si="2847"/>
        <v>0</v>
      </c>
      <c r="Y1452" s="8">
        <v>1.0</v>
      </c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</row>
    <row r="1453" ht="22.5" customHeight="1">
      <c r="B1453" s="6">
        <v>1452.0</v>
      </c>
      <c r="C1453" s="6">
        <v>53279.0</v>
      </c>
      <c r="D1453" s="6">
        <v>2.32</v>
      </c>
      <c r="E1453" s="6">
        <v>-0.64</v>
      </c>
      <c r="F1453" s="6">
        <v>10.5</v>
      </c>
      <c r="G1453" s="6">
        <v>0.04</v>
      </c>
      <c r="H1453" s="6">
        <v>-0.03</v>
      </c>
      <c r="I1453" s="6">
        <v>-0.02</v>
      </c>
      <c r="J1453" s="6">
        <v>33.33</v>
      </c>
      <c r="K1453" s="7">
        <f t="shared" ref="K1453:P1453" si="2848">abs(D1453-D1452)/200</f>
        <v>0</v>
      </c>
      <c r="L1453" s="7">
        <f t="shared" si="2848"/>
        <v>0.00165</v>
      </c>
      <c r="M1453" s="7">
        <f t="shared" si="2848"/>
        <v>0.0003</v>
      </c>
      <c r="N1453" s="7">
        <f t="shared" si="2848"/>
        <v>0.00155</v>
      </c>
      <c r="O1453" s="7">
        <f t="shared" si="2848"/>
        <v>0.0004</v>
      </c>
      <c r="P1453" s="7">
        <f t="shared" si="2848"/>
        <v>0</v>
      </c>
      <c r="Q1453" s="7">
        <f t="shared" si="7"/>
        <v>0.2214663499</v>
      </c>
      <c r="R1453" s="7">
        <f t="shared" si="8"/>
        <v>0.04400940374</v>
      </c>
      <c r="S1453" s="7">
        <f t="shared" si="2"/>
        <v>0.9722792389</v>
      </c>
      <c r="T1453" s="7">
        <f t="shared" si="3"/>
        <v>0.05385164807</v>
      </c>
      <c r="U1453" s="7">
        <f t="shared" si="4"/>
        <v>1</v>
      </c>
      <c r="V1453" s="7">
        <f t="shared" si="5"/>
        <v>1</v>
      </c>
      <c r="W1453" s="7">
        <f t="shared" ref="W1453:X1453" si="2849">IF(AVERAGE(U1393:U1452) &gt; 0.25, 1, 0)</f>
        <v>1</v>
      </c>
      <c r="X1453" s="7">
        <f t="shared" si="2849"/>
        <v>0</v>
      </c>
      <c r="Y1453" s="8">
        <v>1.0</v>
      </c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</row>
    <row r="1454" ht="22.5" customHeight="1">
      <c r="B1454" s="6">
        <v>1453.0</v>
      </c>
      <c r="C1454" s="6">
        <v>53483.0</v>
      </c>
      <c r="D1454" s="6">
        <v>2.35</v>
      </c>
      <c r="E1454" s="6">
        <v>-0.45</v>
      </c>
      <c r="F1454" s="6">
        <v>10.52</v>
      </c>
      <c r="G1454" s="6">
        <v>-0.09</v>
      </c>
      <c r="H1454" s="6">
        <v>0.02</v>
      </c>
      <c r="I1454" s="6">
        <v>-0.07</v>
      </c>
      <c r="J1454" s="6">
        <v>33.33</v>
      </c>
      <c r="K1454" s="7">
        <f t="shared" ref="K1454:P1454" si="2850">abs(D1454-D1453)/200</f>
        <v>0.00015</v>
      </c>
      <c r="L1454" s="7">
        <f t="shared" si="2850"/>
        <v>0.00095</v>
      </c>
      <c r="M1454" s="7">
        <f t="shared" si="2850"/>
        <v>0.0001</v>
      </c>
      <c r="N1454" s="7">
        <f t="shared" si="2850"/>
        <v>0.00065</v>
      </c>
      <c r="O1454" s="7">
        <f t="shared" si="2850"/>
        <v>0.00025</v>
      </c>
      <c r="P1454" s="7">
        <f t="shared" si="2850"/>
        <v>0.00025</v>
      </c>
      <c r="Q1454" s="7">
        <f t="shared" si="7"/>
        <v>0.06190672096</v>
      </c>
      <c r="R1454" s="7">
        <f t="shared" si="8"/>
        <v>0.01639074404</v>
      </c>
      <c r="S1454" s="7">
        <f t="shared" si="2"/>
        <v>0.9886699829</v>
      </c>
      <c r="T1454" s="7">
        <f t="shared" si="3"/>
        <v>0.115758369</v>
      </c>
      <c r="U1454" s="7">
        <f t="shared" si="4"/>
        <v>1</v>
      </c>
      <c r="V1454" s="7">
        <f t="shared" si="5"/>
        <v>1</v>
      </c>
      <c r="W1454" s="7">
        <f t="shared" ref="W1454:X1454" si="2851">IF(AVERAGE(U1394:U1453) &gt; 0.25, 1, 0)</f>
        <v>1</v>
      </c>
      <c r="X1454" s="7">
        <f t="shared" si="2851"/>
        <v>0</v>
      </c>
      <c r="Y1454" s="8">
        <v>1.0</v>
      </c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</row>
    <row r="1455" ht="22.5" customHeight="1">
      <c r="B1455" s="6">
        <v>1454.0</v>
      </c>
      <c r="C1455" s="6">
        <v>53687.0</v>
      </c>
      <c r="D1455" s="6">
        <v>2.35</v>
      </c>
      <c r="E1455" s="6">
        <v>-0.45</v>
      </c>
      <c r="F1455" s="6">
        <v>10.51</v>
      </c>
      <c r="G1455" s="6">
        <v>-0.05</v>
      </c>
      <c r="H1455" s="6">
        <v>0.01</v>
      </c>
      <c r="I1455" s="6">
        <v>0.02</v>
      </c>
      <c r="J1455" s="6">
        <v>33.33</v>
      </c>
      <c r="K1455" s="7">
        <f t="shared" ref="K1455:P1455" si="2852">abs(D1455-D1454)/200</f>
        <v>0</v>
      </c>
      <c r="L1455" s="7">
        <f t="shared" si="2852"/>
        <v>0</v>
      </c>
      <c r="M1455" s="7">
        <f t="shared" si="2852"/>
        <v>0.00005</v>
      </c>
      <c r="N1455" s="7">
        <f t="shared" si="2852"/>
        <v>0.0002</v>
      </c>
      <c r="O1455" s="7">
        <f t="shared" si="2852"/>
        <v>0.00005</v>
      </c>
      <c r="P1455" s="7">
        <f t="shared" si="2852"/>
        <v>0.00045</v>
      </c>
      <c r="Q1455" s="7">
        <f t="shared" si="7"/>
        <v>0.06098611328</v>
      </c>
      <c r="R1455" s="7">
        <f t="shared" si="8"/>
        <v>0.009750742089</v>
      </c>
      <c r="S1455" s="7">
        <f t="shared" si="2"/>
        <v>0.9789192408</v>
      </c>
      <c r="T1455" s="7">
        <f t="shared" si="3"/>
        <v>0.05477225575</v>
      </c>
      <c r="U1455" s="7">
        <f t="shared" si="4"/>
        <v>0</v>
      </c>
      <c r="V1455" s="7">
        <f t="shared" si="5"/>
        <v>1</v>
      </c>
      <c r="W1455" s="7">
        <f t="shared" ref="W1455:X1455" si="2853">IF(AVERAGE(U1395:U1454) &gt; 0.25, 1, 0)</f>
        <v>1</v>
      </c>
      <c r="X1455" s="7">
        <f t="shared" si="2853"/>
        <v>0</v>
      </c>
      <c r="Y1455" s="8">
        <v>1.0</v>
      </c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</row>
    <row r="1456" ht="22.5" customHeight="1">
      <c r="B1456" s="6">
        <v>1455.0</v>
      </c>
      <c r="C1456" s="6">
        <v>53891.0</v>
      </c>
      <c r="D1456" s="6">
        <v>2.28</v>
      </c>
      <c r="E1456" s="6">
        <v>-0.61</v>
      </c>
      <c r="F1456" s="6">
        <v>10.54</v>
      </c>
      <c r="G1456" s="6">
        <v>-0.09</v>
      </c>
      <c r="H1456" s="6">
        <v>0.02</v>
      </c>
      <c r="I1456" s="6">
        <v>0.03</v>
      </c>
      <c r="J1456" s="6">
        <v>33.34</v>
      </c>
      <c r="K1456" s="7">
        <f t="shared" ref="K1456:P1456" si="2854">abs(D1456-D1455)/200</f>
        <v>0.00035</v>
      </c>
      <c r="L1456" s="7">
        <f t="shared" si="2854"/>
        <v>0.0008</v>
      </c>
      <c r="M1456" s="7">
        <f t="shared" si="2854"/>
        <v>0.00015</v>
      </c>
      <c r="N1456" s="7">
        <f t="shared" si="2854"/>
        <v>0.0002</v>
      </c>
      <c r="O1456" s="7">
        <f t="shared" si="2854"/>
        <v>0.00005</v>
      </c>
      <c r="P1456" s="7">
        <f t="shared" si="2854"/>
        <v>0.00005</v>
      </c>
      <c r="Q1456" s="7">
        <f t="shared" si="7"/>
        <v>0.0421813414</v>
      </c>
      <c r="R1456" s="7">
        <f t="shared" si="8"/>
        <v>0.02210385887</v>
      </c>
      <c r="S1456" s="7">
        <f t="shared" si="2"/>
        <v>1.0010231</v>
      </c>
      <c r="T1456" s="7">
        <f t="shared" si="3"/>
        <v>0.09695359715</v>
      </c>
      <c r="U1456" s="7">
        <f t="shared" si="4"/>
        <v>1</v>
      </c>
      <c r="V1456" s="7">
        <f t="shared" si="5"/>
        <v>0</v>
      </c>
      <c r="W1456" s="7">
        <f t="shared" ref="W1456:X1456" si="2855">IF(AVERAGE(U1396:U1455) &gt; 0.25, 1, 0)</f>
        <v>1</v>
      </c>
      <c r="X1456" s="7">
        <f t="shared" si="2855"/>
        <v>1</v>
      </c>
      <c r="Y1456" s="8">
        <v>1.0</v>
      </c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</row>
    <row r="1457" ht="22.5" customHeight="1">
      <c r="B1457" s="6">
        <v>1456.0</v>
      </c>
      <c r="C1457" s="6">
        <v>54095.0</v>
      </c>
      <c r="D1457" s="6">
        <v>2.24</v>
      </c>
      <c r="E1457" s="6">
        <v>-0.73</v>
      </c>
      <c r="F1457" s="6">
        <v>10.62</v>
      </c>
      <c r="G1457" s="6">
        <v>-0.09</v>
      </c>
      <c r="H1457" s="6">
        <v>-0.03</v>
      </c>
      <c r="I1457" s="6">
        <v>0.03</v>
      </c>
      <c r="J1457" s="6">
        <v>33.33</v>
      </c>
      <c r="K1457" s="7">
        <f t="shared" ref="K1457:P1457" si="2856">abs(D1457-D1456)/200</f>
        <v>0.0002</v>
      </c>
      <c r="L1457" s="7">
        <f t="shared" si="2856"/>
        <v>0.0006</v>
      </c>
      <c r="M1457" s="7">
        <f t="shared" si="2856"/>
        <v>0.0004</v>
      </c>
      <c r="N1457" s="7">
        <f t="shared" si="2856"/>
        <v>0</v>
      </c>
      <c r="O1457" s="7">
        <f t="shared" si="2856"/>
        <v>0.00025</v>
      </c>
      <c r="P1457" s="7">
        <f t="shared" si="2856"/>
        <v>0</v>
      </c>
      <c r="Q1457" s="7">
        <f t="shared" si="7"/>
        <v>0.002545146562</v>
      </c>
      <c r="R1457" s="7">
        <f t="shared" si="8"/>
        <v>0.0771614915</v>
      </c>
      <c r="S1457" s="7">
        <f t="shared" si="2"/>
        <v>1.078184591</v>
      </c>
      <c r="T1457" s="7">
        <f t="shared" si="3"/>
        <v>0.09949874371</v>
      </c>
      <c r="U1457" s="7">
        <f t="shared" si="4"/>
        <v>1</v>
      </c>
      <c r="V1457" s="7">
        <f t="shared" si="5"/>
        <v>0</v>
      </c>
      <c r="W1457" s="7">
        <f t="shared" ref="W1457:X1457" si="2857">IF(AVERAGE(U1397:U1456) &gt; 0.25, 1, 0)</f>
        <v>1</v>
      </c>
      <c r="X1457" s="7">
        <f t="shared" si="2857"/>
        <v>1</v>
      </c>
      <c r="Y1457" s="8">
        <v>1.0</v>
      </c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</row>
    <row r="1458" ht="22.5" customHeight="1">
      <c r="B1458" s="6">
        <v>1457.0</v>
      </c>
      <c r="C1458" s="6">
        <v>54299.0</v>
      </c>
      <c r="D1458" s="6">
        <v>2.49</v>
      </c>
      <c r="E1458" s="6">
        <v>-0.91</v>
      </c>
      <c r="F1458" s="6">
        <v>10.42</v>
      </c>
      <c r="G1458" s="6">
        <v>-0.12</v>
      </c>
      <c r="H1458" s="6">
        <v>-0.12</v>
      </c>
      <c r="I1458" s="6">
        <v>0.2</v>
      </c>
      <c r="J1458" s="6">
        <v>33.33</v>
      </c>
      <c r="K1458" s="7">
        <f t="shared" ref="K1458:P1458" si="2858">abs(D1458-D1457)/200</f>
        <v>0.00125</v>
      </c>
      <c r="L1458" s="7">
        <f t="shared" si="2858"/>
        <v>0.0009</v>
      </c>
      <c r="M1458" s="7">
        <f t="shared" si="2858"/>
        <v>0.001</v>
      </c>
      <c r="N1458" s="7">
        <f t="shared" si="2858"/>
        <v>0.00015</v>
      </c>
      <c r="O1458" s="7">
        <f t="shared" si="2858"/>
        <v>0.00045</v>
      </c>
      <c r="P1458" s="7">
        <f t="shared" si="2858"/>
        <v>0.00085</v>
      </c>
      <c r="Q1458" s="7">
        <f t="shared" si="7"/>
        <v>0.1627987973</v>
      </c>
      <c r="R1458" s="7">
        <f t="shared" si="8"/>
        <v>0.12622663</v>
      </c>
      <c r="S1458" s="7">
        <f t="shared" si="2"/>
        <v>0.9519579612</v>
      </c>
      <c r="T1458" s="7">
        <f t="shared" si="3"/>
        <v>0.262297541</v>
      </c>
      <c r="U1458" s="7">
        <f t="shared" si="4"/>
        <v>1</v>
      </c>
      <c r="V1458" s="7">
        <f t="shared" si="5"/>
        <v>1</v>
      </c>
      <c r="W1458" s="7">
        <f t="shared" ref="W1458:X1458" si="2859">IF(AVERAGE(U1398:U1457) &gt; 0.25, 1, 0)</f>
        <v>1</v>
      </c>
      <c r="X1458" s="7">
        <f t="shared" si="2859"/>
        <v>1</v>
      </c>
      <c r="Y1458" s="8">
        <v>1.0</v>
      </c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</row>
    <row r="1459" ht="22.5" customHeight="1">
      <c r="B1459" s="6">
        <v>1458.0</v>
      </c>
      <c r="C1459" s="6">
        <v>54503.0</v>
      </c>
      <c r="D1459" s="6">
        <v>2.44</v>
      </c>
      <c r="E1459" s="6">
        <v>-0.64</v>
      </c>
      <c r="F1459" s="6">
        <v>10.49</v>
      </c>
      <c r="G1459" s="6">
        <v>-0.12</v>
      </c>
      <c r="H1459" s="6">
        <v>0.0</v>
      </c>
      <c r="I1459" s="6">
        <v>-0.08</v>
      </c>
      <c r="J1459" s="6">
        <v>33.35</v>
      </c>
      <c r="K1459" s="7">
        <f t="shared" ref="K1459:P1459" si="2860">abs(D1459-D1458)/200</f>
        <v>0.00025</v>
      </c>
      <c r="L1459" s="7">
        <f t="shared" si="2860"/>
        <v>0.00135</v>
      </c>
      <c r="M1459" s="7">
        <f t="shared" si="2860"/>
        <v>0.00035</v>
      </c>
      <c r="N1459" s="7">
        <f t="shared" si="2860"/>
        <v>0</v>
      </c>
      <c r="O1459" s="7">
        <f t="shared" si="2860"/>
        <v>0.0006</v>
      </c>
      <c r="P1459" s="7">
        <f t="shared" si="2860"/>
        <v>0.0014</v>
      </c>
      <c r="Q1459" s="7">
        <f t="shared" si="7"/>
        <v>0.11807549</v>
      </c>
      <c r="R1459" s="7">
        <f t="shared" si="8"/>
        <v>0.0370781403</v>
      </c>
      <c r="S1459" s="7">
        <f t="shared" si="2"/>
        <v>0.9890361015</v>
      </c>
      <c r="T1459" s="7">
        <f t="shared" si="3"/>
        <v>0.144222051</v>
      </c>
      <c r="U1459" s="7">
        <f t="shared" si="4"/>
        <v>1</v>
      </c>
      <c r="V1459" s="7">
        <f t="shared" si="5"/>
        <v>1</v>
      </c>
      <c r="W1459" s="7">
        <f t="shared" ref="W1459:X1459" si="2861">IF(AVERAGE(U1399:U1458) &gt; 0.25, 1, 0)</f>
        <v>1</v>
      </c>
      <c r="X1459" s="7">
        <f t="shared" si="2861"/>
        <v>1</v>
      </c>
      <c r="Y1459" s="8">
        <v>1.0</v>
      </c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</row>
    <row r="1460" ht="22.5" customHeight="1">
      <c r="B1460" s="6">
        <v>1459.0</v>
      </c>
      <c r="C1460" s="6">
        <v>54707.0</v>
      </c>
      <c r="D1460" s="6">
        <v>2.58</v>
      </c>
      <c r="E1460" s="6">
        <v>-0.59</v>
      </c>
      <c r="F1460" s="6">
        <v>10.47</v>
      </c>
      <c r="G1460" s="6">
        <v>-0.11</v>
      </c>
      <c r="H1460" s="6">
        <v>-0.03</v>
      </c>
      <c r="I1460" s="6">
        <v>-0.05</v>
      </c>
      <c r="J1460" s="6">
        <v>33.34</v>
      </c>
      <c r="K1460" s="7">
        <f t="shared" ref="K1460:P1460" si="2862">abs(D1460-D1459)/200</f>
        <v>0.0007</v>
      </c>
      <c r="L1460" s="7">
        <f t="shared" si="2862"/>
        <v>0.00025</v>
      </c>
      <c r="M1460" s="7">
        <f t="shared" si="2862"/>
        <v>0.0001</v>
      </c>
      <c r="N1460" s="7">
        <f t="shared" si="2862"/>
        <v>0.00005</v>
      </c>
      <c r="O1460" s="7">
        <f t="shared" si="2862"/>
        <v>0.00015</v>
      </c>
      <c r="P1460" s="7">
        <f t="shared" si="2862"/>
        <v>0.00015</v>
      </c>
      <c r="Q1460" s="7">
        <f t="shared" si="7"/>
        <v>0.01972305504</v>
      </c>
      <c r="R1460" s="7">
        <f t="shared" si="8"/>
        <v>0.0102879514</v>
      </c>
      <c r="S1460" s="7">
        <f t="shared" si="2"/>
        <v>0.9993240529</v>
      </c>
      <c r="T1460" s="7">
        <f t="shared" si="3"/>
        <v>0.124498996</v>
      </c>
      <c r="U1460" s="7">
        <f t="shared" si="4"/>
        <v>1</v>
      </c>
      <c r="V1460" s="7">
        <f t="shared" si="5"/>
        <v>0</v>
      </c>
      <c r="W1460" s="7">
        <f t="shared" ref="W1460:X1460" si="2863">IF(AVERAGE(U1400:U1459) &gt; 0.25, 1, 0)</f>
        <v>1</v>
      </c>
      <c r="X1460" s="7">
        <f t="shared" si="2863"/>
        <v>1</v>
      </c>
      <c r="Y1460" s="8">
        <v>1.0</v>
      </c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</row>
    <row r="1461" ht="22.5" customHeight="1">
      <c r="B1461" s="6">
        <v>1460.0</v>
      </c>
      <c r="C1461" s="6">
        <v>54911.0</v>
      </c>
      <c r="D1461" s="6">
        <v>2.29</v>
      </c>
      <c r="E1461" s="6">
        <v>0.0</v>
      </c>
      <c r="F1461" s="6">
        <v>10.6</v>
      </c>
      <c r="G1461" s="6">
        <v>-0.13</v>
      </c>
      <c r="H1461" s="6">
        <v>0.0</v>
      </c>
      <c r="I1461" s="6">
        <v>-0.03</v>
      </c>
      <c r="J1461" s="6">
        <v>33.35</v>
      </c>
      <c r="K1461" s="7">
        <f t="shared" ref="K1461:P1461" si="2864">abs(D1461-D1460)/200</f>
        <v>0.00145</v>
      </c>
      <c r="L1461" s="7">
        <f t="shared" si="2864"/>
        <v>0.00295</v>
      </c>
      <c r="M1461" s="7">
        <f t="shared" si="2864"/>
        <v>0.00065</v>
      </c>
      <c r="N1461" s="7">
        <f t="shared" si="2864"/>
        <v>0.0001</v>
      </c>
      <c r="O1461" s="7">
        <f t="shared" si="2864"/>
        <v>0.00015</v>
      </c>
      <c r="P1461" s="7">
        <f t="shared" si="2864"/>
        <v>0.0001</v>
      </c>
      <c r="Q1461" s="7">
        <f t="shared" si="7"/>
        <v>0.008917644661</v>
      </c>
      <c r="R1461" s="7">
        <f t="shared" si="8"/>
        <v>0.04521835328</v>
      </c>
      <c r="S1461" s="7">
        <f t="shared" si="2"/>
        <v>1.044542406</v>
      </c>
      <c r="T1461" s="7">
        <f t="shared" si="3"/>
        <v>0.1334166406</v>
      </c>
      <c r="U1461" s="7">
        <f t="shared" si="4"/>
        <v>1</v>
      </c>
      <c r="V1461" s="7">
        <f t="shared" si="5"/>
        <v>0</v>
      </c>
      <c r="W1461" s="7">
        <f t="shared" ref="W1461:X1461" si="2865">IF(AVERAGE(U1401:U1460) &gt; 0.25, 1, 0)</f>
        <v>1</v>
      </c>
      <c r="X1461" s="7">
        <f t="shared" si="2865"/>
        <v>1</v>
      </c>
      <c r="Y1461" s="8">
        <v>1.0</v>
      </c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</row>
    <row r="1462" ht="22.5" customHeight="1">
      <c r="B1462" s="6">
        <v>1461.0</v>
      </c>
      <c r="C1462" s="6">
        <v>55115.0</v>
      </c>
      <c r="D1462" s="6">
        <v>2.52</v>
      </c>
      <c r="E1462" s="6">
        <v>-0.37</v>
      </c>
      <c r="F1462" s="6">
        <v>10.48</v>
      </c>
      <c r="G1462" s="6">
        <v>-0.03</v>
      </c>
      <c r="H1462" s="6">
        <v>0.03</v>
      </c>
      <c r="I1462" s="6">
        <v>-0.05</v>
      </c>
      <c r="J1462" s="6">
        <v>33.33</v>
      </c>
      <c r="K1462" s="7">
        <f t="shared" ref="K1462:P1462" si="2866">abs(D1462-D1461)/200</f>
        <v>0.00115</v>
      </c>
      <c r="L1462" s="7">
        <f t="shared" si="2866"/>
        <v>0.00185</v>
      </c>
      <c r="M1462" s="7">
        <f t="shared" si="2866"/>
        <v>0.0006</v>
      </c>
      <c r="N1462" s="7">
        <f t="shared" si="2866"/>
        <v>0.0005</v>
      </c>
      <c r="O1462" s="7">
        <f t="shared" si="2866"/>
        <v>0.00015</v>
      </c>
      <c r="P1462" s="7">
        <f t="shared" si="2866"/>
        <v>0.0001</v>
      </c>
      <c r="Q1462" s="7">
        <f t="shared" si="7"/>
        <v>0.0678422554</v>
      </c>
      <c r="R1462" s="7">
        <f t="shared" si="8"/>
        <v>0.05947402441</v>
      </c>
      <c r="S1462" s="7">
        <f t="shared" si="2"/>
        <v>0.9850683818</v>
      </c>
      <c r="T1462" s="7">
        <f t="shared" si="3"/>
        <v>0.06557438524</v>
      </c>
      <c r="U1462" s="7">
        <f t="shared" si="4"/>
        <v>1</v>
      </c>
      <c r="V1462" s="7">
        <f t="shared" si="5"/>
        <v>1</v>
      </c>
      <c r="W1462" s="7">
        <f t="shared" ref="W1462:X1462" si="2867">IF(AVERAGE(U1402:U1461) &gt; 0.25, 1, 0)</f>
        <v>1</v>
      </c>
      <c r="X1462" s="7">
        <f t="shared" si="2867"/>
        <v>1</v>
      </c>
      <c r="Y1462" s="8">
        <v>1.0</v>
      </c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</row>
    <row r="1463" ht="22.5" customHeight="1">
      <c r="B1463" s="6">
        <v>1462.0</v>
      </c>
      <c r="C1463" s="6">
        <v>55319.0</v>
      </c>
      <c r="D1463" s="6">
        <v>2.41</v>
      </c>
      <c r="E1463" s="6">
        <v>-0.52</v>
      </c>
      <c r="F1463" s="6">
        <v>10.27</v>
      </c>
      <c r="G1463" s="6">
        <v>-0.08</v>
      </c>
      <c r="H1463" s="6">
        <v>-0.14</v>
      </c>
      <c r="I1463" s="6">
        <v>0.28</v>
      </c>
      <c r="J1463" s="6">
        <v>33.34</v>
      </c>
      <c r="K1463" s="7">
        <f t="shared" ref="K1463:P1463" si="2868">abs(D1463-D1462)/200</f>
        <v>0.00055</v>
      </c>
      <c r="L1463" s="7">
        <f t="shared" si="2868"/>
        <v>0.00075</v>
      </c>
      <c r="M1463" s="7">
        <f t="shared" si="2868"/>
        <v>0.00105</v>
      </c>
      <c r="N1463" s="7">
        <f t="shared" si="2868"/>
        <v>0.00025</v>
      </c>
      <c r="O1463" s="7">
        <f t="shared" si="2868"/>
        <v>0.00085</v>
      </c>
      <c r="P1463" s="7">
        <f t="shared" si="2868"/>
        <v>0.00165</v>
      </c>
      <c r="Q1463" s="7">
        <f t="shared" si="7"/>
        <v>0.2575355032</v>
      </c>
      <c r="R1463" s="7">
        <f t="shared" si="8"/>
        <v>0.2232787607</v>
      </c>
      <c r="S1463" s="7">
        <f t="shared" si="2"/>
        <v>0.7617896211</v>
      </c>
      <c r="T1463" s="7">
        <f t="shared" si="3"/>
        <v>0.3231098884</v>
      </c>
      <c r="U1463" s="7">
        <f t="shared" si="4"/>
        <v>1</v>
      </c>
      <c r="V1463" s="7">
        <f t="shared" si="5"/>
        <v>1</v>
      </c>
      <c r="W1463" s="7">
        <f t="shared" ref="W1463:X1463" si="2869">IF(AVERAGE(U1403:U1462) &gt; 0.25, 1, 0)</f>
        <v>1</v>
      </c>
      <c r="X1463" s="7">
        <f t="shared" si="2869"/>
        <v>1</v>
      </c>
      <c r="Y1463" s="8">
        <v>1.0</v>
      </c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</row>
    <row r="1464" ht="22.5" customHeight="1">
      <c r="B1464" s="6">
        <v>1463.0</v>
      </c>
      <c r="C1464" s="6">
        <v>55523.0</v>
      </c>
      <c r="D1464" s="6">
        <v>2.76</v>
      </c>
      <c r="E1464" s="6">
        <v>-0.6</v>
      </c>
      <c r="F1464" s="6">
        <v>10.64</v>
      </c>
      <c r="G1464" s="6">
        <v>-0.02</v>
      </c>
      <c r="H1464" s="6">
        <v>0.04</v>
      </c>
      <c r="I1464" s="6">
        <v>0.11</v>
      </c>
      <c r="J1464" s="6">
        <v>33.34</v>
      </c>
      <c r="K1464" s="7">
        <f t="shared" ref="K1464:P1464" si="2870">abs(D1464-D1463)/200</f>
        <v>0.00175</v>
      </c>
      <c r="L1464" s="7">
        <f t="shared" si="2870"/>
        <v>0.0004</v>
      </c>
      <c r="M1464" s="7">
        <f t="shared" si="2870"/>
        <v>0.00185</v>
      </c>
      <c r="N1464" s="7">
        <f t="shared" si="2870"/>
        <v>0.0003</v>
      </c>
      <c r="O1464" s="7">
        <f t="shared" si="2870"/>
        <v>0.0009</v>
      </c>
      <c r="P1464" s="7">
        <f t="shared" si="2870"/>
        <v>0.00085</v>
      </c>
      <c r="Q1464" s="7">
        <f t="shared" si="7"/>
        <v>0.2043664676</v>
      </c>
      <c r="R1464" s="7">
        <f t="shared" si="8"/>
        <v>0.4467161813</v>
      </c>
      <c r="S1464" s="7">
        <f t="shared" si="2"/>
        <v>1.208505802</v>
      </c>
      <c r="T1464" s="7">
        <f t="shared" si="3"/>
        <v>0.1187434209</v>
      </c>
      <c r="U1464" s="7">
        <f t="shared" si="4"/>
        <v>1</v>
      </c>
      <c r="V1464" s="7">
        <f t="shared" si="5"/>
        <v>1</v>
      </c>
      <c r="W1464" s="7">
        <f t="shared" ref="W1464:X1464" si="2871">IF(AVERAGE(U1404:U1463) &gt; 0.25, 1, 0)</f>
        <v>1</v>
      </c>
      <c r="X1464" s="7">
        <f t="shared" si="2871"/>
        <v>1</v>
      </c>
      <c r="Y1464" s="8">
        <v>1.0</v>
      </c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</row>
    <row r="1465" ht="22.5" customHeight="1">
      <c r="B1465" s="6">
        <v>1464.0</v>
      </c>
      <c r="C1465" s="6">
        <v>55727.0</v>
      </c>
      <c r="D1465" s="6">
        <v>2.72</v>
      </c>
      <c r="E1465" s="6">
        <v>-0.8</v>
      </c>
      <c r="F1465" s="6">
        <v>10.47</v>
      </c>
      <c r="G1465" s="6">
        <v>-0.07</v>
      </c>
      <c r="H1465" s="6">
        <v>0.0</v>
      </c>
      <c r="I1465" s="6">
        <v>0.06</v>
      </c>
      <c r="J1465" s="6">
        <v>33.34</v>
      </c>
      <c r="K1465" s="7">
        <f t="shared" ref="K1465:P1465" si="2872">abs(D1465-D1464)/200</f>
        <v>0.0002</v>
      </c>
      <c r="L1465" s="7">
        <f t="shared" si="2872"/>
        <v>0.001</v>
      </c>
      <c r="M1465" s="7">
        <f t="shared" si="2872"/>
        <v>0.00085</v>
      </c>
      <c r="N1465" s="7">
        <f t="shared" si="2872"/>
        <v>0.00025</v>
      </c>
      <c r="O1465" s="7">
        <f t="shared" si="2872"/>
        <v>0.0002</v>
      </c>
      <c r="P1465" s="7">
        <f t="shared" si="2872"/>
        <v>0.00025</v>
      </c>
      <c r="Q1465" s="7">
        <f t="shared" si="7"/>
        <v>0.0265479763</v>
      </c>
      <c r="R1465" s="7">
        <f t="shared" si="8"/>
        <v>0.1614186357</v>
      </c>
      <c r="S1465" s="7">
        <f t="shared" si="2"/>
        <v>1.047087167</v>
      </c>
      <c r="T1465" s="7">
        <f t="shared" si="3"/>
        <v>0.09219544457</v>
      </c>
      <c r="U1465" s="7">
        <f t="shared" si="4"/>
        <v>1</v>
      </c>
      <c r="V1465" s="7">
        <f t="shared" si="5"/>
        <v>0</v>
      </c>
      <c r="W1465" s="7">
        <f t="shared" ref="W1465:X1465" si="2873">IF(AVERAGE(U1405:U1464) &gt; 0.25, 1, 0)</f>
        <v>1</v>
      </c>
      <c r="X1465" s="7">
        <f t="shared" si="2873"/>
        <v>1</v>
      </c>
      <c r="Y1465" s="8">
        <v>1.0</v>
      </c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</row>
    <row r="1466" ht="22.5" customHeight="1">
      <c r="B1466" s="6">
        <v>1465.0</v>
      </c>
      <c r="C1466" s="6">
        <v>55931.0</v>
      </c>
      <c r="D1466" s="6">
        <v>2.49</v>
      </c>
      <c r="E1466" s="6">
        <v>-0.65</v>
      </c>
      <c r="F1466" s="6">
        <v>10.47</v>
      </c>
      <c r="G1466" s="6">
        <v>-0.13</v>
      </c>
      <c r="H1466" s="6">
        <v>-0.02</v>
      </c>
      <c r="I1466" s="6">
        <v>0.0</v>
      </c>
      <c r="J1466" s="6">
        <v>33.34</v>
      </c>
      <c r="K1466" s="7">
        <f t="shared" ref="K1466:P1466" si="2874">abs(D1466-D1465)/200</f>
        <v>0.00115</v>
      </c>
      <c r="L1466" s="7">
        <f t="shared" si="2874"/>
        <v>0.00075</v>
      </c>
      <c r="M1466" s="7">
        <f t="shared" si="2874"/>
        <v>0</v>
      </c>
      <c r="N1466" s="7">
        <f t="shared" si="2874"/>
        <v>0.0003</v>
      </c>
      <c r="O1466" s="7">
        <f t="shared" si="2874"/>
        <v>0.0001</v>
      </c>
      <c r="P1466" s="7">
        <f t="shared" si="2874"/>
        <v>0.0003</v>
      </c>
      <c r="Q1466" s="7">
        <f t="shared" si="7"/>
        <v>0.03933401981</v>
      </c>
      <c r="R1466" s="7">
        <f t="shared" si="8"/>
        <v>0.06545927468</v>
      </c>
      <c r="S1466" s="7">
        <f t="shared" si="2"/>
        <v>0.9816278919</v>
      </c>
      <c r="T1466" s="7">
        <f t="shared" si="3"/>
        <v>0.1315294644</v>
      </c>
      <c r="U1466" s="7">
        <f t="shared" si="4"/>
        <v>1</v>
      </c>
      <c r="V1466" s="7">
        <f t="shared" si="5"/>
        <v>0</v>
      </c>
      <c r="W1466" s="7">
        <f t="shared" ref="W1466:X1466" si="2875">IF(AVERAGE(U1406:U1465) &gt; 0.25, 1, 0)</f>
        <v>1</v>
      </c>
      <c r="X1466" s="7">
        <f t="shared" si="2875"/>
        <v>1</v>
      </c>
      <c r="Y1466" s="8">
        <v>1.0</v>
      </c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</row>
    <row r="1467" ht="22.5" customHeight="1">
      <c r="B1467" s="6">
        <v>1466.0</v>
      </c>
      <c r="C1467" s="6">
        <v>56135.0</v>
      </c>
      <c r="D1467" s="6">
        <v>2.51</v>
      </c>
      <c r="E1467" s="6">
        <v>-0.79</v>
      </c>
      <c r="F1467" s="6">
        <v>10.49</v>
      </c>
      <c r="G1467" s="6">
        <v>-0.09</v>
      </c>
      <c r="H1467" s="6">
        <v>0.0</v>
      </c>
      <c r="I1467" s="6">
        <v>-0.08</v>
      </c>
      <c r="J1467" s="6">
        <v>33.34</v>
      </c>
      <c r="K1467" s="7">
        <f t="shared" ref="K1467:P1467" si="2876">abs(D1467-D1466)/200</f>
        <v>0.0001</v>
      </c>
      <c r="L1467" s="7">
        <f t="shared" si="2876"/>
        <v>0.0007</v>
      </c>
      <c r="M1467" s="7">
        <f t="shared" si="2876"/>
        <v>0.0001</v>
      </c>
      <c r="N1467" s="7">
        <f t="shared" si="2876"/>
        <v>0.0002</v>
      </c>
      <c r="O1467" s="7">
        <f t="shared" si="2876"/>
        <v>0.0001</v>
      </c>
      <c r="P1467" s="7">
        <f t="shared" si="2876"/>
        <v>0.0004</v>
      </c>
      <c r="Q1467" s="7">
        <f t="shared" si="7"/>
        <v>0.01111351859</v>
      </c>
      <c r="R1467" s="7">
        <f t="shared" si="8"/>
        <v>0.03337557548</v>
      </c>
      <c r="S1467" s="7">
        <f t="shared" si="2"/>
        <v>1.015003467</v>
      </c>
      <c r="T1467" s="7">
        <f t="shared" si="3"/>
        <v>0.1204159458</v>
      </c>
      <c r="U1467" s="7">
        <f t="shared" si="4"/>
        <v>1</v>
      </c>
      <c r="V1467" s="7">
        <f t="shared" si="5"/>
        <v>1</v>
      </c>
      <c r="W1467" s="7">
        <f t="shared" ref="W1467:X1467" si="2877">IF(AVERAGE(U1407:U1466) &gt; 0.25, 1, 0)</f>
        <v>1</v>
      </c>
      <c r="X1467" s="7">
        <f t="shared" si="2877"/>
        <v>1</v>
      </c>
      <c r="Y1467" s="8">
        <v>1.0</v>
      </c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</row>
    <row r="1468" ht="22.5" customHeight="1">
      <c r="B1468" s="6">
        <v>1467.0</v>
      </c>
      <c r="C1468" s="6">
        <v>56339.0</v>
      </c>
      <c r="D1468" s="6">
        <v>2.63</v>
      </c>
      <c r="E1468" s="6">
        <v>-0.58</v>
      </c>
      <c r="F1468" s="6">
        <v>10.4</v>
      </c>
      <c r="G1468" s="6">
        <v>-0.11</v>
      </c>
      <c r="H1468" s="6">
        <v>-0.06</v>
      </c>
      <c r="I1468" s="6">
        <v>-0.09</v>
      </c>
      <c r="J1468" s="6">
        <v>33.35</v>
      </c>
      <c r="K1468" s="7">
        <f t="shared" ref="K1468:P1468" si="2878">abs(D1468-D1467)/200</f>
        <v>0.0006</v>
      </c>
      <c r="L1468" s="7">
        <f t="shared" si="2878"/>
        <v>0.00105</v>
      </c>
      <c r="M1468" s="7">
        <f t="shared" si="2878"/>
        <v>0.00045</v>
      </c>
      <c r="N1468" s="7">
        <f t="shared" si="2878"/>
        <v>0.0001</v>
      </c>
      <c r="O1468" s="7">
        <f t="shared" si="2878"/>
        <v>0.0003</v>
      </c>
      <c r="P1468" s="7">
        <f t="shared" si="2878"/>
        <v>0.00005</v>
      </c>
      <c r="Q1468" s="7">
        <f t="shared" si="7"/>
        <v>0.03385654042</v>
      </c>
      <c r="R1468" s="7">
        <f t="shared" si="8"/>
        <v>0.0719452436</v>
      </c>
      <c r="S1468" s="7">
        <f t="shared" si="2"/>
        <v>0.9430582238</v>
      </c>
      <c r="T1468" s="7">
        <f t="shared" si="3"/>
        <v>0.1542724862</v>
      </c>
      <c r="U1468" s="7">
        <f t="shared" si="4"/>
        <v>1</v>
      </c>
      <c r="V1468" s="7">
        <f t="shared" si="5"/>
        <v>0</v>
      </c>
      <c r="W1468" s="7">
        <f t="shared" ref="W1468:X1468" si="2879">IF(AVERAGE(U1408:U1467) &gt; 0.25, 1, 0)</f>
        <v>1</v>
      </c>
      <c r="X1468" s="7">
        <f t="shared" si="2879"/>
        <v>1</v>
      </c>
      <c r="Y1468" s="8">
        <v>1.0</v>
      </c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</row>
    <row r="1469" ht="22.5" customHeight="1">
      <c r="B1469" s="6">
        <v>1468.0</v>
      </c>
      <c r="C1469" s="6">
        <v>56543.0</v>
      </c>
      <c r="D1469" s="6">
        <v>2.64</v>
      </c>
      <c r="E1469" s="6">
        <v>-0.37</v>
      </c>
      <c r="F1469" s="6">
        <v>10.49</v>
      </c>
      <c r="G1469" s="6">
        <v>-0.12</v>
      </c>
      <c r="H1469" s="6">
        <v>-0.06</v>
      </c>
      <c r="I1469" s="6">
        <v>-0.03</v>
      </c>
      <c r="J1469" s="6">
        <v>33.34</v>
      </c>
      <c r="K1469" s="7">
        <f t="shared" ref="K1469:P1469" si="2880">abs(D1469-D1468)/200</f>
        <v>0.00005</v>
      </c>
      <c r="L1469" s="7">
        <f t="shared" si="2880"/>
        <v>0.00105</v>
      </c>
      <c r="M1469" s="7">
        <f t="shared" si="2880"/>
        <v>0.00045</v>
      </c>
      <c r="N1469" s="7">
        <f t="shared" si="2880"/>
        <v>0.00005</v>
      </c>
      <c r="O1469" s="7">
        <f t="shared" si="2880"/>
        <v>0</v>
      </c>
      <c r="P1469" s="7">
        <f t="shared" si="2880"/>
        <v>0.0003</v>
      </c>
      <c r="Q1469" s="7">
        <f t="shared" si="7"/>
        <v>0.01679521536</v>
      </c>
      <c r="R1469" s="7">
        <f t="shared" si="8"/>
        <v>0.08037006856</v>
      </c>
      <c r="S1469" s="7">
        <f t="shared" si="2"/>
        <v>1.023428292</v>
      </c>
      <c r="T1469" s="7">
        <f t="shared" si="3"/>
        <v>0.1374772708</v>
      </c>
      <c r="U1469" s="7">
        <f t="shared" si="4"/>
        <v>1</v>
      </c>
      <c r="V1469" s="7">
        <f t="shared" si="5"/>
        <v>0</v>
      </c>
      <c r="W1469" s="7">
        <f t="shared" ref="W1469:X1469" si="2881">IF(AVERAGE(U1409:U1468) &gt; 0.25, 1, 0)</f>
        <v>1</v>
      </c>
      <c r="X1469" s="7">
        <f t="shared" si="2881"/>
        <v>1</v>
      </c>
      <c r="Y1469" s="8">
        <v>1.0</v>
      </c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</row>
    <row r="1470" ht="22.5" customHeight="1">
      <c r="B1470" s="6">
        <v>1469.0</v>
      </c>
      <c r="C1470" s="6">
        <v>56747.0</v>
      </c>
      <c r="D1470" s="6">
        <v>2.79</v>
      </c>
      <c r="E1470" s="6">
        <v>-0.45</v>
      </c>
      <c r="F1470" s="6">
        <v>10.32</v>
      </c>
      <c r="G1470" s="6">
        <v>-0.17</v>
      </c>
      <c r="H1470" s="6">
        <v>-0.09</v>
      </c>
      <c r="I1470" s="6">
        <v>-0.05</v>
      </c>
      <c r="J1470" s="6">
        <v>33.34</v>
      </c>
      <c r="K1470" s="7">
        <f t="shared" ref="K1470:P1470" si="2882">abs(D1470-D1469)/200</f>
        <v>0.00075</v>
      </c>
      <c r="L1470" s="7">
        <f t="shared" si="2882"/>
        <v>0.0004</v>
      </c>
      <c r="M1470" s="7">
        <f t="shared" si="2882"/>
        <v>0.00085</v>
      </c>
      <c r="N1470" s="7">
        <f t="shared" si="2882"/>
        <v>0.00025</v>
      </c>
      <c r="O1470" s="7">
        <f t="shared" si="2882"/>
        <v>0.00015</v>
      </c>
      <c r="P1470" s="7">
        <f t="shared" si="2882"/>
        <v>0.0001</v>
      </c>
      <c r="Q1470" s="7">
        <f t="shared" si="7"/>
        <v>0.06126879829</v>
      </c>
      <c r="R1470" s="7">
        <f t="shared" si="8"/>
        <v>0.1234750214</v>
      </c>
      <c r="S1470" s="7">
        <f t="shared" si="2"/>
        <v>0.8999532709</v>
      </c>
      <c r="T1470" s="7">
        <f t="shared" si="3"/>
        <v>0.1987460691</v>
      </c>
      <c r="U1470" s="7">
        <f t="shared" si="4"/>
        <v>1</v>
      </c>
      <c r="V1470" s="7">
        <f t="shared" si="5"/>
        <v>0</v>
      </c>
      <c r="W1470" s="7">
        <f t="shared" ref="W1470:X1470" si="2883">IF(AVERAGE(U1410:U1469) &gt; 0.25, 1, 0)</f>
        <v>1</v>
      </c>
      <c r="X1470" s="7">
        <f t="shared" si="2883"/>
        <v>1</v>
      </c>
      <c r="Y1470" s="8">
        <v>1.0</v>
      </c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</row>
    <row r="1471" ht="22.5" customHeight="1">
      <c r="B1471" s="6">
        <v>1470.0</v>
      </c>
      <c r="C1471" s="6">
        <v>56951.0</v>
      </c>
      <c r="D1471" s="6">
        <v>2.59</v>
      </c>
      <c r="E1471" s="6">
        <v>-0.11</v>
      </c>
      <c r="F1471" s="6">
        <v>10.54</v>
      </c>
      <c r="G1471" s="6">
        <v>-0.03</v>
      </c>
      <c r="H1471" s="6">
        <v>0.07</v>
      </c>
      <c r="I1471" s="6">
        <v>0.05</v>
      </c>
      <c r="J1471" s="6">
        <v>33.34</v>
      </c>
      <c r="K1471" s="7">
        <f t="shared" ref="K1471:P1471" si="2884">abs(D1471-D1470)/200</f>
        <v>0.001</v>
      </c>
      <c r="L1471" s="7">
        <f t="shared" si="2884"/>
        <v>0.0017</v>
      </c>
      <c r="M1471" s="7">
        <f t="shared" si="2884"/>
        <v>0.0011</v>
      </c>
      <c r="N1471" s="7">
        <f t="shared" si="2884"/>
        <v>0.0007</v>
      </c>
      <c r="O1471" s="7">
        <f t="shared" si="2884"/>
        <v>0.0008</v>
      </c>
      <c r="P1471" s="7">
        <f t="shared" si="2884"/>
        <v>0.0005</v>
      </c>
      <c r="Q1471" s="7">
        <f t="shared" si="7"/>
        <v>0.1076417334</v>
      </c>
      <c r="R1471" s="7">
        <f t="shared" si="8"/>
        <v>0.1541611563</v>
      </c>
      <c r="S1471" s="7">
        <f t="shared" si="2"/>
        <v>1.054114427</v>
      </c>
      <c r="T1471" s="7">
        <f t="shared" si="3"/>
        <v>0.09110433579</v>
      </c>
      <c r="U1471" s="7">
        <f t="shared" si="4"/>
        <v>1</v>
      </c>
      <c r="V1471" s="7">
        <f t="shared" si="5"/>
        <v>1</v>
      </c>
      <c r="W1471" s="7">
        <f t="shared" ref="W1471:X1471" si="2885">IF(AVERAGE(U1411:U1470) &gt; 0.25, 1, 0)</f>
        <v>1</v>
      </c>
      <c r="X1471" s="7">
        <f t="shared" si="2885"/>
        <v>1</v>
      </c>
      <c r="Y1471" s="8">
        <v>1.0</v>
      </c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</row>
    <row r="1472" ht="22.5" customHeight="1">
      <c r="B1472" s="6">
        <v>1471.0</v>
      </c>
      <c r="C1472" s="6">
        <v>57155.0</v>
      </c>
      <c r="D1472" s="6">
        <v>2.45</v>
      </c>
      <c r="E1472" s="6">
        <v>-0.54</v>
      </c>
      <c r="F1472" s="6">
        <v>10.39</v>
      </c>
      <c r="G1472" s="6">
        <v>-0.1</v>
      </c>
      <c r="H1472" s="6">
        <v>0.02</v>
      </c>
      <c r="I1472" s="6">
        <v>0.22</v>
      </c>
      <c r="J1472" s="6">
        <v>33.34</v>
      </c>
      <c r="K1472" s="7">
        <f t="shared" ref="K1472:P1472" si="2886">abs(D1472-D1471)/200</f>
        <v>0.0007</v>
      </c>
      <c r="L1472" s="7">
        <f t="shared" si="2886"/>
        <v>0.00215</v>
      </c>
      <c r="M1472" s="7">
        <f t="shared" si="2886"/>
        <v>0.00075</v>
      </c>
      <c r="N1472" s="7">
        <f t="shared" si="2886"/>
        <v>0.00035</v>
      </c>
      <c r="O1472" s="7">
        <f t="shared" si="2886"/>
        <v>0.00025</v>
      </c>
      <c r="P1472" s="7">
        <f t="shared" si="2886"/>
        <v>0.00085</v>
      </c>
      <c r="Q1472" s="7">
        <f t="shared" si="7"/>
        <v>0.1513827773</v>
      </c>
      <c r="R1472" s="7">
        <f t="shared" si="8"/>
        <v>0.165513022</v>
      </c>
      <c r="S1472" s="7">
        <f t="shared" si="2"/>
        <v>0.8886014052</v>
      </c>
      <c r="T1472" s="7">
        <f t="shared" si="3"/>
        <v>0.2424871131</v>
      </c>
      <c r="U1472" s="7">
        <f t="shared" si="4"/>
        <v>1</v>
      </c>
      <c r="V1472" s="7">
        <f t="shared" si="5"/>
        <v>1</v>
      </c>
      <c r="W1472" s="7">
        <f t="shared" ref="W1472:X1472" si="2887">IF(AVERAGE(U1412:U1471) &gt; 0.25, 1, 0)</f>
        <v>1</v>
      </c>
      <c r="X1472" s="7">
        <f t="shared" si="2887"/>
        <v>1</v>
      </c>
      <c r="Y1472" s="8">
        <v>1.0</v>
      </c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</row>
    <row r="1473" ht="22.5" customHeight="1">
      <c r="B1473" s="6">
        <v>1472.0</v>
      </c>
      <c r="C1473" s="6">
        <v>57359.0</v>
      </c>
      <c r="D1473" s="6">
        <v>2.68</v>
      </c>
      <c r="E1473" s="6">
        <v>-0.83</v>
      </c>
      <c r="F1473" s="6">
        <v>10.46</v>
      </c>
      <c r="G1473" s="6">
        <v>-0.04</v>
      </c>
      <c r="H1473" s="6">
        <v>0.04</v>
      </c>
      <c r="I1473" s="6">
        <v>0.11</v>
      </c>
      <c r="J1473" s="6">
        <v>33.34</v>
      </c>
      <c r="K1473" s="7">
        <f t="shared" ref="K1473:P1473" si="2888">abs(D1473-D1472)/200</f>
        <v>0.00115</v>
      </c>
      <c r="L1473" s="7">
        <f t="shared" si="2888"/>
        <v>0.00145</v>
      </c>
      <c r="M1473" s="7">
        <f t="shared" si="2888"/>
        <v>0.00035</v>
      </c>
      <c r="N1473" s="7">
        <f t="shared" si="2888"/>
        <v>0.0003</v>
      </c>
      <c r="O1473" s="7">
        <f t="shared" si="2888"/>
        <v>0.0001</v>
      </c>
      <c r="P1473" s="7">
        <f t="shared" si="2888"/>
        <v>0.00055</v>
      </c>
      <c r="Q1473" s="7">
        <f t="shared" si="7"/>
        <v>0.1187939443</v>
      </c>
      <c r="R1473" s="7">
        <f t="shared" si="8"/>
        <v>0.1411215829</v>
      </c>
      <c r="S1473" s="7">
        <f t="shared" si="2"/>
        <v>1.029722988</v>
      </c>
      <c r="T1473" s="7">
        <f t="shared" si="3"/>
        <v>0.1236931688</v>
      </c>
      <c r="U1473" s="7">
        <f t="shared" si="4"/>
        <v>1</v>
      </c>
      <c r="V1473" s="7">
        <f t="shared" si="5"/>
        <v>1</v>
      </c>
      <c r="W1473" s="7">
        <f t="shared" ref="W1473:X1473" si="2889">IF(AVERAGE(U1413:U1472) &gt; 0.25, 1, 0)</f>
        <v>1</v>
      </c>
      <c r="X1473" s="7">
        <f t="shared" si="2889"/>
        <v>1</v>
      </c>
      <c r="Y1473" s="8">
        <v>1.0</v>
      </c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</row>
    <row r="1474" ht="22.5" customHeight="1">
      <c r="B1474" s="6">
        <v>1473.0</v>
      </c>
      <c r="C1474" s="6">
        <v>57563.0</v>
      </c>
      <c r="D1474" s="6">
        <v>3.22</v>
      </c>
      <c r="E1474" s="6">
        <v>-1.29</v>
      </c>
      <c r="F1474" s="6">
        <v>10.22</v>
      </c>
      <c r="G1474" s="6">
        <v>-0.01</v>
      </c>
      <c r="H1474" s="6">
        <v>0.06</v>
      </c>
      <c r="I1474" s="6">
        <v>0.05</v>
      </c>
      <c r="J1474" s="6">
        <v>33.34</v>
      </c>
      <c r="K1474" s="7">
        <f t="shared" ref="K1474:P1474" si="2890">abs(D1474-D1473)/200</f>
        <v>0.0027</v>
      </c>
      <c r="L1474" s="7">
        <f t="shared" si="2890"/>
        <v>0.0023</v>
      </c>
      <c r="M1474" s="7">
        <f t="shared" si="2890"/>
        <v>0.0012</v>
      </c>
      <c r="N1474" s="7">
        <f t="shared" si="2890"/>
        <v>0.00015</v>
      </c>
      <c r="O1474" s="7">
        <f t="shared" si="2890"/>
        <v>0.0001</v>
      </c>
      <c r="P1474" s="7">
        <f t="shared" si="2890"/>
        <v>0.0003</v>
      </c>
      <c r="Q1474" s="7">
        <f t="shared" si="7"/>
        <v>0.04495309003</v>
      </c>
      <c r="R1474" s="7">
        <f t="shared" si="8"/>
        <v>0.03709124237</v>
      </c>
      <c r="S1474" s="7">
        <f t="shared" si="2"/>
        <v>0.9926317458</v>
      </c>
      <c r="T1474" s="7">
        <f t="shared" si="3"/>
        <v>0.07874007874</v>
      </c>
      <c r="U1474" s="7">
        <f t="shared" si="4"/>
        <v>1</v>
      </c>
      <c r="V1474" s="7">
        <f t="shared" si="5"/>
        <v>0</v>
      </c>
      <c r="W1474" s="7">
        <f t="shared" ref="W1474:X1474" si="2891">IF(AVERAGE(U1414:U1473) &gt; 0.25, 1, 0)</f>
        <v>1</v>
      </c>
      <c r="X1474" s="7">
        <f t="shared" si="2891"/>
        <v>1</v>
      </c>
      <c r="Y1474" s="8">
        <v>1.0</v>
      </c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</row>
    <row r="1475" ht="22.5" customHeight="1">
      <c r="B1475" s="6">
        <v>1474.0</v>
      </c>
      <c r="C1475" s="6">
        <v>57767.0</v>
      </c>
      <c r="D1475" s="6">
        <v>2.46</v>
      </c>
      <c r="E1475" s="6">
        <v>-0.89</v>
      </c>
      <c r="F1475" s="6">
        <v>10.44</v>
      </c>
      <c r="G1475" s="6">
        <v>-0.14</v>
      </c>
      <c r="H1475" s="6">
        <v>-0.01</v>
      </c>
      <c r="I1475" s="6">
        <v>0.01</v>
      </c>
      <c r="J1475" s="6">
        <v>33.34</v>
      </c>
      <c r="K1475" s="7">
        <f t="shared" ref="K1475:P1475" si="2892">abs(D1475-D1474)/200</f>
        <v>0.0038</v>
      </c>
      <c r="L1475" s="7">
        <f t="shared" si="2892"/>
        <v>0.002</v>
      </c>
      <c r="M1475" s="7">
        <f t="shared" si="2892"/>
        <v>0.0011</v>
      </c>
      <c r="N1475" s="7">
        <f t="shared" si="2892"/>
        <v>0.00065</v>
      </c>
      <c r="O1475" s="7">
        <f t="shared" si="2892"/>
        <v>0.00035</v>
      </c>
      <c r="P1475" s="7">
        <f t="shared" si="2892"/>
        <v>0.0002</v>
      </c>
      <c r="Q1475" s="7">
        <f t="shared" si="7"/>
        <v>0.06197239405</v>
      </c>
      <c r="R1475" s="7">
        <f t="shared" si="8"/>
        <v>0.02985793974</v>
      </c>
      <c r="S1475" s="7">
        <f t="shared" si="2"/>
        <v>0.962773806</v>
      </c>
      <c r="T1475" s="7">
        <f t="shared" si="3"/>
        <v>0.1407124728</v>
      </c>
      <c r="U1475" s="7">
        <f t="shared" si="4"/>
        <v>1</v>
      </c>
      <c r="V1475" s="7">
        <f t="shared" si="5"/>
        <v>1</v>
      </c>
      <c r="W1475" s="7">
        <f t="shared" ref="W1475:X1475" si="2893">IF(AVERAGE(U1415:U1474) &gt; 0.25, 1, 0)</f>
        <v>1</v>
      </c>
      <c r="X1475" s="7">
        <f t="shared" si="2893"/>
        <v>1</v>
      </c>
      <c r="Y1475" s="8">
        <v>1.0</v>
      </c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</row>
    <row r="1476" ht="22.5" customHeight="1">
      <c r="B1476" s="6">
        <v>1475.0</v>
      </c>
      <c r="C1476" s="6">
        <v>57971.0</v>
      </c>
      <c r="D1476" s="6">
        <v>2.48</v>
      </c>
      <c r="E1476" s="6">
        <v>-0.69</v>
      </c>
      <c r="F1476" s="6">
        <v>10.46</v>
      </c>
      <c r="G1476" s="6">
        <v>-0.1</v>
      </c>
      <c r="H1476" s="6">
        <v>-0.04</v>
      </c>
      <c r="I1476" s="6">
        <v>-0.05</v>
      </c>
      <c r="J1476" s="6">
        <v>33.34</v>
      </c>
      <c r="K1476" s="7">
        <f t="shared" ref="K1476:P1476" si="2894">abs(D1476-D1475)/200</f>
        <v>0.0001</v>
      </c>
      <c r="L1476" s="7">
        <f t="shared" si="2894"/>
        <v>0.001</v>
      </c>
      <c r="M1476" s="7">
        <f t="shared" si="2894"/>
        <v>0.0001</v>
      </c>
      <c r="N1476" s="7">
        <f t="shared" si="2894"/>
        <v>0.0002</v>
      </c>
      <c r="O1476" s="7">
        <f t="shared" si="2894"/>
        <v>0.00015</v>
      </c>
      <c r="P1476" s="7">
        <f t="shared" si="2894"/>
        <v>0.0003</v>
      </c>
      <c r="Q1476" s="7">
        <f t="shared" si="7"/>
        <v>0.02196905192</v>
      </c>
      <c r="R1476" s="7">
        <f t="shared" si="8"/>
        <v>0.009324411113</v>
      </c>
      <c r="S1476" s="7">
        <f t="shared" si="2"/>
        <v>0.9720982172</v>
      </c>
      <c r="T1476" s="7">
        <f t="shared" si="3"/>
        <v>0.1187434209</v>
      </c>
      <c r="U1476" s="7">
        <f t="shared" si="4"/>
        <v>1</v>
      </c>
      <c r="V1476" s="7">
        <f t="shared" si="5"/>
        <v>0</v>
      </c>
      <c r="W1476" s="7">
        <f t="shared" ref="W1476:X1476" si="2895">IF(AVERAGE(U1416:U1475) &gt; 0.25, 1, 0)</f>
        <v>1</v>
      </c>
      <c r="X1476" s="7">
        <f t="shared" si="2895"/>
        <v>1</v>
      </c>
      <c r="Y1476" s="8">
        <v>1.0</v>
      </c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</row>
    <row r="1477" ht="22.5" customHeight="1">
      <c r="B1477" s="6">
        <v>1476.0</v>
      </c>
      <c r="C1477" s="6">
        <v>58175.0</v>
      </c>
      <c r="D1477" s="6">
        <v>2.56</v>
      </c>
      <c r="E1477" s="6">
        <v>-0.54</v>
      </c>
      <c r="F1477" s="6">
        <v>10.47</v>
      </c>
      <c r="G1477" s="6">
        <v>-0.12</v>
      </c>
      <c r="H1477" s="6">
        <v>-0.01</v>
      </c>
      <c r="I1477" s="6">
        <v>-0.07</v>
      </c>
      <c r="J1477" s="6">
        <v>33.34</v>
      </c>
      <c r="K1477" s="7">
        <f t="shared" ref="K1477:P1477" si="2896">abs(D1477-D1476)/200</f>
        <v>0.0004</v>
      </c>
      <c r="L1477" s="7">
        <f t="shared" si="2896"/>
        <v>0.00075</v>
      </c>
      <c r="M1477" s="7">
        <f t="shared" si="2896"/>
        <v>0.00005</v>
      </c>
      <c r="N1477" s="7">
        <f t="shared" si="2896"/>
        <v>0.0001</v>
      </c>
      <c r="O1477" s="7">
        <f t="shared" si="2896"/>
        <v>0.00015</v>
      </c>
      <c r="P1477" s="7">
        <f t="shared" si="2896"/>
        <v>0.0001</v>
      </c>
      <c r="Q1477" s="7">
        <f t="shared" si="7"/>
        <v>0.0205404619</v>
      </c>
      <c r="R1477" s="7">
        <f t="shared" si="8"/>
        <v>0.01984785388</v>
      </c>
      <c r="S1477" s="7">
        <f t="shared" si="2"/>
        <v>0.991946071</v>
      </c>
      <c r="T1477" s="7">
        <f t="shared" si="3"/>
        <v>0.1392838828</v>
      </c>
      <c r="U1477" s="7">
        <f t="shared" si="4"/>
        <v>1</v>
      </c>
      <c r="V1477" s="7">
        <f t="shared" si="5"/>
        <v>0</v>
      </c>
      <c r="W1477" s="7">
        <f t="shared" ref="W1477:X1477" si="2897">IF(AVERAGE(U1417:U1476) &gt; 0.25, 1, 0)</f>
        <v>1</v>
      </c>
      <c r="X1477" s="7">
        <f t="shared" si="2897"/>
        <v>1</v>
      </c>
      <c r="Y1477" s="8">
        <v>1.0</v>
      </c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</row>
    <row r="1478" ht="22.5" customHeight="1">
      <c r="B1478" s="6">
        <v>1477.0</v>
      </c>
      <c r="C1478" s="6">
        <v>58379.0</v>
      </c>
      <c r="D1478" s="6">
        <v>2.52</v>
      </c>
      <c r="E1478" s="6">
        <v>-0.44</v>
      </c>
      <c r="F1478" s="6">
        <v>10.47</v>
      </c>
      <c r="G1478" s="6">
        <v>-0.12</v>
      </c>
      <c r="H1478" s="6">
        <v>-0.02</v>
      </c>
      <c r="I1478" s="6">
        <v>-0.06</v>
      </c>
      <c r="J1478" s="6">
        <v>33.35</v>
      </c>
      <c r="K1478" s="7">
        <f t="shared" ref="K1478:P1478" si="2898">abs(D1478-D1477)/200</f>
        <v>0.0002</v>
      </c>
      <c r="L1478" s="7">
        <f t="shared" si="2898"/>
        <v>0.0005</v>
      </c>
      <c r="M1478" s="7">
        <f t="shared" si="2898"/>
        <v>0</v>
      </c>
      <c r="N1478" s="7">
        <f t="shared" si="2898"/>
        <v>0</v>
      </c>
      <c r="O1478" s="7">
        <f t="shared" si="2898"/>
        <v>0.00005</v>
      </c>
      <c r="P1478" s="7">
        <f t="shared" si="2898"/>
        <v>0.00005</v>
      </c>
      <c r="Q1478" s="7">
        <f t="shared" si="7"/>
        <v>0.003637283109</v>
      </c>
      <c r="R1478" s="7">
        <f t="shared" si="8"/>
        <v>0.01396388511</v>
      </c>
      <c r="S1478" s="7">
        <f t="shared" si="2"/>
        <v>0.9779821859</v>
      </c>
      <c r="T1478" s="7">
        <f t="shared" si="3"/>
        <v>0.1356465997</v>
      </c>
      <c r="U1478" s="7">
        <f t="shared" si="4"/>
        <v>1</v>
      </c>
      <c r="V1478" s="7">
        <f t="shared" si="5"/>
        <v>0</v>
      </c>
      <c r="W1478" s="7">
        <f t="shared" ref="W1478:X1478" si="2899">IF(AVERAGE(U1418:U1477) &gt; 0.25, 1, 0)</f>
        <v>1</v>
      </c>
      <c r="X1478" s="7">
        <f t="shared" si="2899"/>
        <v>1</v>
      </c>
      <c r="Y1478" s="8">
        <v>1.0</v>
      </c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</row>
    <row r="1479" ht="22.5" customHeight="1">
      <c r="B1479" s="6">
        <v>1478.0</v>
      </c>
      <c r="C1479" s="6">
        <v>58583.0</v>
      </c>
      <c r="D1479" s="6">
        <v>2.39</v>
      </c>
      <c r="E1479" s="6">
        <v>-0.28</v>
      </c>
      <c r="F1479" s="6">
        <v>10.51</v>
      </c>
      <c r="G1479" s="6">
        <v>-0.13</v>
      </c>
      <c r="H1479" s="6">
        <v>-0.03</v>
      </c>
      <c r="I1479" s="6">
        <v>-0.09</v>
      </c>
      <c r="J1479" s="6">
        <v>33.34</v>
      </c>
      <c r="K1479" s="7">
        <f t="shared" ref="K1479:P1479" si="2900">abs(D1479-D1478)/200</f>
        <v>0.00065</v>
      </c>
      <c r="L1479" s="7">
        <f t="shared" si="2900"/>
        <v>0.0008</v>
      </c>
      <c r="M1479" s="7">
        <f t="shared" si="2900"/>
        <v>0.0002</v>
      </c>
      <c r="N1479" s="7">
        <f t="shared" si="2900"/>
        <v>0.00005</v>
      </c>
      <c r="O1479" s="7">
        <f t="shared" si="2900"/>
        <v>0.00005</v>
      </c>
      <c r="P1479" s="7">
        <f t="shared" si="2900"/>
        <v>0.00015</v>
      </c>
      <c r="Q1479" s="7">
        <f t="shared" si="7"/>
        <v>0.02528816973</v>
      </c>
      <c r="R1479" s="7">
        <f t="shared" si="8"/>
        <v>0.003974964802</v>
      </c>
      <c r="S1479" s="7">
        <f t="shared" si="2"/>
        <v>0.9819571507</v>
      </c>
      <c r="T1479" s="7">
        <f t="shared" si="3"/>
        <v>0.1609347694</v>
      </c>
      <c r="U1479" s="7">
        <f t="shared" si="4"/>
        <v>1</v>
      </c>
      <c r="V1479" s="7">
        <f t="shared" si="5"/>
        <v>0</v>
      </c>
      <c r="W1479" s="7">
        <f t="shared" ref="W1479:X1479" si="2901">IF(AVERAGE(U1419:U1478) &gt; 0.25, 1, 0)</f>
        <v>1</v>
      </c>
      <c r="X1479" s="7">
        <f t="shared" si="2901"/>
        <v>1</v>
      </c>
      <c r="Y1479" s="8">
        <v>1.0</v>
      </c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</row>
    <row r="1480" ht="22.5" customHeight="1">
      <c r="B1480" s="6">
        <v>1479.0</v>
      </c>
      <c r="C1480" s="6">
        <v>58787.0</v>
      </c>
      <c r="D1480" s="6">
        <v>2.55</v>
      </c>
      <c r="E1480" s="6">
        <v>-0.5</v>
      </c>
      <c r="F1480" s="6">
        <v>10.42</v>
      </c>
      <c r="G1480" s="6">
        <v>-0.14</v>
      </c>
      <c r="H1480" s="6">
        <v>0.05</v>
      </c>
      <c r="I1480" s="6">
        <v>-0.11</v>
      </c>
      <c r="J1480" s="6">
        <v>33.34</v>
      </c>
      <c r="K1480" s="7">
        <f t="shared" ref="K1480:P1480" si="2902">abs(D1480-D1479)/200</f>
        <v>0.0008</v>
      </c>
      <c r="L1480" s="7">
        <f t="shared" si="2902"/>
        <v>0.0011</v>
      </c>
      <c r="M1480" s="7">
        <f t="shared" si="2902"/>
        <v>0.00045</v>
      </c>
      <c r="N1480" s="7">
        <f t="shared" si="2902"/>
        <v>0.00005</v>
      </c>
      <c r="O1480" s="7">
        <f t="shared" si="2902"/>
        <v>0.0004</v>
      </c>
      <c r="P1480" s="7">
        <f t="shared" si="2902"/>
        <v>0.0001</v>
      </c>
      <c r="Q1480" s="7">
        <f t="shared" si="7"/>
        <v>0.02399765069</v>
      </c>
      <c r="R1480" s="7">
        <f t="shared" si="8"/>
        <v>0.04282776329</v>
      </c>
      <c r="S1480" s="7">
        <f t="shared" si="2"/>
        <v>0.9391293874</v>
      </c>
      <c r="T1480" s="7">
        <f t="shared" si="3"/>
        <v>0.1849324201</v>
      </c>
      <c r="U1480" s="7">
        <f t="shared" si="4"/>
        <v>1</v>
      </c>
      <c r="V1480" s="7">
        <f t="shared" si="5"/>
        <v>1</v>
      </c>
      <c r="W1480" s="7">
        <f t="shared" ref="W1480:X1480" si="2903">IF(AVERAGE(U1420:U1479) &gt; 0.25, 1, 0)</f>
        <v>1</v>
      </c>
      <c r="X1480" s="7">
        <f t="shared" si="2903"/>
        <v>1</v>
      </c>
      <c r="Y1480" s="8">
        <v>1.0</v>
      </c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</row>
    <row r="1481" ht="22.5" customHeight="1">
      <c r="B1481" s="6">
        <v>1480.0</v>
      </c>
      <c r="C1481" s="6">
        <v>58991.0</v>
      </c>
      <c r="D1481" s="6">
        <v>2.41</v>
      </c>
      <c r="E1481" s="6">
        <v>-0.63</v>
      </c>
      <c r="F1481" s="6">
        <v>10.48</v>
      </c>
      <c r="G1481" s="6">
        <v>-0.07</v>
      </c>
      <c r="H1481" s="6">
        <v>0.02</v>
      </c>
      <c r="I1481" s="6">
        <v>0.08</v>
      </c>
      <c r="J1481" s="6">
        <v>33.35</v>
      </c>
      <c r="K1481" s="7">
        <f t="shared" ref="K1481:P1481" si="2904">abs(D1481-D1480)/200</f>
        <v>0.0007</v>
      </c>
      <c r="L1481" s="7">
        <f t="shared" si="2904"/>
        <v>0.00065</v>
      </c>
      <c r="M1481" s="7">
        <f t="shared" si="2904"/>
        <v>0.0003</v>
      </c>
      <c r="N1481" s="7">
        <f t="shared" si="2904"/>
        <v>0.00035</v>
      </c>
      <c r="O1481" s="7">
        <f t="shared" si="2904"/>
        <v>0.00015</v>
      </c>
      <c r="P1481" s="7">
        <f t="shared" si="2904"/>
        <v>0.00095</v>
      </c>
      <c r="Q1481" s="7">
        <f t="shared" si="7"/>
        <v>0.07676588183</v>
      </c>
      <c r="R1481" s="7">
        <f t="shared" si="8"/>
        <v>0.03284350522</v>
      </c>
      <c r="S1481" s="7">
        <f t="shared" si="2"/>
        <v>0.9719728927</v>
      </c>
      <c r="T1481" s="7">
        <f t="shared" si="3"/>
        <v>0.1081665383</v>
      </c>
      <c r="U1481" s="7">
        <f t="shared" si="4"/>
        <v>1</v>
      </c>
      <c r="V1481" s="7">
        <f t="shared" si="5"/>
        <v>1</v>
      </c>
      <c r="W1481" s="7">
        <f t="shared" ref="W1481:X1481" si="2905">IF(AVERAGE(U1421:U1480) &gt; 0.25, 1, 0)</f>
        <v>1</v>
      </c>
      <c r="X1481" s="7">
        <f t="shared" si="2905"/>
        <v>1</v>
      </c>
      <c r="Y1481" s="8">
        <v>1.0</v>
      </c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</row>
    <row r="1482" ht="22.5" customHeight="1">
      <c r="B1482" s="6">
        <v>1481.0</v>
      </c>
      <c r="C1482" s="6">
        <v>59195.0</v>
      </c>
      <c r="D1482" s="6">
        <v>2.37</v>
      </c>
      <c r="E1482" s="6">
        <v>-0.68</v>
      </c>
      <c r="F1482" s="6">
        <v>10.52</v>
      </c>
      <c r="G1482" s="6">
        <v>-0.09</v>
      </c>
      <c r="H1482" s="6">
        <v>0.02</v>
      </c>
      <c r="I1482" s="6">
        <v>0.1</v>
      </c>
      <c r="J1482" s="6">
        <v>33.34</v>
      </c>
      <c r="K1482" s="7">
        <f t="shared" ref="K1482:P1482" si="2906">abs(D1482-D1481)/200</f>
        <v>0.0002</v>
      </c>
      <c r="L1482" s="7">
        <f t="shared" si="2906"/>
        <v>0.00025</v>
      </c>
      <c r="M1482" s="7">
        <f t="shared" si="2906"/>
        <v>0.0002</v>
      </c>
      <c r="N1482" s="7">
        <f t="shared" si="2906"/>
        <v>0.0001</v>
      </c>
      <c r="O1482" s="7">
        <f t="shared" si="2906"/>
        <v>0</v>
      </c>
      <c r="P1482" s="7">
        <f t="shared" si="2906"/>
        <v>0.0001</v>
      </c>
      <c r="Q1482" s="7">
        <f t="shared" si="7"/>
        <v>0.02784816682</v>
      </c>
      <c r="R1482" s="7">
        <f t="shared" si="8"/>
        <v>0.03310461748</v>
      </c>
      <c r="S1482" s="7">
        <f t="shared" si="2"/>
        <v>1.00507751</v>
      </c>
      <c r="T1482" s="7">
        <f t="shared" si="3"/>
        <v>0.1360147051</v>
      </c>
      <c r="U1482" s="7">
        <f t="shared" si="4"/>
        <v>0</v>
      </c>
      <c r="V1482" s="7">
        <f t="shared" si="5"/>
        <v>0</v>
      </c>
      <c r="W1482" s="7">
        <f t="shared" ref="W1482:X1482" si="2907">IF(AVERAGE(U1422:U1481) &gt; 0.25, 1, 0)</f>
        <v>1</v>
      </c>
      <c r="X1482" s="7">
        <f t="shared" si="2907"/>
        <v>1</v>
      </c>
      <c r="Y1482" s="8">
        <v>1.0</v>
      </c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</row>
    <row r="1483" ht="22.5" customHeight="1">
      <c r="B1483" s="6">
        <v>1482.0</v>
      </c>
      <c r="C1483" s="6">
        <v>59399.0</v>
      </c>
      <c r="D1483" s="6">
        <v>2.43</v>
      </c>
      <c r="E1483" s="6">
        <v>-0.77</v>
      </c>
      <c r="F1483" s="6">
        <v>10.47</v>
      </c>
      <c r="G1483" s="6">
        <v>-0.05</v>
      </c>
      <c r="H1483" s="6">
        <v>0.04</v>
      </c>
      <c r="I1483" s="6">
        <v>-0.01</v>
      </c>
      <c r="J1483" s="6">
        <v>33.35</v>
      </c>
      <c r="K1483" s="7">
        <f t="shared" ref="K1483:P1483" si="2908">abs(D1483-D1482)/200</f>
        <v>0.0003</v>
      </c>
      <c r="L1483" s="7">
        <f t="shared" si="2908"/>
        <v>0.00045</v>
      </c>
      <c r="M1483" s="7">
        <f t="shared" si="2908"/>
        <v>0.00025</v>
      </c>
      <c r="N1483" s="7">
        <f t="shared" si="2908"/>
        <v>0.0002</v>
      </c>
      <c r="O1483" s="7">
        <f t="shared" si="2908"/>
        <v>0.0001</v>
      </c>
      <c r="P1483" s="7">
        <f t="shared" si="2908"/>
        <v>0.00055</v>
      </c>
      <c r="Q1483" s="7">
        <f t="shared" si="7"/>
        <v>0.0712072981</v>
      </c>
      <c r="R1483" s="7">
        <f t="shared" si="8"/>
        <v>0.02923879568</v>
      </c>
      <c r="S1483" s="7">
        <f t="shared" si="2"/>
        <v>0.9758387145</v>
      </c>
      <c r="T1483" s="7">
        <f t="shared" si="3"/>
        <v>0.06480740698</v>
      </c>
      <c r="U1483" s="7">
        <f t="shared" si="4"/>
        <v>1</v>
      </c>
      <c r="V1483" s="7">
        <f t="shared" si="5"/>
        <v>1</v>
      </c>
      <c r="W1483" s="7">
        <f t="shared" ref="W1483:X1483" si="2909">IF(AVERAGE(U1423:U1482) &gt; 0.25, 1, 0)</f>
        <v>1</v>
      </c>
      <c r="X1483" s="7">
        <f t="shared" si="2909"/>
        <v>1</v>
      </c>
      <c r="Y1483" s="8">
        <v>1.0</v>
      </c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</row>
    <row r="1484" ht="22.5" customHeight="1">
      <c r="B1484" s="6">
        <v>1483.0</v>
      </c>
      <c r="C1484" s="6">
        <v>59603.0</v>
      </c>
      <c r="D1484" s="6">
        <v>2.7</v>
      </c>
      <c r="E1484" s="6">
        <v>-1.01</v>
      </c>
      <c r="F1484" s="6">
        <v>10.48</v>
      </c>
      <c r="G1484" s="6">
        <v>-0.03</v>
      </c>
      <c r="H1484" s="6">
        <v>0.03</v>
      </c>
      <c r="I1484" s="6">
        <v>0.06</v>
      </c>
      <c r="J1484" s="6">
        <v>33.35</v>
      </c>
      <c r="K1484" s="7">
        <f t="shared" ref="K1484:P1484" si="2910">abs(D1484-D1483)/200</f>
        <v>0.00135</v>
      </c>
      <c r="L1484" s="7">
        <f t="shared" si="2910"/>
        <v>0.0012</v>
      </c>
      <c r="M1484" s="7">
        <f t="shared" si="2910"/>
        <v>0.00005</v>
      </c>
      <c r="N1484" s="7">
        <f t="shared" si="2910"/>
        <v>0.0001</v>
      </c>
      <c r="O1484" s="7">
        <f t="shared" si="2910"/>
        <v>0.00005</v>
      </c>
      <c r="P1484" s="7">
        <f t="shared" si="2910"/>
        <v>0.00035</v>
      </c>
      <c r="Q1484" s="7">
        <f t="shared" si="7"/>
        <v>0.008677285299</v>
      </c>
      <c r="R1484" s="7">
        <f t="shared" si="8"/>
        <v>0.09340688954</v>
      </c>
      <c r="S1484" s="7">
        <f t="shared" si="2"/>
        <v>1.069245604</v>
      </c>
      <c r="T1484" s="7">
        <f t="shared" si="3"/>
        <v>0.07348469228</v>
      </c>
      <c r="U1484" s="7">
        <f t="shared" si="4"/>
        <v>1</v>
      </c>
      <c r="V1484" s="7">
        <f t="shared" si="5"/>
        <v>1</v>
      </c>
      <c r="W1484" s="7">
        <f t="shared" ref="W1484:X1484" si="2911">IF(AVERAGE(U1424:U1483) &gt; 0.25, 1, 0)</f>
        <v>1</v>
      </c>
      <c r="X1484" s="7">
        <f t="shared" si="2911"/>
        <v>1</v>
      </c>
      <c r="Y1484" s="8">
        <v>1.0</v>
      </c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</row>
    <row r="1485" ht="22.5" customHeight="1">
      <c r="B1485" s="6">
        <v>1484.0</v>
      </c>
      <c r="C1485" s="6">
        <v>59807.0</v>
      </c>
      <c r="D1485" s="6">
        <v>2.37</v>
      </c>
      <c r="E1485" s="6">
        <v>-0.98</v>
      </c>
      <c r="F1485" s="6">
        <v>10.43</v>
      </c>
      <c r="G1485" s="6">
        <v>-0.13</v>
      </c>
      <c r="H1485" s="6">
        <v>0.0</v>
      </c>
      <c r="I1485" s="6">
        <v>0.03</v>
      </c>
      <c r="J1485" s="6">
        <v>33.35</v>
      </c>
      <c r="K1485" s="7">
        <f t="shared" ref="K1485:P1485" si="2912">abs(D1485-D1484)/200</f>
        <v>0.00165</v>
      </c>
      <c r="L1485" s="7">
        <f t="shared" si="2912"/>
        <v>0.00015</v>
      </c>
      <c r="M1485" s="7">
        <f t="shared" si="2912"/>
        <v>0.00025</v>
      </c>
      <c r="N1485" s="7">
        <f t="shared" si="2912"/>
        <v>0.0005</v>
      </c>
      <c r="O1485" s="7">
        <f t="shared" si="2912"/>
        <v>0.00015</v>
      </c>
      <c r="P1485" s="7">
        <f t="shared" si="2912"/>
        <v>0.00015</v>
      </c>
      <c r="Q1485" s="7">
        <f t="shared" si="7"/>
        <v>0.05993194836</v>
      </c>
      <c r="R1485" s="7">
        <f t="shared" si="8"/>
        <v>0.1285659235</v>
      </c>
      <c r="S1485" s="7">
        <f t="shared" si="2"/>
        <v>0.9406796805</v>
      </c>
      <c r="T1485" s="7">
        <f t="shared" si="3"/>
        <v>0.1334166406</v>
      </c>
      <c r="U1485" s="7">
        <f t="shared" si="4"/>
        <v>1</v>
      </c>
      <c r="V1485" s="7">
        <f t="shared" si="5"/>
        <v>1</v>
      </c>
      <c r="W1485" s="7">
        <f t="shared" ref="W1485:X1485" si="2913">IF(AVERAGE(U1425:U1484) &gt; 0.25, 1, 0)</f>
        <v>1</v>
      </c>
      <c r="X1485" s="7">
        <f t="shared" si="2913"/>
        <v>1</v>
      </c>
      <c r="Y1485" s="8">
        <v>1.0</v>
      </c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</row>
    <row r="1486" ht="22.5" customHeight="1">
      <c r="B1486" s="6">
        <v>1485.0</v>
      </c>
      <c r="C1486" s="6">
        <v>60011.0</v>
      </c>
      <c r="D1486" s="6">
        <v>2.37</v>
      </c>
      <c r="E1486" s="6">
        <v>-0.73</v>
      </c>
      <c r="F1486" s="6">
        <v>10.55</v>
      </c>
      <c r="G1486" s="6">
        <v>-0.07</v>
      </c>
      <c r="H1486" s="6">
        <v>-0.01</v>
      </c>
      <c r="I1486" s="6">
        <v>0.02</v>
      </c>
      <c r="J1486" s="6">
        <v>33.35</v>
      </c>
      <c r="K1486" s="7">
        <f t="shared" ref="K1486:P1486" si="2914">abs(D1486-D1485)/200</f>
        <v>0</v>
      </c>
      <c r="L1486" s="7">
        <f t="shared" si="2914"/>
        <v>0.00125</v>
      </c>
      <c r="M1486" s="7">
        <f t="shared" si="2914"/>
        <v>0.0006</v>
      </c>
      <c r="N1486" s="7">
        <f t="shared" si="2914"/>
        <v>0.0003</v>
      </c>
      <c r="O1486" s="7">
        <f t="shared" si="2914"/>
        <v>0.00005</v>
      </c>
      <c r="P1486" s="7">
        <f t="shared" si="2914"/>
        <v>0.00005</v>
      </c>
      <c r="Q1486" s="7">
        <f t="shared" si="7"/>
        <v>0.05993194836</v>
      </c>
      <c r="R1486" s="7">
        <f t="shared" si="8"/>
        <v>0.09686155352</v>
      </c>
      <c r="S1486" s="7">
        <f t="shared" si="2"/>
        <v>1.037541234</v>
      </c>
      <c r="T1486" s="7">
        <f t="shared" si="3"/>
        <v>0.07348469228</v>
      </c>
      <c r="U1486" s="7">
        <f t="shared" si="4"/>
        <v>1</v>
      </c>
      <c r="V1486" s="7">
        <f t="shared" si="5"/>
        <v>0</v>
      </c>
      <c r="W1486" s="7">
        <f t="shared" ref="W1486:X1486" si="2915">IF(AVERAGE(U1426:U1485) &gt; 0.25, 1, 0)</f>
        <v>1</v>
      </c>
      <c r="X1486" s="7">
        <f t="shared" si="2915"/>
        <v>1</v>
      </c>
      <c r="Y1486" s="8">
        <v>1.0</v>
      </c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</row>
    <row r="1487" ht="22.5" customHeight="1">
      <c r="B1487" s="6">
        <v>1486.0</v>
      </c>
      <c r="C1487" s="6">
        <v>60215.0</v>
      </c>
      <c r="D1487" s="6">
        <v>2.28</v>
      </c>
      <c r="E1487" s="6">
        <v>-0.58</v>
      </c>
      <c r="F1487" s="6">
        <v>10.51</v>
      </c>
      <c r="G1487" s="6">
        <v>-0.1</v>
      </c>
      <c r="H1487" s="6">
        <v>-0.04</v>
      </c>
      <c r="I1487" s="6">
        <v>0.0</v>
      </c>
      <c r="J1487" s="6">
        <v>33.35</v>
      </c>
      <c r="K1487" s="7">
        <f t="shared" ref="K1487:P1487" si="2916">abs(D1487-D1486)/200</f>
        <v>0.00045</v>
      </c>
      <c r="L1487" s="7">
        <f t="shared" si="2916"/>
        <v>0.00075</v>
      </c>
      <c r="M1487" s="7">
        <f t="shared" si="2916"/>
        <v>0.0002</v>
      </c>
      <c r="N1487" s="7">
        <f t="shared" si="2916"/>
        <v>0.00015</v>
      </c>
      <c r="O1487" s="7">
        <f t="shared" si="2916"/>
        <v>0.00015</v>
      </c>
      <c r="P1487" s="7">
        <f t="shared" si="2916"/>
        <v>0.0001</v>
      </c>
      <c r="Q1487" s="7">
        <f t="shared" si="7"/>
        <v>0.03421860386</v>
      </c>
      <c r="R1487" s="7">
        <f t="shared" si="8"/>
        <v>0.06744838395</v>
      </c>
      <c r="S1487" s="7">
        <f t="shared" si="2"/>
        <v>0.9700928501</v>
      </c>
      <c r="T1487" s="7">
        <f t="shared" si="3"/>
        <v>0.1077032961</v>
      </c>
      <c r="U1487" s="7">
        <f t="shared" si="4"/>
        <v>1</v>
      </c>
      <c r="V1487" s="7">
        <f t="shared" si="5"/>
        <v>0</v>
      </c>
      <c r="W1487" s="7">
        <f t="shared" ref="W1487:X1487" si="2917">IF(AVERAGE(U1427:U1486) &gt; 0.25, 1, 0)</f>
        <v>1</v>
      </c>
      <c r="X1487" s="7">
        <f t="shared" si="2917"/>
        <v>1</v>
      </c>
      <c r="Y1487" s="8">
        <v>1.0</v>
      </c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</row>
    <row r="1488" ht="22.5" customHeight="1">
      <c r="B1488" s="6">
        <v>1487.0</v>
      </c>
      <c r="C1488" s="6">
        <v>60419.0</v>
      </c>
      <c r="D1488" s="6">
        <v>2.35</v>
      </c>
      <c r="E1488" s="6">
        <v>-0.64</v>
      </c>
      <c r="F1488" s="6">
        <v>10.49</v>
      </c>
      <c r="G1488" s="6">
        <v>-0.14</v>
      </c>
      <c r="H1488" s="6">
        <v>-0.01</v>
      </c>
      <c r="I1488" s="6">
        <v>-0.08</v>
      </c>
      <c r="J1488" s="6">
        <v>33.35</v>
      </c>
      <c r="K1488" s="7">
        <f t="shared" ref="K1488:P1488" si="2918">abs(D1488-D1487)/200</f>
        <v>0.00035</v>
      </c>
      <c r="L1488" s="7">
        <f t="shared" si="2918"/>
        <v>0.0003</v>
      </c>
      <c r="M1488" s="7">
        <f t="shared" si="2918"/>
        <v>0.0001</v>
      </c>
      <c r="N1488" s="7">
        <f t="shared" si="2918"/>
        <v>0.0002</v>
      </c>
      <c r="O1488" s="7">
        <f t="shared" si="2918"/>
        <v>0.00015</v>
      </c>
      <c r="P1488" s="7">
        <f t="shared" si="2918"/>
        <v>0.0004</v>
      </c>
      <c r="Q1488" s="7">
        <f t="shared" si="7"/>
        <v>0.05385164807</v>
      </c>
      <c r="R1488" s="7">
        <f t="shared" si="8"/>
        <v>0.001053895775</v>
      </c>
      <c r="S1488" s="7">
        <f t="shared" si="2"/>
        <v>0.9690389543</v>
      </c>
      <c r="T1488" s="7">
        <f t="shared" si="3"/>
        <v>0.1615549442</v>
      </c>
      <c r="U1488" s="7">
        <f t="shared" si="4"/>
        <v>1</v>
      </c>
      <c r="V1488" s="7">
        <f t="shared" si="5"/>
        <v>1</v>
      </c>
      <c r="W1488" s="7">
        <f t="shared" ref="W1488:X1488" si="2919">IF(AVERAGE(U1428:U1487) &gt; 0.25, 1, 0)</f>
        <v>1</v>
      </c>
      <c r="X1488" s="7">
        <f t="shared" si="2919"/>
        <v>1</v>
      </c>
      <c r="Y1488" s="8">
        <v>1.0</v>
      </c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</row>
    <row r="1489" ht="22.5" customHeight="1">
      <c r="B1489" s="6">
        <v>1488.0</v>
      </c>
      <c r="C1489" s="6">
        <v>60623.0</v>
      </c>
      <c r="D1489" s="6">
        <v>2.45</v>
      </c>
      <c r="E1489" s="6">
        <v>-0.59</v>
      </c>
      <c r="F1489" s="6">
        <v>10.5</v>
      </c>
      <c r="G1489" s="6">
        <v>-0.2</v>
      </c>
      <c r="H1489" s="6">
        <v>0.06</v>
      </c>
      <c r="I1489" s="6">
        <v>-0.39</v>
      </c>
      <c r="J1489" s="6">
        <v>33.36</v>
      </c>
      <c r="K1489" s="7">
        <f t="shared" ref="K1489:P1489" si="2920">abs(D1489-D1488)/200</f>
        <v>0.0005</v>
      </c>
      <c r="L1489" s="7">
        <f t="shared" si="2920"/>
        <v>0.00025</v>
      </c>
      <c r="M1489" s="7">
        <f t="shared" si="2920"/>
        <v>0.00005</v>
      </c>
      <c r="N1489" s="7">
        <f t="shared" si="2920"/>
        <v>0.0003</v>
      </c>
      <c r="O1489" s="7">
        <f t="shared" si="2920"/>
        <v>0.00035</v>
      </c>
      <c r="P1489" s="7">
        <f t="shared" si="2920"/>
        <v>0.00155</v>
      </c>
      <c r="Q1489" s="7">
        <f t="shared" si="7"/>
        <v>0.280824983</v>
      </c>
      <c r="R1489" s="7">
        <f t="shared" si="8"/>
        <v>0.02913681753</v>
      </c>
      <c r="S1489" s="7">
        <f t="shared" si="2"/>
        <v>0.9981757719</v>
      </c>
      <c r="T1489" s="7">
        <f t="shared" si="3"/>
        <v>0.4423799272</v>
      </c>
      <c r="U1489" s="7">
        <f t="shared" si="4"/>
        <v>1</v>
      </c>
      <c r="V1489" s="7">
        <f t="shared" si="5"/>
        <v>1</v>
      </c>
      <c r="W1489" s="7">
        <f t="shared" ref="W1489:X1489" si="2921">IF(AVERAGE(U1429:U1488) &gt; 0.25, 1, 0)</f>
        <v>1</v>
      </c>
      <c r="X1489" s="7">
        <f t="shared" si="2921"/>
        <v>1</v>
      </c>
      <c r="Y1489" s="8">
        <v>1.0</v>
      </c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</row>
    <row r="1490" ht="22.5" customHeight="1">
      <c r="B1490" s="6">
        <v>1489.0</v>
      </c>
      <c r="C1490" s="6">
        <v>60827.0</v>
      </c>
      <c r="D1490" s="6">
        <v>2.62</v>
      </c>
      <c r="E1490" s="6">
        <v>-0.69</v>
      </c>
      <c r="F1490" s="6">
        <v>10.42</v>
      </c>
      <c r="G1490" s="6">
        <v>-0.11</v>
      </c>
      <c r="H1490" s="6">
        <v>0.02</v>
      </c>
      <c r="I1490" s="6">
        <v>-0.17</v>
      </c>
      <c r="J1490" s="6">
        <v>33.36</v>
      </c>
      <c r="K1490" s="7">
        <f t="shared" ref="K1490:P1490" si="2922">abs(D1490-D1489)/200</f>
        <v>0.00085</v>
      </c>
      <c r="L1490" s="7">
        <f t="shared" si="2922"/>
        <v>0.0005</v>
      </c>
      <c r="M1490" s="7">
        <f t="shared" si="2922"/>
        <v>0.0004</v>
      </c>
      <c r="N1490" s="7">
        <f t="shared" si="2922"/>
        <v>0.00045</v>
      </c>
      <c r="O1490" s="7">
        <f t="shared" si="2922"/>
        <v>0.0002</v>
      </c>
      <c r="P1490" s="7">
        <f t="shared" si="2922"/>
        <v>0.0011</v>
      </c>
      <c r="Q1490" s="7">
        <f t="shared" si="7"/>
        <v>0.2389100277</v>
      </c>
      <c r="R1490" s="7">
        <f t="shared" si="8"/>
        <v>0.03170466941</v>
      </c>
      <c r="S1490" s="7">
        <f t="shared" si="2"/>
        <v>0.9664711025</v>
      </c>
      <c r="T1490" s="7">
        <f t="shared" si="3"/>
        <v>0.2034698995</v>
      </c>
      <c r="U1490" s="7">
        <f t="shared" si="4"/>
        <v>1</v>
      </c>
      <c r="V1490" s="7">
        <f t="shared" si="5"/>
        <v>1</v>
      </c>
      <c r="W1490" s="7">
        <f t="shared" ref="W1490:X1490" si="2923">IF(AVERAGE(U1430:U1489) &gt; 0.25, 1, 0)</f>
        <v>1</v>
      </c>
      <c r="X1490" s="7">
        <f t="shared" si="2923"/>
        <v>1</v>
      </c>
      <c r="Y1490" s="8">
        <v>1.0</v>
      </c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</row>
    <row r="1491" ht="22.5" customHeight="1">
      <c r="B1491" s="6">
        <v>1490.0</v>
      </c>
      <c r="C1491" s="6">
        <v>61031.0</v>
      </c>
      <c r="D1491" s="6">
        <v>2.48</v>
      </c>
      <c r="E1491" s="6">
        <v>-0.54</v>
      </c>
      <c r="F1491" s="6">
        <v>10.49</v>
      </c>
      <c r="G1491" s="6">
        <v>-0.11</v>
      </c>
      <c r="H1491" s="6">
        <v>-0.01</v>
      </c>
      <c r="I1491" s="6">
        <v>-0.26</v>
      </c>
      <c r="J1491" s="6">
        <v>33.36</v>
      </c>
      <c r="K1491" s="7">
        <f t="shared" ref="K1491:P1491" si="2924">abs(D1491-D1490)/200</f>
        <v>0.0007</v>
      </c>
      <c r="L1491" s="7">
        <f t="shared" si="2924"/>
        <v>0.00075</v>
      </c>
      <c r="M1491" s="7">
        <f t="shared" si="2924"/>
        <v>0.00035</v>
      </c>
      <c r="N1491" s="7">
        <f t="shared" si="2924"/>
        <v>0</v>
      </c>
      <c r="O1491" s="7">
        <f t="shared" si="2924"/>
        <v>0.00015</v>
      </c>
      <c r="P1491" s="7">
        <f t="shared" si="2924"/>
        <v>0.00045</v>
      </c>
      <c r="Q1491" s="7">
        <f t="shared" si="7"/>
        <v>0.07901903834</v>
      </c>
      <c r="R1491" s="7">
        <f t="shared" si="8"/>
        <v>0.02621623666</v>
      </c>
      <c r="S1491" s="7">
        <f t="shared" si="2"/>
        <v>0.9926873391</v>
      </c>
      <c r="T1491" s="7">
        <f t="shared" si="3"/>
        <v>0.2824889378</v>
      </c>
      <c r="U1491" s="7">
        <f t="shared" si="4"/>
        <v>1</v>
      </c>
      <c r="V1491" s="7">
        <f t="shared" si="5"/>
        <v>1</v>
      </c>
      <c r="W1491" s="7">
        <f t="shared" ref="W1491:X1491" si="2925">IF(AVERAGE(U1431:U1490) &gt; 0.25, 1, 0)</f>
        <v>1</v>
      </c>
      <c r="X1491" s="7">
        <f t="shared" si="2925"/>
        <v>1</v>
      </c>
      <c r="Y1491" s="8">
        <v>1.0</v>
      </c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</row>
    <row r="1492" ht="22.5" customHeight="1">
      <c r="B1492" s="6">
        <v>1491.0</v>
      </c>
      <c r="C1492" s="6">
        <v>61235.0</v>
      </c>
      <c r="D1492" s="6">
        <v>2.43</v>
      </c>
      <c r="E1492" s="6">
        <v>-0.38</v>
      </c>
      <c r="F1492" s="6">
        <v>10.46</v>
      </c>
      <c r="G1492" s="6">
        <v>-0.14</v>
      </c>
      <c r="H1492" s="6">
        <v>-0.01</v>
      </c>
      <c r="I1492" s="6">
        <v>-0.27</v>
      </c>
      <c r="J1492" s="6">
        <v>33.36</v>
      </c>
      <c r="K1492" s="7">
        <f t="shared" ref="K1492:P1492" si="2926">abs(D1492-D1491)/200</f>
        <v>0.00025</v>
      </c>
      <c r="L1492" s="7">
        <f t="shared" si="2926"/>
        <v>0.0008</v>
      </c>
      <c r="M1492" s="7">
        <f t="shared" si="2926"/>
        <v>0.00015</v>
      </c>
      <c r="N1492" s="7">
        <f t="shared" si="2926"/>
        <v>0.00015</v>
      </c>
      <c r="O1492" s="7">
        <f t="shared" si="2926"/>
        <v>0</v>
      </c>
      <c r="P1492" s="7">
        <f t="shared" si="2926"/>
        <v>0.00005</v>
      </c>
      <c r="Q1492" s="7">
        <f t="shared" si="7"/>
        <v>0.02181354326</v>
      </c>
      <c r="R1492" s="7">
        <f t="shared" si="8"/>
        <v>0.04741395963</v>
      </c>
      <c r="S1492" s="7">
        <f t="shared" si="2"/>
        <v>0.9452733795</v>
      </c>
      <c r="T1492" s="7">
        <f t="shared" si="3"/>
        <v>0.3043024811</v>
      </c>
      <c r="U1492" s="7">
        <f t="shared" si="4"/>
        <v>1</v>
      </c>
      <c r="V1492" s="7">
        <f t="shared" si="5"/>
        <v>0</v>
      </c>
      <c r="W1492" s="7">
        <f t="shared" ref="W1492:X1492" si="2927">IF(AVERAGE(U1432:U1491) &gt; 0.25, 1, 0)</f>
        <v>1</v>
      </c>
      <c r="X1492" s="7">
        <f t="shared" si="2927"/>
        <v>1</v>
      </c>
      <c r="Y1492" s="8">
        <v>1.0</v>
      </c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</row>
    <row r="1493" ht="22.5" customHeight="1">
      <c r="B1493" s="6">
        <v>1492.0</v>
      </c>
      <c r="C1493" s="6">
        <v>61439.0</v>
      </c>
      <c r="D1493" s="6">
        <v>2.41</v>
      </c>
      <c r="E1493" s="6">
        <v>-0.34</v>
      </c>
      <c r="F1493" s="6">
        <v>10.52</v>
      </c>
      <c r="G1493" s="6">
        <v>-0.09</v>
      </c>
      <c r="H1493" s="6">
        <v>-0.01</v>
      </c>
      <c r="I1493" s="6">
        <v>-0.13</v>
      </c>
      <c r="J1493" s="6">
        <v>33.36</v>
      </c>
      <c r="K1493" s="7">
        <f t="shared" ref="K1493:P1493" si="2928">abs(D1493-D1492)/200</f>
        <v>0.0001</v>
      </c>
      <c r="L1493" s="7">
        <f t="shared" si="2928"/>
        <v>0.0002</v>
      </c>
      <c r="M1493" s="7">
        <f t="shared" si="2928"/>
        <v>0.0003</v>
      </c>
      <c r="N1493" s="7">
        <f t="shared" si="2928"/>
        <v>0.00025</v>
      </c>
      <c r="O1493" s="7">
        <f t="shared" si="2928"/>
        <v>0</v>
      </c>
      <c r="P1493" s="7">
        <f t="shared" si="2928"/>
        <v>0.0007</v>
      </c>
      <c r="Q1493" s="7">
        <f t="shared" si="7"/>
        <v>0.1458726859</v>
      </c>
      <c r="R1493" s="7">
        <f t="shared" si="8"/>
        <v>0.05260141141</v>
      </c>
      <c r="S1493" s="7">
        <f t="shared" si="2"/>
        <v>0.9978747909</v>
      </c>
      <c r="T1493" s="7">
        <f t="shared" si="3"/>
        <v>0.1584297952</v>
      </c>
      <c r="U1493" s="7">
        <f t="shared" si="4"/>
        <v>0</v>
      </c>
      <c r="V1493" s="7">
        <f t="shared" si="5"/>
        <v>1</v>
      </c>
      <c r="W1493" s="7">
        <f t="shared" ref="W1493:X1493" si="2929">IF(AVERAGE(U1433:U1492) &gt; 0.25, 1, 0)</f>
        <v>1</v>
      </c>
      <c r="X1493" s="7">
        <f t="shared" si="2929"/>
        <v>1</v>
      </c>
      <c r="Y1493" s="8">
        <v>1.0</v>
      </c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</row>
    <row r="1494" ht="22.5" customHeight="1">
      <c r="B1494" s="6">
        <v>1493.0</v>
      </c>
      <c r="C1494" s="6">
        <v>61643.0</v>
      </c>
      <c r="D1494" s="6">
        <v>2.56</v>
      </c>
      <c r="E1494" s="6">
        <v>-0.23</v>
      </c>
      <c r="F1494" s="6">
        <v>10.48</v>
      </c>
      <c r="G1494" s="6">
        <v>-0.04</v>
      </c>
      <c r="H1494" s="6">
        <v>0.02</v>
      </c>
      <c r="I1494" s="6">
        <v>-0.19</v>
      </c>
      <c r="J1494" s="6">
        <v>33.35</v>
      </c>
      <c r="K1494" s="7">
        <f t="shared" ref="K1494:P1494" si="2930">abs(D1494-D1493)/200</f>
        <v>0.00075</v>
      </c>
      <c r="L1494" s="7">
        <f t="shared" si="2930"/>
        <v>0.00055</v>
      </c>
      <c r="M1494" s="7">
        <f t="shared" si="2930"/>
        <v>0.0002</v>
      </c>
      <c r="N1494" s="7">
        <f t="shared" si="2930"/>
        <v>0.00025</v>
      </c>
      <c r="O1494" s="7">
        <f t="shared" si="2930"/>
        <v>0.00015</v>
      </c>
      <c r="P1494" s="7">
        <f t="shared" si="2930"/>
        <v>0.0003</v>
      </c>
      <c r="Q1494" s="7">
        <f t="shared" si="7"/>
        <v>0.03676241778</v>
      </c>
      <c r="R1494" s="7">
        <f t="shared" si="8"/>
        <v>0.007281665406</v>
      </c>
      <c r="S1494" s="7">
        <f t="shared" si="2"/>
        <v>0.9905931255</v>
      </c>
      <c r="T1494" s="7">
        <f t="shared" si="3"/>
        <v>0.195192213</v>
      </c>
      <c r="U1494" s="7">
        <f t="shared" si="4"/>
        <v>1</v>
      </c>
      <c r="V1494" s="7">
        <f t="shared" si="5"/>
        <v>0</v>
      </c>
      <c r="W1494" s="7">
        <f t="shared" ref="W1494:X1494" si="2931">IF(AVERAGE(U1434:U1493) &gt; 0.25, 1, 0)</f>
        <v>1</v>
      </c>
      <c r="X1494" s="7">
        <f t="shared" si="2931"/>
        <v>1</v>
      </c>
      <c r="Y1494" s="8">
        <v>1.0</v>
      </c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</row>
    <row r="1495" ht="22.5" customHeight="1">
      <c r="B1495" s="6">
        <v>1494.0</v>
      </c>
      <c r="C1495" s="6">
        <v>61847.0</v>
      </c>
      <c r="D1495" s="6">
        <v>2.58</v>
      </c>
      <c r="E1495" s="6">
        <v>-0.17</v>
      </c>
      <c r="F1495" s="6">
        <v>10.43</v>
      </c>
      <c r="G1495" s="6">
        <v>-0.15</v>
      </c>
      <c r="H1495" s="6">
        <v>-0.02</v>
      </c>
      <c r="I1495" s="6">
        <v>-0.11</v>
      </c>
      <c r="J1495" s="6">
        <v>33.35</v>
      </c>
      <c r="K1495" s="7">
        <f t="shared" ref="K1495:P1495" si="2932">abs(D1495-D1494)/200</f>
        <v>0.0001</v>
      </c>
      <c r="L1495" s="7">
        <f t="shared" si="2932"/>
        <v>0.0003</v>
      </c>
      <c r="M1495" s="7">
        <f t="shared" si="2932"/>
        <v>0.00025</v>
      </c>
      <c r="N1495" s="7">
        <f t="shared" si="2932"/>
        <v>0.00055</v>
      </c>
      <c r="O1495" s="7">
        <f t="shared" si="2932"/>
        <v>0.0002</v>
      </c>
      <c r="P1495" s="7">
        <f t="shared" si="2932"/>
        <v>0.0004</v>
      </c>
      <c r="Q1495" s="7">
        <f t="shared" si="7"/>
        <v>0.008109343621</v>
      </c>
      <c r="R1495" s="7">
        <f t="shared" si="8"/>
        <v>0.04488700631</v>
      </c>
      <c r="S1495" s="7">
        <f t="shared" si="2"/>
        <v>0.9457061192</v>
      </c>
      <c r="T1495" s="7">
        <f t="shared" si="3"/>
        <v>0.1870828693</v>
      </c>
      <c r="U1495" s="7">
        <f t="shared" si="4"/>
        <v>0</v>
      </c>
      <c r="V1495" s="7">
        <f t="shared" si="5"/>
        <v>1</v>
      </c>
      <c r="W1495" s="7">
        <f t="shared" ref="W1495:X1495" si="2933">IF(AVERAGE(U1435:U1494) &gt; 0.25, 1, 0)</f>
        <v>1</v>
      </c>
      <c r="X1495" s="7">
        <f t="shared" si="2933"/>
        <v>1</v>
      </c>
      <c r="Y1495" s="8">
        <v>1.0</v>
      </c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</row>
    <row r="1496" ht="22.5" customHeight="1">
      <c r="B1496" s="6">
        <v>1495.0</v>
      </c>
      <c r="C1496" s="6">
        <v>62051.0</v>
      </c>
      <c r="D1496" s="6">
        <v>2.51</v>
      </c>
      <c r="E1496" s="6">
        <v>-0.58</v>
      </c>
      <c r="F1496" s="6">
        <v>10.45</v>
      </c>
      <c r="G1496" s="6">
        <v>-0.17</v>
      </c>
      <c r="H1496" s="6">
        <v>-0.03</v>
      </c>
      <c r="I1496" s="6">
        <v>-0.04</v>
      </c>
      <c r="J1496" s="6">
        <v>33.36</v>
      </c>
      <c r="K1496" s="7">
        <f t="shared" ref="K1496:P1496" si="2934">abs(D1496-D1495)/200</f>
        <v>0.00035</v>
      </c>
      <c r="L1496" s="7">
        <f t="shared" si="2934"/>
        <v>0.00205</v>
      </c>
      <c r="M1496" s="7">
        <f t="shared" si="2934"/>
        <v>0.0001</v>
      </c>
      <c r="N1496" s="7">
        <f t="shared" si="2934"/>
        <v>0.0001</v>
      </c>
      <c r="O1496" s="7">
        <f t="shared" si="2934"/>
        <v>0.00005</v>
      </c>
      <c r="P1496" s="7">
        <f t="shared" si="2934"/>
        <v>0.00035</v>
      </c>
      <c r="Q1496" s="7">
        <f t="shared" si="7"/>
        <v>0.009882417872</v>
      </c>
      <c r="R1496" s="7">
        <f t="shared" si="8"/>
        <v>0.01714666248</v>
      </c>
      <c r="S1496" s="7">
        <f t="shared" si="2"/>
        <v>0.9628527817</v>
      </c>
      <c r="T1496" s="7">
        <f t="shared" si="3"/>
        <v>0.1772004515</v>
      </c>
      <c r="U1496" s="7">
        <f t="shared" si="4"/>
        <v>1</v>
      </c>
      <c r="V1496" s="7">
        <f t="shared" si="5"/>
        <v>1</v>
      </c>
      <c r="W1496" s="7">
        <f t="shared" ref="W1496:X1496" si="2935">IF(AVERAGE(U1436:U1495) &gt; 0.25, 1, 0)</f>
        <v>1</v>
      </c>
      <c r="X1496" s="7">
        <f t="shared" si="2935"/>
        <v>1</v>
      </c>
      <c r="Y1496" s="8">
        <v>1.0</v>
      </c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</row>
    <row r="1497" ht="22.5" customHeight="1">
      <c r="B1497" s="6">
        <v>1496.0</v>
      </c>
      <c r="C1497" s="6">
        <v>62255.0</v>
      </c>
      <c r="D1497" s="6">
        <v>2.74</v>
      </c>
      <c r="E1497" s="6">
        <v>-0.39</v>
      </c>
      <c r="F1497" s="6">
        <v>10.45</v>
      </c>
      <c r="G1497" s="6">
        <v>-0.15</v>
      </c>
      <c r="H1497" s="6">
        <v>0.13</v>
      </c>
      <c r="I1497" s="6">
        <v>-0.14</v>
      </c>
      <c r="J1497" s="6">
        <v>33.35</v>
      </c>
      <c r="K1497" s="7">
        <f t="shared" ref="K1497:P1497" si="2936">abs(D1497-D1496)/200</f>
        <v>0.00115</v>
      </c>
      <c r="L1497" s="7">
        <f t="shared" si="2936"/>
        <v>0.00095</v>
      </c>
      <c r="M1497" s="7">
        <f t="shared" si="2936"/>
        <v>0</v>
      </c>
      <c r="N1497" s="7">
        <f t="shared" si="2936"/>
        <v>0.0001</v>
      </c>
      <c r="O1497" s="7">
        <f t="shared" si="2936"/>
        <v>0.0008</v>
      </c>
      <c r="P1497" s="7">
        <f t="shared" si="2936"/>
        <v>0.0005</v>
      </c>
      <c r="Q1497" s="7">
        <f t="shared" si="7"/>
        <v>0.06569870456</v>
      </c>
      <c r="R1497" s="7">
        <f t="shared" si="8"/>
        <v>0.0474293608</v>
      </c>
      <c r="S1497" s="7">
        <f t="shared" si="2"/>
        <v>1.010282142</v>
      </c>
      <c r="T1497" s="7">
        <f t="shared" si="3"/>
        <v>0.242899156</v>
      </c>
      <c r="U1497" s="7">
        <f t="shared" si="4"/>
        <v>1</v>
      </c>
      <c r="V1497" s="7">
        <f t="shared" si="5"/>
        <v>1</v>
      </c>
      <c r="W1497" s="7">
        <f t="shared" ref="W1497:X1497" si="2937">IF(AVERAGE(U1437:U1496) &gt; 0.25, 1, 0)</f>
        <v>1</v>
      </c>
      <c r="X1497" s="7">
        <f t="shared" si="2937"/>
        <v>1</v>
      </c>
      <c r="Y1497" s="8">
        <v>1.0</v>
      </c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</row>
    <row r="1498" ht="22.5" customHeight="1">
      <c r="B1498" s="6">
        <v>1497.0</v>
      </c>
      <c r="C1498" s="6">
        <v>62459.0</v>
      </c>
      <c r="D1498" s="6">
        <v>2.73</v>
      </c>
      <c r="E1498" s="6">
        <v>-0.45</v>
      </c>
      <c r="F1498" s="6">
        <v>10.42</v>
      </c>
      <c r="G1498" s="6">
        <v>-0.12</v>
      </c>
      <c r="H1498" s="6">
        <v>0.0</v>
      </c>
      <c r="I1498" s="6">
        <v>-0.15</v>
      </c>
      <c r="J1498" s="6">
        <v>33.34</v>
      </c>
      <c r="K1498" s="7">
        <f t="shared" ref="K1498:P1498" si="2938">abs(D1498-D1497)/200</f>
        <v>0.00005</v>
      </c>
      <c r="L1498" s="7">
        <f t="shared" si="2938"/>
        <v>0.0003</v>
      </c>
      <c r="M1498" s="7">
        <f t="shared" si="2938"/>
        <v>0.00015</v>
      </c>
      <c r="N1498" s="7">
        <f t="shared" si="2938"/>
        <v>0.00015</v>
      </c>
      <c r="O1498" s="7">
        <f t="shared" si="2938"/>
        <v>0.00065</v>
      </c>
      <c r="P1498" s="7">
        <f t="shared" si="2938"/>
        <v>0.00005</v>
      </c>
      <c r="Q1498" s="7">
        <f t="shared" si="7"/>
        <v>0.05080542891</v>
      </c>
      <c r="R1498" s="7">
        <f t="shared" si="8"/>
        <v>0.02919685388</v>
      </c>
      <c r="S1498" s="7">
        <f t="shared" si="2"/>
        <v>0.9810852886</v>
      </c>
      <c r="T1498" s="7">
        <f t="shared" si="3"/>
        <v>0.1920937271</v>
      </c>
      <c r="U1498" s="7">
        <f t="shared" si="4"/>
        <v>0</v>
      </c>
      <c r="V1498" s="7">
        <f t="shared" si="5"/>
        <v>1</v>
      </c>
      <c r="W1498" s="7">
        <f t="shared" ref="W1498:X1498" si="2939">IF(AVERAGE(U1438:U1497) &gt; 0.25, 1, 0)</f>
        <v>1</v>
      </c>
      <c r="X1498" s="7">
        <f t="shared" si="2939"/>
        <v>1</v>
      </c>
      <c r="Y1498" s="8">
        <v>1.0</v>
      </c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</row>
    <row r="1499" ht="22.5" customHeight="1">
      <c r="B1499" s="6">
        <v>1498.0</v>
      </c>
      <c r="C1499" s="6">
        <v>62663.0</v>
      </c>
      <c r="D1499" s="6">
        <v>2.31</v>
      </c>
      <c r="E1499" s="6">
        <v>-0.38</v>
      </c>
      <c r="F1499" s="6">
        <v>10.49</v>
      </c>
      <c r="G1499" s="6">
        <v>-0.16</v>
      </c>
      <c r="H1499" s="6">
        <v>0.02</v>
      </c>
      <c r="I1499" s="6">
        <v>-0.14</v>
      </c>
      <c r="J1499" s="6">
        <v>33.34</v>
      </c>
      <c r="K1499" s="7">
        <f t="shared" ref="K1499:P1499" si="2940">abs(D1499-D1498)/200</f>
        <v>0.0021</v>
      </c>
      <c r="L1499" s="7">
        <f t="shared" si="2940"/>
        <v>0.00035</v>
      </c>
      <c r="M1499" s="7">
        <f t="shared" si="2940"/>
        <v>0.00035</v>
      </c>
      <c r="N1499" s="7">
        <f t="shared" si="2940"/>
        <v>0.0002</v>
      </c>
      <c r="O1499" s="7">
        <f t="shared" si="2940"/>
        <v>0.0001</v>
      </c>
      <c r="P1499" s="7">
        <f t="shared" si="2940"/>
        <v>0.00005</v>
      </c>
      <c r="Q1499" s="7">
        <f t="shared" si="7"/>
        <v>0.02144783792</v>
      </c>
      <c r="R1499" s="7">
        <f t="shared" si="8"/>
        <v>0.03303430249</v>
      </c>
      <c r="S1499" s="7">
        <f t="shared" si="2"/>
        <v>0.9480509861</v>
      </c>
      <c r="T1499" s="7">
        <f t="shared" si="3"/>
        <v>0.213541565</v>
      </c>
      <c r="U1499" s="7">
        <f t="shared" si="4"/>
        <v>1</v>
      </c>
      <c r="V1499" s="7">
        <f t="shared" si="5"/>
        <v>0</v>
      </c>
      <c r="W1499" s="7">
        <f t="shared" ref="W1499:X1499" si="2941">IF(AVERAGE(U1439:U1498) &gt; 0.25, 1, 0)</f>
        <v>1</v>
      </c>
      <c r="X1499" s="7">
        <f t="shared" si="2941"/>
        <v>1</v>
      </c>
      <c r="Y1499" s="8">
        <v>1.0</v>
      </c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</row>
    <row r="1500" ht="22.5" customHeight="1">
      <c r="B1500" s="6">
        <v>1499.0</v>
      </c>
      <c r="C1500" s="6">
        <v>62867.0</v>
      </c>
      <c r="D1500" s="6">
        <v>2.05</v>
      </c>
      <c r="E1500" s="6">
        <v>-0.36</v>
      </c>
      <c r="F1500" s="6">
        <v>10.54</v>
      </c>
      <c r="G1500" s="6">
        <v>-0.11</v>
      </c>
      <c r="H1500" s="6">
        <v>0.0</v>
      </c>
      <c r="I1500" s="6">
        <v>-0.07</v>
      </c>
      <c r="J1500" s="6">
        <v>33.34</v>
      </c>
      <c r="K1500" s="7">
        <f t="shared" ref="K1500:P1500" si="2942">abs(D1500-D1499)/200</f>
        <v>0.0013</v>
      </c>
      <c r="L1500" s="7">
        <f t="shared" si="2942"/>
        <v>0.0001</v>
      </c>
      <c r="M1500" s="7">
        <f t="shared" si="2942"/>
        <v>0.00025</v>
      </c>
      <c r="N1500" s="7">
        <f t="shared" si="2942"/>
        <v>0.00025</v>
      </c>
      <c r="O1500" s="7">
        <f t="shared" si="2942"/>
        <v>0.0001</v>
      </c>
      <c r="P1500" s="7">
        <f t="shared" si="2942"/>
        <v>0.00035</v>
      </c>
      <c r="Q1500" s="7">
        <f t="shared" si="7"/>
        <v>0.08315751694</v>
      </c>
      <c r="R1500" s="7">
        <f t="shared" si="8"/>
        <v>0.004508739718</v>
      </c>
      <c r="S1500" s="7">
        <f t="shared" si="2"/>
        <v>0.9435422464</v>
      </c>
      <c r="T1500" s="7">
        <f t="shared" si="3"/>
        <v>0.1303840481</v>
      </c>
      <c r="U1500" s="7">
        <f t="shared" si="4"/>
        <v>1</v>
      </c>
      <c r="V1500" s="7">
        <f t="shared" si="5"/>
        <v>1</v>
      </c>
      <c r="W1500" s="7">
        <f t="shared" ref="W1500:X1500" si="2943">IF(AVERAGE(U1440:U1499) &gt; 0.25, 1, 0)</f>
        <v>1</v>
      </c>
      <c r="X1500" s="7">
        <f t="shared" si="2943"/>
        <v>1</v>
      </c>
      <c r="Y1500" s="8">
        <v>1.0</v>
      </c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</row>
    <row r="1501" ht="22.5" customHeight="1">
      <c r="B1501" s="6">
        <v>1500.0</v>
      </c>
      <c r="C1501" s="6">
        <v>63071.0</v>
      </c>
      <c r="D1501" s="6">
        <v>2.41</v>
      </c>
      <c r="E1501" s="6">
        <v>-0.38</v>
      </c>
      <c r="F1501" s="6">
        <v>10.48</v>
      </c>
      <c r="G1501" s="6">
        <v>-0.09</v>
      </c>
      <c r="H1501" s="6">
        <v>0.0</v>
      </c>
      <c r="I1501" s="6">
        <v>-0.02</v>
      </c>
      <c r="J1501" s="6">
        <v>33.34</v>
      </c>
      <c r="K1501" s="7">
        <f t="shared" ref="K1501:P1501" si="2944">abs(D1501-D1500)/200</f>
        <v>0.0018</v>
      </c>
      <c r="L1501" s="7">
        <f t="shared" si="2944"/>
        <v>0.0001</v>
      </c>
      <c r="M1501" s="7">
        <f t="shared" si="2944"/>
        <v>0.0003</v>
      </c>
      <c r="N1501" s="7">
        <f t="shared" si="2944"/>
        <v>0.0001</v>
      </c>
      <c r="O1501" s="7">
        <f t="shared" si="2944"/>
        <v>0</v>
      </c>
      <c r="P1501" s="7">
        <f t="shared" si="2944"/>
        <v>0.00025</v>
      </c>
      <c r="Q1501" s="7">
        <f t="shared" si="7"/>
        <v>0.03818860353</v>
      </c>
      <c r="R1501" s="7">
        <f t="shared" si="8"/>
        <v>0.01670403332</v>
      </c>
      <c r="S1501" s="7">
        <f t="shared" si="2"/>
        <v>0.9602462797</v>
      </c>
      <c r="T1501" s="7">
        <f t="shared" si="3"/>
        <v>0.09219544457</v>
      </c>
      <c r="U1501" s="7">
        <f t="shared" si="4"/>
        <v>1</v>
      </c>
      <c r="V1501" s="7">
        <f t="shared" si="5"/>
        <v>0</v>
      </c>
      <c r="W1501" s="7">
        <f t="shared" ref="W1501:X1501" si="2945">IF(AVERAGE(U1441:U1500) &gt; 0.25, 1, 0)</f>
        <v>1</v>
      </c>
      <c r="X1501" s="7">
        <f t="shared" si="2945"/>
        <v>1</v>
      </c>
      <c r="Y1501" s="8">
        <v>1.0</v>
      </c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</row>
  </sheetData>
  <mergeCells count="4">
    <mergeCell ref="A2:A601"/>
    <mergeCell ref="A602:A901"/>
    <mergeCell ref="A902:A1201"/>
    <mergeCell ref="A1202:A1501"/>
  </mergeCell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9" width="15.5"/>
    <col customWidth="1" min="20" max="20" width="33.88"/>
    <col customWidth="1" min="21" max="21" width="26.13"/>
    <col customWidth="1" min="22" max="37" width="15.5"/>
  </cols>
  <sheetData>
    <row r="1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2" t="s">
        <v>19</v>
      </c>
      <c r="U1" s="2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ht="22.5" customHeight="1">
      <c r="A2" s="6">
        <v>1201.0</v>
      </c>
      <c r="B2" s="6">
        <v>443.0</v>
      </c>
      <c r="C2" s="6">
        <v>1.98</v>
      </c>
      <c r="D2" s="6">
        <v>-0.04</v>
      </c>
      <c r="E2" s="6">
        <v>10.23</v>
      </c>
      <c r="F2" s="6">
        <v>-0.12</v>
      </c>
      <c r="G2" s="6">
        <v>-0.1</v>
      </c>
      <c r="H2" s="6">
        <v>-0.16</v>
      </c>
      <c r="I2" s="6">
        <v>33.19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7">
        <f t="shared" ref="R2:R301" si="3">((C2*C2)+(D2*D2)+(E2*E2))^0.5 - 9.8</f>
        <v>0.6199280228</v>
      </c>
      <c r="S2" s="7">
        <f t="shared" ref="S2:S301" si="4">((F2*F2)+(G2*G2)+(H2*H2))^0.5</f>
        <v>0.2236067977</v>
      </c>
      <c r="T2" s="7">
        <f t="shared" ref="T2:T309" si="5">IF(OR(J2&gt;0.0003, K2&gt;0.0003, L2&gt;0.0003), 1, 0)</f>
        <v>0</v>
      </c>
      <c r="U2" s="7">
        <f t="shared" ref="U2:U309" si="6">IF(OR(M2&gt;0.0003, N2&gt;0.0003, O2&gt;0.0003), 1, 0)</f>
        <v>0</v>
      </c>
      <c r="V2" s="7" t="str">
        <f t="shared" ref="V2:W2" si="1">IF(AVERAGE(#REF!) &gt; 0.25, 1, 0)</f>
        <v>#REF!</v>
      </c>
      <c r="W2" s="7" t="str">
        <f t="shared" si="1"/>
        <v>#REF!</v>
      </c>
      <c r="X2" s="8">
        <v>1.0</v>
      </c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ht="22.5" customHeight="1">
      <c r="A3" s="6">
        <v>1202.0</v>
      </c>
      <c r="B3" s="6">
        <v>647.0</v>
      </c>
      <c r="C3" s="6">
        <v>2.32</v>
      </c>
      <c r="D3" s="6">
        <v>-0.52</v>
      </c>
      <c r="E3" s="6">
        <v>10.58</v>
      </c>
      <c r="F3" s="6">
        <v>-0.3</v>
      </c>
      <c r="G3" s="6">
        <v>0.0</v>
      </c>
      <c r="H3" s="6">
        <v>-0.98</v>
      </c>
      <c r="I3" s="6">
        <v>33.21</v>
      </c>
      <c r="J3" s="7">
        <f t="shared" ref="J3:O3" si="2">abs(C3-C2)/200</f>
        <v>0.0017</v>
      </c>
      <c r="K3" s="7">
        <f t="shared" si="2"/>
        <v>0.0024</v>
      </c>
      <c r="L3" s="7">
        <f t="shared" si="2"/>
        <v>0.00175</v>
      </c>
      <c r="M3" s="7">
        <f t="shared" si="2"/>
        <v>0.0009</v>
      </c>
      <c r="N3" s="7">
        <f t="shared" si="2"/>
        <v>0.0005</v>
      </c>
      <c r="O3" s="7">
        <f t="shared" si="2"/>
        <v>0.0041</v>
      </c>
      <c r="P3" s="7">
        <f t="shared" ref="P3:P301" si="9">abs(S3 - S2)</f>
        <v>0.8012834403</v>
      </c>
      <c r="Q3" s="7">
        <f t="shared" ref="Q3:Q301" si="10">abs(R3-R2)</f>
        <v>0.4239273802</v>
      </c>
      <c r="R3" s="7">
        <f t="shared" si="3"/>
        <v>1.043855403</v>
      </c>
      <c r="S3" s="7">
        <f t="shared" si="4"/>
        <v>1.024890238</v>
      </c>
      <c r="T3" s="7">
        <f t="shared" si="5"/>
        <v>1</v>
      </c>
      <c r="U3" s="7">
        <f t="shared" si="6"/>
        <v>1</v>
      </c>
      <c r="V3" s="7">
        <f t="shared" ref="V3:W3" si="7">IF(AVERAGE(T2) &gt; 0.25, 1, 0)</f>
        <v>0</v>
      </c>
      <c r="W3" s="7">
        <f t="shared" si="7"/>
        <v>0</v>
      </c>
      <c r="X3" s="8">
        <v>1.0</v>
      </c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ht="22.5" customHeight="1">
      <c r="A4" s="6">
        <v>1203.0</v>
      </c>
      <c r="B4" s="6">
        <v>851.0</v>
      </c>
      <c r="C4" s="6">
        <v>2.18</v>
      </c>
      <c r="D4" s="6">
        <v>0.07</v>
      </c>
      <c r="E4" s="6">
        <v>10.18</v>
      </c>
      <c r="F4" s="6">
        <v>-0.17</v>
      </c>
      <c r="G4" s="6">
        <v>-0.04</v>
      </c>
      <c r="H4" s="6">
        <v>-0.42</v>
      </c>
      <c r="I4" s="6">
        <v>33.23</v>
      </c>
      <c r="J4" s="7">
        <f t="shared" ref="J4:O4" si="8">abs(C4-C3)/200</f>
        <v>0.0007</v>
      </c>
      <c r="K4" s="7">
        <f t="shared" si="8"/>
        <v>0.00295</v>
      </c>
      <c r="L4" s="7">
        <f t="shared" si="8"/>
        <v>0.002</v>
      </c>
      <c r="M4" s="7">
        <f t="shared" si="8"/>
        <v>0.00065</v>
      </c>
      <c r="N4" s="7">
        <f t="shared" si="8"/>
        <v>0.0002</v>
      </c>
      <c r="O4" s="7">
        <f t="shared" si="8"/>
        <v>0.0028</v>
      </c>
      <c r="P4" s="7">
        <f t="shared" si="9"/>
        <v>0.5700276214</v>
      </c>
      <c r="Q4" s="7">
        <f t="shared" si="10"/>
        <v>0.4328179907</v>
      </c>
      <c r="R4" s="7">
        <f t="shared" si="3"/>
        <v>0.6110374123</v>
      </c>
      <c r="S4" s="7">
        <f t="shared" si="4"/>
        <v>0.4548626166</v>
      </c>
      <c r="T4" s="7">
        <f t="shared" si="5"/>
        <v>1</v>
      </c>
      <c r="U4" s="7">
        <f t="shared" si="6"/>
        <v>1</v>
      </c>
      <c r="V4" s="7">
        <f t="shared" ref="V4:W4" si="11">IF(AVERAGE(T2:T3) &gt; 0.25, 1, 0)</f>
        <v>1</v>
      </c>
      <c r="W4" s="7">
        <f t="shared" si="11"/>
        <v>1</v>
      </c>
      <c r="X4" s="8">
        <v>1.0</v>
      </c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ht="22.5" customHeight="1">
      <c r="A5" s="6">
        <v>1204.0</v>
      </c>
      <c r="B5" s="6">
        <v>1055.0</v>
      </c>
      <c r="C5" s="6">
        <v>-0.47</v>
      </c>
      <c r="D5" s="6">
        <v>0.77</v>
      </c>
      <c r="E5" s="6">
        <v>11.12</v>
      </c>
      <c r="F5" s="6">
        <v>0.04</v>
      </c>
      <c r="G5" s="6">
        <v>0.1</v>
      </c>
      <c r="H5" s="6">
        <v>0.79</v>
      </c>
      <c r="I5" s="6">
        <v>33.23</v>
      </c>
      <c r="J5" s="7">
        <f t="shared" ref="J5:O5" si="12">abs(C5-C4)/200</f>
        <v>0.01325</v>
      </c>
      <c r="K5" s="7">
        <f t="shared" si="12"/>
        <v>0.0035</v>
      </c>
      <c r="L5" s="7">
        <f t="shared" si="12"/>
        <v>0.0047</v>
      </c>
      <c r="M5" s="7">
        <f t="shared" si="12"/>
        <v>0.00105</v>
      </c>
      <c r="N5" s="7">
        <f t="shared" si="12"/>
        <v>0.0007</v>
      </c>
      <c r="O5" s="7">
        <f t="shared" si="12"/>
        <v>0.00605</v>
      </c>
      <c r="P5" s="7">
        <f t="shared" si="9"/>
        <v>0.342445354</v>
      </c>
      <c r="Q5" s="7">
        <f t="shared" si="10"/>
        <v>0.7454943068</v>
      </c>
      <c r="R5" s="7">
        <f t="shared" si="3"/>
        <v>1.356531719</v>
      </c>
      <c r="S5" s="7">
        <f t="shared" si="4"/>
        <v>0.7973079706</v>
      </c>
      <c r="T5" s="7">
        <f t="shared" si="5"/>
        <v>1</v>
      </c>
      <c r="U5" s="7">
        <f t="shared" si="6"/>
        <v>1</v>
      </c>
      <c r="V5" s="7">
        <f t="shared" ref="V5:W5" si="13">IF(AVERAGE(T2:T4) &gt; 0.25, 1, 0)</f>
        <v>1</v>
      </c>
      <c r="W5" s="7">
        <f t="shared" si="13"/>
        <v>1</v>
      </c>
      <c r="X5" s="8">
        <v>1.0</v>
      </c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ht="22.5" customHeight="1">
      <c r="A6" s="6">
        <v>1205.0</v>
      </c>
      <c r="B6" s="6">
        <v>1259.0</v>
      </c>
      <c r="C6" s="6">
        <v>2.38</v>
      </c>
      <c r="D6" s="6">
        <v>-0.03</v>
      </c>
      <c r="E6" s="6">
        <v>10.95</v>
      </c>
      <c r="F6" s="6">
        <v>-0.08</v>
      </c>
      <c r="G6" s="6">
        <v>-0.12</v>
      </c>
      <c r="H6" s="6">
        <v>0.03</v>
      </c>
      <c r="I6" s="6">
        <v>33.22</v>
      </c>
      <c r="J6" s="7">
        <f t="shared" ref="J6:O6" si="14">abs(C6-C5)/200</f>
        <v>0.01425</v>
      </c>
      <c r="K6" s="7">
        <f t="shared" si="14"/>
        <v>0.004</v>
      </c>
      <c r="L6" s="7">
        <f t="shared" si="14"/>
        <v>0.00085</v>
      </c>
      <c r="M6" s="7">
        <f t="shared" si="14"/>
        <v>0.0006</v>
      </c>
      <c r="N6" s="7">
        <f t="shared" si="14"/>
        <v>0.0011</v>
      </c>
      <c r="O6" s="7">
        <f t="shared" si="14"/>
        <v>0.0038</v>
      </c>
      <c r="P6" s="7">
        <f t="shared" si="9"/>
        <v>0.649998772</v>
      </c>
      <c r="Q6" s="7">
        <f t="shared" si="10"/>
        <v>0.04917218558</v>
      </c>
      <c r="R6" s="7">
        <f t="shared" si="3"/>
        <v>1.405703905</v>
      </c>
      <c r="S6" s="7">
        <f t="shared" si="4"/>
        <v>0.1473091986</v>
      </c>
      <c r="T6" s="7">
        <f t="shared" si="5"/>
        <v>1</v>
      </c>
      <c r="U6" s="7">
        <f t="shared" si="6"/>
        <v>1</v>
      </c>
      <c r="V6" s="7">
        <f t="shared" ref="V6:W6" si="15">IF(AVERAGE(T2:T5) &gt; 0.25, 1, 0)</f>
        <v>1</v>
      </c>
      <c r="W6" s="7">
        <f t="shared" si="15"/>
        <v>1</v>
      </c>
      <c r="X6" s="8">
        <v>1.0</v>
      </c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ht="22.5" customHeight="1">
      <c r="A7" s="6">
        <v>1206.0</v>
      </c>
      <c r="B7" s="6">
        <v>1463.0</v>
      </c>
      <c r="C7" s="6">
        <v>2.33</v>
      </c>
      <c r="D7" s="6">
        <v>-0.05</v>
      </c>
      <c r="E7" s="6">
        <v>10.55</v>
      </c>
      <c r="F7" s="6">
        <v>-0.1</v>
      </c>
      <c r="G7" s="6">
        <v>-0.01</v>
      </c>
      <c r="H7" s="6">
        <v>-0.01</v>
      </c>
      <c r="I7" s="6">
        <v>33.23</v>
      </c>
      <c r="J7" s="7">
        <f t="shared" ref="J7:O7" si="16">abs(C7-C6)/200</f>
        <v>0.00025</v>
      </c>
      <c r="K7" s="7">
        <f t="shared" si="16"/>
        <v>0.0001</v>
      </c>
      <c r="L7" s="7">
        <f t="shared" si="16"/>
        <v>0.002</v>
      </c>
      <c r="M7" s="7">
        <f t="shared" si="16"/>
        <v>0.0001</v>
      </c>
      <c r="N7" s="7">
        <f t="shared" si="16"/>
        <v>0.00055</v>
      </c>
      <c r="O7" s="7">
        <f t="shared" si="16"/>
        <v>0.0002</v>
      </c>
      <c r="P7" s="7">
        <f t="shared" si="9"/>
        <v>0.04631414924</v>
      </c>
      <c r="Q7" s="7">
        <f t="shared" si="10"/>
        <v>0.4013575571</v>
      </c>
      <c r="R7" s="7">
        <f t="shared" si="3"/>
        <v>1.004346348</v>
      </c>
      <c r="S7" s="7">
        <f t="shared" si="4"/>
        <v>0.1009950494</v>
      </c>
      <c r="T7" s="7">
        <f t="shared" si="5"/>
        <v>1</v>
      </c>
      <c r="U7" s="7">
        <f t="shared" si="6"/>
        <v>1</v>
      </c>
      <c r="V7" s="7">
        <f t="shared" ref="V7:W7" si="17">IF(AVERAGE(T2:T6) &gt; 0.25, 1, 0)</f>
        <v>1</v>
      </c>
      <c r="W7" s="7">
        <f t="shared" si="17"/>
        <v>1</v>
      </c>
      <c r="X7" s="8">
        <v>1.0</v>
      </c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ht="22.5" customHeight="1">
      <c r="A8" s="6">
        <v>1207.0</v>
      </c>
      <c r="B8" s="6">
        <v>1667.0</v>
      </c>
      <c r="C8" s="6">
        <v>2.33</v>
      </c>
      <c r="D8" s="6">
        <v>-0.04</v>
      </c>
      <c r="E8" s="6">
        <v>10.53</v>
      </c>
      <c r="F8" s="6">
        <v>-0.1</v>
      </c>
      <c r="G8" s="6">
        <v>0.0</v>
      </c>
      <c r="H8" s="6">
        <v>-0.01</v>
      </c>
      <c r="I8" s="6">
        <v>33.24</v>
      </c>
      <c r="J8" s="7">
        <f t="shared" ref="J8:O8" si="18">abs(C8-C7)/200</f>
        <v>0</v>
      </c>
      <c r="K8" s="7">
        <f t="shared" si="18"/>
        <v>0.00005</v>
      </c>
      <c r="L8" s="7">
        <f t="shared" si="18"/>
        <v>0.0001</v>
      </c>
      <c r="M8" s="7">
        <f t="shared" si="18"/>
        <v>0</v>
      </c>
      <c r="N8" s="7">
        <f t="shared" si="18"/>
        <v>0.00005</v>
      </c>
      <c r="O8" s="7">
        <f t="shared" si="18"/>
        <v>0</v>
      </c>
      <c r="P8" s="7">
        <f t="shared" si="9"/>
        <v>0.0004962931724</v>
      </c>
      <c r="Q8" s="7">
        <f t="shared" si="10"/>
        <v>0.01957004028</v>
      </c>
      <c r="R8" s="7">
        <f t="shared" si="3"/>
        <v>0.9847763074</v>
      </c>
      <c r="S8" s="7">
        <f t="shared" si="4"/>
        <v>0.1004987562</v>
      </c>
      <c r="T8" s="7">
        <f t="shared" si="5"/>
        <v>0</v>
      </c>
      <c r="U8" s="7">
        <f t="shared" si="6"/>
        <v>0</v>
      </c>
      <c r="V8" s="7">
        <f t="shared" ref="V8:W8" si="19">IF(AVERAGE(T2:T7) &gt; 0.25, 1, 0)</f>
        <v>1</v>
      </c>
      <c r="W8" s="7">
        <f t="shared" si="19"/>
        <v>1</v>
      </c>
      <c r="X8" s="8">
        <v>1.0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ht="22.5" customHeight="1">
      <c r="A9" s="6">
        <v>1208.0</v>
      </c>
      <c r="B9" s="6">
        <v>1871.0</v>
      </c>
      <c r="C9" s="6">
        <v>2.34</v>
      </c>
      <c r="D9" s="6">
        <v>-0.03</v>
      </c>
      <c r="E9" s="6">
        <v>10.51</v>
      </c>
      <c r="F9" s="6">
        <v>-0.1</v>
      </c>
      <c r="G9" s="6">
        <v>-0.01</v>
      </c>
      <c r="H9" s="6">
        <v>-0.01</v>
      </c>
      <c r="I9" s="6">
        <v>33.23</v>
      </c>
      <c r="J9" s="7">
        <f t="shared" ref="J9:O9" si="20">abs(C9-C8)/200</f>
        <v>0.00005</v>
      </c>
      <c r="K9" s="7">
        <f t="shared" si="20"/>
        <v>0.00005</v>
      </c>
      <c r="L9" s="7">
        <f t="shared" si="20"/>
        <v>0.0001</v>
      </c>
      <c r="M9" s="7">
        <f t="shared" si="20"/>
        <v>0</v>
      </c>
      <c r="N9" s="7">
        <f t="shared" si="20"/>
        <v>0.00005</v>
      </c>
      <c r="O9" s="7">
        <f t="shared" si="20"/>
        <v>0</v>
      </c>
      <c r="P9" s="7">
        <f t="shared" si="9"/>
        <v>0.0004962931724</v>
      </c>
      <c r="Q9" s="7">
        <f t="shared" si="10"/>
        <v>0.01739036648</v>
      </c>
      <c r="R9" s="7">
        <f t="shared" si="3"/>
        <v>0.9673859409</v>
      </c>
      <c r="S9" s="7">
        <f t="shared" si="4"/>
        <v>0.1009950494</v>
      </c>
      <c r="T9" s="7">
        <f t="shared" si="5"/>
        <v>0</v>
      </c>
      <c r="U9" s="7">
        <f t="shared" si="6"/>
        <v>0</v>
      </c>
      <c r="V9" s="7">
        <f t="shared" ref="V9:W9" si="21">IF(AVERAGE(T2:T8) &gt; 0.25, 1, 0)</f>
        <v>1</v>
      </c>
      <c r="W9" s="7">
        <f t="shared" si="21"/>
        <v>1</v>
      </c>
      <c r="X9" s="8">
        <v>1.0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ht="22.5" customHeight="1">
      <c r="A10" s="6">
        <v>1209.0</v>
      </c>
      <c r="B10" s="6">
        <v>2075.0</v>
      </c>
      <c r="C10" s="6">
        <v>2.34</v>
      </c>
      <c r="D10" s="6">
        <v>-0.03</v>
      </c>
      <c r="E10" s="6">
        <v>10.51</v>
      </c>
      <c r="F10" s="6">
        <v>-0.1</v>
      </c>
      <c r="G10" s="6">
        <v>0.0</v>
      </c>
      <c r="H10" s="6">
        <v>-0.01</v>
      </c>
      <c r="I10" s="6">
        <v>33.24</v>
      </c>
      <c r="J10" s="7">
        <f t="shared" ref="J10:O10" si="22">abs(C10-C9)/200</f>
        <v>0</v>
      </c>
      <c r="K10" s="7">
        <f t="shared" si="22"/>
        <v>0</v>
      </c>
      <c r="L10" s="7">
        <f t="shared" si="22"/>
        <v>0</v>
      </c>
      <c r="M10" s="7">
        <f t="shared" si="22"/>
        <v>0</v>
      </c>
      <c r="N10" s="7">
        <f t="shared" si="22"/>
        <v>0.00005</v>
      </c>
      <c r="O10" s="7">
        <f t="shared" si="22"/>
        <v>0</v>
      </c>
      <c r="P10" s="7">
        <f t="shared" si="9"/>
        <v>0.0004962931724</v>
      </c>
      <c r="Q10" s="7">
        <f t="shared" si="10"/>
        <v>0</v>
      </c>
      <c r="R10" s="7">
        <f t="shared" si="3"/>
        <v>0.9673859409</v>
      </c>
      <c r="S10" s="7">
        <f t="shared" si="4"/>
        <v>0.1004987562</v>
      </c>
      <c r="T10" s="7">
        <f t="shared" si="5"/>
        <v>0</v>
      </c>
      <c r="U10" s="7">
        <f t="shared" si="6"/>
        <v>0</v>
      </c>
      <c r="V10" s="7">
        <f t="shared" ref="V10:W10" si="23">IF(AVERAGE(T2:T9) &gt; 0.25, 1, 0)</f>
        <v>1</v>
      </c>
      <c r="W10" s="7">
        <f t="shared" si="23"/>
        <v>1</v>
      </c>
      <c r="X10" s="8">
        <v>1.0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ht="22.5" customHeight="1">
      <c r="A11" s="6">
        <v>1210.0</v>
      </c>
      <c r="B11" s="6">
        <v>2279.0</v>
      </c>
      <c r="C11" s="6">
        <v>2.46</v>
      </c>
      <c r="D11" s="6">
        <v>3.38</v>
      </c>
      <c r="E11" s="6">
        <v>11.47</v>
      </c>
      <c r="F11" s="6">
        <v>0.0</v>
      </c>
      <c r="G11" s="6">
        <v>0.45</v>
      </c>
      <c r="H11" s="6">
        <v>0.96</v>
      </c>
      <c r="I11" s="6">
        <v>33.24</v>
      </c>
      <c r="J11" s="7">
        <f t="shared" ref="J11:O11" si="24">abs(C11-C10)/200</f>
        <v>0.0006</v>
      </c>
      <c r="K11" s="7">
        <f t="shared" si="24"/>
        <v>0.01705</v>
      </c>
      <c r="L11" s="7">
        <f t="shared" si="24"/>
        <v>0.0048</v>
      </c>
      <c r="M11" s="7">
        <f t="shared" si="24"/>
        <v>0.0005</v>
      </c>
      <c r="N11" s="7">
        <f t="shared" si="24"/>
        <v>0.00225</v>
      </c>
      <c r="O11" s="7">
        <f t="shared" si="24"/>
        <v>0.00485</v>
      </c>
      <c r="P11" s="7">
        <f t="shared" si="9"/>
        <v>0.9597370666</v>
      </c>
      <c r="Q11" s="7">
        <f t="shared" si="10"/>
        <v>1.440681064</v>
      </c>
      <c r="R11" s="7">
        <f t="shared" si="3"/>
        <v>2.408067005</v>
      </c>
      <c r="S11" s="7">
        <f t="shared" si="4"/>
        <v>1.060235823</v>
      </c>
      <c r="T11" s="7">
        <f t="shared" si="5"/>
        <v>1</v>
      </c>
      <c r="U11" s="7">
        <f t="shared" si="6"/>
        <v>1</v>
      </c>
      <c r="V11" s="7">
        <f t="shared" ref="V11:W11" si="25">IF(AVERAGE(T2:T10) &gt; 0.25, 1, 0)</f>
        <v>1</v>
      </c>
      <c r="W11" s="7">
        <f t="shared" si="25"/>
        <v>1</v>
      </c>
      <c r="X11" s="8">
        <v>1.0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ht="22.5" customHeight="1">
      <c r="A12" s="6">
        <v>1211.0</v>
      </c>
      <c r="B12" s="6">
        <v>2483.0</v>
      </c>
      <c r="C12" s="6">
        <v>1.96</v>
      </c>
      <c r="D12" s="6">
        <v>-0.15</v>
      </c>
      <c r="E12" s="6">
        <v>10.63</v>
      </c>
      <c r="F12" s="6">
        <v>0.02</v>
      </c>
      <c r="G12" s="6">
        <v>0.03</v>
      </c>
      <c r="H12" s="6">
        <v>0.56</v>
      </c>
      <c r="I12" s="6">
        <v>33.24</v>
      </c>
      <c r="J12" s="7">
        <f t="shared" ref="J12:O12" si="26">abs(C12-C11)/200</f>
        <v>0.0025</v>
      </c>
      <c r="K12" s="7">
        <f t="shared" si="26"/>
        <v>0.01765</v>
      </c>
      <c r="L12" s="7">
        <f t="shared" si="26"/>
        <v>0.0042</v>
      </c>
      <c r="M12" s="7">
        <f t="shared" si="26"/>
        <v>0.0001</v>
      </c>
      <c r="N12" s="7">
        <f t="shared" si="26"/>
        <v>0.0021</v>
      </c>
      <c r="O12" s="7">
        <f t="shared" si="26"/>
        <v>0.002</v>
      </c>
      <c r="P12" s="7">
        <f t="shared" si="9"/>
        <v>0.499076309</v>
      </c>
      <c r="Q12" s="7">
        <f t="shared" si="10"/>
        <v>1.397840365</v>
      </c>
      <c r="R12" s="7">
        <f t="shared" si="3"/>
        <v>1.01022664</v>
      </c>
      <c r="S12" s="7">
        <f t="shared" si="4"/>
        <v>0.5611595139</v>
      </c>
      <c r="T12" s="7">
        <f t="shared" si="5"/>
        <v>1</v>
      </c>
      <c r="U12" s="7">
        <f t="shared" si="6"/>
        <v>1</v>
      </c>
      <c r="V12" s="7">
        <f t="shared" ref="V12:W12" si="27">IF(AVERAGE(T2:T11) &gt; 0.25, 1, 0)</f>
        <v>1</v>
      </c>
      <c r="W12" s="7">
        <f t="shared" si="27"/>
        <v>1</v>
      </c>
      <c r="X12" s="8">
        <v>1.0</v>
      </c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ht="22.5" customHeight="1">
      <c r="A13" s="6">
        <v>1212.0</v>
      </c>
      <c r="B13" s="6">
        <v>2687.0</v>
      </c>
      <c r="C13" s="6">
        <v>3.14</v>
      </c>
      <c r="D13" s="6">
        <v>0.69</v>
      </c>
      <c r="E13" s="6">
        <v>10.54</v>
      </c>
      <c r="F13" s="6">
        <v>0.36</v>
      </c>
      <c r="G13" s="6">
        <v>0.04</v>
      </c>
      <c r="H13" s="6">
        <v>2.64</v>
      </c>
      <c r="I13" s="6">
        <v>33.24</v>
      </c>
      <c r="J13" s="7">
        <f t="shared" ref="J13:O13" si="28">abs(C13-C12)/200</f>
        <v>0.0059</v>
      </c>
      <c r="K13" s="7">
        <f t="shared" si="28"/>
        <v>0.0042</v>
      </c>
      <c r="L13" s="7">
        <f t="shared" si="28"/>
        <v>0.00045</v>
      </c>
      <c r="M13" s="7">
        <f t="shared" si="28"/>
        <v>0.0017</v>
      </c>
      <c r="N13" s="7">
        <f t="shared" si="28"/>
        <v>0.00005</v>
      </c>
      <c r="O13" s="7">
        <f t="shared" si="28"/>
        <v>0.0104</v>
      </c>
      <c r="P13" s="7">
        <f t="shared" si="9"/>
        <v>2.103573118</v>
      </c>
      <c r="Q13" s="7">
        <f t="shared" si="10"/>
        <v>0.2091789705</v>
      </c>
      <c r="R13" s="7">
        <f t="shared" si="3"/>
        <v>1.21940561</v>
      </c>
      <c r="S13" s="7">
        <f t="shared" si="4"/>
        <v>2.664732632</v>
      </c>
      <c r="T13" s="7">
        <f t="shared" si="5"/>
        <v>1</v>
      </c>
      <c r="U13" s="7">
        <f t="shared" si="6"/>
        <v>1</v>
      </c>
      <c r="V13" s="7">
        <f t="shared" ref="V13:W13" si="29">IF(AVERAGE(T2:T12) &gt; 0.25, 1, 0)</f>
        <v>1</v>
      </c>
      <c r="W13" s="7">
        <f t="shared" si="29"/>
        <v>1</v>
      </c>
      <c r="X13" s="8">
        <v>1.0</v>
      </c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ht="22.5" customHeight="1">
      <c r="A14" s="6">
        <v>1213.0</v>
      </c>
      <c r="B14" s="6">
        <v>2891.0</v>
      </c>
      <c r="C14" s="6">
        <v>2.18</v>
      </c>
      <c r="D14" s="6">
        <v>-0.24</v>
      </c>
      <c r="E14" s="6">
        <v>10.5</v>
      </c>
      <c r="F14" s="6">
        <v>-0.1</v>
      </c>
      <c r="G14" s="6">
        <v>-0.01</v>
      </c>
      <c r="H14" s="6">
        <v>0.03</v>
      </c>
      <c r="I14" s="6">
        <v>33.24</v>
      </c>
      <c r="J14" s="7">
        <f t="shared" ref="J14:O14" si="30">abs(C14-C13)/200</f>
        <v>0.0048</v>
      </c>
      <c r="K14" s="7">
        <f t="shared" si="30"/>
        <v>0.00465</v>
      </c>
      <c r="L14" s="7">
        <f t="shared" si="30"/>
        <v>0.0002</v>
      </c>
      <c r="M14" s="7">
        <f t="shared" si="30"/>
        <v>0.0023</v>
      </c>
      <c r="N14" s="7">
        <f t="shared" si="30"/>
        <v>0.00025</v>
      </c>
      <c r="O14" s="7">
        <f t="shared" si="30"/>
        <v>0.01305</v>
      </c>
      <c r="P14" s="7">
        <f t="shared" si="9"/>
        <v>2.559851747</v>
      </c>
      <c r="Q14" s="7">
        <f t="shared" si="10"/>
        <v>0.2928031657</v>
      </c>
      <c r="R14" s="7">
        <f t="shared" si="3"/>
        <v>0.9266024444</v>
      </c>
      <c r="S14" s="7">
        <f t="shared" si="4"/>
        <v>0.1048808848</v>
      </c>
      <c r="T14" s="7">
        <f t="shared" si="5"/>
        <v>1</v>
      </c>
      <c r="U14" s="7">
        <f t="shared" si="6"/>
        <v>1</v>
      </c>
      <c r="V14" s="7">
        <f t="shared" ref="V14:W14" si="31">IF(AVERAGE(T2:T13) &gt; 0.25, 1, 0)</f>
        <v>1</v>
      </c>
      <c r="W14" s="7">
        <f t="shared" si="31"/>
        <v>1</v>
      </c>
      <c r="X14" s="8">
        <v>1.0</v>
      </c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ht="22.5" customHeight="1">
      <c r="A15" s="6">
        <v>1214.0</v>
      </c>
      <c r="B15" s="6">
        <v>3095.0</v>
      </c>
      <c r="C15" s="6">
        <v>2.28</v>
      </c>
      <c r="D15" s="6">
        <v>-0.18</v>
      </c>
      <c r="E15" s="6">
        <v>10.51</v>
      </c>
      <c r="F15" s="6">
        <v>-0.09</v>
      </c>
      <c r="G15" s="6">
        <v>-0.01</v>
      </c>
      <c r="H15" s="6">
        <v>-0.02</v>
      </c>
      <c r="I15" s="6">
        <v>33.24</v>
      </c>
      <c r="J15" s="7">
        <f t="shared" ref="J15:O15" si="32">abs(C15-C14)/200</f>
        <v>0.0005</v>
      </c>
      <c r="K15" s="7">
        <f t="shared" si="32"/>
        <v>0.0003</v>
      </c>
      <c r="L15" s="7">
        <f t="shared" si="32"/>
        <v>0.00005</v>
      </c>
      <c r="M15" s="7">
        <f t="shared" si="32"/>
        <v>0.00005</v>
      </c>
      <c r="N15" s="7">
        <f t="shared" si="32"/>
        <v>0</v>
      </c>
      <c r="O15" s="7">
        <f t="shared" si="32"/>
        <v>0.00025</v>
      </c>
      <c r="P15" s="7">
        <f t="shared" si="9"/>
        <v>0.01214469986</v>
      </c>
      <c r="Q15" s="7">
        <f t="shared" si="10"/>
        <v>0.02936799068</v>
      </c>
      <c r="R15" s="7">
        <f t="shared" si="3"/>
        <v>0.9559704351</v>
      </c>
      <c r="S15" s="7">
        <f t="shared" si="4"/>
        <v>0.09273618495</v>
      </c>
      <c r="T15" s="7">
        <f t="shared" si="5"/>
        <v>1</v>
      </c>
      <c r="U15" s="7">
        <f t="shared" si="6"/>
        <v>0</v>
      </c>
      <c r="V15" s="7">
        <f t="shared" ref="V15:W15" si="33">IF(AVERAGE(T2:T14) &gt; 0.25, 1, 0)</f>
        <v>1</v>
      </c>
      <c r="W15" s="7">
        <f t="shared" si="33"/>
        <v>1</v>
      </c>
      <c r="X15" s="8">
        <v>1.0</v>
      </c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ht="22.5" customHeight="1">
      <c r="A16" s="6">
        <v>1215.0</v>
      </c>
      <c r="B16" s="6">
        <v>3299.0</v>
      </c>
      <c r="C16" s="6">
        <v>2.27</v>
      </c>
      <c r="D16" s="6">
        <v>-0.21</v>
      </c>
      <c r="E16" s="6">
        <v>10.54</v>
      </c>
      <c r="F16" s="6">
        <v>-0.09</v>
      </c>
      <c r="G16" s="6">
        <v>-0.04</v>
      </c>
      <c r="H16" s="6">
        <v>-0.03</v>
      </c>
      <c r="I16" s="6">
        <v>33.23</v>
      </c>
      <c r="J16" s="7">
        <f t="shared" ref="J16:O16" si="34">abs(C16-C15)/200</f>
        <v>0.00005</v>
      </c>
      <c r="K16" s="7">
        <f t="shared" si="34"/>
        <v>0.00015</v>
      </c>
      <c r="L16" s="7">
        <f t="shared" si="34"/>
        <v>0.00015</v>
      </c>
      <c r="M16" s="7">
        <f t="shared" si="34"/>
        <v>0</v>
      </c>
      <c r="N16" s="7">
        <f t="shared" si="34"/>
        <v>0.00015</v>
      </c>
      <c r="O16" s="7">
        <f t="shared" si="34"/>
        <v>0.00005</v>
      </c>
      <c r="P16" s="7">
        <f t="shared" si="9"/>
        <v>0.01022011645</v>
      </c>
      <c r="Q16" s="7">
        <f t="shared" si="10"/>
        <v>0.02774877493</v>
      </c>
      <c r="R16" s="7">
        <f t="shared" si="3"/>
        <v>0.98371921</v>
      </c>
      <c r="S16" s="7">
        <f t="shared" si="4"/>
        <v>0.1029563014</v>
      </c>
      <c r="T16" s="7">
        <f t="shared" si="5"/>
        <v>0</v>
      </c>
      <c r="U16" s="7">
        <f t="shared" si="6"/>
        <v>0</v>
      </c>
      <c r="V16" s="7">
        <f t="shared" ref="V16:W16" si="35">IF(AVERAGE(T2:T15) &gt; 0.25, 1, 0)</f>
        <v>1</v>
      </c>
      <c r="W16" s="7">
        <f t="shared" si="35"/>
        <v>1</v>
      </c>
      <c r="X16" s="8">
        <v>1.0</v>
      </c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ht="22.5" customHeight="1">
      <c r="A17" s="6">
        <v>1216.0</v>
      </c>
      <c r="B17" s="6">
        <v>3503.0</v>
      </c>
      <c r="C17" s="6">
        <v>2.52</v>
      </c>
      <c r="D17" s="6">
        <v>-0.22</v>
      </c>
      <c r="E17" s="6">
        <v>10.54</v>
      </c>
      <c r="F17" s="6">
        <v>-0.07</v>
      </c>
      <c r="G17" s="6">
        <v>0.1</v>
      </c>
      <c r="H17" s="6">
        <v>-0.02</v>
      </c>
      <c r="I17" s="6">
        <v>33.24</v>
      </c>
      <c r="J17" s="7">
        <f t="shared" ref="J17:O17" si="36">abs(C17-C16)/200</f>
        <v>0.00125</v>
      </c>
      <c r="K17" s="7">
        <f t="shared" si="36"/>
        <v>0.00005</v>
      </c>
      <c r="L17" s="7">
        <f t="shared" si="36"/>
        <v>0</v>
      </c>
      <c r="M17" s="7">
        <f t="shared" si="36"/>
        <v>0.0001</v>
      </c>
      <c r="N17" s="7">
        <f t="shared" si="36"/>
        <v>0.0007</v>
      </c>
      <c r="O17" s="7">
        <f t="shared" si="36"/>
        <v>0.00005</v>
      </c>
      <c r="P17" s="7">
        <f t="shared" si="9"/>
        <v>0.02073686736</v>
      </c>
      <c r="Q17" s="7">
        <f t="shared" si="10"/>
        <v>0.05557966032</v>
      </c>
      <c r="R17" s="7">
        <f t="shared" si="3"/>
        <v>1.03929887</v>
      </c>
      <c r="S17" s="7">
        <f t="shared" si="4"/>
        <v>0.1236931688</v>
      </c>
      <c r="T17" s="7">
        <f t="shared" si="5"/>
        <v>1</v>
      </c>
      <c r="U17" s="7">
        <f t="shared" si="6"/>
        <v>1</v>
      </c>
      <c r="V17" s="7">
        <f t="shared" ref="V17:W17" si="37">IF(AVERAGE(T2:T16) &gt; 0.25, 1, 0)</f>
        <v>1</v>
      </c>
      <c r="W17" s="7">
        <f t="shared" si="37"/>
        <v>1</v>
      </c>
      <c r="X17" s="8">
        <v>1.0</v>
      </c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ht="22.5" customHeight="1">
      <c r="A18" s="6">
        <v>1217.0</v>
      </c>
      <c r="B18" s="6">
        <v>3707.0</v>
      </c>
      <c r="C18" s="6">
        <v>2.67</v>
      </c>
      <c r="D18" s="6">
        <v>-0.32</v>
      </c>
      <c r="E18" s="6">
        <v>10.69</v>
      </c>
      <c r="F18" s="6">
        <v>0.01</v>
      </c>
      <c r="G18" s="6">
        <v>0.08</v>
      </c>
      <c r="H18" s="6">
        <v>0.33</v>
      </c>
      <c r="I18" s="6">
        <v>33.24</v>
      </c>
      <c r="J18" s="7">
        <f t="shared" ref="J18:O18" si="38">abs(C18-C17)/200</f>
        <v>0.00075</v>
      </c>
      <c r="K18" s="7">
        <f t="shared" si="38"/>
        <v>0.0005</v>
      </c>
      <c r="L18" s="7">
        <f t="shared" si="38"/>
        <v>0.00075</v>
      </c>
      <c r="M18" s="7">
        <f t="shared" si="38"/>
        <v>0.0004</v>
      </c>
      <c r="N18" s="7">
        <f t="shared" si="38"/>
        <v>0.0001</v>
      </c>
      <c r="O18" s="7">
        <f t="shared" si="38"/>
        <v>0.00175</v>
      </c>
      <c r="P18" s="7">
        <f t="shared" si="9"/>
        <v>0.2160125863</v>
      </c>
      <c r="Q18" s="7">
        <f t="shared" si="10"/>
        <v>0.1837406379</v>
      </c>
      <c r="R18" s="7">
        <f t="shared" si="3"/>
        <v>1.223039508</v>
      </c>
      <c r="S18" s="7">
        <f t="shared" si="4"/>
        <v>0.339705755</v>
      </c>
      <c r="T18" s="7">
        <f t="shared" si="5"/>
        <v>1</v>
      </c>
      <c r="U18" s="7">
        <f t="shared" si="6"/>
        <v>1</v>
      </c>
      <c r="V18" s="7">
        <f t="shared" ref="V18:W18" si="39">IF(AVERAGE(T2:T17) &gt; 0.25, 1, 0)</f>
        <v>1</v>
      </c>
      <c r="W18" s="7">
        <f t="shared" si="39"/>
        <v>1</v>
      </c>
      <c r="X18" s="8">
        <v>1.0</v>
      </c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ht="22.5" customHeight="1">
      <c r="A19" s="6">
        <v>1218.0</v>
      </c>
      <c r="B19" s="6">
        <v>3911.0</v>
      </c>
      <c r="C19" s="6">
        <v>2.38</v>
      </c>
      <c r="D19" s="6">
        <v>-0.69</v>
      </c>
      <c r="E19" s="6">
        <v>10.41</v>
      </c>
      <c r="F19" s="6">
        <v>0.07</v>
      </c>
      <c r="G19" s="6">
        <v>-0.08</v>
      </c>
      <c r="H19" s="6">
        <v>1.25</v>
      </c>
      <c r="I19" s="6">
        <v>33.24</v>
      </c>
      <c r="J19" s="7">
        <f t="shared" ref="J19:O19" si="40">abs(C19-C18)/200</f>
        <v>0.00145</v>
      </c>
      <c r="K19" s="7">
        <f t="shared" si="40"/>
        <v>0.00185</v>
      </c>
      <c r="L19" s="7">
        <f t="shared" si="40"/>
        <v>0.0014</v>
      </c>
      <c r="M19" s="7">
        <f t="shared" si="40"/>
        <v>0.0003</v>
      </c>
      <c r="N19" s="7">
        <f t="shared" si="40"/>
        <v>0.0008</v>
      </c>
      <c r="O19" s="7">
        <f t="shared" si="40"/>
        <v>0.0046</v>
      </c>
      <c r="P19" s="7">
        <f t="shared" si="9"/>
        <v>0.9148061022</v>
      </c>
      <c r="Q19" s="7">
        <f t="shared" si="10"/>
        <v>0.3221703846</v>
      </c>
      <c r="R19" s="7">
        <f t="shared" si="3"/>
        <v>0.9008691236</v>
      </c>
      <c r="S19" s="7">
        <f t="shared" si="4"/>
        <v>1.254511857</v>
      </c>
      <c r="T19" s="7">
        <f t="shared" si="5"/>
        <v>1</v>
      </c>
      <c r="U19" s="7">
        <f t="shared" si="6"/>
        <v>1</v>
      </c>
      <c r="V19" s="7">
        <f t="shared" ref="V19:W19" si="41">IF(AVERAGE(T2:T18) &gt; 0.25, 1, 0)</f>
        <v>1</v>
      </c>
      <c r="W19" s="7">
        <f t="shared" si="41"/>
        <v>1</v>
      </c>
      <c r="X19" s="8">
        <v>1.0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ht="22.5" customHeight="1">
      <c r="A20" s="6">
        <v>1219.0</v>
      </c>
      <c r="B20" s="6">
        <v>4115.0</v>
      </c>
      <c r="C20" s="6">
        <v>2.25</v>
      </c>
      <c r="D20" s="6">
        <v>-0.1</v>
      </c>
      <c r="E20" s="6">
        <v>10.54</v>
      </c>
      <c r="F20" s="6">
        <v>-0.05</v>
      </c>
      <c r="G20" s="6">
        <v>0.02</v>
      </c>
      <c r="H20" s="6">
        <v>0.22</v>
      </c>
      <c r="I20" s="6">
        <v>33.25</v>
      </c>
      <c r="J20" s="7">
        <f t="shared" ref="J20:O20" si="42">abs(C20-C19)/200</f>
        <v>0.00065</v>
      </c>
      <c r="K20" s="7">
        <f t="shared" si="42"/>
        <v>0.00295</v>
      </c>
      <c r="L20" s="7">
        <f t="shared" si="42"/>
        <v>0.00065</v>
      </c>
      <c r="M20" s="7">
        <f t="shared" si="42"/>
        <v>0.0006</v>
      </c>
      <c r="N20" s="7">
        <f t="shared" si="42"/>
        <v>0.0005</v>
      </c>
      <c r="O20" s="7">
        <f t="shared" si="42"/>
        <v>0.00515</v>
      </c>
      <c r="P20" s="7">
        <f t="shared" si="9"/>
        <v>1.028016824</v>
      </c>
      <c r="Q20" s="7">
        <f t="shared" si="10"/>
        <v>0.07707594958</v>
      </c>
      <c r="R20" s="7">
        <f t="shared" si="3"/>
        <v>0.9779450732</v>
      </c>
      <c r="S20" s="7">
        <f t="shared" si="4"/>
        <v>0.2264950331</v>
      </c>
      <c r="T20" s="7">
        <f t="shared" si="5"/>
        <v>1</v>
      </c>
      <c r="U20" s="7">
        <f t="shared" si="6"/>
        <v>1</v>
      </c>
      <c r="V20" s="7">
        <f t="shared" ref="V20:W20" si="43">IF(AVERAGE(T2:T19) &gt; 0.25, 1, 0)</f>
        <v>1</v>
      </c>
      <c r="W20" s="7">
        <f t="shared" si="43"/>
        <v>1</v>
      </c>
      <c r="X20" s="8">
        <v>1.0</v>
      </c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ht="22.5" customHeight="1">
      <c r="A21" s="6">
        <v>1220.0</v>
      </c>
      <c r="B21" s="6">
        <v>4319.0</v>
      </c>
      <c r="C21" s="6">
        <v>2.35</v>
      </c>
      <c r="D21" s="6">
        <v>-0.23</v>
      </c>
      <c r="E21" s="6">
        <v>10.52</v>
      </c>
      <c r="F21" s="6">
        <v>-0.09</v>
      </c>
      <c r="G21" s="6">
        <v>0.01</v>
      </c>
      <c r="H21" s="6">
        <v>-0.02</v>
      </c>
      <c r="I21" s="6">
        <v>33.25</v>
      </c>
      <c r="J21" s="7">
        <f t="shared" ref="J21:O21" si="44">abs(C21-C20)/200</f>
        <v>0.0005</v>
      </c>
      <c r="K21" s="7">
        <f t="shared" si="44"/>
        <v>0.00065</v>
      </c>
      <c r="L21" s="7">
        <f t="shared" si="44"/>
        <v>0.0001</v>
      </c>
      <c r="M21" s="7">
        <f t="shared" si="44"/>
        <v>0.0002</v>
      </c>
      <c r="N21" s="7">
        <f t="shared" si="44"/>
        <v>0.00005</v>
      </c>
      <c r="O21" s="7">
        <f t="shared" si="44"/>
        <v>0.0012</v>
      </c>
      <c r="P21" s="7">
        <f t="shared" si="9"/>
        <v>0.1337588481</v>
      </c>
      <c r="Q21" s="7">
        <f t="shared" si="10"/>
        <v>0.003789481171</v>
      </c>
      <c r="R21" s="7">
        <f t="shared" si="3"/>
        <v>0.9817345543</v>
      </c>
      <c r="S21" s="7">
        <f t="shared" si="4"/>
        <v>0.09273618495</v>
      </c>
      <c r="T21" s="7">
        <f t="shared" si="5"/>
        <v>1</v>
      </c>
      <c r="U21" s="7">
        <f t="shared" si="6"/>
        <v>1</v>
      </c>
      <c r="V21" s="7">
        <f t="shared" ref="V21:W21" si="45">IF(AVERAGE(T2:T20) &gt; 0.25, 1, 0)</f>
        <v>1</v>
      </c>
      <c r="W21" s="7">
        <f t="shared" si="45"/>
        <v>1</v>
      </c>
      <c r="X21" s="8">
        <v>1.0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ht="22.5" customHeight="1">
      <c r="A22" s="6">
        <v>1221.0</v>
      </c>
      <c r="B22" s="6">
        <v>4523.0</v>
      </c>
      <c r="C22" s="6">
        <v>2.34</v>
      </c>
      <c r="D22" s="6">
        <v>-0.2</v>
      </c>
      <c r="E22" s="6">
        <v>10.5</v>
      </c>
      <c r="F22" s="6">
        <v>-0.16</v>
      </c>
      <c r="G22" s="6">
        <v>-0.04</v>
      </c>
      <c r="H22" s="6">
        <v>-0.34</v>
      </c>
      <c r="I22" s="6">
        <v>33.25</v>
      </c>
      <c r="J22" s="7">
        <f t="shared" ref="J22:O22" si="46">abs(C22-C21)/200</f>
        <v>0.00005</v>
      </c>
      <c r="K22" s="7">
        <f t="shared" si="46"/>
        <v>0.00015</v>
      </c>
      <c r="L22" s="7">
        <f t="shared" si="46"/>
        <v>0.0001</v>
      </c>
      <c r="M22" s="7">
        <f t="shared" si="46"/>
        <v>0.00035</v>
      </c>
      <c r="N22" s="7">
        <f t="shared" si="46"/>
        <v>0.00025</v>
      </c>
      <c r="O22" s="7">
        <f t="shared" si="46"/>
        <v>0.0016</v>
      </c>
      <c r="P22" s="7">
        <f t="shared" si="9"/>
        <v>0.2851526876</v>
      </c>
      <c r="Q22" s="7">
        <f t="shared" si="10"/>
        <v>0.0222921896</v>
      </c>
      <c r="R22" s="7">
        <f t="shared" si="3"/>
        <v>0.9594423647</v>
      </c>
      <c r="S22" s="7">
        <f t="shared" si="4"/>
        <v>0.3778888726</v>
      </c>
      <c r="T22" s="7">
        <f t="shared" si="5"/>
        <v>0</v>
      </c>
      <c r="U22" s="7">
        <f t="shared" si="6"/>
        <v>1</v>
      </c>
      <c r="V22" s="7">
        <f t="shared" ref="V22:W22" si="47">IF(AVERAGE(T2:T21) &gt; 0.25, 1, 0)</f>
        <v>1</v>
      </c>
      <c r="W22" s="7">
        <f t="shared" si="47"/>
        <v>1</v>
      </c>
      <c r="X22" s="8">
        <v>1.0</v>
      </c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ht="22.5" customHeight="1">
      <c r="A23" s="6">
        <v>1222.0</v>
      </c>
      <c r="B23" s="6">
        <v>4727.0</v>
      </c>
      <c r="C23" s="6">
        <v>1.2</v>
      </c>
      <c r="D23" s="6">
        <v>0.4</v>
      </c>
      <c r="E23" s="6">
        <v>10.75</v>
      </c>
      <c r="F23" s="6">
        <v>-0.08</v>
      </c>
      <c r="G23" s="6">
        <v>0.02</v>
      </c>
      <c r="H23" s="6">
        <v>0.4</v>
      </c>
      <c r="I23" s="6">
        <v>33.25</v>
      </c>
      <c r="J23" s="7">
        <f t="shared" ref="J23:O23" si="48">abs(C23-C22)/200</f>
        <v>0.0057</v>
      </c>
      <c r="K23" s="7">
        <f t="shared" si="48"/>
        <v>0.003</v>
      </c>
      <c r="L23" s="7">
        <f t="shared" si="48"/>
        <v>0.00125</v>
      </c>
      <c r="M23" s="7">
        <f t="shared" si="48"/>
        <v>0.0004</v>
      </c>
      <c r="N23" s="7">
        <f t="shared" si="48"/>
        <v>0.0003</v>
      </c>
      <c r="O23" s="7">
        <f t="shared" si="48"/>
        <v>0.0037</v>
      </c>
      <c r="P23" s="7">
        <f t="shared" si="9"/>
        <v>0.03052268458</v>
      </c>
      <c r="Q23" s="7">
        <f t="shared" si="10"/>
        <v>0.06472042044</v>
      </c>
      <c r="R23" s="7">
        <f t="shared" si="3"/>
        <v>1.024162785</v>
      </c>
      <c r="S23" s="7">
        <f t="shared" si="4"/>
        <v>0.4084115571</v>
      </c>
      <c r="T23" s="7">
        <f t="shared" si="5"/>
        <v>1</v>
      </c>
      <c r="U23" s="7">
        <f t="shared" si="6"/>
        <v>1</v>
      </c>
      <c r="V23" s="7">
        <f t="shared" ref="V23:W23" si="49">IF(AVERAGE(T2:T22) &gt; 0.25, 1, 0)</f>
        <v>1</v>
      </c>
      <c r="W23" s="7">
        <f t="shared" si="49"/>
        <v>1</v>
      </c>
      <c r="X23" s="8">
        <v>1.0</v>
      </c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ht="22.5" customHeight="1">
      <c r="A24" s="6">
        <v>1223.0</v>
      </c>
      <c r="B24" s="6">
        <v>4931.0</v>
      </c>
      <c r="C24" s="6">
        <v>2.48</v>
      </c>
      <c r="D24" s="6">
        <v>-0.24</v>
      </c>
      <c r="E24" s="6">
        <v>10.5</v>
      </c>
      <c r="F24" s="6">
        <v>-0.06</v>
      </c>
      <c r="G24" s="6">
        <v>0.03</v>
      </c>
      <c r="H24" s="6">
        <v>0.0</v>
      </c>
      <c r="I24" s="6">
        <v>33.24</v>
      </c>
      <c r="J24" s="7">
        <f t="shared" ref="J24:O24" si="50">abs(C24-C23)/200</f>
        <v>0.0064</v>
      </c>
      <c r="K24" s="7">
        <f t="shared" si="50"/>
        <v>0.0032</v>
      </c>
      <c r="L24" s="7">
        <f t="shared" si="50"/>
        <v>0.00125</v>
      </c>
      <c r="M24" s="7">
        <f t="shared" si="50"/>
        <v>0.0001</v>
      </c>
      <c r="N24" s="7">
        <f t="shared" si="50"/>
        <v>0.00005</v>
      </c>
      <c r="O24" s="7">
        <f t="shared" si="50"/>
        <v>0.002</v>
      </c>
      <c r="P24" s="7">
        <f t="shared" si="9"/>
        <v>0.3413295178</v>
      </c>
      <c r="Q24" s="7">
        <f t="shared" si="10"/>
        <v>0.03259200053</v>
      </c>
      <c r="R24" s="7">
        <f t="shared" si="3"/>
        <v>0.9915707846</v>
      </c>
      <c r="S24" s="7">
        <f t="shared" si="4"/>
        <v>0.06708203932</v>
      </c>
      <c r="T24" s="7">
        <f t="shared" si="5"/>
        <v>1</v>
      </c>
      <c r="U24" s="7">
        <f t="shared" si="6"/>
        <v>1</v>
      </c>
      <c r="V24" s="7">
        <f t="shared" ref="V24:W24" si="51">IF(AVERAGE(T2:T23) &gt; 0.25, 1, 0)</f>
        <v>1</v>
      </c>
      <c r="W24" s="7">
        <f t="shared" si="51"/>
        <v>1</v>
      </c>
      <c r="X24" s="8">
        <v>1.0</v>
      </c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ht="22.5" customHeight="1">
      <c r="A25" s="6">
        <v>1224.0</v>
      </c>
      <c r="B25" s="6">
        <v>5135.0</v>
      </c>
      <c r="C25" s="6">
        <v>2.25</v>
      </c>
      <c r="D25" s="6">
        <v>-0.21</v>
      </c>
      <c r="E25" s="6">
        <v>10.56</v>
      </c>
      <c r="F25" s="6">
        <v>-0.1</v>
      </c>
      <c r="G25" s="6">
        <v>0.0</v>
      </c>
      <c r="H25" s="6">
        <v>-0.17</v>
      </c>
      <c r="I25" s="6">
        <v>33.24</v>
      </c>
      <c r="J25" s="7">
        <f t="shared" ref="J25:O25" si="52">abs(C25-C24)/200</f>
        <v>0.00115</v>
      </c>
      <c r="K25" s="7">
        <f t="shared" si="52"/>
        <v>0.00015</v>
      </c>
      <c r="L25" s="7">
        <f t="shared" si="52"/>
        <v>0.0003</v>
      </c>
      <c r="M25" s="7">
        <f t="shared" si="52"/>
        <v>0.0002</v>
      </c>
      <c r="N25" s="7">
        <f t="shared" si="52"/>
        <v>0.00015</v>
      </c>
      <c r="O25" s="7">
        <f t="shared" si="52"/>
        <v>0.00085</v>
      </c>
      <c r="P25" s="7">
        <f t="shared" si="9"/>
        <v>0.1301487899</v>
      </c>
      <c r="Q25" s="7">
        <f t="shared" si="10"/>
        <v>0.007512509783</v>
      </c>
      <c r="R25" s="7">
        <f t="shared" si="3"/>
        <v>0.9990832944</v>
      </c>
      <c r="S25" s="7">
        <f t="shared" si="4"/>
        <v>0.1972308292</v>
      </c>
      <c r="T25" s="7">
        <f t="shared" si="5"/>
        <v>1</v>
      </c>
      <c r="U25" s="7">
        <f t="shared" si="6"/>
        <v>1</v>
      </c>
      <c r="V25" s="7">
        <f t="shared" ref="V25:W25" si="53">IF(AVERAGE(T2:T24) &gt; 0.25, 1, 0)</f>
        <v>1</v>
      </c>
      <c r="W25" s="7">
        <f t="shared" si="53"/>
        <v>1</v>
      </c>
      <c r="X25" s="8">
        <v>1.0</v>
      </c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ht="22.5" customHeight="1">
      <c r="A26" s="6">
        <v>1225.0</v>
      </c>
      <c r="B26" s="6">
        <v>5339.0</v>
      </c>
      <c r="C26" s="6">
        <v>2.51</v>
      </c>
      <c r="D26" s="6">
        <v>-0.25</v>
      </c>
      <c r="E26" s="6">
        <v>10.53</v>
      </c>
      <c r="F26" s="6">
        <v>-0.13</v>
      </c>
      <c r="G26" s="6">
        <v>-0.08</v>
      </c>
      <c r="H26" s="6">
        <v>-0.31</v>
      </c>
      <c r="I26" s="6">
        <v>33.24</v>
      </c>
      <c r="J26" s="7">
        <f t="shared" ref="J26:O26" si="54">abs(C26-C25)/200</f>
        <v>0.0013</v>
      </c>
      <c r="K26" s="7">
        <f t="shared" si="54"/>
        <v>0.0002</v>
      </c>
      <c r="L26" s="7">
        <f t="shared" si="54"/>
        <v>0.00015</v>
      </c>
      <c r="M26" s="7">
        <f t="shared" si="54"/>
        <v>0.00015</v>
      </c>
      <c r="N26" s="7">
        <f t="shared" si="54"/>
        <v>0.0004</v>
      </c>
      <c r="O26" s="7">
        <f t="shared" si="54"/>
        <v>0.0007</v>
      </c>
      <c r="P26" s="7">
        <f t="shared" si="9"/>
        <v>0.1483122216</v>
      </c>
      <c r="Q26" s="7">
        <f t="shared" si="10"/>
        <v>0.02882047315</v>
      </c>
      <c r="R26" s="7">
        <f t="shared" si="3"/>
        <v>1.027903768</v>
      </c>
      <c r="S26" s="7">
        <f t="shared" si="4"/>
        <v>0.3455430509</v>
      </c>
      <c r="T26" s="7">
        <f t="shared" si="5"/>
        <v>1</v>
      </c>
      <c r="U26" s="7">
        <f t="shared" si="6"/>
        <v>1</v>
      </c>
      <c r="V26" s="7">
        <f t="shared" ref="V26:W26" si="55">IF(AVERAGE(T2:T25) &gt; 0.25, 1, 0)</f>
        <v>1</v>
      </c>
      <c r="W26" s="7">
        <f t="shared" si="55"/>
        <v>1</v>
      </c>
      <c r="X26" s="8">
        <v>1.0</v>
      </c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ht="22.5" customHeight="1">
      <c r="A27" s="6">
        <v>1226.0</v>
      </c>
      <c r="B27" s="6">
        <v>5543.0</v>
      </c>
      <c r="C27" s="6">
        <v>2.25</v>
      </c>
      <c r="D27" s="6">
        <v>-0.1</v>
      </c>
      <c r="E27" s="6">
        <v>10.53</v>
      </c>
      <c r="F27" s="6">
        <v>-0.1</v>
      </c>
      <c r="G27" s="6">
        <v>0.03</v>
      </c>
      <c r="H27" s="6">
        <v>-0.01</v>
      </c>
      <c r="I27" s="6">
        <v>33.24</v>
      </c>
      <c r="J27" s="7">
        <f t="shared" ref="J27:O27" si="56">abs(C27-C26)/200</f>
        <v>0.0013</v>
      </c>
      <c r="K27" s="7">
        <f t="shared" si="56"/>
        <v>0.00075</v>
      </c>
      <c r="L27" s="7">
        <f t="shared" si="56"/>
        <v>0</v>
      </c>
      <c r="M27" s="7">
        <f t="shared" si="56"/>
        <v>0.00015</v>
      </c>
      <c r="N27" s="7">
        <f t="shared" si="56"/>
        <v>0.00055</v>
      </c>
      <c r="O27" s="7">
        <f t="shared" si="56"/>
        <v>0.0015</v>
      </c>
      <c r="P27" s="7">
        <f t="shared" si="9"/>
        <v>0.240662166</v>
      </c>
      <c r="Q27" s="7">
        <f t="shared" si="10"/>
        <v>0.05973772131</v>
      </c>
      <c r="R27" s="7">
        <f t="shared" si="3"/>
        <v>0.9681660463</v>
      </c>
      <c r="S27" s="7">
        <f t="shared" si="4"/>
        <v>0.1048808848</v>
      </c>
      <c r="T27" s="7">
        <f t="shared" si="5"/>
        <v>1</v>
      </c>
      <c r="U27" s="7">
        <f t="shared" si="6"/>
        <v>1</v>
      </c>
      <c r="V27" s="7">
        <f t="shared" ref="V27:W27" si="57">IF(AVERAGE(T2:T26) &gt; 0.25, 1, 0)</f>
        <v>1</v>
      </c>
      <c r="W27" s="7">
        <f t="shared" si="57"/>
        <v>1</v>
      </c>
      <c r="X27" s="8">
        <v>1.0</v>
      </c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ht="22.5" customHeight="1">
      <c r="A28" s="6">
        <v>1227.0</v>
      </c>
      <c r="B28" s="6">
        <v>5747.0</v>
      </c>
      <c r="C28" s="6">
        <v>2.42</v>
      </c>
      <c r="D28" s="6">
        <v>-0.18</v>
      </c>
      <c r="E28" s="6">
        <v>10.54</v>
      </c>
      <c r="F28" s="6">
        <v>-0.09</v>
      </c>
      <c r="G28" s="6">
        <v>-0.01</v>
      </c>
      <c r="H28" s="6">
        <v>0.19</v>
      </c>
      <c r="I28" s="6">
        <v>33.24</v>
      </c>
      <c r="J28" s="7">
        <f t="shared" ref="J28:O28" si="58">abs(C28-C27)/200</f>
        <v>0.00085</v>
      </c>
      <c r="K28" s="7">
        <f t="shared" si="58"/>
        <v>0.0004</v>
      </c>
      <c r="L28" s="7">
        <f t="shared" si="58"/>
        <v>0.00005</v>
      </c>
      <c r="M28" s="7">
        <f t="shared" si="58"/>
        <v>0.00005</v>
      </c>
      <c r="N28" s="7">
        <f t="shared" si="58"/>
        <v>0.0002</v>
      </c>
      <c r="O28" s="7">
        <f t="shared" si="58"/>
        <v>0.001</v>
      </c>
      <c r="P28" s="7">
        <f t="shared" si="9"/>
        <v>0.105594767</v>
      </c>
      <c r="Q28" s="7">
        <f t="shared" si="10"/>
        <v>0.04758173186</v>
      </c>
      <c r="R28" s="7">
        <f t="shared" si="3"/>
        <v>1.015747778</v>
      </c>
      <c r="S28" s="7">
        <f t="shared" si="4"/>
        <v>0.2104756518</v>
      </c>
      <c r="T28" s="7">
        <f t="shared" si="5"/>
        <v>1</v>
      </c>
      <c r="U28" s="7">
        <f t="shared" si="6"/>
        <v>1</v>
      </c>
      <c r="V28" s="7">
        <f t="shared" ref="V28:W28" si="59">IF(AVERAGE(T2:T27) &gt; 0.25, 1, 0)</f>
        <v>1</v>
      </c>
      <c r="W28" s="7">
        <f t="shared" si="59"/>
        <v>1</v>
      </c>
      <c r="X28" s="8">
        <v>1.0</v>
      </c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ht="22.5" customHeight="1">
      <c r="A29" s="6">
        <v>1228.0</v>
      </c>
      <c r="B29" s="6">
        <v>5951.0</v>
      </c>
      <c r="C29" s="6">
        <v>2.94</v>
      </c>
      <c r="D29" s="6">
        <v>-0.57</v>
      </c>
      <c r="E29" s="6">
        <v>10.42</v>
      </c>
      <c r="F29" s="6">
        <v>-0.05</v>
      </c>
      <c r="G29" s="6">
        <v>0.02</v>
      </c>
      <c r="H29" s="6">
        <v>0.32</v>
      </c>
      <c r="I29" s="6">
        <v>33.23</v>
      </c>
      <c r="J29" s="7">
        <f t="shared" ref="J29:O29" si="60">abs(C29-C28)/200</f>
        <v>0.0026</v>
      </c>
      <c r="K29" s="7">
        <f t="shared" si="60"/>
        <v>0.00195</v>
      </c>
      <c r="L29" s="7">
        <f t="shared" si="60"/>
        <v>0.0006</v>
      </c>
      <c r="M29" s="7">
        <f t="shared" si="60"/>
        <v>0.0002</v>
      </c>
      <c r="N29" s="7">
        <f t="shared" si="60"/>
        <v>0.00015</v>
      </c>
      <c r="O29" s="7">
        <f t="shared" si="60"/>
        <v>0.00065</v>
      </c>
      <c r="P29" s="7">
        <f t="shared" si="9"/>
        <v>0.114023963</v>
      </c>
      <c r="Q29" s="7">
        <f t="shared" si="10"/>
        <v>0.02606480096</v>
      </c>
      <c r="R29" s="7">
        <f t="shared" si="3"/>
        <v>1.041812579</v>
      </c>
      <c r="S29" s="7">
        <f t="shared" si="4"/>
        <v>0.3244996148</v>
      </c>
      <c r="T29" s="7">
        <f t="shared" si="5"/>
        <v>1</v>
      </c>
      <c r="U29" s="7">
        <f t="shared" si="6"/>
        <v>1</v>
      </c>
      <c r="V29" s="7">
        <f t="shared" ref="V29:W29" si="61">IF(AVERAGE(T2:T28) &gt; 0.25, 1, 0)</f>
        <v>1</v>
      </c>
      <c r="W29" s="7">
        <f t="shared" si="61"/>
        <v>1</v>
      </c>
      <c r="X29" s="8">
        <v>1.0</v>
      </c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ht="22.5" customHeight="1">
      <c r="A30" s="6">
        <v>1229.0</v>
      </c>
      <c r="B30" s="6">
        <v>6155.0</v>
      </c>
      <c r="C30" s="6">
        <v>1.82</v>
      </c>
      <c r="D30" s="6">
        <v>-0.41</v>
      </c>
      <c r="E30" s="6">
        <v>10.78</v>
      </c>
      <c r="F30" s="6">
        <v>-0.11</v>
      </c>
      <c r="G30" s="6">
        <v>-0.06</v>
      </c>
      <c r="H30" s="6">
        <v>0.05</v>
      </c>
      <c r="I30" s="6">
        <v>33.25</v>
      </c>
      <c r="J30" s="7">
        <f t="shared" ref="J30:O30" si="62">abs(C30-C29)/200</f>
        <v>0.0056</v>
      </c>
      <c r="K30" s="7">
        <f t="shared" si="62"/>
        <v>0.0008</v>
      </c>
      <c r="L30" s="7">
        <f t="shared" si="62"/>
        <v>0.0018</v>
      </c>
      <c r="M30" s="7">
        <f t="shared" si="62"/>
        <v>0.0003</v>
      </c>
      <c r="N30" s="7">
        <f t="shared" si="62"/>
        <v>0.0004</v>
      </c>
      <c r="O30" s="7">
        <f t="shared" si="62"/>
        <v>0.00135</v>
      </c>
      <c r="P30" s="7">
        <f t="shared" si="9"/>
        <v>0.1895922392</v>
      </c>
      <c r="Q30" s="7">
        <f t="shared" si="10"/>
        <v>0.09842964858</v>
      </c>
      <c r="R30" s="7">
        <f t="shared" si="3"/>
        <v>1.140242228</v>
      </c>
      <c r="S30" s="7">
        <f t="shared" si="4"/>
        <v>0.1349073756</v>
      </c>
      <c r="T30" s="7">
        <f t="shared" si="5"/>
        <v>1</v>
      </c>
      <c r="U30" s="7">
        <f t="shared" si="6"/>
        <v>1</v>
      </c>
      <c r="V30" s="7">
        <f t="shared" ref="V30:W30" si="63">IF(AVERAGE(T2:T29) &gt; 0.25, 1, 0)</f>
        <v>1</v>
      </c>
      <c r="W30" s="7">
        <f t="shared" si="63"/>
        <v>1</v>
      </c>
      <c r="X30" s="8">
        <v>1.0</v>
      </c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ht="22.5" customHeight="1">
      <c r="A31" s="6">
        <v>1230.0</v>
      </c>
      <c r="B31" s="6">
        <v>6359.0</v>
      </c>
      <c r="C31" s="6">
        <v>2.38</v>
      </c>
      <c r="D31" s="6">
        <v>-0.33</v>
      </c>
      <c r="E31" s="6">
        <v>10.47</v>
      </c>
      <c r="F31" s="6">
        <v>-0.2</v>
      </c>
      <c r="G31" s="6">
        <v>-0.05</v>
      </c>
      <c r="H31" s="6">
        <v>-0.42</v>
      </c>
      <c r="I31" s="6">
        <v>33.24</v>
      </c>
      <c r="J31" s="7">
        <f t="shared" ref="J31:O31" si="64">abs(C31-C30)/200</f>
        <v>0.0028</v>
      </c>
      <c r="K31" s="7">
        <f t="shared" si="64"/>
        <v>0.0004</v>
      </c>
      <c r="L31" s="7">
        <f t="shared" si="64"/>
        <v>0.00155</v>
      </c>
      <c r="M31" s="7">
        <f t="shared" si="64"/>
        <v>0.00045</v>
      </c>
      <c r="N31" s="7">
        <f t="shared" si="64"/>
        <v>0.00005</v>
      </c>
      <c r="O31" s="7">
        <f t="shared" si="64"/>
        <v>0.00235</v>
      </c>
      <c r="P31" s="7">
        <f t="shared" si="9"/>
        <v>0.332960127</v>
      </c>
      <c r="Q31" s="7">
        <f t="shared" si="10"/>
        <v>0.1980729868</v>
      </c>
      <c r="R31" s="7">
        <f t="shared" si="3"/>
        <v>0.9421692409</v>
      </c>
      <c r="S31" s="7">
        <f t="shared" si="4"/>
        <v>0.4678675026</v>
      </c>
      <c r="T31" s="7">
        <f t="shared" si="5"/>
        <v>1</v>
      </c>
      <c r="U31" s="7">
        <f t="shared" si="6"/>
        <v>1</v>
      </c>
      <c r="V31" s="7">
        <f t="shared" ref="V31:W31" si="65">IF(AVERAGE(T2:T30) &gt; 0.25, 1, 0)</f>
        <v>1</v>
      </c>
      <c r="W31" s="7">
        <f t="shared" si="65"/>
        <v>1</v>
      </c>
      <c r="X31" s="8">
        <v>1.0</v>
      </c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ht="22.5" customHeight="1">
      <c r="A32" s="6">
        <v>1231.0</v>
      </c>
      <c r="B32" s="6">
        <v>6563.0</v>
      </c>
      <c r="C32" s="6">
        <v>2.21</v>
      </c>
      <c r="D32" s="6">
        <v>-0.15</v>
      </c>
      <c r="E32" s="6">
        <v>10.63</v>
      </c>
      <c r="F32" s="6">
        <v>-0.1</v>
      </c>
      <c r="G32" s="6">
        <v>0.09</v>
      </c>
      <c r="H32" s="6">
        <v>-0.18</v>
      </c>
      <c r="I32" s="6">
        <v>33.24</v>
      </c>
      <c r="J32" s="7">
        <f t="shared" ref="J32:O32" si="66">abs(C32-C31)/200</f>
        <v>0.00085</v>
      </c>
      <c r="K32" s="7">
        <f t="shared" si="66"/>
        <v>0.0009</v>
      </c>
      <c r="L32" s="7">
        <f t="shared" si="66"/>
        <v>0.0008</v>
      </c>
      <c r="M32" s="7">
        <f t="shared" si="66"/>
        <v>0.0005</v>
      </c>
      <c r="N32" s="7">
        <f t="shared" si="66"/>
        <v>0.0007</v>
      </c>
      <c r="O32" s="7">
        <f t="shared" si="66"/>
        <v>0.0012</v>
      </c>
      <c r="P32" s="7">
        <f t="shared" si="9"/>
        <v>0.2431454521</v>
      </c>
      <c r="Q32" s="7">
        <f t="shared" si="10"/>
        <v>0.1161685693</v>
      </c>
      <c r="R32" s="7">
        <f t="shared" si="3"/>
        <v>1.05833781</v>
      </c>
      <c r="S32" s="7">
        <f t="shared" si="4"/>
        <v>0.2247220505</v>
      </c>
      <c r="T32" s="7">
        <f t="shared" si="5"/>
        <v>1</v>
      </c>
      <c r="U32" s="7">
        <f t="shared" si="6"/>
        <v>1</v>
      </c>
      <c r="V32" s="7">
        <f t="shared" ref="V32:W32" si="67">IF(AVERAGE(T2:T31) &gt; 0.25, 1, 0)</f>
        <v>1</v>
      </c>
      <c r="W32" s="7">
        <f t="shared" si="67"/>
        <v>1</v>
      </c>
      <c r="X32" s="8">
        <v>1.0</v>
      </c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ht="22.5" customHeight="1">
      <c r="A33" s="6">
        <v>1232.0</v>
      </c>
      <c r="B33" s="6">
        <v>6767.0</v>
      </c>
      <c r="C33" s="6">
        <v>2.49</v>
      </c>
      <c r="D33" s="6">
        <v>-0.04</v>
      </c>
      <c r="E33" s="6">
        <v>10.5</v>
      </c>
      <c r="F33" s="6">
        <v>-0.18</v>
      </c>
      <c r="G33" s="6">
        <v>0.02</v>
      </c>
      <c r="H33" s="6">
        <v>-0.58</v>
      </c>
      <c r="I33" s="6">
        <v>33.23</v>
      </c>
      <c r="J33" s="7">
        <f t="shared" ref="J33:O33" si="68">abs(C33-C32)/200</f>
        <v>0.0014</v>
      </c>
      <c r="K33" s="7">
        <f t="shared" si="68"/>
        <v>0.00055</v>
      </c>
      <c r="L33" s="7">
        <f t="shared" si="68"/>
        <v>0.00065</v>
      </c>
      <c r="M33" s="7">
        <f t="shared" si="68"/>
        <v>0.0004</v>
      </c>
      <c r="N33" s="7">
        <f t="shared" si="68"/>
        <v>0.00035</v>
      </c>
      <c r="O33" s="7">
        <f t="shared" si="68"/>
        <v>0.002</v>
      </c>
      <c r="P33" s="7">
        <f t="shared" si="9"/>
        <v>0.3828962507</v>
      </c>
      <c r="Q33" s="7">
        <f t="shared" si="10"/>
        <v>0.06705892397</v>
      </c>
      <c r="R33" s="7">
        <f t="shared" si="3"/>
        <v>0.9912788862</v>
      </c>
      <c r="S33" s="7">
        <f t="shared" si="4"/>
        <v>0.6076183012</v>
      </c>
      <c r="T33" s="7">
        <f t="shared" si="5"/>
        <v>1</v>
      </c>
      <c r="U33" s="7">
        <f t="shared" si="6"/>
        <v>1</v>
      </c>
      <c r="V33" s="7">
        <f t="shared" ref="V33:W33" si="69">IF(AVERAGE(T2:T32) &gt; 0.25, 1, 0)</f>
        <v>1</v>
      </c>
      <c r="W33" s="7">
        <f t="shared" si="69"/>
        <v>1</v>
      </c>
      <c r="X33" s="8">
        <v>1.0</v>
      </c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ht="22.5" customHeight="1">
      <c r="A34" s="6">
        <v>1233.0</v>
      </c>
      <c r="B34" s="6">
        <v>6971.0</v>
      </c>
      <c r="C34" s="6">
        <v>3.0</v>
      </c>
      <c r="D34" s="6">
        <v>-0.15</v>
      </c>
      <c r="E34" s="6">
        <v>10.37</v>
      </c>
      <c r="F34" s="6">
        <v>-0.22</v>
      </c>
      <c r="G34" s="6">
        <v>-0.07</v>
      </c>
      <c r="H34" s="6">
        <v>-0.78</v>
      </c>
      <c r="I34" s="6">
        <v>33.24</v>
      </c>
      <c r="J34" s="7">
        <f t="shared" ref="J34:O34" si="70">abs(C34-C33)/200</f>
        <v>0.00255</v>
      </c>
      <c r="K34" s="7">
        <f t="shared" si="70"/>
        <v>0.00055</v>
      </c>
      <c r="L34" s="7">
        <f t="shared" si="70"/>
        <v>0.00065</v>
      </c>
      <c r="M34" s="7">
        <f t="shared" si="70"/>
        <v>0.0002</v>
      </c>
      <c r="N34" s="7">
        <f t="shared" si="70"/>
        <v>0.00045</v>
      </c>
      <c r="O34" s="7">
        <f t="shared" si="70"/>
        <v>0.001</v>
      </c>
      <c r="P34" s="7">
        <f t="shared" si="9"/>
        <v>0.205831144</v>
      </c>
      <c r="Q34" s="7">
        <f t="shared" si="10"/>
        <v>0.004988987456</v>
      </c>
      <c r="R34" s="7">
        <f t="shared" si="3"/>
        <v>0.9962678737</v>
      </c>
      <c r="S34" s="7">
        <f t="shared" si="4"/>
        <v>0.8134494453</v>
      </c>
      <c r="T34" s="7">
        <f t="shared" si="5"/>
        <v>1</v>
      </c>
      <c r="U34" s="7">
        <f t="shared" si="6"/>
        <v>1</v>
      </c>
      <c r="V34" s="7">
        <f t="shared" ref="V34:W34" si="71">IF(AVERAGE(T2:T33) &gt; 0.25, 1, 0)</f>
        <v>1</v>
      </c>
      <c r="W34" s="7">
        <f t="shared" si="71"/>
        <v>1</v>
      </c>
      <c r="X34" s="8">
        <v>1.0</v>
      </c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ht="22.5" customHeight="1">
      <c r="A35" s="6">
        <v>1234.0</v>
      </c>
      <c r="B35" s="6">
        <v>7175.0</v>
      </c>
      <c r="C35" s="6">
        <v>2.68</v>
      </c>
      <c r="D35" s="6">
        <v>-0.15</v>
      </c>
      <c r="E35" s="6">
        <v>10.46</v>
      </c>
      <c r="F35" s="6">
        <v>-0.14</v>
      </c>
      <c r="G35" s="6">
        <v>0.05</v>
      </c>
      <c r="H35" s="6">
        <v>-0.17</v>
      </c>
      <c r="I35" s="6">
        <v>33.24</v>
      </c>
      <c r="J35" s="7">
        <f t="shared" ref="J35:O35" si="72">abs(C35-C34)/200</f>
        <v>0.0016</v>
      </c>
      <c r="K35" s="7">
        <f t="shared" si="72"/>
        <v>0</v>
      </c>
      <c r="L35" s="7">
        <f t="shared" si="72"/>
        <v>0.00045</v>
      </c>
      <c r="M35" s="7">
        <f t="shared" si="72"/>
        <v>0.0004</v>
      </c>
      <c r="N35" s="7">
        <f t="shared" si="72"/>
        <v>0.0006</v>
      </c>
      <c r="O35" s="7">
        <f t="shared" si="72"/>
        <v>0.00305</v>
      </c>
      <c r="P35" s="7">
        <f t="shared" si="9"/>
        <v>0.5876176495</v>
      </c>
      <c r="Q35" s="7">
        <f t="shared" si="10"/>
        <v>0.002644108564</v>
      </c>
      <c r="R35" s="7">
        <f t="shared" si="3"/>
        <v>0.9989119822</v>
      </c>
      <c r="S35" s="7">
        <f t="shared" si="4"/>
        <v>0.2258317958</v>
      </c>
      <c r="T35" s="7">
        <f t="shared" si="5"/>
        <v>1</v>
      </c>
      <c r="U35" s="7">
        <f t="shared" si="6"/>
        <v>1</v>
      </c>
      <c r="V35" s="7">
        <f t="shared" ref="V35:W35" si="73">IF(AVERAGE(T2:T34) &gt; 0.25, 1, 0)</f>
        <v>1</v>
      </c>
      <c r="W35" s="7">
        <f t="shared" si="73"/>
        <v>1</v>
      </c>
      <c r="X35" s="8">
        <v>1.0</v>
      </c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22.5" customHeight="1">
      <c r="A36" s="6">
        <v>1235.0</v>
      </c>
      <c r="B36" s="6">
        <v>7379.0</v>
      </c>
      <c r="C36" s="6">
        <v>2.48</v>
      </c>
      <c r="D36" s="6">
        <v>-0.23</v>
      </c>
      <c r="E36" s="6">
        <v>10.41</v>
      </c>
      <c r="F36" s="6">
        <v>-0.12</v>
      </c>
      <c r="G36" s="6">
        <v>-0.04</v>
      </c>
      <c r="H36" s="6">
        <v>-0.01</v>
      </c>
      <c r="I36" s="6">
        <v>33.24</v>
      </c>
      <c r="J36" s="7">
        <f t="shared" ref="J36:O36" si="74">abs(C36-C35)/200</f>
        <v>0.001</v>
      </c>
      <c r="K36" s="7">
        <f t="shared" si="74"/>
        <v>0.0004</v>
      </c>
      <c r="L36" s="7">
        <f t="shared" si="74"/>
        <v>0.00025</v>
      </c>
      <c r="M36" s="7">
        <f t="shared" si="74"/>
        <v>0.0001</v>
      </c>
      <c r="N36" s="7">
        <f t="shared" si="74"/>
        <v>0.00045</v>
      </c>
      <c r="O36" s="7">
        <f t="shared" si="74"/>
        <v>0.0008</v>
      </c>
      <c r="P36" s="7">
        <f t="shared" si="9"/>
        <v>0.09894602041</v>
      </c>
      <c r="Q36" s="7">
        <f t="shared" si="10"/>
        <v>0.09510891977</v>
      </c>
      <c r="R36" s="7">
        <f t="shared" si="3"/>
        <v>0.9038030625</v>
      </c>
      <c r="S36" s="7">
        <f t="shared" si="4"/>
        <v>0.1268857754</v>
      </c>
      <c r="T36" s="7">
        <f t="shared" si="5"/>
        <v>1</v>
      </c>
      <c r="U36" s="7">
        <f t="shared" si="6"/>
        <v>1</v>
      </c>
      <c r="V36" s="7">
        <f t="shared" ref="V36:W36" si="75">IF(AVERAGE(T2:T35) &gt; 0.25, 1, 0)</f>
        <v>1</v>
      </c>
      <c r="W36" s="7">
        <f t="shared" si="75"/>
        <v>1</v>
      </c>
      <c r="X36" s="8">
        <v>1.0</v>
      </c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22.5" customHeight="1">
      <c r="A37" s="6">
        <v>1236.0</v>
      </c>
      <c r="B37" s="6">
        <v>7583.0</v>
      </c>
      <c r="C37" s="6">
        <v>2.37</v>
      </c>
      <c r="D37" s="6">
        <v>-0.3</v>
      </c>
      <c r="E37" s="6">
        <v>10.41</v>
      </c>
      <c r="F37" s="6">
        <v>-0.12</v>
      </c>
      <c r="G37" s="6">
        <v>0.02</v>
      </c>
      <c r="H37" s="6">
        <v>0.0</v>
      </c>
      <c r="I37" s="6">
        <v>33.23</v>
      </c>
      <c r="J37" s="7">
        <f t="shared" ref="J37:O37" si="76">abs(C37-C36)/200</f>
        <v>0.00055</v>
      </c>
      <c r="K37" s="7">
        <f t="shared" si="76"/>
        <v>0.00035</v>
      </c>
      <c r="L37" s="7">
        <f t="shared" si="76"/>
        <v>0</v>
      </c>
      <c r="M37" s="7">
        <f t="shared" si="76"/>
        <v>0</v>
      </c>
      <c r="N37" s="7">
        <f t="shared" si="76"/>
        <v>0.0003</v>
      </c>
      <c r="O37" s="7">
        <f t="shared" si="76"/>
        <v>0.00005</v>
      </c>
      <c r="P37" s="7">
        <f t="shared" si="9"/>
        <v>0.005230524799</v>
      </c>
      <c r="Q37" s="7">
        <f t="shared" si="10"/>
        <v>0.02321319111</v>
      </c>
      <c r="R37" s="7">
        <f t="shared" si="3"/>
        <v>0.8805898714</v>
      </c>
      <c r="S37" s="7">
        <f t="shared" si="4"/>
        <v>0.1216552506</v>
      </c>
      <c r="T37" s="7">
        <f t="shared" si="5"/>
        <v>1</v>
      </c>
      <c r="U37" s="7">
        <f t="shared" si="6"/>
        <v>0</v>
      </c>
      <c r="V37" s="7">
        <f t="shared" ref="V37:W37" si="77">IF(AVERAGE(T2:T36) &gt; 0.25, 1, 0)</f>
        <v>1</v>
      </c>
      <c r="W37" s="7">
        <f t="shared" si="77"/>
        <v>1</v>
      </c>
      <c r="X37" s="8">
        <v>1.0</v>
      </c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22.5" customHeight="1">
      <c r="A38" s="6">
        <v>1237.0</v>
      </c>
      <c r="B38" s="6">
        <v>7787.0</v>
      </c>
      <c r="C38" s="6">
        <v>2.38</v>
      </c>
      <c r="D38" s="6">
        <v>-0.3</v>
      </c>
      <c r="E38" s="6">
        <v>10.49</v>
      </c>
      <c r="F38" s="6">
        <v>-0.09</v>
      </c>
      <c r="G38" s="6">
        <v>0.0</v>
      </c>
      <c r="H38" s="6">
        <v>-0.01</v>
      </c>
      <c r="I38" s="6">
        <v>33.23</v>
      </c>
      <c r="J38" s="7">
        <f t="shared" ref="J38:O38" si="78">abs(C38-C37)/200</f>
        <v>0.00005</v>
      </c>
      <c r="K38" s="7">
        <f t="shared" si="78"/>
        <v>0</v>
      </c>
      <c r="L38" s="7">
        <f t="shared" si="78"/>
        <v>0.0004</v>
      </c>
      <c r="M38" s="7">
        <f t="shared" si="78"/>
        <v>0.00015</v>
      </c>
      <c r="N38" s="7">
        <f t="shared" si="78"/>
        <v>0.0001</v>
      </c>
      <c r="O38" s="7">
        <f t="shared" si="78"/>
        <v>0.00005</v>
      </c>
      <c r="P38" s="7">
        <f t="shared" si="9"/>
        <v>0.03110139922</v>
      </c>
      <c r="Q38" s="7">
        <f t="shared" si="10"/>
        <v>0.08019541598</v>
      </c>
      <c r="R38" s="7">
        <f t="shared" si="3"/>
        <v>0.9607852873</v>
      </c>
      <c r="S38" s="7">
        <f t="shared" si="4"/>
        <v>0.09055385138</v>
      </c>
      <c r="T38" s="7">
        <f t="shared" si="5"/>
        <v>1</v>
      </c>
      <c r="U38" s="7">
        <f t="shared" si="6"/>
        <v>0</v>
      </c>
      <c r="V38" s="7">
        <f t="shared" ref="V38:W38" si="79">IF(AVERAGE(T2:T37) &gt; 0.25, 1, 0)</f>
        <v>1</v>
      </c>
      <c r="W38" s="7">
        <f t="shared" si="79"/>
        <v>1</v>
      </c>
      <c r="X38" s="8">
        <v>1.0</v>
      </c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22.5" customHeight="1">
      <c r="A39" s="6">
        <v>1238.0</v>
      </c>
      <c r="B39" s="6">
        <v>7991.0</v>
      </c>
      <c r="C39" s="6">
        <v>2.47</v>
      </c>
      <c r="D39" s="6">
        <v>-0.3</v>
      </c>
      <c r="E39" s="6">
        <v>10.46</v>
      </c>
      <c r="F39" s="6">
        <v>-0.1</v>
      </c>
      <c r="G39" s="6">
        <v>0.0</v>
      </c>
      <c r="H39" s="6">
        <v>-0.01</v>
      </c>
      <c r="I39" s="6">
        <v>33.23</v>
      </c>
      <c r="J39" s="7">
        <f t="shared" ref="J39:O39" si="80">abs(C39-C38)/200</f>
        <v>0.00045</v>
      </c>
      <c r="K39" s="7">
        <f t="shared" si="80"/>
        <v>0</v>
      </c>
      <c r="L39" s="7">
        <f t="shared" si="80"/>
        <v>0.00015</v>
      </c>
      <c r="M39" s="7">
        <f t="shared" si="80"/>
        <v>0.00005</v>
      </c>
      <c r="N39" s="7">
        <f t="shared" si="80"/>
        <v>0</v>
      </c>
      <c r="O39" s="7">
        <f t="shared" si="80"/>
        <v>0</v>
      </c>
      <c r="P39" s="7">
        <f t="shared" si="9"/>
        <v>0.00994490483</v>
      </c>
      <c r="Q39" s="7">
        <f t="shared" si="10"/>
        <v>0.008924983177</v>
      </c>
      <c r="R39" s="7">
        <f t="shared" si="3"/>
        <v>0.9518603042</v>
      </c>
      <c r="S39" s="7">
        <f t="shared" si="4"/>
        <v>0.1004987562</v>
      </c>
      <c r="T39" s="7">
        <f t="shared" si="5"/>
        <v>1</v>
      </c>
      <c r="U39" s="7">
        <f t="shared" si="6"/>
        <v>0</v>
      </c>
      <c r="V39" s="7">
        <f t="shared" ref="V39:W39" si="81">IF(AVERAGE(T2:T38) &gt; 0.25, 1, 0)</f>
        <v>1</v>
      </c>
      <c r="W39" s="7">
        <f t="shared" si="81"/>
        <v>1</v>
      </c>
      <c r="X39" s="8">
        <v>1.0</v>
      </c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22.5" customHeight="1">
      <c r="A40" s="6">
        <v>1239.0</v>
      </c>
      <c r="B40" s="6">
        <v>8195.0</v>
      </c>
      <c r="C40" s="6">
        <v>3.16</v>
      </c>
      <c r="D40" s="6">
        <v>-1.13</v>
      </c>
      <c r="E40" s="6">
        <v>10.3</v>
      </c>
      <c r="F40" s="6">
        <v>-0.47</v>
      </c>
      <c r="G40" s="6">
        <v>0.02</v>
      </c>
      <c r="H40" s="6">
        <v>-1.75</v>
      </c>
      <c r="I40" s="6">
        <v>33.24</v>
      </c>
      <c r="J40" s="7">
        <f t="shared" ref="J40:O40" si="82">abs(C40-C39)/200</f>
        <v>0.00345</v>
      </c>
      <c r="K40" s="7">
        <f t="shared" si="82"/>
        <v>0.00415</v>
      </c>
      <c r="L40" s="7">
        <f t="shared" si="82"/>
        <v>0.0008</v>
      </c>
      <c r="M40" s="7">
        <f t="shared" si="82"/>
        <v>0.00185</v>
      </c>
      <c r="N40" s="7">
        <f t="shared" si="82"/>
        <v>0.0001</v>
      </c>
      <c r="O40" s="7">
        <f t="shared" si="82"/>
        <v>0.0087</v>
      </c>
      <c r="P40" s="7">
        <f t="shared" si="9"/>
        <v>1.711627067</v>
      </c>
      <c r="Q40" s="7">
        <f t="shared" si="10"/>
        <v>0.08107558599</v>
      </c>
      <c r="R40" s="7">
        <f t="shared" si="3"/>
        <v>1.03293589</v>
      </c>
      <c r="S40" s="7">
        <f t="shared" si="4"/>
        <v>1.812125823</v>
      </c>
      <c r="T40" s="7">
        <f t="shared" si="5"/>
        <v>1</v>
      </c>
      <c r="U40" s="7">
        <f t="shared" si="6"/>
        <v>1</v>
      </c>
      <c r="V40" s="7">
        <f t="shared" ref="V40:W40" si="83">IF(AVERAGE(T2:T39) &gt; 0.25, 1, 0)</f>
        <v>1</v>
      </c>
      <c r="W40" s="7">
        <f t="shared" si="83"/>
        <v>1</v>
      </c>
      <c r="X40" s="8">
        <v>1.0</v>
      </c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22.5" customHeight="1">
      <c r="A41" s="6">
        <v>1240.0</v>
      </c>
      <c r="B41" s="6">
        <v>8399.0</v>
      </c>
      <c r="C41" s="6">
        <v>2.72</v>
      </c>
      <c r="D41" s="6">
        <v>-0.39</v>
      </c>
      <c r="E41" s="6">
        <v>10.51</v>
      </c>
      <c r="F41" s="6">
        <v>-0.42</v>
      </c>
      <c r="G41" s="6">
        <v>0.01</v>
      </c>
      <c r="H41" s="6">
        <v>-1.66</v>
      </c>
      <c r="I41" s="6">
        <v>33.24</v>
      </c>
      <c r="J41" s="7">
        <f t="shared" ref="J41:O41" si="84">abs(C41-C40)/200</f>
        <v>0.0022</v>
      </c>
      <c r="K41" s="7">
        <f t="shared" si="84"/>
        <v>0.0037</v>
      </c>
      <c r="L41" s="7">
        <f t="shared" si="84"/>
        <v>0.00105</v>
      </c>
      <c r="M41" s="7">
        <f t="shared" si="84"/>
        <v>0.00025</v>
      </c>
      <c r="N41" s="7">
        <f t="shared" si="84"/>
        <v>0.00005</v>
      </c>
      <c r="O41" s="7">
        <f t="shared" si="84"/>
        <v>0.00045</v>
      </c>
      <c r="P41" s="7">
        <f t="shared" si="9"/>
        <v>0.09978823991</v>
      </c>
      <c r="Q41" s="7">
        <f t="shared" si="10"/>
        <v>0.03033249465</v>
      </c>
      <c r="R41" s="7">
        <f t="shared" si="3"/>
        <v>1.063268385</v>
      </c>
      <c r="S41" s="7">
        <f t="shared" si="4"/>
        <v>1.712337584</v>
      </c>
      <c r="T41" s="7">
        <f t="shared" si="5"/>
        <v>1</v>
      </c>
      <c r="U41" s="7">
        <f t="shared" si="6"/>
        <v>1</v>
      </c>
      <c r="V41" s="7">
        <f t="shared" ref="V41:W41" si="85">IF(AVERAGE(T2:T40) &gt; 0.25, 1, 0)</f>
        <v>1</v>
      </c>
      <c r="W41" s="7">
        <f t="shared" si="85"/>
        <v>1</v>
      </c>
      <c r="X41" s="8">
        <v>1.0</v>
      </c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22.5" customHeight="1">
      <c r="A42" s="6">
        <v>1241.0</v>
      </c>
      <c r="B42" s="6">
        <v>8603.0</v>
      </c>
      <c r="C42" s="6">
        <v>2.13</v>
      </c>
      <c r="D42" s="6">
        <v>0.29</v>
      </c>
      <c r="E42" s="6">
        <v>10.5</v>
      </c>
      <c r="F42" s="6">
        <v>-0.41</v>
      </c>
      <c r="G42" s="6">
        <v>-0.06</v>
      </c>
      <c r="H42" s="6">
        <v>-1.5</v>
      </c>
      <c r="I42" s="6">
        <v>33.24</v>
      </c>
      <c r="J42" s="7">
        <f t="shared" ref="J42:O42" si="86">abs(C42-C41)/200</f>
        <v>0.00295</v>
      </c>
      <c r="K42" s="7">
        <f t="shared" si="86"/>
        <v>0.0034</v>
      </c>
      <c r="L42" s="7">
        <f t="shared" si="86"/>
        <v>0.00005</v>
      </c>
      <c r="M42" s="7">
        <f t="shared" si="86"/>
        <v>0.00005</v>
      </c>
      <c r="N42" s="7">
        <f t="shared" si="86"/>
        <v>0.00035</v>
      </c>
      <c r="O42" s="7">
        <f t="shared" si="86"/>
        <v>0.0008</v>
      </c>
      <c r="P42" s="7">
        <f t="shared" si="9"/>
        <v>0.1561563602</v>
      </c>
      <c r="Q42" s="7">
        <f t="shared" si="10"/>
        <v>0.1454794337</v>
      </c>
      <c r="R42" s="7">
        <f t="shared" si="3"/>
        <v>0.9177889511</v>
      </c>
      <c r="S42" s="7">
        <f t="shared" si="4"/>
        <v>1.556181223</v>
      </c>
      <c r="T42" s="7">
        <f t="shared" si="5"/>
        <v>1</v>
      </c>
      <c r="U42" s="7">
        <f t="shared" si="6"/>
        <v>1</v>
      </c>
      <c r="V42" s="7">
        <f t="shared" ref="V42:W42" si="87">IF(AVERAGE(T2:T41) &gt; 0.25, 1, 0)</f>
        <v>1</v>
      </c>
      <c r="W42" s="7">
        <f t="shared" si="87"/>
        <v>1</v>
      </c>
      <c r="X42" s="8">
        <v>1.0</v>
      </c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22.5" customHeight="1">
      <c r="A43" s="6">
        <v>1242.0</v>
      </c>
      <c r="B43" s="6">
        <v>8807.0</v>
      </c>
      <c r="C43" s="6">
        <v>2.68</v>
      </c>
      <c r="D43" s="6">
        <v>0.34</v>
      </c>
      <c r="E43" s="6">
        <v>10.43</v>
      </c>
      <c r="F43" s="6">
        <v>-0.08</v>
      </c>
      <c r="G43" s="6">
        <v>0.02</v>
      </c>
      <c r="H43" s="6">
        <v>-0.11</v>
      </c>
      <c r="I43" s="6">
        <v>33.24</v>
      </c>
      <c r="J43" s="7">
        <f t="shared" ref="J43:O43" si="88">abs(C43-C42)/200</f>
        <v>0.00275</v>
      </c>
      <c r="K43" s="7">
        <f t="shared" si="88"/>
        <v>0.00025</v>
      </c>
      <c r="L43" s="7">
        <f t="shared" si="88"/>
        <v>0.00035</v>
      </c>
      <c r="M43" s="7">
        <f t="shared" si="88"/>
        <v>0.00165</v>
      </c>
      <c r="N43" s="7">
        <f t="shared" si="88"/>
        <v>0.0004</v>
      </c>
      <c r="O43" s="7">
        <f t="shared" si="88"/>
        <v>0.00695</v>
      </c>
      <c r="P43" s="7">
        <f t="shared" si="9"/>
        <v>1.418703953</v>
      </c>
      <c r="Q43" s="7">
        <f t="shared" si="10"/>
        <v>0.05638851172</v>
      </c>
      <c r="R43" s="7">
        <f t="shared" si="3"/>
        <v>0.9741774628</v>
      </c>
      <c r="S43" s="7">
        <f t="shared" si="4"/>
        <v>0.1374772708</v>
      </c>
      <c r="T43" s="7">
        <f t="shared" si="5"/>
        <v>1</v>
      </c>
      <c r="U43" s="7">
        <f t="shared" si="6"/>
        <v>1</v>
      </c>
      <c r="V43" s="7">
        <f t="shared" ref="V43:W43" si="89">IF(AVERAGE(T2:T42) &gt; 0.25, 1, 0)</f>
        <v>1</v>
      </c>
      <c r="W43" s="7">
        <f t="shared" si="89"/>
        <v>1</v>
      </c>
      <c r="X43" s="8">
        <v>1.0</v>
      </c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22.5" customHeight="1">
      <c r="A44" s="6">
        <v>1243.0</v>
      </c>
      <c r="B44" s="6">
        <v>9011.0</v>
      </c>
      <c r="C44" s="6">
        <v>2.72</v>
      </c>
      <c r="D44" s="6">
        <v>0.21</v>
      </c>
      <c r="E44" s="6">
        <v>10.43</v>
      </c>
      <c r="F44" s="6">
        <v>-0.09</v>
      </c>
      <c r="G44" s="6">
        <v>0.03</v>
      </c>
      <c r="H44" s="6">
        <v>-0.01</v>
      </c>
      <c r="I44" s="6">
        <v>33.25</v>
      </c>
      <c r="J44" s="7">
        <f t="shared" ref="J44:O44" si="90">abs(C44-C43)/200</f>
        <v>0.0002</v>
      </c>
      <c r="K44" s="7">
        <f t="shared" si="90"/>
        <v>0.00065</v>
      </c>
      <c r="L44" s="7">
        <f t="shared" si="90"/>
        <v>0</v>
      </c>
      <c r="M44" s="7">
        <f t="shared" si="90"/>
        <v>0.00005</v>
      </c>
      <c r="N44" s="7">
        <f t="shared" si="90"/>
        <v>0.00005</v>
      </c>
      <c r="O44" s="7">
        <f t="shared" si="90"/>
        <v>0.0005</v>
      </c>
      <c r="P44" s="7">
        <f t="shared" si="9"/>
        <v>0.04208335071</v>
      </c>
      <c r="Q44" s="7">
        <f t="shared" si="10"/>
        <v>0.006703762773</v>
      </c>
      <c r="R44" s="7">
        <f t="shared" si="3"/>
        <v>0.9808812256</v>
      </c>
      <c r="S44" s="7">
        <f t="shared" si="4"/>
        <v>0.09539392014</v>
      </c>
      <c r="T44" s="7">
        <f t="shared" si="5"/>
        <v>1</v>
      </c>
      <c r="U44" s="7">
        <f t="shared" si="6"/>
        <v>1</v>
      </c>
      <c r="V44" s="7">
        <f t="shared" ref="V44:W44" si="91">IF(AVERAGE(T2:T43) &gt; 0.25, 1, 0)</f>
        <v>1</v>
      </c>
      <c r="W44" s="7">
        <f t="shared" si="91"/>
        <v>1</v>
      </c>
      <c r="X44" s="8">
        <v>1.0</v>
      </c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22.5" customHeight="1">
      <c r="A45" s="6">
        <v>1244.0</v>
      </c>
      <c r="B45" s="6">
        <v>9215.0</v>
      </c>
      <c r="C45" s="6">
        <v>2.62</v>
      </c>
      <c r="D45" s="6">
        <v>0.37</v>
      </c>
      <c r="E45" s="6">
        <v>10.44</v>
      </c>
      <c r="F45" s="6">
        <v>0.03</v>
      </c>
      <c r="G45" s="6">
        <v>-0.04</v>
      </c>
      <c r="H45" s="6">
        <v>0.55</v>
      </c>
      <c r="I45" s="6">
        <v>33.24</v>
      </c>
      <c r="J45" s="7">
        <f t="shared" ref="J45:O45" si="92">abs(C45-C44)/200</f>
        <v>0.0005</v>
      </c>
      <c r="K45" s="7">
        <f t="shared" si="92"/>
        <v>0.0008</v>
      </c>
      <c r="L45" s="7">
        <f t="shared" si="92"/>
        <v>0.00005</v>
      </c>
      <c r="M45" s="7">
        <f t="shared" si="92"/>
        <v>0.0006</v>
      </c>
      <c r="N45" s="7">
        <f t="shared" si="92"/>
        <v>0.00035</v>
      </c>
      <c r="O45" s="7">
        <f t="shared" si="92"/>
        <v>0.0028</v>
      </c>
      <c r="P45" s="7">
        <f t="shared" si="9"/>
        <v>0.4568741307</v>
      </c>
      <c r="Q45" s="7">
        <f t="shared" si="10"/>
        <v>0.01078837547</v>
      </c>
      <c r="R45" s="7">
        <f t="shared" si="3"/>
        <v>0.9700928501</v>
      </c>
      <c r="S45" s="7">
        <f t="shared" si="4"/>
        <v>0.5522680509</v>
      </c>
      <c r="T45" s="7">
        <f t="shared" si="5"/>
        <v>1</v>
      </c>
      <c r="U45" s="7">
        <f t="shared" si="6"/>
        <v>1</v>
      </c>
      <c r="V45" s="7">
        <f t="shared" ref="V45:W45" si="93">IF(AVERAGE(T2:T44) &gt; 0.25, 1, 0)</f>
        <v>1</v>
      </c>
      <c r="W45" s="7">
        <f t="shared" si="93"/>
        <v>1</v>
      </c>
      <c r="X45" s="8">
        <v>1.0</v>
      </c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22.5" customHeight="1">
      <c r="A46" s="6">
        <v>1245.0</v>
      </c>
      <c r="B46" s="6">
        <v>9419.0</v>
      </c>
      <c r="C46" s="6">
        <v>2.92</v>
      </c>
      <c r="D46" s="6">
        <v>-0.01</v>
      </c>
      <c r="E46" s="6">
        <v>10.34</v>
      </c>
      <c r="F46" s="6">
        <v>0.05</v>
      </c>
      <c r="G46" s="6">
        <v>0.08</v>
      </c>
      <c r="H46" s="6">
        <v>0.68</v>
      </c>
      <c r="I46" s="6">
        <v>33.25</v>
      </c>
      <c r="J46" s="7">
        <f t="shared" ref="J46:O46" si="94">abs(C46-C45)/200</f>
        <v>0.0015</v>
      </c>
      <c r="K46" s="7">
        <f t="shared" si="94"/>
        <v>0.0019</v>
      </c>
      <c r="L46" s="7">
        <f t="shared" si="94"/>
        <v>0.0005</v>
      </c>
      <c r="M46" s="7">
        <f t="shared" si="94"/>
        <v>0.0001</v>
      </c>
      <c r="N46" s="7">
        <f t="shared" si="94"/>
        <v>0.0006</v>
      </c>
      <c r="O46" s="7">
        <f t="shared" si="94"/>
        <v>0.00065</v>
      </c>
      <c r="P46" s="7">
        <f t="shared" si="9"/>
        <v>0.1342448769</v>
      </c>
      <c r="Q46" s="7">
        <f t="shared" si="10"/>
        <v>0.02569430948</v>
      </c>
      <c r="R46" s="7">
        <f t="shared" si="3"/>
        <v>0.9443985406</v>
      </c>
      <c r="S46" s="7">
        <f t="shared" si="4"/>
        <v>0.6865129278</v>
      </c>
      <c r="T46" s="7">
        <f t="shared" si="5"/>
        <v>1</v>
      </c>
      <c r="U46" s="7">
        <f t="shared" si="6"/>
        <v>1</v>
      </c>
      <c r="V46" s="7">
        <f t="shared" ref="V46:W46" si="95">IF(AVERAGE(T2:T45) &gt; 0.25, 1, 0)</f>
        <v>1</v>
      </c>
      <c r="W46" s="7">
        <f t="shared" si="95"/>
        <v>1</v>
      </c>
      <c r="X46" s="8">
        <v>1.0</v>
      </c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22.5" customHeight="1">
      <c r="A47" s="6">
        <v>1246.0</v>
      </c>
      <c r="B47" s="6">
        <v>9623.0</v>
      </c>
      <c r="C47" s="6">
        <v>2.76</v>
      </c>
      <c r="D47" s="6">
        <v>-0.11</v>
      </c>
      <c r="E47" s="6">
        <v>10.51</v>
      </c>
      <c r="F47" s="6">
        <v>-0.11</v>
      </c>
      <c r="G47" s="6">
        <v>-0.03</v>
      </c>
      <c r="H47" s="6">
        <v>0.04</v>
      </c>
      <c r="I47" s="6">
        <v>33.24</v>
      </c>
      <c r="J47" s="7">
        <f t="shared" ref="J47:O47" si="96">abs(C47-C46)/200</f>
        <v>0.0008</v>
      </c>
      <c r="K47" s="7">
        <f t="shared" si="96"/>
        <v>0.0005</v>
      </c>
      <c r="L47" s="7">
        <f t="shared" si="96"/>
        <v>0.00085</v>
      </c>
      <c r="M47" s="7">
        <f t="shared" si="96"/>
        <v>0.0008</v>
      </c>
      <c r="N47" s="7">
        <f t="shared" si="96"/>
        <v>0.00055</v>
      </c>
      <c r="O47" s="7">
        <f t="shared" si="96"/>
        <v>0.0032</v>
      </c>
      <c r="P47" s="7">
        <f t="shared" si="9"/>
        <v>0.565682468</v>
      </c>
      <c r="Q47" s="7">
        <f t="shared" si="10"/>
        <v>0.1225145445</v>
      </c>
      <c r="R47" s="7">
        <f t="shared" si="3"/>
        <v>1.066913085</v>
      </c>
      <c r="S47" s="7">
        <f t="shared" si="4"/>
        <v>0.1208304597</v>
      </c>
      <c r="T47" s="7">
        <f t="shared" si="5"/>
        <v>1</v>
      </c>
      <c r="U47" s="7">
        <f t="shared" si="6"/>
        <v>1</v>
      </c>
      <c r="V47" s="7">
        <f t="shared" ref="V47:W47" si="97">IF(AVERAGE(T2:T46) &gt; 0.25, 1, 0)</f>
        <v>1</v>
      </c>
      <c r="W47" s="7">
        <f t="shared" si="97"/>
        <v>1</v>
      </c>
      <c r="X47" s="8">
        <v>1.0</v>
      </c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22.5" customHeight="1">
      <c r="A48" s="6">
        <v>1247.0</v>
      </c>
      <c r="B48" s="6">
        <v>9827.0</v>
      </c>
      <c r="C48" s="6">
        <v>2.82</v>
      </c>
      <c r="D48" s="6">
        <v>-0.3</v>
      </c>
      <c r="E48" s="6">
        <v>10.41</v>
      </c>
      <c r="F48" s="6">
        <v>-0.08</v>
      </c>
      <c r="G48" s="6">
        <v>-0.02</v>
      </c>
      <c r="H48" s="6">
        <v>0.28</v>
      </c>
      <c r="I48" s="6">
        <v>33.25</v>
      </c>
      <c r="J48" s="7">
        <f t="shared" ref="J48:O48" si="98">abs(C48-C47)/200</f>
        <v>0.0003</v>
      </c>
      <c r="K48" s="7">
        <f t="shared" si="98"/>
        <v>0.00095</v>
      </c>
      <c r="L48" s="7">
        <f t="shared" si="98"/>
        <v>0.0005</v>
      </c>
      <c r="M48" s="7">
        <f t="shared" si="98"/>
        <v>0.00015</v>
      </c>
      <c r="N48" s="7">
        <f t="shared" si="98"/>
        <v>0.00005</v>
      </c>
      <c r="O48" s="7">
        <f t="shared" si="98"/>
        <v>0.0012</v>
      </c>
      <c r="P48" s="7">
        <f t="shared" si="9"/>
        <v>0.1710599307</v>
      </c>
      <c r="Q48" s="7">
        <f t="shared" si="10"/>
        <v>0.07754331671</v>
      </c>
      <c r="R48" s="7">
        <f t="shared" si="3"/>
        <v>0.9893697684</v>
      </c>
      <c r="S48" s="7">
        <f t="shared" si="4"/>
        <v>0.2918903904</v>
      </c>
      <c r="T48" s="7">
        <f t="shared" si="5"/>
        <v>1</v>
      </c>
      <c r="U48" s="7">
        <f t="shared" si="6"/>
        <v>1</v>
      </c>
      <c r="V48" s="7">
        <f t="shared" ref="V48:W48" si="99">IF(AVERAGE(T2:T47) &gt; 0.25, 1, 0)</f>
        <v>1</v>
      </c>
      <c r="W48" s="7">
        <f t="shared" si="99"/>
        <v>1</v>
      </c>
      <c r="X48" s="8">
        <v>1.0</v>
      </c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22.5" customHeight="1">
      <c r="A49" s="6">
        <v>1248.0</v>
      </c>
      <c r="B49" s="6">
        <v>10031.0</v>
      </c>
      <c r="C49" s="6">
        <v>2.71</v>
      </c>
      <c r="D49" s="6">
        <v>-0.46</v>
      </c>
      <c r="E49" s="6">
        <v>10.54</v>
      </c>
      <c r="F49" s="6">
        <v>-0.15</v>
      </c>
      <c r="G49" s="6">
        <v>-0.03</v>
      </c>
      <c r="H49" s="6">
        <v>0.11</v>
      </c>
      <c r="I49" s="6">
        <v>33.26</v>
      </c>
      <c r="J49" s="7">
        <f t="shared" ref="J49:O49" si="100">abs(C49-C48)/200</f>
        <v>0.00055</v>
      </c>
      <c r="K49" s="7">
        <f t="shared" si="100"/>
        <v>0.0008</v>
      </c>
      <c r="L49" s="7">
        <f t="shared" si="100"/>
        <v>0.00065</v>
      </c>
      <c r="M49" s="7">
        <f t="shared" si="100"/>
        <v>0.00035</v>
      </c>
      <c r="N49" s="7">
        <f t="shared" si="100"/>
        <v>0.00005</v>
      </c>
      <c r="O49" s="7">
        <f t="shared" si="100"/>
        <v>0.00085</v>
      </c>
      <c r="P49" s="7">
        <f t="shared" si="9"/>
        <v>0.1034759536</v>
      </c>
      <c r="Q49" s="7">
        <f t="shared" si="10"/>
        <v>0.103164372</v>
      </c>
      <c r="R49" s="7">
        <f t="shared" si="3"/>
        <v>1.09253414</v>
      </c>
      <c r="S49" s="7">
        <f t="shared" si="4"/>
        <v>0.1884144368</v>
      </c>
      <c r="T49" s="7">
        <f t="shared" si="5"/>
        <v>1</v>
      </c>
      <c r="U49" s="7">
        <f t="shared" si="6"/>
        <v>1</v>
      </c>
      <c r="V49" s="7">
        <f t="shared" ref="V49:W49" si="101">IF(AVERAGE(T2:T48) &gt; 0.25, 1, 0)</f>
        <v>1</v>
      </c>
      <c r="W49" s="7">
        <f t="shared" si="101"/>
        <v>1</v>
      </c>
      <c r="X49" s="8">
        <v>1.0</v>
      </c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22.5" customHeight="1">
      <c r="A50" s="6">
        <v>1249.0</v>
      </c>
      <c r="B50" s="6">
        <v>10235.0</v>
      </c>
      <c r="C50" s="6">
        <v>2.79</v>
      </c>
      <c r="D50" s="6">
        <v>0.06</v>
      </c>
      <c r="E50" s="6">
        <v>10.46</v>
      </c>
      <c r="F50" s="6">
        <v>-0.13</v>
      </c>
      <c r="G50" s="6">
        <v>0.01</v>
      </c>
      <c r="H50" s="6">
        <v>-0.07</v>
      </c>
      <c r="I50" s="6">
        <v>33.25</v>
      </c>
      <c r="J50" s="7">
        <f t="shared" ref="J50:O50" si="102">abs(C50-C49)/200</f>
        <v>0.0004</v>
      </c>
      <c r="K50" s="7">
        <f t="shared" si="102"/>
        <v>0.0026</v>
      </c>
      <c r="L50" s="7">
        <f t="shared" si="102"/>
        <v>0.0004</v>
      </c>
      <c r="M50" s="7">
        <f t="shared" si="102"/>
        <v>0.0001</v>
      </c>
      <c r="N50" s="7">
        <f t="shared" si="102"/>
        <v>0.0002</v>
      </c>
      <c r="O50" s="7">
        <f t="shared" si="102"/>
        <v>0.0009</v>
      </c>
      <c r="P50" s="7">
        <f t="shared" si="9"/>
        <v>0.04042795094</v>
      </c>
      <c r="Q50" s="7">
        <f t="shared" si="10"/>
        <v>0.06667158817</v>
      </c>
      <c r="R50" s="7">
        <f t="shared" si="3"/>
        <v>1.025862552</v>
      </c>
      <c r="S50" s="7">
        <f t="shared" si="4"/>
        <v>0.1479864859</v>
      </c>
      <c r="T50" s="7">
        <f t="shared" si="5"/>
        <v>1</v>
      </c>
      <c r="U50" s="7">
        <f t="shared" si="6"/>
        <v>1</v>
      </c>
      <c r="V50" s="7">
        <f t="shared" ref="V50:W50" si="103">IF(AVERAGE(T2:T49) &gt; 0.25, 1, 0)</f>
        <v>1</v>
      </c>
      <c r="W50" s="7">
        <f t="shared" si="103"/>
        <v>1</v>
      </c>
      <c r="X50" s="8">
        <v>1.0</v>
      </c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22.5" customHeight="1">
      <c r="A51" s="6">
        <v>1250.0</v>
      </c>
      <c r="B51" s="6">
        <v>10439.0</v>
      </c>
      <c r="C51" s="6">
        <v>2.62</v>
      </c>
      <c r="D51" s="6">
        <v>0.22</v>
      </c>
      <c r="E51" s="6">
        <v>10.48</v>
      </c>
      <c r="F51" s="6">
        <v>-0.12</v>
      </c>
      <c r="G51" s="6">
        <v>-0.04</v>
      </c>
      <c r="H51" s="6">
        <v>-0.09</v>
      </c>
      <c r="I51" s="6">
        <v>33.25</v>
      </c>
      <c r="J51" s="7">
        <f t="shared" ref="J51:O51" si="104">abs(C51-C50)/200</f>
        <v>0.00085</v>
      </c>
      <c r="K51" s="7">
        <f t="shared" si="104"/>
        <v>0.0008</v>
      </c>
      <c r="L51" s="7">
        <f t="shared" si="104"/>
        <v>0.0001</v>
      </c>
      <c r="M51" s="7">
        <f t="shared" si="104"/>
        <v>0.00005</v>
      </c>
      <c r="N51" s="7">
        <f t="shared" si="104"/>
        <v>0.00025</v>
      </c>
      <c r="O51" s="7">
        <f t="shared" si="104"/>
        <v>0.0001</v>
      </c>
      <c r="P51" s="7">
        <f t="shared" si="9"/>
        <v>0.007255261093</v>
      </c>
      <c r="Q51" s="7">
        <f t="shared" si="10"/>
        <v>0.02108583081</v>
      </c>
      <c r="R51" s="7">
        <f t="shared" si="3"/>
        <v>1.004776721</v>
      </c>
      <c r="S51" s="7">
        <f t="shared" si="4"/>
        <v>0.155241747</v>
      </c>
      <c r="T51" s="7">
        <f t="shared" si="5"/>
        <v>1</v>
      </c>
      <c r="U51" s="7">
        <f t="shared" si="6"/>
        <v>0</v>
      </c>
      <c r="V51" s="7">
        <f t="shared" ref="V51:W51" si="105">IF(AVERAGE(T2:T50) &gt; 0.25, 1, 0)</f>
        <v>1</v>
      </c>
      <c r="W51" s="7">
        <f t="shared" si="105"/>
        <v>1</v>
      </c>
      <c r="X51" s="8">
        <v>1.0</v>
      </c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22.5" customHeight="1">
      <c r="A52" s="6">
        <v>1251.0</v>
      </c>
      <c r="B52" s="6">
        <v>10643.0</v>
      </c>
      <c r="C52" s="6">
        <v>2.87</v>
      </c>
      <c r="D52" s="6">
        <v>-0.09</v>
      </c>
      <c r="E52" s="6">
        <v>10.51</v>
      </c>
      <c r="F52" s="6">
        <v>-0.07</v>
      </c>
      <c r="G52" s="6">
        <v>-0.02</v>
      </c>
      <c r="H52" s="6">
        <v>-0.04</v>
      </c>
      <c r="I52" s="6">
        <v>33.25</v>
      </c>
      <c r="J52" s="7">
        <f t="shared" ref="J52:O52" si="106">abs(C52-C51)/200</f>
        <v>0.00125</v>
      </c>
      <c r="K52" s="7">
        <f t="shared" si="106"/>
        <v>0.00155</v>
      </c>
      <c r="L52" s="7">
        <f t="shared" si="106"/>
        <v>0.00015</v>
      </c>
      <c r="M52" s="7">
        <f t="shared" si="106"/>
        <v>0.00025</v>
      </c>
      <c r="N52" s="7">
        <f t="shared" si="106"/>
        <v>0.0001</v>
      </c>
      <c r="O52" s="7">
        <f t="shared" si="106"/>
        <v>0.00025</v>
      </c>
      <c r="P52" s="7">
        <f t="shared" si="9"/>
        <v>0.07217550833</v>
      </c>
      <c r="Q52" s="7">
        <f t="shared" si="10"/>
        <v>0.09041028935</v>
      </c>
      <c r="R52" s="7">
        <f t="shared" si="3"/>
        <v>1.095187011</v>
      </c>
      <c r="S52" s="7">
        <f t="shared" si="4"/>
        <v>0.08306623863</v>
      </c>
      <c r="T52" s="7">
        <f t="shared" si="5"/>
        <v>1</v>
      </c>
      <c r="U52" s="7">
        <f t="shared" si="6"/>
        <v>0</v>
      </c>
      <c r="V52" s="7">
        <f t="shared" ref="V52:W52" si="107">IF(AVERAGE(T2:T51) &gt; 0.25, 1, 0)</f>
        <v>1</v>
      </c>
      <c r="W52" s="7">
        <f t="shared" si="107"/>
        <v>1</v>
      </c>
      <c r="X52" s="8">
        <v>1.0</v>
      </c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22.5" customHeight="1">
      <c r="A53" s="6">
        <v>1252.0</v>
      </c>
      <c r="B53" s="6">
        <v>10847.0</v>
      </c>
      <c r="C53" s="6">
        <v>2.72</v>
      </c>
      <c r="D53" s="6">
        <v>0.33</v>
      </c>
      <c r="E53" s="6">
        <v>10.54</v>
      </c>
      <c r="F53" s="6">
        <v>-0.07</v>
      </c>
      <c r="G53" s="6">
        <v>0.04</v>
      </c>
      <c r="H53" s="6">
        <v>0.02</v>
      </c>
      <c r="I53" s="6">
        <v>33.26</v>
      </c>
      <c r="J53" s="7">
        <f t="shared" ref="J53:O53" si="108">abs(C53-C52)/200</f>
        <v>0.00075</v>
      </c>
      <c r="K53" s="7">
        <f t="shared" si="108"/>
        <v>0.0021</v>
      </c>
      <c r="L53" s="7">
        <f t="shared" si="108"/>
        <v>0.00015</v>
      </c>
      <c r="M53" s="7">
        <f t="shared" si="108"/>
        <v>0</v>
      </c>
      <c r="N53" s="7">
        <f t="shared" si="108"/>
        <v>0.0003</v>
      </c>
      <c r="O53" s="7">
        <f t="shared" si="108"/>
        <v>0.0003</v>
      </c>
      <c r="P53" s="7">
        <f t="shared" si="9"/>
        <v>0</v>
      </c>
      <c r="Q53" s="7">
        <f t="shared" si="10"/>
        <v>0.004874802222</v>
      </c>
      <c r="R53" s="7">
        <f t="shared" si="3"/>
        <v>1.090312209</v>
      </c>
      <c r="S53" s="7">
        <f t="shared" si="4"/>
        <v>0.08306623863</v>
      </c>
      <c r="T53" s="7">
        <f t="shared" si="5"/>
        <v>1</v>
      </c>
      <c r="U53" s="7">
        <f t="shared" si="6"/>
        <v>0</v>
      </c>
      <c r="V53" s="7">
        <f t="shared" ref="V53:W53" si="109">IF(AVERAGE(T2:T52) &gt; 0.25, 1, 0)</f>
        <v>1</v>
      </c>
      <c r="W53" s="7">
        <f t="shared" si="109"/>
        <v>1</v>
      </c>
      <c r="X53" s="8">
        <v>1.0</v>
      </c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22.5" customHeight="1">
      <c r="A54" s="6">
        <v>1253.0</v>
      </c>
      <c r="B54" s="6">
        <v>11051.0</v>
      </c>
      <c r="C54" s="6">
        <v>2.83</v>
      </c>
      <c r="D54" s="6">
        <v>0.05</v>
      </c>
      <c r="E54" s="6">
        <v>10.47</v>
      </c>
      <c r="F54" s="6">
        <v>-0.08</v>
      </c>
      <c r="G54" s="6">
        <v>0.0</v>
      </c>
      <c r="H54" s="6">
        <v>0.04</v>
      </c>
      <c r="I54" s="6">
        <v>33.25</v>
      </c>
      <c r="J54" s="7">
        <f t="shared" ref="J54:O54" si="110">abs(C54-C53)/200</f>
        <v>0.00055</v>
      </c>
      <c r="K54" s="7">
        <f t="shared" si="110"/>
        <v>0.0014</v>
      </c>
      <c r="L54" s="7">
        <f t="shared" si="110"/>
        <v>0.00035</v>
      </c>
      <c r="M54" s="7">
        <f t="shared" si="110"/>
        <v>0.00005</v>
      </c>
      <c r="N54" s="7">
        <f t="shared" si="110"/>
        <v>0.0002</v>
      </c>
      <c r="O54" s="7">
        <f t="shared" si="110"/>
        <v>0.0001</v>
      </c>
      <c r="P54" s="7">
        <f t="shared" si="9"/>
        <v>0.006376480471</v>
      </c>
      <c r="Q54" s="7">
        <f t="shared" si="10"/>
        <v>0.04446968712</v>
      </c>
      <c r="R54" s="7">
        <f t="shared" si="3"/>
        <v>1.045842521</v>
      </c>
      <c r="S54" s="7">
        <f t="shared" si="4"/>
        <v>0.0894427191</v>
      </c>
      <c r="T54" s="7">
        <f t="shared" si="5"/>
        <v>1</v>
      </c>
      <c r="U54" s="7">
        <f t="shared" si="6"/>
        <v>0</v>
      </c>
      <c r="V54" s="7">
        <f t="shared" ref="V54:W54" si="111">IF(AVERAGE(T2:T53) &gt; 0.25, 1, 0)</f>
        <v>1</v>
      </c>
      <c r="W54" s="7">
        <f t="shared" si="111"/>
        <v>1</v>
      </c>
      <c r="X54" s="8">
        <v>1.0</v>
      </c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22.5" customHeight="1">
      <c r="A55" s="6">
        <v>1254.0</v>
      </c>
      <c r="B55" s="6">
        <v>11255.0</v>
      </c>
      <c r="C55" s="6">
        <v>2.75</v>
      </c>
      <c r="D55" s="6">
        <v>-0.12</v>
      </c>
      <c r="E55" s="6">
        <v>10.4</v>
      </c>
      <c r="F55" s="6">
        <v>-0.05</v>
      </c>
      <c r="G55" s="6">
        <v>0.06</v>
      </c>
      <c r="H55" s="6">
        <v>0.08</v>
      </c>
      <c r="I55" s="6">
        <v>33.26</v>
      </c>
      <c r="J55" s="7">
        <f t="shared" ref="J55:O55" si="112">abs(C55-C54)/200</f>
        <v>0.0004</v>
      </c>
      <c r="K55" s="7">
        <f t="shared" si="112"/>
        <v>0.00085</v>
      </c>
      <c r="L55" s="7">
        <f t="shared" si="112"/>
        <v>0.00035</v>
      </c>
      <c r="M55" s="7">
        <f t="shared" si="112"/>
        <v>0.00015</v>
      </c>
      <c r="N55" s="7">
        <f t="shared" si="112"/>
        <v>0.0003</v>
      </c>
      <c r="O55" s="7">
        <f t="shared" si="112"/>
        <v>0.0002</v>
      </c>
      <c r="P55" s="7">
        <f t="shared" si="9"/>
        <v>0.02236067977</v>
      </c>
      <c r="Q55" s="7">
        <f t="shared" si="10"/>
        <v>0.08773395163</v>
      </c>
      <c r="R55" s="7">
        <f t="shared" si="3"/>
        <v>0.9581085698</v>
      </c>
      <c r="S55" s="7">
        <f t="shared" si="4"/>
        <v>0.1118033989</v>
      </c>
      <c r="T55" s="7">
        <f t="shared" si="5"/>
        <v>1</v>
      </c>
      <c r="U55" s="7">
        <f t="shared" si="6"/>
        <v>0</v>
      </c>
      <c r="V55" s="7">
        <f t="shared" ref="V55:W55" si="113">IF(AVERAGE(T2:T54) &gt; 0.25, 1, 0)</f>
        <v>1</v>
      </c>
      <c r="W55" s="7">
        <f t="shared" si="113"/>
        <v>1</v>
      </c>
      <c r="X55" s="8">
        <v>1.0</v>
      </c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22.5" customHeight="1">
      <c r="A56" s="6">
        <v>1255.0</v>
      </c>
      <c r="B56" s="6">
        <v>11459.0</v>
      </c>
      <c r="C56" s="6">
        <v>2.82</v>
      </c>
      <c r="D56" s="6">
        <v>-0.42</v>
      </c>
      <c r="E56" s="6">
        <v>10.47</v>
      </c>
      <c r="F56" s="6">
        <v>-0.08</v>
      </c>
      <c r="G56" s="6">
        <v>0.02</v>
      </c>
      <c r="H56" s="6">
        <v>-0.02</v>
      </c>
      <c r="I56" s="6">
        <v>33.26</v>
      </c>
      <c r="J56" s="7">
        <f t="shared" ref="J56:O56" si="114">abs(C56-C55)/200</f>
        <v>0.00035</v>
      </c>
      <c r="K56" s="7">
        <f t="shared" si="114"/>
        <v>0.0015</v>
      </c>
      <c r="L56" s="7">
        <f t="shared" si="114"/>
        <v>0.00035</v>
      </c>
      <c r="M56" s="7">
        <f t="shared" si="114"/>
        <v>0.00015</v>
      </c>
      <c r="N56" s="7">
        <f t="shared" si="114"/>
        <v>0.0002</v>
      </c>
      <c r="O56" s="7">
        <f t="shared" si="114"/>
        <v>0.0005</v>
      </c>
      <c r="P56" s="7">
        <f t="shared" si="9"/>
        <v>0.02695058513</v>
      </c>
      <c r="Q56" s="7">
        <f t="shared" si="10"/>
        <v>0.09314481401</v>
      </c>
      <c r="R56" s="7">
        <f t="shared" si="3"/>
        <v>1.051253384</v>
      </c>
      <c r="S56" s="7">
        <f t="shared" si="4"/>
        <v>0.08485281374</v>
      </c>
      <c r="T56" s="7">
        <f t="shared" si="5"/>
        <v>1</v>
      </c>
      <c r="U56" s="7">
        <f t="shared" si="6"/>
        <v>1</v>
      </c>
      <c r="V56" s="7">
        <f t="shared" ref="V56:W56" si="115">IF(AVERAGE(T2:T55) &gt; 0.25, 1, 0)</f>
        <v>1</v>
      </c>
      <c r="W56" s="7">
        <f t="shared" si="115"/>
        <v>1</v>
      </c>
      <c r="X56" s="8">
        <v>1.0</v>
      </c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22.5" customHeight="1">
      <c r="A57" s="6">
        <v>1256.0</v>
      </c>
      <c r="B57" s="6">
        <v>11663.0</v>
      </c>
      <c r="C57" s="6">
        <v>2.7</v>
      </c>
      <c r="D57" s="6">
        <v>-0.02</v>
      </c>
      <c r="E57" s="6">
        <v>10.49</v>
      </c>
      <c r="F57" s="6">
        <v>-0.09</v>
      </c>
      <c r="G57" s="6">
        <v>-0.03</v>
      </c>
      <c r="H57" s="6">
        <v>-0.01</v>
      </c>
      <c r="I57" s="6">
        <v>33.27</v>
      </c>
      <c r="J57" s="7">
        <f t="shared" ref="J57:O57" si="116">abs(C57-C56)/200</f>
        <v>0.0006</v>
      </c>
      <c r="K57" s="7">
        <f t="shared" si="116"/>
        <v>0.002</v>
      </c>
      <c r="L57" s="7">
        <f t="shared" si="116"/>
        <v>0.0001</v>
      </c>
      <c r="M57" s="7">
        <f t="shared" si="116"/>
        <v>0.00005</v>
      </c>
      <c r="N57" s="7">
        <f t="shared" si="116"/>
        <v>0.00025</v>
      </c>
      <c r="O57" s="7">
        <f t="shared" si="116"/>
        <v>0.00005</v>
      </c>
      <c r="P57" s="7">
        <f t="shared" si="9"/>
        <v>0.0105411064</v>
      </c>
      <c r="Q57" s="7">
        <f t="shared" si="10"/>
        <v>0.01933296314</v>
      </c>
      <c r="R57" s="7">
        <f t="shared" si="3"/>
        <v>1.031920421</v>
      </c>
      <c r="S57" s="7">
        <f t="shared" si="4"/>
        <v>0.09539392014</v>
      </c>
      <c r="T57" s="7">
        <f t="shared" si="5"/>
        <v>1</v>
      </c>
      <c r="U57" s="7">
        <f t="shared" si="6"/>
        <v>0</v>
      </c>
      <c r="V57" s="7">
        <f t="shared" ref="V57:W57" si="117">IF(AVERAGE(T2:T56) &gt; 0.25, 1, 0)</f>
        <v>1</v>
      </c>
      <c r="W57" s="7">
        <f t="shared" si="117"/>
        <v>1</v>
      </c>
      <c r="X57" s="8">
        <v>1.0</v>
      </c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22.5" customHeight="1">
      <c r="A58" s="6">
        <v>1257.0</v>
      </c>
      <c r="B58" s="6">
        <v>11867.0</v>
      </c>
      <c r="C58" s="6">
        <v>2.74</v>
      </c>
      <c r="D58" s="6">
        <v>-0.04</v>
      </c>
      <c r="E58" s="6">
        <v>10.45</v>
      </c>
      <c r="F58" s="6">
        <v>-0.1</v>
      </c>
      <c r="G58" s="6">
        <v>-0.02</v>
      </c>
      <c r="H58" s="6">
        <v>0.0</v>
      </c>
      <c r="I58" s="6">
        <v>33.26</v>
      </c>
      <c r="J58" s="7">
        <f t="shared" ref="J58:O58" si="118">abs(C58-C57)/200</f>
        <v>0.0002</v>
      </c>
      <c r="K58" s="7">
        <f t="shared" si="118"/>
        <v>0.0001</v>
      </c>
      <c r="L58" s="7">
        <f t="shared" si="118"/>
        <v>0.0002</v>
      </c>
      <c r="M58" s="7">
        <f t="shared" si="118"/>
        <v>0.00005</v>
      </c>
      <c r="N58" s="7">
        <f t="shared" si="118"/>
        <v>0.00005</v>
      </c>
      <c r="O58" s="7">
        <f t="shared" si="118"/>
        <v>0.00005</v>
      </c>
      <c r="P58" s="7">
        <f t="shared" si="9"/>
        <v>0.00658647013</v>
      </c>
      <c r="Q58" s="7">
        <f t="shared" si="10"/>
        <v>0.02860148621</v>
      </c>
      <c r="R58" s="7">
        <f t="shared" si="3"/>
        <v>1.003318934</v>
      </c>
      <c r="S58" s="7">
        <f t="shared" si="4"/>
        <v>0.1019803903</v>
      </c>
      <c r="T58" s="7">
        <f t="shared" si="5"/>
        <v>0</v>
      </c>
      <c r="U58" s="7">
        <f t="shared" si="6"/>
        <v>0</v>
      </c>
      <c r="V58" s="7">
        <f t="shared" ref="V58:W58" si="119">IF(AVERAGE(T2:T57) &gt; 0.25, 1, 0)</f>
        <v>1</v>
      </c>
      <c r="W58" s="7">
        <f t="shared" si="119"/>
        <v>1</v>
      </c>
      <c r="X58" s="8">
        <v>1.0</v>
      </c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22.5" customHeight="1">
      <c r="A59" s="6">
        <v>1258.0</v>
      </c>
      <c r="B59" s="6">
        <v>12071.0</v>
      </c>
      <c r="C59" s="6">
        <v>2.92</v>
      </c>
      <c r="D59" s="6">
        <v>-0.31</v>
      </c>
      <c r="E59" s="6">
        <v>10.39</v>
      </c>
      <c r="F59" s="6">
        <v>-0.11</v>
      </c>
      <c r="G59" s="6">
        <v>-0.04</v>
      </c>
      <c r="H59" s="6">
        <v>-0.07</v>
      </c>
      <c r="I59" s="6">
        <v>33.27</v>
      </c>
      <c r="J59" s="7">
        <f t="shared" ref="J59:O59" si="120">abs(C59-C58)/200</f>
        <v>0.0009</v>
      </c>
      <c r="K59" s="7">
        <f t="shared" si="120"/>
        <v>0.00135</v>
      </c>
      <c r="L59" s="7">
        <f t="shared" si="120"/>
        <v>0.0003</v>
      </c>
      <c r="M59" s="7">
        <f t="shared" si="120"/>
        <v>0.00005</v>
      </c>
      <c r="N59" s="7">
        <f t="shared" si="120"/>
        <v>0.0001</v>
      </c>
      <c r="O59" s="7">
        <f t="shared" si="120"/>
        <v>0.00035</v>
      </c>
      <c r="P59" s="7">
        <f t="shared" si="9"/>
        <v>0.0344014267</v>
      </c>
      <c r="Q59" s="7">
        <f t="shared" si="10"/>
        <v>0.006347136791</v>
      </c>
      <c r="R59" s="7">
        <f t="shared" si="3"/>
        <v>0.9969717977</v>
      </c>
      <c r="S59" s="7">
        <f t="shared" si="4"/>
        <v>0.136381817</v>
      </c>
      <c r="T59" s="7">
        <f t="shared" si="5"/>
        <v>1</v>
      </c>
      <c r="U59" s="7">
        <f t="shared" si="6"/>
        <v>1</v>
      </c>
      <c r="V59" s="7">
        <f t="shared" ref="V59:W59" si="121">IF(AVERAGE(T2:T58) &gt; 0.25, 1, 0)</f>
        <v>1</v>
      </c>
      <c r="W59" s="7">
        <f t="shared" si="121"/>
        <v>1</v>
      </c>
      <c r="X59" s="8">
        <v>1.0</v>
      </c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22.5" customHeight="1">
      <c r="A60" s="6">
        <v>1259.0</v>
      </c>
      <c r="B60" s="6">
        <v>12275.0</v>
      </c>
      <c r="C60" s="6">
        <v>2.86</v>
      </c>
      <c r="D60" s="6">
        <v>-0.11</v>
      </c>
      <c r="E60" s="6">
        <v>10.41</v>
      </c>
      <c r="F60" s="6">
        <v>-0.13</v>
      </c>
      <c r="G60" s="6">
        <v>-0.04</v>
      </c>
      <c r="H60" s="6">
        <v>-0.11</v>
      </c>
      <c r="I60" s="6">
        <v>33.26</v>
      </c>
      <c r="J60" s="7">
        <f t="shared" ref="J60:O60" si="122">abs(C60-C59)/200</f>
        <v>0.0003</v>
      </c>
      <c r="K60" s="7">
        <f t="shared" si="122"/>
        <v>0.001</v>
      </c>
      <c r="L60" s="7">
        <f t="shared" si="122"/>
        <v>0.0001</v>
      </c>
      <c r="M60" s="7">
        <f t="shared" si="122"/>
        <v>0.0001</v>
      </c>
      <c r="N60" s="7">
        <f t="shared" si="122"/>
        <v>0</v>
      </c>
      <c r="O60" s="7">
        <f t="shared" si="122"/>
        <v>0.0002</v>
      </c>
      <c r="P60" s="7">
        <f t="shared" si="9"/>
        <v>0.03854673988</v>
      </c>
      <c r="Q60" s="7">
        <f t="shared" si="10"/>
        <v>0.0006853991123</v>
      </c>
      <c r="R60" s="7">
        <f t="shared" si="3"/>
        <v>0.9962863986</v>
      </c>
      <c r="S60" s="7">
        <f t="shared" si="4"/>
        <v>0.1749285568</v>
      </c>
      <c r="T60" s="7">
        <f t="shared" si="5"/>
        <v>1</v>
      </c>
      <c r="U60" s="7">
        <f t="shared" si="6"/>
        <v>0</v>
      </c>
      <c r="V60" s="7">
        <f t="shared" ref="V60:W60" si="123">IF(AVERAGE(T2:T59) &gt; 0.25, 1, 0)</f>
        <v>1</v>
      </c>
      <c r="W60" s="7">
        <f t="shared" si="123"/>
        <v>1</v>
      </c>
      <c r="X60" s="8">
        <v>1.0</v>
      </c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22.5" customHeight="1">
      <c r="A61" s="6">
        <v>1260.0</v>
      </c>
      <c r="B61" s="6">
        <v>12479.0</v>
      </c>
      <c r="C61" s="6">
        <v>2.8</v>
      </c>
      <c r="D61" s="6">
        <v>0.07</v>
      </c>
      <c r="E61" s="6">
        <v>10.39</v>
      </c>
      <c r="F61" s="6">
        <v>-0.13</v>
      </c>
      <c r="G61" s="6">
        <v>-0.02</v>
      </c>
      <c r="H61" s="6">
        <v>-0.07</v>
      </c>
      <c r="I61" s="6">
        <v>33.26</v>
      </c>
      <c r="J61" s="7">
        <f t="shared" ref="J61:O61" si="124">abs(C61-C60)/200</f>
        <v>0.0003</v>
      </c>
      <c r="K61" s="7">
        <f t="shared" si="124"/>
        <v>0.0009</v>
      </c>
      <c r="L61" s="7">
        <f t="shared" si="124"/>
        <v>0.0001</v>
      </c>
      <c r="M61" s="7">
        <f t="shared" si="124"/>
        <v>0</v>
      </c>
      <c r="N61" s="7">
        <f t="shared" si="124"/>
        <v>0.0001</v>
      </c>
      <c r="O61" s="7">
        <f t="shared" si="124"/>
        <v>0.0002</v>
      </c>
      <c r="P61" s="7">
        <f t="shared" si="9"/>
        <v>0.02593191259</v>
      </c>
      <c r="Q61" s="7">
        <f t="shared" si="10"/>
        <v>0.03538494934</v>
      </c>
      <c r="R61" s="7">
        <f t="shared" si="3"/>
        <v>0.9609014492</v>
      </c>
      <c r="S61" s="7">
        <f t="shared" si="4"/>
        <v>0.1489966443</v>
      </c>
      <c r="T61" s="7">
        <f t="shared" si="5"/>
        <v>1</v>
      </c>
      <c r="U61" s="7">
        <f t="shared" si="6"/>
        <v>0</v>
      </c>
      <c r="V61" s="7">
        <f t="shared" ref="V61:W61" si="125">IF(AVERAGE(T2:T60) &gt; 0.25, 1, 0)</f>
        <v>1</v>
      </c>
      <c r="W61" s="7">
        <f t="shared" si="125"/>
        <v>1</v>
      </c>
      <c r="X61" s="8">
        <v>1.0</v>
      </c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22.5" customHeight="1">
      <c r="A62" s="6">
        <v>1261.0</v>
      </c>
      <c r="B62" s="6">
        <v>12683.0</v>
      </c>
      <c r="C62" s="6">
        <v>2.79</v>
      </c>
      <c r="D62" s="6">
        <v>-0.01</v>
      </c>
      <c r="E62" s="6">
        <v>10.44</v>
      </c>
      <c r="F62" s="6">
        <v>-0.12</v>
      </c>
      <c r="G62" s="6">
        <v>0.02</v>
      </c>
      <c r="H62" s="6">
        <v>-0.11</v>
      </c>
      <c r="I62" s="6">
        <v>33.26</v>
      </c>
      <c r="J62" s="7">
        <f t="shared" ref="J62:O62" si="126">abs(C62-C61)/200</f>
        <v>0.00005</v>
      </c>
      <c r="K62" s="7">
        <f t="shared" si="126"/>
        <v>0.0004</v>
      </c>
      <c r="L62" s="7">
        <f t="shared" si="126"/>
        <v>0.00025</v>
      </c>
      <c r="M62" s="7">
        <f t="shared" si="126"/>
        <v>0.00005</v>
      </c>
      <c r="N62" s="7">
        <f t="shared" si="126"/>
        <v>0.0002</v>
      </c>
      <c r="O62" s="7">
        <f t="shared" si="126"/>
        <v>0.0002</v>
      </c>
      <c r="P62" s="7">
        <f t="shared" si="9"/>
        <v>0.01501555041</v>
      </c>
      <c r="Q62" s="7">
        <f t="shared" si="10"/>
        <v>0.04547629727</v>
      </c>
      <c r="R62" s="7">
        <f t="shared" si="3"/>
        <v>1.006377746</v>
      </c>
      <c r="S62" s="7">
        <f t="shared" si="4"/>
        <v>0.1640121947</v>
      </c>
      <c r="T62" s="7">
        <f t="shared" si="5"/>
        <v>1</v>
      </c>
      <c r="U62" s="7">
        <f t="shared" si="6"/>
        <v>0</v>
      </c>
      <c r="V62" s="7">
        <f t="shared" ref="V62:W62" si="127">IF(AVERAGE(T2:T61) &gt; 0.25, 1, 0)</f>
        <v>1</v>
      </c>
      <c r="W62" s="7">
        <f t="shared" si="127"/>
        <v>1</v>
      </c>
      <c r="X62" s="8">
        <v>1.0</v>
      </c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22.5" customHeight="1">
      <c r="A63" s="6">
        <v>1262.0</v>
      </c>
      <c r="B63" s="6">
        <v>12887.0</v>
      </c>
      <c r="C63" s="6">
        <v>2.69</v>
      </c>
      <c r="D63" s="6">
        <v>0.12</v>
      </c>
      <c r="E63" s="6">
        <v>10.44</v>
      </c>
      <c r="F63" s="6">
        <v>-0.1</v>
      </c>
      <c r="G63" s="6">
        <v>0.01</v>
      </c>
      <c r="H63" s="6">
        <v>-0.11</v>
      </c>
      <c r="I63" s="6">
        <v>33.26</v>
      </c>
      <c r="J63" s="7">
        <f t="shared" ref="J63:O63" si="128">abs(C63-C62)/200</f>
        <v>0.0005</v>
      </c>
      <c r="K63" s="7">
        <f t="shared" si="128"/>
        <v>0.00065</v>
      </c>
      <c r="L63" s="7">
        <f t="shared" si="128"/>
        <v>0</v>
      </c>
      <c r="M63" s="7">
        <f t="shared" si="128"/>
        <v>0.0001</v>
      </c>
      <c r="N63" s="7">
        <f t="shared" si="128"/>
        <v>0.00005</v>
      </c>
      <c r="O63" s="7">
        <f t="shared" si="128"/>
        <v>0</v>
      </c>
      <c r="P63" s="7">
        <f t="shared" si="9"/>
        <v>0.01501555041</v>
      </c>
      <c r="Q63" s="7">
        <f t="shared" si="10"/>
        <v>0.02472202949</v>
      </c>
      <c r="R63" s="7">
        <f t="shared" si="3"/>
        <v>0.981655717</v>
      </c>
      <c r="S63" s="7">
        <f t="shared" si="4"/>
        <v>0.1489966443</v>
      </c>
      <c r="T63" s="7">
        <f t="shared" si="5"/>
        <v>1</v>
      </c>
      <c r="U63" s="7">
        <f t="shared" si="6"/>
        <v>0</v>
      </c>
      <c r="V63" s="7">
        <f t="shared" ref="V63:W63" si="129">IF(AVERAGE(T3:T62) &gt; 0.25, 1, 0)</f>
        <v>1</v>
      </c>
      <c r="W63" s="7">
        <f t="shared" si="129"/>
        <v>1</v>
      </c>
      <c r="X63" s="8">
        <v>1.0</v>
      </c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22.5" customHeight="1">
      <c r="A64" s="6">
        <v>1263.0</v>
      </c>
      <c r="B64" s="6">
        <v>13091.0</v>
      </c>
      <c r="C64" s="6">
        <v>2.73</v>
      </c>
      <c r="D64" s="6">
        <v>0.1</v>
      </c>
      <c r="E64" s="6">
        <v>10.44</v>
      </c>
      <c r="F64" s="6">
        <v>-0.1</v>
      </c>
      <c r="G64" s="6">
        <v>0.01</v>
      </c>
      <c r="H64" s="6">
        <v>-0.05</v>
      </c>
      <c r="I64" s="6">
        <v>33.27</v>
      </c>
      <c r="J64" s="7">
        <f t="shared" ref="J64:O64" si="130">abs(C64-C63)/200</f>
        <v>0.0002</v>
      </c>
      <c r="K64" s="7">
        <f t="shared" si="130"/>
        <v>0.0001</v>
      </c>
      <c r="L64" s="7">
        <f t="shared" si="130"/>
        <v>0</v>
      </c>
      <c r="M64" s="7">
        <f t="shared" si="130"/>
        <v>0</v>
      </c>
      <c r="N64" s="7">
        <f t="shared" si="130"/>
        <v>0</v>
      </c>
      <c r="O64" s="7">
        <f t="shared" si="130"/>
        <v>0.0003</v>
      </c>
      <c r="P64" s="7">
        <f t="shared" si="9"/>
        <v>0.03674692265</v>
      </c>
      <c r="Q64" s="7">
        <f t="shared" si="10"/>
        <v>0.00984556873</v>
      </c>
      <c r="R64" s="7">
        <f t="shared" si="3"/>
        <v>0.9915012857</v>
      </c>
      <c r="S64" s="7">
        <f t="shared" si="4"/>
        <v>0.1122497216</v>
      </c>
      <c r="T64" s="7">
        <f t="shared" si="5"/>
        <v>0</v>
      </c>
      <c r="U64" s="7">
        <f t="shared" si="6"/>
        <v>0</v>
      </c>
      <c r="V64" s="7">
        <f t="shared" ref="V64:W64" si="131">IF(AVERAGE(T4:T63) &gt; 0.25, 1, 0)</f>
        <v>1</v>
      </c>
      <c r="W64" s="7">
        <f t="shared" si="131"/>
        <v>1</v>
      </c>
      <c r="X64" s="8">
        <v>1.0</v>
      </c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22.5" customHeight="1">
      <c r="A65" s="6">
        <v>1264.0</v>
      </c>
      <c r="B65" s="6">
        <v>13295.0</v>
      </c>
      <c r="C65" s="6">
        <v>2.72</v>
      </c>
      <c r="D65" s="6">
        <v>-0.01</v>
      </c>
      <c r="E65" s="6">
        <v>10.5</v>
      </c>
      <c r="F65" s="6">
        <v>-0.1</v>
      </c>
      <c r="G65" s="6">
        <v>0.02</v>
      </c>
      <c r="H65" s="6">
        <v>-0.01</v>
      </c>
      <c r="I65" s="6">
        <v>33.27</v>
      </c>
      <c r="J65" s="7">
        <f t="shared" ref="J65:O65" si="132">abs(C65-C64)/200</f>
        <v>0.00005</v>
      </c>
      <c r="K65" s="7">
        <f t="shared" si="132"/>
        <v>0.00055</v>
      </c>
      <c r="L65" s="7">
        <f t="shared" si="132"/>
        <v>0.0003</v>
      </c>
      <c r="M65" s="7">
        <f t="shared" si="132"/>
        <v>0</v>
      </c>
      <c r="N65" s="7">
        <f t="shared" si="132"/>
        <v>0.00005</v>
      </c>
      <c r="O65" s="7">
        <f t="shared" si="132"/>
        <v>0.0002</v>
      </c>
      <c r="P65" s="7">
        <f t="shared" si="9"/>
        <v>0.009780213944</v>
      </c>
      <c r="Q65" s="7">
        <f t="shared" si="10"/>
        <v>0.05508803995</v>
      </c>
      <c r="R65" s="7">
        <f t="shared" si="3"/>
        <v>1.046589326</v>
      </c>
      <c r="S65" s="7">
        <f t="shared" si="4"/>
        <v>0.1024695077</v>
      </c>
      <c r="T65" s="7">
        <f t="shared" si="5"/>
        <v>1</v>
      </c>
      <c r="U65" s="7">
        <f t="shared" si="6"/>
        <v>0</v>
      </c>
      <c r="V65" s="7">
        <f t="shared" ref="V65:W65" si="133">IF(AVERAGE(T5:T64) &gt; 0.25, 1, 0)</f>
        <v>1</v>
      </c>
      <c r="W65" s="7">
        <f t="shared" si="133"/>
        <v>1</v>
      </c>
      <c r="X65" s="8">
        <v>1.0</v>
      </c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22.5" customHeight="1">
      <c r="A66" s="6">
        <v>1265.0</v>
      </c>
      <c r="B66" s="6">
        <v>13499.0</v>
      </c>
      <c r="C66" s="6">
        <v>2.68</v>
      </c>
      <c r="D66" s="6">
        <v>0.07</v>
      </c>
      <c r="E66" s="6">
        <v>10.46</v>
      </c>
      <c r="F66" s="6">
        <v>-0.1</v>
      </c>
      <c r="G66" s="6">
        <v>0.02</v>
      </c>
      <c r="H66" s="6">
        <v>-0.03</v>
      </c>
      <c r="I66" s="6">
        <v>33.27</v>
      </c>
      <c r="J66" s="7">
        <f t="shared" ref="J66:O66" si="134">abs(C66-C65)/200</f>
        <v>0.0002</v>
      </c>
      <c r="K66" s="7">
        <f t="shared" si="134"/>
        <v>0.0004</v>
      </c>
      <c r="L66" s="7">
        <f t="shared" si="134"/>
        <v>0.0002</v>
      </c>
      <c r="M66" s="7">
        <f t="shared" si="134"/>
        <v>0</v>
      </c>
      <c r="N66" s="7">
        <f t="shared" si="134"/>
        <v>0</v>
      </c>
      <c r="O66" s="7">
        <f t="shared" si="134"/>
        <v>0.0001</v>
      </c>
      <c r="P66" s="7">
        <f t="shared" si="9"/>
        <v>0.003831950468</v>
      </c>
      <c r="Q66" s="7">
        <f t="shared" si="10"/>
        <v>0.04849227111</v>
      </c>
      <c r="R66" s="7">
        <f t="shared" si="3"/>
        <v>0.9980970546</v>
      </c>
      <c r="S66" s="7">
        <f t="shared" si="4"/>
        <v>0.1063014581</v>
      </c>
      <c r="T66" s="7">
        <f t="shared" si="5"/>
        <v>1</v>
      </c>
      <c r="U66" s="7">
        <f t="shared" si="6"/>
        <v>0</v>
      </c>
      <c r="V66" s="7">
        <f t="shared" ref="V66:W66" si="135">IF(AVERAGE(T6:T65) &gt; 0.25, 1, 0)</f>
        <v>1</v>
      </c>
      <c r="W66" s="7">
        <f t="shared" si="135"/>
        <v>1</v>
      </c>
      <c r="X66" s="8">
        <v>1.0</v>
      </c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22.5" customHeight="1">
      <c r="A67" s="6">
        <v>1266.0</v>
      </c>
      <c r="B67" s="6">
        <v>13703.0</v>
      </c>
      <c r="C67" s="6">
        <v>2.63</v>
      </c>
      <c r="D67" s="6">
        <v>0.21</v>
      </c>
      <c r="E67" s="6">
        <v>10.48</v>
      </c>
      <c r="F67" s="6">
        <v>-0.09</v>
      </c>
      <c r="G67" s="6">
        <v>0.02</v>
      </c>
      <c r="H67" s="6">
        <v>0.09</v>
      </c>
      <c r="I67" s="6">
        <v>33.27</v>
      </c>
      <c r="J67" s="7">
        <f t="shared" ref="J67:O67" si="136">abs(C67-C66)/200</f>
        <v>0.00025</v>
      </c>
      <c r="K67" s="7">
        <f t="shared" si="136"/>
        <v>0.0007</v>
      </c>
      <c r="L67" s="7">
        <f t="shared" si="136"/>
        <v>0.0001</v>
      </c>
      <c r="M67" s="7">
        <f t="shared" si="136"/>
        <v>0.00005</v>
      </c>
      <c r="N67" s="7">
        <f t="shared" si="136"/>
        <v>0</v>
      </c>
      <c r="O67" s="7">
        <f t="shared" si="136"/>
        <v>0.0006</v>
      </c>
      <c r="P67" s="7">
        <f t="shared" si="9"/>
        <v>0.02253952914</v>
      </c>
      <c r="Q67" s="7">
        <f t="shared" si="10"/>
        <v>0.008909931636</v>
      </c>
      <c r="R67" s="7">
        <f t="shared" si="3"/>
        <v>1.007006986</v>
      </c>
      <c r="S67" s="7">
        <f t="shared" si="4"/>
        <v>0.1288409873</v>
      </c>
      <c r="T67" s="7">
        <f t="shared" si="5"/>
        <v>1</v>
      </c>
      <c r="U67" s="7">
        <f t="shared" si="6"/>
        <v>1</v>
      </c>
      <c r="V67" s="7">
        <f t="shared" ref="V67:W67" si="137">IF(AVERAGE(T7:T66) &gt; 0.25, 1, 0)</f>
        <v>1</v>
      </c>
      <c r="W67" s="7">
        <f t="shared" si="137"/>
        <v>1</v>
      </c>
      <c r="X67" s="8">
        <v>1.0</v>
      </c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22.5" customHeight="1">
      <c r="A68" s="6">
        <v>1267.0</v>
      </c>
      <c r="B68" s="6">
        <v>13907.0</v>
      </c>
      <c r="C68" s="6">
        <v>2.58</v>
      </c>
      <c r="D68" s="6">
        <v>0.14</v>
      </c>
      <c r="E68" s="6">
        <v>10.49</v>
      </c>
      <c r="F68" s="6">
        <v>-0.08</v>
      </c>
      <c r="G68" s="6">
        <v>0.0</v>
      </c>
      <c r="H68" s="6">
        <v>0.02</v>
      </c>
      <c r="I68" s="6">
        <v>33.27</v>
      </c>
      <c r="J68" s="7">
        <f t="shared" ref="J68:O68" si="138">abs(C68-C67)/200</f>
        <v>0.00025</v>
      </c>
      <c r="K68" s="7">
        <f t="shared" si="138"/>
        <v>0.00035</v>
      </c>
      <c r="L68" s="7">
        <f t="shared" si="138"/>
        <v>0.00005</v>
      </c>
      <c r="M68" s="7">
        <f t="shared" si="138"/>
        <v>0.00005</v>
      </c>
      <c r="N68" s="7">
        <f t="shared" si="138"/>
        <v>0.0001</v>
      </c>
      <c r="O68" s="7">
        <f t="shared" si="138"/>
        <v>0.00035</v>
      </c>
      <c r="P68" s="7">
        <f t="shared" si="9"/>
        <v>0.04637887475</v>
      </c>
      <c r="Q68" s="7">
        <f t="shared" si="10"/>
        <v>0.003484412531</v>
      </c>
      <c r="R68" s="7">
        <f t="shared" si="3"/>
        <v>1.003522574</v>
      </c>
      <c r="S68" s="7">
        <f t="shared" si="4"/>
        <v>0.08246211251</v>
      </c>
      <c r="T68" s="7">
        <f t="shared" si="5"/>
        <v>1</v>
      </c>
      <c r="U68" s="7">
        <f t="shared" si="6"/>
        <v>1</v>
      </c>
      <c r="V68" s="7">
        <f t="shared" ref="V68:W68" si="139">IF(AVERAGE(T8:T67) &gt; 0.25, 1, 0)</f>
        <v>1</v>
      </c>
      <c r="W68" s="7">
        <f t="shared" si="139"/>
        <v>1</v>
      </c>
      <c r="X68" s="8">
        <v>1.0</v>
      </c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22.5" customHeight="1">
      <c r="A69" s="6">
        <v>1268.0</v>
      </c>
      <c r="B69" s="6">
        <v>14111.0</v>
      </c>
      <c r="C69" s="6">
        <v>2.62</v>
      </c>
      <c r="D69" s="6">
        <v>-0.08</v>
      </c>
      <c r="E69" s="6">
        <v>10.48</v>
      </c>
      <c r="F69" s="6">
        <v>-0.05</v>
      </c>
      <c r="G69" s="6">
        <v>0.04</v>
      </c>
      <c r="H69" s="6">
        <v>0.08</v>
      </c>
      <c r="I69" s="6">
        <v>33.26</v>
      </c>
      <c r="J69" s="7">
        <f t="shared" ref="J69:O69" si="140">abs(C69-C68)/200</f>
        <v>0.0002</v>
      </c>
      <c r="K69" s="7">
        <f t="shared" si="140"/>
        <v>0.0011</v>
      </c>
      <c r="L69" s="7">
        <f t="shared" si="140"/>
        <v>0.00005</v>
      </c>
      <c r="M69" s="7">
        <f t="shared" si="140"/>
        <v>0.00015</v>
      </c>
      <c r="N69" s="7">
        <f t="shared" si="140"/>
        <v>0.0002</v>
      </c>
      <c r="O69" s="7">
        <f t="shared" si="140"/>
        <v>0.0003</v>
      </c>
      <c r="P69" s="7">
        <f t="shared" si="9"/>
        <v>0.02000739515</v>
      </c>
      <c r="Q69" s="7">
        <f t="shared" si="10"/>
        <v>0.000689611905</v>
      </c>
      <c r="R69" s="7">
        <f t="shared" si="3"/>
        <v>1.002832962</v>
      </c>
      <c r="S69" s="7">
        <f t="shared" si="4"/>
        <v>0.1024695077</v>
      </c>
      <c r="T69" s="7">
        <f t="shared" si="5"/>
        <v>1</v>
      </c>
      <c r="U69" s="7">
        <f t="shared" si="6"/>
        <v>0</v>
      </c>
      <c r="V69" s="7">
        <f t="shared" ref="V69:W69" si="141">IF(AVERAGE(T9:T68) &gt; 0.25, 1, 0)</f>
        <v>1</v>
      </c>
      <c r="W69" s="7">
        <f t="shared" si="141"/>
        <v>1</v>
      </c>
      <c r="X69" s="8">
        <v>1.0</v>
      </c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22.5" customHeight="1">
      <c r="A70" s="6">
        <v>1269.0</v>
      </c>
      <c r="B70" s="6">
        <v>14315.0</v>
      </c>
      <c r="C70" s="6">
        <v>2.64</v>
      </c>
      <c r="D70" s="6">
        <v>-0.19</v>
      </c>
      <c r="E70" s="6">
        <v>10.46</v>
      </c>
      <c r="F70" s="6">
        <v>-0.07</v>
      </c>
      <c r="G70" s="6">
        <v>0.01</v>
      </c>
      <c r="H70" s="6">
        <v>0.06</v>
      </c>
      <c r="I70" s="6">
        <v>33.28</v>
      </c>
      <c r="J70" s="7">
        <f t="shared" ref="J70:O70" si="142">abs(C70-C69)/200</f>
        <v>0.0001</v>
      </c>
      <c r="K70" s="7">
        <f t="shared" si="142"/>
        <v>0.00055</v>
      </c>
      <c r="L70" s="7">
        <f t="shared" si="142"/>
        <v>0.0001</v>
      </c>
      <c r="M70" s="7">
        <f t="shared" si="142"/>
        <v>0.0001</v>
      </c>
      <c r="N70" s="7">
        <f t="shared" si="142"/>
        <v>0.00015</v>
      </c>
      <c r="O70" s="7">
        <f t="shared" si="142"/>
        <v>0.0001</v>
      </c>
      <c r="P70" s="7">
        <f t="shared" si="9"/>
        <v>0.009733322705</v>
      </c>
      <c r="Q70" s="7">
        <f t="shared" si="10"/>
        <v>0.01314807296</v>
      </c>
      <c r="R70" s="7">
        <f t="shared" si="3"/>
        <v>0.9896848888</v>
      </c>
      <c r="S70" s="7">
        <f t="shared" si="4"/>
        <v>0.09273618495</v>
      </c>
      <c r="T70" s="7">
        <f t="shared" si="5"/>
        <v>1</v>
      </c>
      <c r="U70" s="7">
        <f t="shared" si="6"/>
        <v>0</v>
      </c>
      <c r="V70" s="7">
        <f t="shared" ref="V70:W70" si="143">IF(AVERAGE(T10:T69) &gt; 0.25, 1, 0)</f>
        <v>1</v>
      </c>
      <c r="W70" s="7">
        <f t="shared" si="143"/>
        <v>1</v>
      </c>
      <c r="X70" s="8">
        <v>1.0</v>
      </c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22.5" customHeight="1">
      <c r="A71" s="6">
        <v>1270.0</v>
      </c>
      <c r="B71" s="6">
        <v>14519.0</v>
      </c>
      <c r="C71" s="6">
        <v>2.6</v>
      </c>
      <c r="D71" s="6">
        <v>-0.03</v>
      </c>
      <c r="E71" s="6">
        <v>10.48</v>
      </c>
      <c r="F71" s="6">
        <v>-0.1</v>
      </c>
      <c r="G71" s="6">
        <v>-0.04</v>
      </c>
      <c r="H71" s="6">
        <v>-0.01</v>
      </c>
      <c r="I71" s="6">
        <v>33.27</v>
      </c>
      <c r="J71" s="7">
        <f t="shared" ref="J71:O71" si="144">abs(C71-C70)/200</f>
        <v>0.0002</v>
      </c>
      <c r="K71" s="7">
        <f t="shared" si="144"/>
        <v>0.0008</v>
      </c>
      <c r="L71" s="7">
        <f t="shared" si="144"/>
        <v>0.0001</v>
      </c>
      <c r="M71" s="7">
        <f t="shared" si="144"/>
        <v>0.00015</v>
      </c>
      <c r="N71" s="7">
        <f t="shared" si="144"/>
        <v>0.00025</v>
      </c>
      <c r="O71" s="7">
        <f t="shared" si="144"/>
        <v>0.00035</v>
      </c>
      <c r="P71" s="7">
        <f t="shared" si="9"/>
        <v>0.01543035331</v>
      </c>
      <c r="Q71" s="7">
        <f t="shared" si="10"/>
        <v>0.008060246162</v>
      </c>
      <c r="R71" s="7">
        <f t="shared" si="3"/>
        <v>0.997745135</v>
      </c>
      <c r="S71" s="7">
        <f t="shared" si="4"/>
        <v>0.1081665383</v>
      </c>
      <c r="T71" s="7">
        <f t="shared" si="5"/>
        <v>1</v>
      </c>
      <c r="U71" s="7">
        <f t="shared" si="6"/>
        <v>1</v>
      </c>
      <c r="V71" s="7">
        <f t="shared" ref="V71:W71" si="145">IF(AVERAGE(T11:T70) &gt; 0.25, 1, 0)</f>
        <v>1</v>
      </c>
      <c r="W71" s="7">
        <f t="shared" si="145"/>
        <v>1</v>
      </c>
      <c r="X71" s="8">
        <v>1.0</v>
      </c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22.5" customHeight="1">
      <c r="A72" s="6">
        <v>1271.0</v>
      </c>
      <c r="B72" s="6">
        <v>14723.0</v>
      </c>
      <c r="C72" s="6">
        <v>2.69</v>
      </c>
      <c r="D72" s="6">
        <v>-0.03</v>
      </c>
      <c r="E72" s="6">
        <v>10.46</v>
      </c>
      <c r="F72" s="6">
        <v>-0.09</v>
      </c>
      <c r="G72" s="6">
        <v>-0.04</v>
      </c>
      <c r="H72" s="6">
        <v>0.04</v>
      </c>
      <c r="I72" s="6">
        <v>33.26</v>
      </c>
      <c r="J72" s="7">
        <f t="shared" ref="J72:O72" si="146">abs(C72-C71)/200</f>
        <v>0.00045</v>
      </c>
      <c r="K72" s="7">
        <f t="shared" si="146"/>
        <v>0</v>
      </c>
      <c r="L72" s="7">
        <f t="shared" si="146"/>
        <v>0.0001</v>
      </c>
      <c r="M72" s="7">
        <f t="shared" si="146"/>
        <v>0.00005</v>
      </c>
      <c r="N72" s="7">
        <f t="shared" si="146"/>
        <v>0</v>
      </c>
      <c r="O72" s="7">
        <f t="shared" si="146"/>
        <v>0.00025</v>
      </c>
      <c r="P72" s="7">
        <f t="shared" si="9"/>
        <v>0.001865080137</v>
      </c>
      <c r="Q72" s="7">
        <f t="shared" si="10"/>
        <v>0.002653005829</v>
      </c>
      <c r="R72" s="7">
        <f t="shared" si="3"/>
        <v>1.000398141</v>
      </c>
      <c r="S72" s="7">
        <f t="shared" si="4"/>
        <v>0.1063014581</v>
      </c>
      <c r="T72" s="7">
        <f t="shared" si="5"/>
        <v>1</v>
      </c>
      <c r="U72" s="7">
        <f t="shared" si="6"/>
        <v>0</v>
      </c>
      <c r="V72" s="7">
        <f t="shared" ref="V72:W72" si="147">IF(AVERAGE(T12:T71) &gt; 0.25, 1, 0)</f>
        <v>1</v>
      </c>
      <c r="W72" s="7">
        <f t="shared" si="147"/>
        <v>1</v>
      </c>
      <c r="X72" s="8">
        <v>1.0</v>
      </c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22.5" customHeight="1">
      <c r="A73" s="6">
        <v>1272.0</v>
      </c>
      <c r="B73" s="6">
        <v>14927.0</v>
      </c>
      <c r="C73" s="6">
        <v>2.77</v>
      </c>
      <c r="D73" s="6">
        <v>-0.22</v>
      </c>
      <c r="E73" s="6">
        <v>10.43</v>
      </c>
      <c r="F73" s="6">
        <v>-0.11</v>
      </c>
      <c r="G73" s="6">
        <v>-0.02</v>
      </c>
      <c r="H73" s="6">
        <v>0.0</v>
      </c>
      <c r="I73" s="6">
        <v>33.28</v>
      </c>
      <c r="J73" s="7">
        <f t="shared" ref="J73:O73" si="148">abs(C73-C72)/200</f>
        <v>0.0004</v>
      </c>
      <c r="K73" s="7">
        <f t="shared" si="148"/>
        <v>0.00095</v>
      </c>
      <c r="L73" s="7">
        <f t="shared" si="148"/>
        <v>0.00015</v>
      </c>
      <c r="M73" s="7">
        <f t="shared" si="148"/>
        <v>0.0001</v>
      </c>
      <c r="N73" s="7">
        <f t="shared" si="148"/>
        <v>0.0001</v>
      </c>
      <c r="O73" s="7">
        <f t="shared" si="148"/>
        <v>0.0002</v>
      </c>
      <c r="P73" s="7">
        <f t="shared" si="9"/>
        <v>0.005501940748</v>
      </c>
      <c r="Q73" s="7">
        <f t="shared" si="10"/>
        <v>0.006594362715</v>
      </c>
      <c r="R73" s="7">
        <f t="shared" si="3"/>
        <v>0.9938037781</v>
      </c>
      <c r="S73" s="7">
        <f t="shared" si="4"/>
        <v>0.1118033989</v>
      </c>
      <c r="T73" s="7">
        <f t="shared" si="5"/>
        <v>1</v>
      </c>
      <c r="U73" s="7">
        <f t="shared" si="6"/>
        <v>0</v>
      </c>
      <c r="V73" s="7">
        <f t="shared" ref="V73:W73" si="149">IF(AVERAGE(T13:T72) &gt; 0.25, 1, 0)</f>
        <v>1</v>
      </c>
      <c r="W73" s="7">
        <f t="shared" si="149"/>
        <v>1</v>
      </c>
      <c r="X73" s="8">
        <v>1.0</v>
      </c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22.5" customHeight="1">
      <c r="A74" s="6">
        <v>1273.0</v>
      </c>
      <c r="B74" s="6">
        <v>15131.0</v>
      </c>
      <c r="C74" s="6">
        <v>2.7</v>
      </c>
      <c r="D74" s="6">
        <v>0.02</v>
      </c>
      <c r="E74" s="6">
        <v>10.46</v>
      </c>
      <c r="F74" s="6">
        <v>-0.12</v>
      </c>
      <c r="G74" s="6">
        <v>-0.02</v>
      </c>
      <c r="H74" s="6">
        <v>-0.04</v>
      </c>
      <c r="I74" s="6">
        <v>33.27</v>
      </c>
      <c r="J74" s="7">
        <f t="shared" ref="J74:O74" si="150">abs(C74-C73)/200</f>
        <v>0.00035</v>
      </c>
      <c r="K74" s="7">
        <f t="shared" si="150"/>
        <v>0.0012</v>
      </c>
      <c r="L74" s="7">
        <f t="shared" si="150"/>
        <v>0.00015</v>
      </c>
      <c r="M74" s="7">
        <f t="shared" si="150"/>
        <v>0.00005</v>
      </c>
      <c r="N74" s="7">
        <f t="shared" si="150"/>
        <v>0</v>
      </c>
      <c r="O74" s="7">
        <f t="shared" si="150"/>
        <v>0.0002</v>
      </c>
      <c r="P74" s="7">
        <f t="shared" si="9"/>
        <v>0.01625908587</v>
      </c>
      <c r="Q74" s="7">
        <f t="shared" si="10"/>
        <v>0.009066210941</v>
      </c>
      <c r="R74" s="7">
        <f t="shared" si="3"/>
        <v>1.002869989</v>
      </c>
      <c r="S74" s="7">
        <f t="shared" si="4"/>
        <v>0.1280624847</v>
      </c>
      <c r="T74" s="7">
        <f t="shared" si="5"/>
        <v>1</v>
      </c>
      <c r="U74" s="7">
        <f t="shared" si="6"/>
        <v>0</v>
      </c>
      <c r="V74" s="7">
        <f t="shared" ref="V74:W74" si="151">IF(AVERAGE(T14:T73) &gt; 0.25, 1, 0)</f>
        <v>1</v>
      </c>
      <c r="W74" s="7">
        <f t="shared" si="151"/>
        <v>1</v>
      </c>
      <c r="X74" s="8">
        <v>1.0</v>
      </c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22.5" customHeight="1">
      <c r="A75" s="6">
        <v>1274.0</v>
      </c>
      <c r="B75" s="6">
        <v>15335.0</v>
      </c>
      <c r="C75" s="6">
        <v>2.74</v>
      </c>
      <c r="D75" s="6">
        <v>-0.06</v>
      </c>
      <c r="E75" s="6">
        <v>10.44</v>
      </c>
      <c r="F75" s="6">
        <v>-0.12</v>
      </c>
      <c r="G75" s="6">
        <v>-0.02</v>
      </c>
      <c r="H75" s="6">
        <v>-0.05</v>
      </c>
      <c r="I75" s="6">
        <v>33.27</v>
      </c>
      <c r="J75" s="7">
        <f t="shared" ref="J75:O75" si="152">abs(C75-C74)/200</f>
        <v>0.0002</v>
      </c>
      <c r="K75" s="7">
        <f t="shared" si="152"/>
        <v>0.0004</v>
      </c>
      <c r="L75" s="7">
        <f t="shared" si="152"/>
        <v>0.0001</v>
      </c>
      <c r="M75" s="7">
        <f t="shared" si="152"/>
        <v>0</v>
      </c>
      <c r="N75" s="7">
        <f t="shared" si="152"/>
        <v>0</v>
      </c>
      <c r="O75" s="7">
        <f t="shared" si="152"/>
        <v>0.00005</v>
      </c>
      <c r="P75" s="7">
        <f t="shared" si="9"/>
        <v>0.003466979631</v>
      </c>
      <c r="Q75" s="7">
        <f t="shared" si="10"/>
        <v>0.009131063158</v>
      </c>
      <c r="R75" s="7">
        <f t="shared" si="3"/>
        <v>0.9937389259</v>
      </c>
      <c r="S75" s="7">
        <f t="shared" si="4"/>
        <v>0.1315294644</v>
      </c>
      <c r="T75" s="7">
        <f t="shared" si="5"/>
        <v>1</v>
      </c>
      <c r="U75" s="7">
        <f t="shared" si="6"/>
        <v>0</v>
      </c>
      <c r="V75" s="7">
        <f t="shared" ref="V75:W75" si="153">IF(AVERAGE(T15:T74) &gt; 0.25, 1, 0)</f>
        <v>1</v>
      </c>
      <c r="W75" s="7">
        <f t="shared" si="153"/>
        <v>1</v>
      </c>
      <c r="X75" s="8">
        <v>1.0</v>
      </c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22.5" customHeight="1">
      <c r="A76" s="6">
        <v>1275.0</v>
      </c>
      <c r="B76" s="6">
        <v>15539.0</v>
      </c>
      <c r="C76" s="6">
        <v>2.77</v>
      </c>
      <c r="D76" s="6">
        <v>-0.05</v>
      </c>
      <c r="E76" s="6">
        <v>10.4</v>
      </c>
      <c r="F76" s="6">
        <v>-0.11</v>
      </c>
      <c r="G76" s="6">
        <v>0.0</v>
      </c>
      <c r="H76" s="6">
        <v>-0.1</v>
      </c>
      <c r="I76" s="6">
        <v>33.27</v>
      </c>
      <c r="J76" s="7">
        <f t="shared" ref="J76:O76" si="154">abs(C76-C75)/200</f>
        <v>0.00015</v>
      </c>
      <c r="K76" s="7">
        <f t="shared" si="154"/>
        <v>0.00005</v>
      </c>
      <c r="L76" s="7">
        <f t="shared" si="154"/>
        <v>0.0002</v>
      </c>
      <c r="M76" s="7">
        <f t="shared" si="154"/>
        <v>0.00005</v>
      </c>
      <c r="N76" s="7">
        <f t="shared" si="154"/>
        <v>0.0001</v>
      </c>
      <c r="O76" s="7">
        <f t="shared" si="154"/>
        <v>0.00025</v>
      </c>
      <c r="P76" s="7">
        <f t="shared" si="9"/>
        <v>0.01713122309</v>
      </c>
      <c r="Q76" s="7">
        <f t="shared" si="10"/>
        <v>0.03105338741</v>
      </c>
      <c r="R76" s="7">
        <f t="shared" si="3"/>
        <v>0.9626855385</v>
      </c>
      <c r="S76" s="7">
        <f t="shared" si="4"/>
        <v>0.1486606875</v>
      </c>
      <c r="T76" s="7">
        <f t="shared" si="5"/>
        <v>0</v>
      </c>
      <c r="U76" s="7">
        <f t="shared" si="6"/>
        <v>0</v>
      </c>
      <c r="V76" s="7">
        <f t="shared" ref="V76:W76" si="155">IF(AVERAGE(T16:T75) &gt; 0.25, 1, 0)</f>
        <v>1</v>
      </c>
      <c r="W76" s="7">
        <f t="shared" si="155"/>
        <v>1</v>
      </c>
      <c r="X76" s="8">
        <v>1.0</v>
      </c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22.5" customHeight="1">
      <c r="A77" s="6">
        <v>1276.0</v>
      </c>
      <c r="B77" s="6">
        <v>15743.0</v>
      </c>
      <c r="C77" s="6">
        <v>2.6</v>
      </c>
      <c r="D77" s="6">
        <v>0.28</v>
      </c>
      <c r="E77" s="6">
        <v>10.47</v>
      </c>
      <c r="F77" s="6">
        <v>-0.12</v>
      </c>
      <c r="G77" s="6">
        <v>0.02</v>
      </c>
      <c r="H77" s="6">
        <v>-0.14</v>
      </c>
      <c r="I77" s="6">
        <v>33.27</v>
      </c>
      <c r="J77" s="7">
        <f t="shared" ref="J77:O77" si="156">abs(C77-C76)/200</f>
        <v>0.00085</v>
      </c>
      <c r="K77" s="7">
        <f t="shared" si="156"/>
        <v>0.00165</v>
      </c>
      <c r="L77" s="7">
        <f t="shared" si="156"/>
        <v>0.00035</v>
      </c>
      <c r="M77" s="7">
        <f t="shared" si="156"/>
        <v>0.00005</v>
      </c>
      <c r="N77" s="7">
        <f t="shared" si="156"/>
        <v>0.0001</v>
      </c>
      <c r="O77" s="7">
        <f t="shared" si="156"/>
        <v>0.0002</v>
      </c>
      <c r="P77" s="7">
        <f t="shared" si="9"/>
        <v>0.03681168244</v>
      </c>
      <c r="Q77" s="7">
        <f t="shared" si="10"/>
        <v>0.0289454782</v>
      </c>
      <c r="R77" s="7">
        <f t="shared" si="3"/>
        <v>0.9916310167</v>
      </c>
      <c r="S77" s="7">
        <f t="shared" si="4"/>
        <v>0.1854723699</v>
      </c>
      <c r="T77" s="7">
        <f t="shared" si="5"/>
        <v>1</v>
      </c>
      <c r="U77" s="7">
        <f t="shared" si="6"/>
        <v>0</v>
      </c>
      <c r="V77" s="7">
        <f t="shared" ref="V77:W77" si="157">IF(AVERAGE(T17:T76) &gt; 0.25, 1, 0)</f>
        <v>1</v>
      </c>
      <c r="W77" s="7">
        <f t="shared" si="157"/>
        <v>1</v>
      </c>
      <c r="X77" s="8">
        <v>1.0</v>
      </c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22.5" customHeight="1">
      <c r="A78" s="6">
        <v>1277.0</v>
      </c>
      <c r="B78" s="6">
        <v>15947.0</v>
      </c>
      <c r="C78" s="6">
        <v>2.72</v>
      </c>
      <c r="D78" s="6">
        <v>-0.02</v>
      </c>
      <c r="E78" s="6">
        <v>10.44</v>
      </c>
      <c r="F78" s="6">
        <v>-0.1</v>
      </c>
      <c r="G78" s="6">
        <v>-0.01</v>
      </c>
      <c r="H78" s="6">
        <v>-0.01</v>
      </c>
      <c r="I78" s="6">
        <v>33.28</v>
      </c>
      <c r="J78" s="7">
        <f t="shared" ref="J78:O78" si="158">abs(C78-C77)/200</f>
        <v>0.0006</v>
      </c>
      <c r="K78" s="7">
        <f t="shared" si="158"/>
        <v>0.0015</v>
      </c>
      <c r="L78" s="7">
        <f t="shared" si="158"/>
        <v>0.00015</v>
      </c>
      <c r="M78" s="7">
        <f t="shared" si="158"/>
        <v>0.0001</v>
      </c>
      <c r="N78" s="7">
        <f t="shared" si="158"/>
        <v>0.00015</v>
      </c>
      <c r="O78" s="7">
        <f t="shared" si="158"/>
        <v>0.00065</v>
      </c>
      <c r="P78" s="7">
        <f t="shared" si="9"/>
        <v>0.08447732053</v>
      </c>
      <c r="Q78" s="7">
        <f t="shared" si="10"/>
        <v>0.003100069412</v>
      </c>
      <c r="R78" s="7">
        <f t="shared" si="3"/>
        <v>0.9885309473</v>
      </c>
      <c r="S78" s="7">
        <f t="shared" si="4"/>
        <v>0.1009950494</v>
      </c>
      <c r="T78" s="7">
        <f t="shared" si="5"/>
        <v>1</v>
      </c>
      <c r="U78" s="7">
        <f t="shared" si="6"/>
        <v>1</v>
      </c>
      <c r="V78" s="7">
        <f t="shared" ref="V78:W78" si="159">IF(AVERAGE(T18:T77) &gt; 0.25, 1, 0)</f>
        <v>1</v>
      </c>
      <c r="W78" s="7">
        <f t="shared" si="159"/>
        <v>1</v>
      </c>
      <c r="X78" s="8">
        <v>1.0</v>
      </c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22.5" customHeight="1">
      <c r="A79" s="6">
        <v>1278.0</v>
      </c>
      <c r="B79" s="6">
        <v>16151.0</v>
      </c>
      <c r="C79" s="6">
        <v>2.7</v>
      </c>
      <c r="D79" s="6">
        <v>-0.03</v>
      </c>
      <c r="E79" s="6">
        <v>10.44</v>
      </c>
      <c r="F79" s="6">
        <v>-0.09</v>
      </c>
      <c r="G79" s="6">
        <v>0.01</v>
      </c>
      <c r="H79" s="6">
        <v>-0.01</v>
      </c>
      <c r="I79" s="6">
        <v>33.28</v>
      </c>
      <c r="J79" s="7">
        <f t="shared" ref="J79:O79" si="160">abs(C79-C78)/200</f>
        <v>0.0001</v>
      </c>
      <c r="K79" s="7">
        <f t="shared" si="160"/>
        <v>0.00005</v>
      </c>
      <c r="L79" s="7">
        <f t="shared" si="160"/>
        <v>0</v>
      </c>
      <c r="M79" s="7">
        <f t="shared" si="160"/>
        <v>0.00005</v>
      </c>
      <c r="N79" s="7">
        <f t="shared" si="160"/>
        <v>0.0001</v>
      </c>
      <c r="O79" s="7">
        <f t="shared" si="160"/>
        <v>0</v>
      </c>
      <c r="P79" s="7">
        <f t="shared" si="9"/>
        <v>0.009890713592</v>
      </c>
      <c r="Q79" s="7">
        <f t="shared" si="10"/>
        <v>0.005001840331</v>
      </c>
      <c r="R79" s="7">
        <f t="shared" si="3"/>
        <v>0.9835291069</v>
      </c>
      <c r="S79" s="7">
        <f t="shared" si="4"/>
        <v>0.09110433579</v>
      </c>
      <c r="T79" s="7">
        <f t="shared" si="5"/>
        <v>0</v>
      </c>
      <c r="U79" s="7">
        <f t="shared" si="6"/>
        <v>0</v>
      </c>
      <c r="V79" s="7">
        <f t="shared" ref="V79:W79" si="161">IF(AVERAGE(T19:T78) &gt; 0.25, 1, 0)</f>
        <v>1</v>
      </c>
      <c r="W79" s="7">
        <f t="shared" si="161"/>
        <v>1</v>
      </c>
      <c r="X79" s="8">
        <v>1.0</v>
      </c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22.5" customHeight="1">
      <c r="A80" s="6">
        <v>1279.0</v>
      </c>
      <c r="B80" s="6">
        <v>16355.0</v>
      </c>
      <c r="C80" s="6">
        <v>2.67</v>
      </c>
      <c r="D80" s="6">
        <v>0.03</v>
      </c>
      <c r="E80" s="6">
        <v>10.47</v>
      </c>
      <c r="F80" s="6">
        <v>-0.09</v>
      </c>
      <c r="G80" s="6">
        <v>0.04</v>
      </c>
      <c r="H80" s="6">
        <v>-0.04</v>
      </c>
      <c r="I80" s="6">
        <v>33.28</v>
      </c>
      <c r="J80" s="7">
        <f t="shared" ref="J80:O80" si="162">abs(C80-C79)/200</f>
        <v>0.00015</v>
      </c>
      <c r="K80" s="7">
        <f t="shared" si="162"/>
        <v>0.0003</v>
      </c>
      <c r="L80" s="7">
        <f t="shared" si="162"/>
        <v>0.00015</v>
      </c>
      <c r="M80" s="7">
        <f t="shared" si="162"/>
        <v>0</v>
      </c>
      <c r="N80" s="7">
        <f t="shared" si="162"/>
        <v>0.00015</v>
      </c>
      <c r="O80" s="7">
        <f t="shared" si="162"/>
        <v>0.00015</v>
      </c>
      <c r="P80" s="7">
        <f t="shared" si="9"/>
        <v>0.01519712234</v>
      </c>
      <c r="Q80" s="7">
        <f t="shared" si="10"/>
        <v>0.02159467765</v>
      </c>
      <c r="R80" s="7">
        <f t="shared" si="3"/>
        <v>1.005123785</v>
      </c>
      <c r="S80" s="7">
        <f t="shared" si="4"/>
        <v>0.1063014581</v>
      </c>
      <c r="T80" s="7">
        <f t="shared" si="5"/>
        <v>0</v>
      </c>
      <c r="U80" s="7">
        <f t="shared" si="6"/>
        <v>0</v>
      </c>
      <c r="V80" s="7">
        <f t="shared" ref="V80:W80" si="163">IF(AVERAGE(T20:T79) &gt; 0.25, 1, 0)</f>
        <v>1</v>
      </c>
      <c r="W80" s="7">
        <f t="shared" si="163"/>
        <v>1</v>
      </c>
      <c r="X80" s="8">
        <v>1.0</v>
      </c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22.5" customHeight="1">
      <c r="A81" s="6">
        <v>1280.0</v>
      </c>
      <c r="B81" s="6">
        <v>16559.0</v>
      </c>
      <c r="C81" s="6">
        <v>2.61</v>
      </c>
      <c r="D81" s="6">
        <v>-0.02</v>
      </c>
      <c r="E81" s="6">
        <v>10.44</v>
      </c>
      <c r="F81" s="6">
        <v>-0.1</v>
      </c>
      <c r="G81" s="6">
        <v>0.0</v>
      </c>
      <c r="H81" s="6">
        <v>-0.05</v>
      </c>
      <c r="I81" s="6">
        <v>33.27</v>
      </c>
      <c r="J81" s="7">
        <f t="shared" ref="J81:O81" si="164">abs(C81-C80)/200</f>
        <v>0.0003</v>
      </c>
      <c r="K81" s="7">
        <f t="shared" si="164"/>
        <v>0.00025</v>
      </c>
      <c r="L81" s="7">
        <f t="shared" si="164"/>
        <v>0.00015</v>
      </c>
      <c r="M81" s="7">
        <f t="shared" si="164"/>
        <v>0.00005</v>
      </c>
      <c r="N81" s="7">
        <f t="shared" si="164"/>
        <v>0.0002</v>
      </c>
      <c r="O81" s="7">
        <f t="shared" si="164"/>
        <v>0.00005</v>
      </c>
      <c r="P81" s="7">
        <f t="shared" si="9"/>
        <v>0.005501940748</v>
      </c>
      <c r="Q81" s="7">
        <f t="shared" si="10"/>
        <v>0.04379951662</v>
      </c>
      <c r="R81" s="7">
        <f t="shared" si="3"/>
        <v>0.961324268</v>
      </c>
      <c r="S81" s="7">
        <f t="shared" si="4"/>
        <v>0.1118033989</v>
      </c>
      <c r="T81" s="7">
        <f t="shared" si="5"/>
        <v>0</v>
      </c>
      <c r="U81" s="7">
        <f t="shared" si="6"/>
        <v>0</v>
      </c>
      <c r="V81" s="7">
        <f t="shared" ref="V81:W81" si="165">IF(AVERAGE(T21:T80) &gt; 0.25, 1, 0)</f>
        <v>1</v>
      </c>
      <c r="W81" s="7">
        <f t="shared" si="165"/>
        <v>1</v>
      </c>
      <c r="X81" s="8">
        <v>1.0</v>
      </c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22.5" customHeight="1">
      <c r="A82" s="6">
        <v>1281.0</v>
      </c>
      <c r="B82" s="6">
        <v>16763.0</v>
      </c>
      <c r="C82" s="6">
        <v>2.55</v>
      </c>
      <c r="D82" s="6">
        <v>0.17</v>
      </c>
      <c r="E82" s="6">
        <v>10.47</v>
      </c>
      <c r="F82" s="6">
        <v>-0.11</v>
      </c>
      <c r="G82" s="6">
        <v>0.03</v>
      </c>
      <c r="H82" s="6">
        <v>-0.08</v>
      </c>
      <c r="I82" s="6">
        <v>33.25</v>
      </c>
      <c r="J82" s="7">
        <f t="shared" ref="J82:O82" si="166">abs(C82-C81)/200</f>
        <v>0.0003</v>
      </c>
      <c r="K82" s="7">
        <f t="shared" si="166"/>
        <v>0.00095</v>
      </c>
      <c r="L82" s="7">
        <f t="shared" si="166"/>
        <v>0.00015</v>
      </c>
      <c r="M82" s="7">
        <f t="shared" si="166"/>
        <v>0.00005</v>
      </c>
      <c r="N82" s="7">
        <f t="shared" si="166"/>
        <v>0.00015</v>
      </c>
      <c r="O82" s="7">
        <f t="shared" si="166"/>
        <v>0.00015</v>
      </c>
      <c r="P82" s="7">
        <f t="shared" si="9"/>
        <v>0.0274804839</v>
      </c>
      <c r="Q82" s="7">
        <f t="shared" si="10"/>
        <v>0.01607337712</v>
      </c>
      <c r="R82" s="7">
        <f t="shared" si="3"/>
        <v>0.9773976451</v>
      </c>
      <c r="S82" s="7">
        <f t="shared" si="4"/>
        <v>0.1392838828</v>
      </c>
      <c r="T82" s="7">
        <f t="shared" si="5"/>
        <v>1</v>
      </c>
      <c r="U82" s="7">
        <f t="shared" si="6"/>
        <v>0</v>
      </c>
      <c r="V82" s="7">
        <f t="shared" ref="V82:W82" si="167">IF(AVERAGE(T22:T81) &gt; 0.25, 1, 0)</f>
        <v>1</v>
      </c>
      <c r="W82" s="7">
        <f t="shared" si="167"/>
        <v>1</v>
      </c>
      <c r="X82" s="8">
        <v>1.0</v>
      </c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ht="22.5" customHeight="1">
      <c r="A83" s="6">
        <v>1282.0</v>
      </c>
      <c r="B83" s="6">
        <v>16967.0</v>
      </c>
      <c r="C83" s="6">
        <v>2.56</v>
      </c>
      <c r="D83" s="6">
        <v>0.01</v>
      </c>
      <c r="E83" s="6">
        <v>10.5</v>
      </c>
      <c r="F83" s="6">
        <v>-0.09</v>
      </c>
      <c r="G83" s="6">
        <v>-0.02</v>
      </c>
      <c r="H83" s="6">
        <v>0.01</v>
      </c>
      <c r="I83" s="6">
        <v>33.28</v>
      </c>
      <c r="J83" s="7">
        <f t="shared" ref="J83:O83" si="168">abs(C83-C82)/200</f>
        <v>0.00005</v>
      </c>
      <c r="K83" s="7">
        <f t="shared" si="168"/>
        <v>0.0008</v>
      </c>
      <c r="L83" s="7">
        <f t="shared" si="168"/>
        <v>0.00015</v>
      </c>
      <c r="M83" s="7">
        <f t="shared" si="168"/>
        <v>0.0001</v>
      </c>
      <c r="N83" s="7">
        <f t="shared" si="168"/>
        <v>0.00025</v>
      </c>
      <c r="O83" s="7">
        <f t="shared" si="168"/>
        <v>0.00045</v>
      </c>
      <c r="P83" s="7">
        <f t="shared" si="9"/>
        <v>0.04654769782</v>
      </c>
      <c r="Q83" s="7">
        <f t="shared" si="10"/>
        <v>0.03017840139</v>
      </c>
      <c r="R83" s="7">
        <f t="shared" si="3"/>
        <v>1.007576046</v>
      </c>
      <c r="S83" s="7">
        <f t="shared" si="4"/>
        <v>0.09273618495</v>
      </c>
      <c r="T83" s="7">
        <f t="shared" si="5"/>
        <v>1</v>
      </c>
      <c r="U83" s="7">
        <f t="shared" si="6"/>
        <v>1</v>
      </c>
      <c r="V83" s="7">
        <f t="shared" ref="V83:W83" si="169">IF(AVERAGE(T23:T82) &gt; 0.25, 1, 0)</f>
        <v>1</v>
      </c>
      <c r="W83" s="7">
        <f t="shared" si="169"/>
        <v>1</v>
      </c>
      <c r="X83" s="8">
        <v>1.0</v>
      </c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ht="22.5" customHeight="1">
      <c r="A84" s="6">
        <v>1283.0</v>
      </c>
      <c r="B84" s="6">
        <v>17171.0</v>
      </c>
      <c r="C84" s="6">
        <v>2.66</v>
      </c>
      <c r="D84" s="6">
        <v>-0.09</v>
      </c>
      <c r="E84" s="6">
        <v>10.47</v>
      </c>
      <c r="F84" s="6">
        <v>-0.11</v>
      </c>
      <c r="G84" s="6">
        <v>-0.03</v>
      </c>
      <c r="H84" s="6">
        <v>0.02</v>
      </c>
      <c r="I84" s="6">
        <v>33.27</v>
      </c>
      <c r="J84" s="7">
        <f t="shared" ref="J84:O84" si="170">abs(C84-C83)/200</f>
        <v>0.0005</v>
      </c>
      <c r="K84" s="7">
        <f t="shared" si="170"/>
        <v>0.0005</v>
      </c>
      <c r="L84" s="7">
        <f t="shared" si="170"/>
        <v>0.00015</v>
      </c>
      <c r="M84" s="7">
        <f t="shared" si="170"/>
        <v>0.0001</v>
      </c>
      <c r="N84" s="7">
        <f t="shared" si="170"/>
        <v>0.00005</v>
      </c>
      <c r="O84" s="7">
        <f t="shared" si="170"/>
        <v>0.00005</v>
      </c>
      <c r="P84" s="7">
        <f t="shared" si="9"/>
        <v>0.02302218407</v>
      </c>
      <c r="Q84" s="7">
        <f t="shared" si="10"/>
        <v>0.004585719703</v>
      </c>
      <c r="R84" s="7">
        <f t="shared" si="3"/>
        <v>1.002990327</v>
      </c>
      <c r="S84" s="7">
        <f t="shared" si="4"/>
        <v>0.115758369</v>
      </c>
      <c r="T84" s="7">
        <f t="shared" si="5"/>
        <v>1</v>
      </c>
      <c r="U84" s="7">
        <f t="shared" si="6"/>
        <v>0</v>
      </c>
      <c r="V84" s="7">
        <f t="shared" ref="V84:W84" si="171">IF(AVERAGE(T24:T83) &gt; 0.25, 1, 0)</f>
        <v>1</v>
      </c>
      <c r="W84" s="7">
        <f t="shared" si="171"/>
        <v>1</v>
      </c>
      <c r="X84" s="8">
        <v>1.0</v>
      </c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ht="22.5" customHeight="1">
      <c r="A85" s="6">
        <v>1284.0</v>
      </c>
      <c r="B85" s="6">
        <v>17375.0</v>
      </c>
      <c r="C85" s="6">
        <v>2.64</v>
      </c>
      <c r="D85" s="6">
        <v>-0.12</v>
      </c>
      <c r="E85" s="6">
        <v>10.43</v>
      </c>
      <c r="F85" s="6">
        <v>-0.14</v>
      </c>
      <c r="G85" s="6">
        <v>0.03</v>
      </c>
      <c r="H85" s="6">
        <v>-0.3</v>
      </c>
      <c r="I85" s="6">
        <v>33.27</v>
      </c>
      <c r="J85" s="7">
        <f t="shared" ref="J85:O85" si="172">abs(C85-C84)/200</f>
        <v>0.0001</v>
      </c>
      <c r="K85" s="7">
        <f t="shared" si="172"/>
        <v>0.00015</v>
      </c>
      <c r="L85" s="7">
        <f t="shared" si="172"/>
        <v>0.0002</v>
      </c>
      <c r="M85" s="7">
        <f t="shared" si="172"/>
        <v>0.00015</v>
      </c>
      <c r="N85" s="7">
        <f t="shared" si="172"/>
        <v>0.0003</v>
      </c>
      <c r="O85" s="7">
        <f t="shared" si="172"/>
        <v>0.0016</v>
      </c>
      <c r="P85" s="7">
        <f t="shared" si="9"/>
        <v>0.2166570337</v>
      </c>
      <c r="Q85" s="7">
        <f t="shared" si="10"/>
        <v>0.04339460944</v>
      </c>
      <c r="R85" s="7">
        <f t="shared" si="3"/>
        <v>0.9595957173</v>
      </c>
      <c r="S85" s="7">
        <f t="shared" si="4"/>
        <v>0.3324154028</v>
      </c>
      <c r="T85" s="7">
        <f t="shared" si="5"/>
        <v>0</v>
      </c>
      <c r="U85" s="7">
        <f t="shared" si="6"/>
        <v>1</v>
      </c>
      <c r="V85" s="7">
        <f t="shared" ref="V85:W85" si="173">IF(AVERAGE(T25:T84) &gt; 0.25, 1, 0)</f>
        <v>1</v>
      </c>
      <c r="W85" s="7">
        <f t="shared" si="173"/>
        <v>1</v>
      </c>
      <c r="X85" s="8">
        <v>1.0</v>
      </c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ht="22.5" customHeight="1">
      <c r="A86" s="6">
        <v>1285.0</v>
      </c>
      <c r="B86" s="6">
        <v>17579.0</v>
      </c>
      <c r="C86" s="6">
        <v>2.45</v>
      </c>
      <c r="D86" s="6">
        <v>0.15</v>
      </c>
      <c r="E86" s="6">
        <v>10.46</v>
      </c>
      <c r="F86" s="6">
        <v>-0.09</v>
      </c>
      <c r="G86" s="6">
        <v>0.06</v>
      </c>
      <c r="H86" s="6">
        <v>-0.04</v>
      </c>
      <c r="I86" s="6">
        <v>33.28</v>
      </c>
      <c r="J86" s="7">
        <f t="shared" ref="J86:O86" si="174">abs(C86-C85)/200</f>
        <v>0.00095</v>
      </c>
      <c r="K86" s="7">
        <f t="shared" si="174"/>
        <v>0.00135</v>
      </c>
      <c r="L86" s="7">
        <f t="shared" si="174"/>
        <v>0.00015</v>
      </c>
      <c r="M86" s="7">
        <f t="shared" si="174"/>
        <v>0.00025</v>
      </c>
      <c r="N86" s="7">
        <f t="shared" si="174"/>
        <v>0.00015</v>
      </c>
      <c r="O86" s="7">
        <f t="shared" si="174"/>
        <v>0.0013</v>
      </c>
      <c r="P86" s="7">
        <f t="shared" si="9"/>
        <v>0.2170897768</v>
      </c>
      <c r="Q86" s="7">
        <f t="shared" si="10"/>
        <v>0.01545312704</v>
      </c>
      <c r="R86" s="7">
        <f t="shared" si="3"/>
        <v>0.9441425903</v>
      </c>
      <c r="S86" s="7">
        <f t="shared" si="4"/>
        <v>0.1153256259</v>
      </c>
      <c r="T86" s="7">
        <f t="shared" si="5"/>
        <v>1</v>
      </c>
      <c r="U86" s="7">
        <f t="shared" si="6"/>
        <v>1</v>
      </c>
      <c r="V86" s="7">
        <f t="shared" ref="V86:W86" si="175">IF(AVERAGE(T26:T85) &gt; 0.25, 1, 0)</f>
        <v>1</v>
      </c>
      <c r="W86" s="7">
        <f t="shared" si="175"/>
        <v>1</v>
      </c>
      <c r="X86" s="8">
        <v>1.0</v>
      </c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ht="22.5" customHeight="1">
      <c r="A87" s="6">
        <v>1286.0</v>
      </c>
      <c r="B87" s="6">
        <v>17783.0</v>
      </c>
      <c r="C87" s="6">
        <v>2.4</v>
      </c>
      <c r="D87" s="6">
        <v>0.15</v>
      </c>
      <c r="E87" s="6">
        <v>10.48</v>
      </c>
      <c r="F87" s="6">
        <v>-0.11</v>
      </c>
      <c r="G87" s="6">
        <v>-0.03</v>
      </c>
      <c r="H87" s="6">
        <v>-0.03</v>
      </c>
      <c r="I87" s="6">
        <v>33.27</v>
      </c>
      <c r="J87" s="7">
        <f t="shared" ref="J87:O87" si="176">abs(C87-C86)/200</f>
        <v>0.00025</v>
      </c>
      <c r="K87" s="7">
        <f t="shared" si="176"/>
        <v>0</v>
      </c>
      <c r="L87" s="7">
        <f t="shared" si="176"/>
        <v>0.0001</v>
      </c>
      <c r="M87" s="7">
        <f t="shared" si="176"/>
        <v>0.0001</v>
      </c>
      <c r="N87" s="7">
        <f t="shared" si="176"/>
        <v>0.00045</v>
      </c>
      <c r="O87" s="7">
        <f t="shared" si="176"/>
        <v>0.00005</v>
      </c>
      <c r="P87" s="7">
        <f t="shared" si="9"/>
        <v>0.002572635279</v>
      </c>
      <c r="Q87" s="7">
        <f t="shared" si="10"/>
        <v>0.008201340244</v>
      </c>
      <c r="R87" s="7">
        <f t="shared" si="3"/>
        <v>0.9523439305</v>
      </c>
      <c r="S87" s="7">
        <f t="shared" si="4"/>
        <v>0.1178982612</v>
      </c>
      <c r="T87" s="7">
        <f t="shared" si="5"/>
        <v>0</v>
      </c>
      <c r="U87" s="7">
        <f t="shared" si="6"/>
        <v>1</v>
      </c>
      <c r="V87" s="7">
        <f t="shared" ref="V87:W87" si="177">IF(AVERAGE(T27:T86) &gt; 0.25, 1, 0)</f>
        <v>1</v>
      </c>
      <c r="W87" s="7">
        <f t="shared" si="177"/>
        <v>1</v>
      </c>
      <c r="X87" s="8">
        <v>1.0</v>
      </c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ht="22.5" customHeight="1">
      <c r="A88" s="6">
        <v>1287.0</v>
      </c>
      <c r="B88" s="6">
        <v>17987.0</v>
      </c>
      <c r="C88" s="6">
        <v>2.49</v>
      </c>
      <c r="D88" s="6">
        <v>0.01</v>
      </c>
      <c r="E88" s="6">
        <v>10.49</v>
      </c>
      <c r="F88" s="6">
        <v>-0.11</v>
      </c>
      <c r="G88" s="6">
        <v>-0.03</v>
      </c>
      <c r="H88" s="6">
        <v>-0.01</v>
      </c>
      <c r="I88" s="6">
        <v>33.27</v>
      </c>
      <c r="J88" s="7">
        <f t="shared" ref="J88:O88" si="178">abs(C88-C87)/200</f>
        <v>0.00045</v>
      </c>
      <c r="K88" s="7">
        <f t="shared" si="178"/>
        <v>0.0007</v>
      </c>
      <c r="L88" s="7">
        <f t="shared" si="178"/>
        <v>0.00005</v>
      </c>
      <c r="M88" s="7">
        <f t="shared" si="178"/>
        <v>0</v>
      </c>
      <c r="N88" s="7">
        <f t="shared" si="178"/>
        <v>0</v>
      </c>
      <c r="O88" s="7">
        <f t="shared" si="178"/>
        <v>0.0001</v>
      </c>
      <c r="P88" s="7">
        <f t="shared" si="9"/>
        <v>0.003443029803</v>
      </c>
      <c r="Q88" s="7">
        <f t="shared" si="10"/>
        <v>0.0291355598</v>
      </c>
      <c r="R88" s="7">
        <f t="shared" si="3"/>
        <v>0.9814794903</v>
      </c>
      <c r="S88" s="7">
        <f t="shared" si="4"/>
        <v>0.1144552314</v>
      </c>
      <c r="T88" s="7">
        <f t="shared" si="5"/>
        <v>1</v>
      </c>
      <c r="U88" s="7">
        <f t="shared" si="6"/>
        <v>0</v>
      </c>
      <c r="V88" s="7">
        <f t="shared" ref="V88:W88" si="179">IF(AVERAGE(T28:T87) &gt; 0.25, 1, 0)</f>
        <v>1</v>
      </c>
      <c r="W88" s="7">
        <f t="shared" si="179"/>
        <v>1</v>
      </c>
      <c r="X88" s="8">
        <v>1.0</v>
      </c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ht="22.5" customHeight="1">
      <c r="A89" s="6">
        <v>1288.0</v>
      </c>
      <c r="B89" s="6">
        <v>18191.0</v>
      </c>
      <c r="C89" s="6">
        <v>2.59</v>
      </c>
      <c r="D89" s="6">
        <v>-0.06</v>
      </c>
      <c r="E89" s="6">
        <v>10.53</v>
      </c>
      <c r="F89" s="6">
        <v>-0.07</v>
      </c>
      <c r="G89" s="6">
        <v>0.04</v>
      </c>
      <c r="H89" s="6">
        <v>0.1</v>
      </c>
      <c r="I89" s="6">
        <v>33.26</v>
      </c>
      <c r="J89" s="7">
        <f t="shared" ref="J89:O89" si="180">abs(C89-C88)/200</f>
        <v>0.0005</v>
      </c>
      <c r="K89" s="7">
        <f t="shared" si="180"/>
        <v>0.00035</v>
      </c>
      <c r="L89" s="7">
        <f t="shared" si="180"/>
        <v>0.0002</v>
      </c>
      <c r="M89" s="7">
        <f t="shared" si="180"/>
        <v>0.0002</v>
      </c>
      <c r="N89" s="7">
        <f t="shared" si="180"/>
        <v>0.00035</v>
      </c>
      <c r="O89" s="7">
        <f t="shared" si="180"/>
        <v>0.00055</v>
      </c>
      <c r="P89" s="7">
        <f t="shared" si="9"/>
        <v>0.01399709436</v>
      </c>
      <c r="Q89" s="7">
        <f t="shared" si="10"/>
        <v>0.06253268231</v>
      </c>
      <c r="R89" s="7">
        <f t="shared" si="3"/>
        <v>1.044012173</v>
      </c>
      <c r="S89" s="7">
        <f t="shared" si="4"/>
        <v>0.1284523258</v>
      </c>
      <c r="T89" s="7">
        <f t="shared" si="5"/>
        <v>1</v>
      </c>
      <c r="U89" s="7">
        <f t="shared" si="6"/>
        <v>1</v>
      </c>
      <c r="V89" s="7">
        <f t="shared" ref="V89:W89" si="181">IF(AVERAGE(T29:T88) &gt; 0.25, 1, 0)</f>
        <v>1</v>
      </c>
      <c r="W89" s="7">
        <f t="shared" si="181"/>
        <v>1</v>
      </c>
      <c r="X89" s="8">
        <v>1.0</v>
      </c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ht="22.5" customHeight="1">
      <c r="A90" s="6">
        <v>1289.0</v>
      </c>
      <c r="B90" s="6">
        <v>18395.0</v>
      </c>
      <c r="C90" s="6">
        <v>2.31</v>
      </c>
      <c r="D90" s="6">
        <v>0.21</v>
      </c>
      <c r="E90" s="6">
        <v>10.51</v>
      </c>
      <c r="F90" s="6">
        <v>-0.1</v>
      </c>
      <c r="G90" s="6">
        <v>-0.02</v>
      </c>
      <c r="H90" s="6">
        <v>-0.08</v>
      </c>
      <c r="I90" s="6">
        <v>33.28</v>
      </c>
      <c r="J90" s="7">
        <f t="shared" ref="J90:O90" si="182">abs(C90-C89)/200</f>
        <v>0.0014</v>
      </c>
      <c r="K90" s="7">
        <f t="shared" si="182"/>
        <v>0.00135</v>
      </c>
      <c r="L90" s="7">
        <f t="shared" si="182"/>
        <v>0.0001</v>
      </c>
      <c r="M90" s="7">
        <f t="shared" si="182"/>
        <v>0.00015</v>
      </c>
      <c r="N90" s="7">
        <f t="shared" si="182"/>
        <v>0.0003</v>
      </c>
      <c r="O90" s="7">
        <f t="shared" si="182"/>
        <v>0.0009</v>
      </c>
      <c r="P90" s="7">
        <f t="shared" si="9"/>
        <v>0.001162488182</v>
      </c>
      <c r="Q90" s="7">
        <f t="shared" si="10"/>
        <v>0.08109899821</v>
      </c>
      <c r="R90" s="7">
        <f t="shared" si="3"/>
        <v>0.9629131744</v>
      </c>
      <c r="S90" s="7">
        <f t="shared" si="4"/>
        <v>0.129614814</v>
      </c>
      <c r="T90" s="7">
        <f t="shared" si="5"/>
        <v>1</v>
      </c>
      <c r="U90" s="7">
        <f t="shared" si="6"/>
        <v>1</v>
      </c>
      <c r="V90" s="7">
        <f t="shared" ref="V90:W90" si="183">IF(AVERAGE(T30:T89) &gt; 0.25, 1, 0)</f>
        <v>1</v>
      </c>
      <c r="W90" s="7">
        <f t="shared" si="183"/>
        <v>1</v>
      </c>
      <c r="X90" s="8">
        <v>1.0</v>
      </c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ht="22.5" customHeight="1">
      <c r="A91" s="6">
        <v>1290.0</v>
      </c>
      <c r="B91" s="6">
        <v>18599.0</v>
      </c>
      <c r="C91" s="6">
        <v>2.39</v>
      </c>
      <c r="D91" s="6">
        <v>-0.05</v>
      </c>
      <c r="E91" s="6">
        <v>10.61</v>
      </c>
      <c r="F91" s="6">
        <v>-0.09</v>
      </c>
      <c r="G91" s="6">
        <v>-0.01</v>
      </c>
      <c r="H91" s="6">
        <v>0.02</v>
      </c>
      <c r="I91" s="6">
        <v>33.28</v>
      </c>
      <c r="J91" s="7">
        <f t="shared" ref="J91:O91" si="184">abs(C91-C90)/200</f>
        <v>0.0004</v>
      </c>
      <c r="K91" s="7">
        <f t="shared" si="184"/>
        <v>0.0013</v>
      </c>
      <c r="L91" s="7">
        <f t="shared" si="184"/>
        <v>0.0005</v>
      </c>
      <c r="M91" s="7">
        <f t="shared" si="184"/>
        <v>0.00005</v>
      </c>
      <c r="N91" s="7">
        <f t="shared" si="184"/>
        <v>0.00005</v>
      </c>
      <c r="O91" s="7">
        <f t="shared" si="184"/>
        <v>0.0005</v>
      </c>
      <c r="P91" s="7">
        <f t="shared" si="9"/>
        <v>0.03687862901</v>
      </c>
      <c r="Q91" s="7">
        <f t="shared" si="10"/>
        <v>0.1130557479</v>
      </c>
      <c r="R91" s="7">
        <f t="shared" si="3"/>
        <v>1.075968922</v>
      </c>
      <c r="S91" s="7">
        <f t="shared" si="4"/>
        <v>0.09273618495</v>
      </c>
      <c r="T91" s="7">
        <f t="shared" si="5"/>
        <v>1</v>
      </c>
      <c r="U91" s="7">
        <f t="shared" si="6"/>
        <v>1</v>
      </c>
      <c r="V91" s="7">
        <f t="shared" ref="V91:W91" si="185">IF(AVERAGE(T31:T90) &gt; 0.25, 1, 0)</f>
        <v>1</v>
      </c>
      <c r="W91" s="7">
        <f t="shared" si="185"/>
        <v>1</v>
      </c>
      <c r="X91" s="8">
        <v>1.0</v>
      </c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ht="22.5" customHeight="1">
      <c r="A92" s="6">
        <v>1291.0</v>
      </c>
      <c r="B92" s="6">
        <v>18803.0</v>
      </c>
      <c r="C92" s="6">
        <v>2.69</v>
      </c>
      <c r="D92" s="6">
        <v>-0.45</v>
      </c>
      <c r="E92" s="6">
        <v>10.4</v>
      </c>
      <c r="F92" s="6">
        <v>-0.09</v>
      </c>
      <c r="G92" s="6">
        <v>-0.03</v>
      </c>
      <c r="H92" s="6">
        <v>0.14</v>
      </c>
      <c r="I92" s="6">
        <v>33.28</v>
      </c>
      <c r="J92" s="7">
        <f t="shared" ref="J92:O92" si="186">abs(C92-C91)/200</f>
        <v>0.0015</v>
      </c>
      <c r="K92" s="7">
        <f t="shared" si="186"/>
        <v>0.002</v>
      </c>
      <c r="L92" s="7">
        <f t="shared" si="186"/>
        <v>0.00105</v>
      </c>
      <c r="M92" s="7">
        <f t="shared" si="186"/>
        <v>0</v>
      </c>
      <c r="N92" s="7">
        <f t="shared" si="186"/>
        <v>0.0001</v>
      </c>
      <c r="O92" s="7">
        <f t="shared" si="186"/>
        <v>0.0006</v>
      </c>
      <c r="P92" s="7">
        <f t="shared" si="9"/>
        <v>0.0763791603</v>
      </c>
      <c r="Q92" s="7">
        <f t="shared" si="10"/>
        <v>0.1242899837</v>
      </c>
      <c r="R92" s="7">
        <f t="shared" si="3"/>
        <v>0.9516789387</v>
      </c>
      <c r="S92" s="7">
        <f t="shared" si="4"/>
        <v>0.1691153453</v>
      </c>
      <c r="T92" s="7">
        <f t="shared" si="5"/>
        <v>1</v>
      </c>
      <c r="U92" s="7">
        <f t="shared" si="6"/>
        <v>1</v>
      </c>
      <c r="V92" s="7">
        <f t="shared" ref="V92:W92" si="187">IF(AVERAGE(T32:T91) &gt; 0.25, 1, 0)</f>
        <v>1</v>
      </c>
      <c r="W92" s="7">
        <f t="shared" si="187"/>
        <v>1</v>
      </c>
      <c r="X92" s="8">
        <v>1.0</v>
      </c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ht="22.5" customHeight="1">
      <c r="A93" s="6">
        <v>1292.0</v>
      </c>
      <c r="B93" s="6">
        <v>19007.0</v>
      </c>
      <c r="C93" s="6">
        <v>2.63</v>
      </c>
      <c r="D93" s="6">
        <v>-0.58</v>
      </c>
      <c r="E93" s="6">
        <v>10.42</v>
      </c>
      <c r="F93" s="6">
        <v>-0.2</v>
      </c>
      <c r="G93" s="6">
        <v>0.03</v>
      </c>
      <c r="H93" s="6">
        <v>0.07</v>
      </c>
      <c r="I93" s="6">
        <v>33.29</v>
      </c>
      <c r="J93" s="7">
        <f t="shared" ref="J93:O93" si="188">abs(C93-C92)/200</f>
        <v>0.0003</v>
      </c>
      <c r="K93" s="7">
        <f t="shared" si="188"/>
        <v>0.00065</v>
      </c>
      <c r="L93" s="7">
        <f t="shared" si="188"/>
        <v>0.0001</v>
      </c>
      <c r="M93" s="7">
        <f t="shared" si="188"/>
        <v>0.00055</v>
      </c>
      <c r="N93" s="7">
        <f t="shared" si="188"/>
        <v>0.0003</v>
      </c>
      <c r="O93" s="7">
        <f t="shared" si="188"/>
        <v>0.00035</v>
      </c>
      <c r="P93" s="7">
        <f t="shared" si="9"/>
        <v>0.04489400034</v>
      </c>
      <c r="Q93" s="7">
        <f t="shared" si="10"/>
        <v>0.01074179276</v>
      </c>
      <c r="R93" s="7">
        <f t="shared" si="3"/>
        <v>0.9624207314</v>
      </c>
      <c r="S93" s="7">
        <f t="shared" si="4"/>
        <v>0.2140093456</v>
      </c>
      <c r="T93" s="7">
        <f t="shared" si="5"/>
        <v>1</v>
      </c>
      <c r="U93" s="7">
        <f t="shared" si="6"/>
        <v>1</v>
      </c>
      <c r="V93" s="7">
        <f t="shared" ref="V93:W93" si="189">IF(AVERAGE(T33:T92) &gt; 0.25, 1, 0)</f>
        <v>1</v>
      </c>
      <c r="W93" s="7">
        <f t="shared" si="189"/>
        <v>1</v>
      </c>
      <c r="X93" s="8">
        <v>1.0</v>
      </c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ht="22.5" customHeight="1">
      <c r="A94" s="6">
        <v>1293.0</v>
      </c>
      <c r="B94" s="6">
        <v>19211.0</v>
      </c>
      <c r="C94" s="6">
        <v>1.91</v>
      </c>
      <c r="D94" s="6">
        <v>-0.17</v>
      </c>
      <c r="E94" s="6">
        <v>10.61</v>
      </c>
      <c r="F94" s="6">
        <v>-0.26</v>
      </c>
      <c r="G94" s="6">
        <v>0.35</v>
      </c>
      <c r="H94" s="6">
        <v>-0.41</v>
      </c>
      <c r="I94" s="6">
        <v>33.28</v>
      </c>
      <c r="J94" s="7">
        <f t="shared" ref="J94:O94" si="190">abs(C94-C93)/200</f>
        <v>0.0036</v>
      </c>
      <c r="K94" s="7">
        <f t="shared" si="190"/>
        <v>0.00205</v>
      </c>
      <c r="L94" s="7">
        <f t="shared" si="190"/>
        <v>0.00095</v>
      </c>
      <c r="M94" s="7">
        <f t="shared" si="190"/>
        <v>0.0003</v>
      </c>
      <c r="N94" s="7">
        <f t="shared" si="190"/>
        <v>0.0016</v>
      </c>
      <c r="O94" s="7">
        <f t="shared" si="190"/>
        <v>0.0024</v>
      </c>
      <c r="P94" s="7">
        <f t="shared" si="9"/>
        <v>0.3844887747</v>
      </c>
      <c r="Q94" s="7">
        <f t="shared" si="10"/>
        <v>0.01946685843</v>
      </c>
      <c r="R94" s="7">
        <f t="shared" si="3"/>
        <v>0.9818875898</v>
      </c>
      <c r="S94" s="7">
        <f t="shared" si="4"/>
        <v>0.5984981203</v>
      </c>
      <c r="T94" s="7">
        <f t="shared" si="5"/>
        <v>1</v>
      </c>
      <c r="U94" s="7">
        <f t="shared" si="6"/>
        <v>1</v>
      </c>
      <c r="V94" s="7">
        <f t="shared" ref="V94:W94" si="191">IF(AVERAGE(T34:T93) &gt; 0.25, 1, 0)</f>
        <v>1</v>
      </c>
      <c r="W94" s="7">
        <f t="shared" si="191"/>
        <v>1</v>
      </c>
      <c r="X94" s="8">
        <v>1.0</v>
      </c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ht="22.5" customHeight="1">
      <c r="A95" s="6">
        <v>1294.0</v>
      </c>
      <c r="B95" s="6">
        <v>19415.0</v>
      </c>
      <c r="C95" s="6">
        <v>1.95</v>
      </c>
      <c r="D95" s="6">
        <v>-0.18</v>
      </c>
      <c r="E95" s="6">
        <v>10.64</v>
      </c>
      <c r="F95" s="6">
        <v>-0.04</v>
      </c>
      <c r="G95" s="6">
        <v>-0.09</v>
      </c>
      <c r="H95" s="6">
        <v>-0.11</v>
      </c>
      <c r="I95" s="6">
        <v>33.28</v>
      </c>
      <c r="J95" s="7">
        <f t="shared" ref="J95:O95" si="192">abs(C95-C94)/200</f>
        <v>0.0002</v>
      </c>
      <c r="K95" s="7">
        <f t="shared" si="192"/>
        <v>0.00005</v>
      </c>
      <c r="L95" s="7">
        <f t="shared" si="192"/>
        <v>0.00015</v>
      </c>
      <c r="M95" s="7">
        <f t="shared" si="192"/>
        <v>0.0011</v>
      </c>
      <c r="N95" s="7">
        <f t="shared" si="192"/>
        <v>0.0022</v>
      </c>
      <c r="O95" s="7">
        <f t="shared" si="192"/>
        <v>0.0015</v>
      </c>
      <c r="P95" s="7">
        <f t="shared" si="9"/>
        <v>0.4508498897</v>
      </c>
      <c r="Q95" s="7">
        <f t="shared" si="10"/>
        <v>0.03682305422</v>
      </c>
      <c r="R95" s="7">
        <f t="shared" si="3"/>
        <v>1.018710644</v>
      </c>
      <c r="S95" s="7">
        <f t="shared" si="4"/>
        <v>0.1476482306</v>
      </c>
      <c r="T95" s="7">
        <f t="shared" si="5"/>
        <v>0</v>
      </c>
      <c r="U95" s="7">
        <f t="shared" si="6"/>
        <v>1</v>
      </c>
      <c r="V95" s="7">
        <f t="shared" ref="V95:W95" si="193">IF(AVERAGE(T35:T94) &gt; 0.25, 1, 0)</f>
        <v>1</v>
      </c>
      <c r="W95" s="7">
        <f t="shared" si="193"/>
        <v>1</v>
      </c>
      <c r="X95" s="8">
        <v>1.0</v>
      </c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ht="22.5" customHeight="1">
      <c r="A96" s="6">
        <v>1295.0</v>
      </c>
      <c r="B96" s="6">
        <v>19619.0</v>
      </c>
      <c r="C96" s="6">
        <v>2.06</v>
      </c>
      <c r="D96" s="6">
        <v>-0.45</v>
      </c>
      <c r="E96" s="6">
        <v>10.56</v>
      </c>
      <c r="F96" s="6">
        <v>-0.07</v>
      </c>
      <c r="G96" s="6">
        <v>-0.03</v>
      </c>
      <c r="H96" s="6">
        <v>0.04</v>
      </c>
      <c r="I96" s="6">
        <v>33.28</v>
      </c>
      <c r="J96" s="7">
        <f t="shared" ref="J96:O96" si="194">abs(C96-C95)/200</f>
        <v>0.00055</v>
      </c>
      <c r="K96" s="7">
        <f t="shared" si="194"/>
        <v>0.00135</v>
      </c>
      <c r="L96" s="7">
        <f t="shared" si="194"/>
        <v>0.0004</v>
      </c>
      <c r="M96" s="7">
        <f t="shared" si="194"/>
        <v>0.00015</v>
      </c>
      <c r="N96" s="7">
        <f t="shared" si="194"/>
        <v>0.0003</v>
      </c>
      <c r="O96" s="7">
        <f t="shared" si="194"/>
        <v>0.00075</v>
      </c>
      <c r="P96" s="7">
        <f t="shared" si="9"/>
        <v>0.06162497793</v>
      </c>
      <c r="Q96" s="7">
        <f t="shared" si="10"/>
        <v>0.05025207285</v>
      </c>
      <c r="R96" s="7">
        <f t="shared" si="3"/>
        <v>0.9684585712</v>
      </c>
      <c r="S96" s="7">
        <f t="shared" si="4"/>
        <v>0.08602325267</v>
      </c>
      <c r="T96" s="7">
        <f t="shared" si="5"/>
        <v>1</v>
      </c>
      <c r="U96" s="7">
        <f t="shared" si="6"/>
        <v>1</v>
      </c>
      <c r="V96" s="7">
        <f t="shared" ref="V96:W96" si="195">IF(AVERAGE(T36:T95) &gt; 0.25, 1, 0)</f>
        <v>1</v>
      </c>
      <c r="W96" s="7">
        <f t="shared" si="195"/>
        <v>1</v>
      </c>
      <c r="X96" s="8">
        <v>1.0</v>
      </c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ht="22.5" customHeight="1">
      <c r="A97" s="6">
        <v>1296.0</v>
      </c>
      <c r="B97" s="6">
        <v>19823.0</v>
      </c>
      <c r="C97" s="6">
        <v>2.17</v>
      </c>
      <c r="D97" s="6">
        <v>-0.56</v>
      </c>
      <c r="E97" s="6">
        <v>10.61</v>
      </c>
      <c r="F97" s="6">
        <v>-0.1</v>
      </c>
      <c r="G97" s="6">
        <v>-0.03</v>
      </c>
      <c r="H97" s="6">
        <v>0.02</v>
      </c>
      <c r="I97" s="6">
        <v>33.28</v>
      </c>
      <c r="J97" s="7">
        <f t="shared" ref="J97:O97" si="196">abs(C97-C96)/200</f>
        <v>0.00055</v>
      </c>
      <c r="K97" s="7">
        <f t="shared" si="196"/>
        <v>0.00055</v>
      </c>
      <c r="L97" s="7">
        <f t="shared" si="196"/>
        <v>0.00025</v>
      </c>
      <c r="M97" s="7">
        <f t="shared" si="196"/>
        <v>0.00015</v>
      </c>
      <c r="N97" s="7">
        <f t="shared" si="196"/>
        <v>0</v>
      </c>
      <c r="O97" s="7">
        <f t="shared" si="196"/>
        <v>0.0001</v>
      </c>
      <c r="P97" s="7">
        <f t="shared" si="9"/>
        <v>0.02027820546</v>
      </c>
      <c r="Q97" s="7">
        <f t="shared" si="10"/>
        <v>0.07564581781</v>
      </c>
      <c r="R97" s="7">
        <f t="shared" si="3"/>
        <v>1.044104389</v>
      </c>
      <c r="S97" s="7">
        <f t="shared" si="4"/>
        <v>0.1063014581</v>
      </c>
      <c r="T97" s="7">
        <f t="shared" si="5"/>
        <v>1</v>
      </c>
      <c r="U97" s="7">
        <f t="shared" si="6"/>
        <v>0</v>
      </c>
      <c r="V97" s="7">
        <f t="shared" ref="V97:W97" si="197">IF(AVERAGE(T37:T96) &gt; 0.25, 1, 0)</f>
        <v>1</v>
      </c>
      <c r="W97" s="7">
        <f t="shared" si="197"/>
        <v>1</v>
      </c>
      <c r="X97" s="8">
        <v>1.0</v>
      </c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ht="22.5" customHeight="1">
      <c r="A98" s="6">
        <v>1297.0</v>
      </c>
      <c r="B98" s="6">
        <v>20027.0</v>
      </c>
      <c r="C98" s="6">
        <v>2.23</v>
      </c>
      <c r="D98" s="6">
        <v>-0.65</v>
      </c>
      <c r="E98" s="6">
        <v>10.57</v>
      </c>
      <c r="F98" s="6">
        <v>-0.13</v>
      </c>
      <c r="G98" s="6">
        <v>-0.01</v>
      </c>
      <c r="H98" s="6">
        <v>0.05</v>
      </c>
      <c r="I98" s="6">
        <v>33.29</v>
      </c>
      <c r="J98" s="7">
        <f t="shared" ref="J98:O98" si="198">abs(C98-C97)/200</f>
        <v>0.0003</v>
      </c>
      <c r="K98" s="7">
        <f t="shared" si="198"/>
        <v>0.00045</v>
      </c>
      <c r="L98" s="7">
        <f t="shared" si="198"/>
        <v>0.0002</v>
      </c>
      <c r="M98" s="7">
        <f t="shared" si="198"/>
        <v>0.00015</v>
      </c>
      <c r="N98" s="7">
        <f t="shared" si="198"/>
        <v>0.0001</v>
      </c>
      <c r="O98" s="7">
        <f t="shared" si="198"/>
        <v>0.00015</v>
      </c>
      <c r="P98" s="7">
        <f t="shared" si="9"/>
        <v>0.03334094231</v>
      </c>
      <c r="Q98" s="7">
        <f t="shared" si="10"/>
        <v>0.02189112186</v>
      </c>
      <c r="R98" s="7">
        <f t="shared" si="3"/>
        <v>1.022213267</v>
      </c>
      <c r="S98" s="7">
        <f t="shared" si="4"/>
        <v>0.1396424004</v>
      </c>
      <c r="T98" s="7">
        <f t="shared" si="5"/>
        <v>1</v>
      </c>
      <c r="U98" s="7">
        <f t="shared" si="6"/>
        <v>0</v>
      </c>
      <c r="V98" s="7">
        <f t="shared" ref="V98:W98" si="199">IF(AVERAGE(T38:T97) &gt; 0.25, 1, 0)</f>
        <v>1</v>
      </c>
      <c r="W98" s="7">
        <f t="shared" si="199"/>
        <v>1</v>
      </c>
      <c r="X98" s="8">
        <v>1.0</v>
      </c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ht="22.5" customHeight="1">
      <c r="A99" s="6">
        <v>1298.0</v>
      </c>
      <c r="B99" s="6">
        <v>20231.0</v>
      </c>
      <c r="C99" s="6">
        <v>2.23</v>
      </c>
      <c r="D99" s="6">
        <v>-0.78</v>
      </c>
      <c r="E99" s="6">
        <v>10.55</v>
      </c>
      <c r="F99" s="6">
        <v>-0.15</v>
      </c>
      <c r="G99" s="6">
        <v>0.01</v>
      </c>
      <c r="H99" s="6">
        <v>-0.15</v>
      </c>
      <c r="I99" s="6">
        <v>33.29</v>
      </c>
      <c r="J99" s="7">
        <f t="shared" ref="J99:O99" si="200">abs(C99-C98)/200</f>
        <v>0</v>
      </c>
      <c r="K99" s="7">
        <f t="shared" si="200"/>
        <v>0.00065</v>
      </c>
      <c r="L99" s="7">
        <f t="shared" si="200"/>
        <v>0.0001</v>
      </c>
      <c r="M99" s="7">
        <f t="shared" si="200"/>
        <v>0.0001</v>
      </c>
      <c r="N99" s="7">
        <f t="shared" si="200"/>
        <v>0.0001</v>
      </c>
      <c r="O99" s="7">
        <f t="shared" si="200"/>
        <v>0.001</v>
      </c>
      <c r="P99" s="7">
        <f t="shared" si="9"/>
        <v>0.07272520538</v>
      </c>
      <c r="Q99" s="7">
        <f t="shared" si="10"/>
        <v>0.01093212199</v>
      </c>
      <c r="R99" s="7">
        <f t="shared" si="3"/>
        <v>1.011281145</v>
      </c>
      <c r="S99" s="7">
        <f t="shared" si="4"/>
        <v>0.2123676058</v>
      </c>
      <c r="T99" s="7">
        <f t="shared" si="5"/>
        <v>1</v>
      </c>
      <c r="U99" s="7">
        <f t="shared" si="6"/>
        <v>1</v>
      </c>
      <c r="V99" s="7">
        <f t="shared" ref="V99:W99" si="201">IF(AVERAGE(T39:T98) &gt; 0.25, 1, 0)</f>
        <v>1</v>
      </c>
      <c r="W99" s="7">
        <f t="shared" si="201"/>
        <v>1</v>
      </c>
      <c r="X99" s="8">
        <v>1.0</v>
      </c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ht="22.5" customHeight="1">
      <c r="A100" s="6">
        <v>1299.0</v>
      </c>
      <c r="B100" s="6">
        <v>20435.0</v>
      </c>
      <c r="C100" s="6">
        <v>1.85</v>
      </c>
      <c r="D100" s="6">
        <v>-0.13</v>
      </c>
      <c r="E100" s="6">
        <v>10.47</v>
      </c>
      <c r="F100" s="6">
        <v>-0.13</v>
      </c>
      <c r="G100" s="6">
        <v>0.04</v>
      </c>
      <c r="H100" s="6">
        <v>-0.09</v>
      </c>
      <c r="I100" s="6">
        <v>33.29</v>
      </c>
      <c r="J100" s="7">
        <f t="shared" ref="J100:O100" si="202">abs(C100-C99)/200</f>
        <v>0.0019</v>
      </c>
      <c r="K100" s="7">
        <f t="shared" si="202"/>
        <v>0.00325</v>
      </c>
      <c r="L100" s="7">
        <f t="shared" si="202"/>
        <v>0.0004</v>
      </c>
      <c r="M100" s="7">
        <f t="shared" si="202"/>
        <v>0.0001</v>
      </c>
      <c r="N100" s="7">
        <f t="shared" si="202"/>
        <v>0.00015</v>
      </c>
      <c r="O100" s="7">
        <f t="shared" si="202"/>
        <v>0.0003</v>
      </c>
      <c r="P100" s="7">
        <f t="shared" si="9"/>
        <v>0.04927254151</v>
      </c>
      <c r="Q100" s="7">
        <f t="shared" si="10"/>
        <v>0.1782994373</v>
      </c>
      <c r="R100" s="7">
        <f t="shared" si="3"/>
        <v>0.8329817079</v>
      </c>
      <c r="S100" s="7">
        <f t="shared" si="4"/>
        <v>0.1630950643</v>
      </c>
      <c r="T100" s="7">
        <f t="shared" si="5"/>
        <v>1</v>
      </c>
      <c r="U100" s="7">
        <f t="shared" si="6"/>
        <v>0</v>
      </c>
      <c r="V100" s="7">
        <f t="shared" ref="V100:W100" si="203">IF(AVERAGE(T40:T99) &gt; 0.25, 1, 0)</f>
        <v>1</v>
      </c>
      <c r="W100" s="7">
        <f t="shared" si="203"/>
        <v>1</v>
      </c>
      <c r="X100" s="8">
        <v>1.0</v>
      </c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ht="22.5" customHeight="1">
      <c r="A101" s="6">
        <v>1300.0</v>
      </c>
      <c r="B101" s="6">
        <v>20639.0</v>
      </c>
      <c r="C101" s="6">
        <v>1.95</v>
      </c>
      <c r="D101" s="6">
        <v>-0.23</v>
      </c>
      <c r="E101" s="6">
        <v>10.58</v>
      </c>
      <c r="F101" s="6">
        <v>-0.11</v>
      </c>
      <c r="G101" s="6">
        <v>0.06</v>
      </c>
      <c r="H101" s="6">
        <v>-0.15</v>
      </c>
      <c r="I101" s="6">
        <v>33.28</v>
      </c>
      <c r="J101" s="7">
        <f t="shared" ref="J101:O101" si="204">abs(C101-C100)/200</f>
        <v>0.0005</v>
      </c>
      <c r="K101" s="7">
        <f t="shared" si="204"/>
        <v>0.0005</v>
      </c>
      <c r="L101" s="7">
        <f t="shared" si="204"/>
        <v>0.00055</v>
      </c>
      <c r="M101" s="7">
        <f t="shared" si="204"/>
        <v>0.0001</v>
      </c>
      <c r="N101" s="7">
        <f t="shared" si="204"/>
        <v>0.0001</v>
      </c>
      <c r="O101" s="7">
        <f t="shared" si="204"/>
        <v>0.0003</v>
      </c>
      <c r="P101" s="7">
        <f t="shared" si="9"/>
        <v>0.03235313855</v>
      </c>
      <c r="Q101" s="7">
        <f t="shared" si="10"/>
        <v>0.1276781232</v>
      </c>
      <c r="R101" s="7">
        <f t="shared" si="3"/>
        <v>0.9606598311</v>
      </c>
      <c r="S101" s="7">
        <f t="shared" si="4"/>
        <v>0.1954482029</v>
      </c>
      <c r="T101" s="7">
        <f t="shared" si="5"/>
        <v>1</v>
      </c>
      <c r="U101" s="7">
        <f t="shared" si="6"/>
        <v>0</v>
      </c>
      <c r="V101" s="7">
        <f t="shared" ref="V101:W101" si="205">IF(AVERAGE(T41:T100) &gt; 0.25, 1, 0)</f>
        <v>1</v>
      </c>
      <c r="W101" s="7">
        <f t="shared" si="205"/>
        <v>1</v>
      </c>
      <c r="X101" s="8">
        <v>1.0</v>
      </c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ht="22.5" customHeight="1">
      <c r="A102" s="6">
        <v>1301.0</v>
      </c>
      <c r="B102" s="6">
        <v>20843.0</v>
      </c>
      <c r="C102" s="6">
        <v>1.96</v>
      </c>
      <c r="D102" s="6">
        <v>-0.38</v>
      </c>
      <c r="E102" s="6">
        <v>10.61</v>
      </c>
      <c r="F102" s="6">
        <v>-0.09</v>
      </c>
      <c r="G102" s="6">
        <v>0.01</v>
      </c>
      <c r="H102" s="6">
        <v>-0.02</v>
      </c>
      <c r="I102" s="6">
        <v>33.28</v>
      </c>
      <c r="J102" s="7">
        <f t="shared" ref="J102:O102" si="206">abs(C102-C101)/200</f>
        <v>0.00005</v>
      </c>
      <c r="K102" s="7">
        <f t="shared" si="206"/>
        <v>0.00075</v>
      </c>
      <c r="L102" s="7">
        <f t="shared" si="206"/>
        <v>0.00015</v>
      </c>
      <c r="M102" s="7">
        <f t="shared" si="206"/>
        <v>0.0001</v>
      </c>
      <c r="N102" s="7">
        <f t="shared" si="206"/>
        <v>0.00025</v>
      </c>
      <c r="O102" s="7">
        <f t="shared" si="206"/>
        <v>0.00065</v>
      </c>
      <c r="P102" s="7">
        <f t="shared" si="9"/>
        <v>0.1027120179</v>
      </c>
      <c r="Q102" s="7">
        <f t="shared" si="10"/>
        <v>0.03554783644</v>
      </c>
      <c r="R102" s="7">
        <f t="shared" si="3"/>
        <v>0.9962076675</v>
      </c>
      <c r="S102" s="7">
        <f t="shared" si="4"/>
        <v>0.09273618495</v>
      </c>
      <c r="T102" s="7">
        <f t="shared" si="5"/>
        <v>1</v>
      </c>
      <c r="U102" s="7">
        <f t="shared" si="6"/>
        <v>1</v>
      </c>
      <c r="V102" s="7">
        <f t="shared" ref="V102:W102" si="207">IF(AVERAGE(T42:T101) &gt; 0.25, 1, 0)</f>
        <v>1</v>
      </c>
      <c r="W102" s="7">
        <f t="shared" si="207"/>
        <v>1</v>
      </c>
      <c r="X102" s="8">
        <v>1.0</v>
      </c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ht="22.5" customHeight="1">
      <c r="A103" s="6">
        <v>1302.0</v>
      </c>
      <c r="B103" s="6">
        <v>21047.0</v>
      </c>
      <c r="C103" s="6">
        <v>1.97</v>
      </c>
      <c r="D103" s="6">
        <v>-0.45</v>
      </c>
      <c r="E103" s="6">
        <v>10.57</v>
      </c>
      <c r="F103" s="6">
        <v>-0.1</v>
      </c>
      <c r="G103" s="6">
        <v>0.01</v>
      </c>
      <c r="H103" s="6">
        <v>-0.01</v>
      </c>
      <c r="I103" s="6">
        <v>33.29</v>
      </c>
      <c r="J103" s="7">
        <f t="shared" ref="J103:O103" si="208">abs(C103-C102)/200</f>
        <v>0.00005</v>
      </c>
      <c r="K103" s="7">
        <f t="shared" si="208"/>
        <v>0.00035</v>
      </c>
      <c r="L103" s="7">
        <f t="shared" si="208"/>
        <v>0.0002</v>
      </c>
      <c r="M103" s="7">
        <f t="shared" si="208"/>
        <v>0.00005</v>
      </c>
      <c r="N103" s="7">
        <f t="shared" si="208"/>
        <v>0</v>
      </c>
      <c r="O103" s="7">
        <f t="shared" si="208"/>
        <v>0.00005</v>
      </c>
      <c r="P103" s="7">
        <f t="shared" si="9"/>
        <v>0.008258864429</v>
      </c>
      <c r="Q103" s="7">
        <f t="shared" si="10"/>
        <v>0.03478118214</v>
      </c>
      <c r="R103" s="7">
        <f t="shared" si="3"/>
        <v>0.9614264854</v>
      </c>
      <c r="S103" s="7">
        <f t="shared" si="4"/>
        <v>0.1009950494</v>
      </c>
      <c r="T103" s="7">
        <f t="shared" si="5"/>
        <v>1</v>
      </c>
      <c r="U103" s="7">
        <f t="shared" si="6"/>
        <v>0</v>
      </c>
      <c r="V103" s="7">
        <f t="shared" ref="V103:W103" si="209">IF(AVERAGE(T43:T102) &gt; 0.25, 1, 0)</f>
        <v>1</v>
      </c>
      <c r="W103" s="7">
        <f t="shared" si="209"/>
        <v>1</v>
      </c>
      <c r="X103" s="8">
        <v>1.0</v>
      </c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ht="22.5" customHeight="1">
      <c r="A104" s="6">
        <v>1303.0</v>
      </c>
      <c r="B104" s="6">
        <v>21251.0</v>
      </c>
      <c r="C104" s="6">
        <v>2.07</v>
      </c>
      <c r="D104" s="6">
        <v>-0.46</v>
      </c>
      <c r="E104" s="6">
        <v>10.6</v>
      </c>
      <c r="F104" s="6">
        <v>-0.12</v>
      </c>
      <c r="G104" s="6">
        <v>-0.04</v>
      </c>
      <c r="H104" s="6">
        <v>0.03</v>
      </c>
      <c r="I104" s="6">
        <v>33.29</v>
      </c>
      <c r="J104" s="7">
        <f t="shared" ref="J104:O104" si="210">abs(C104-C103)/200</f>
        <v>0.0005</v>
      </c>
      <c r="K104" s="7">
        <f t="shared" si="210"/>
        <v>0.00005</v>
      </c>
      <c r="L104" s="7">
        <f t="shared" si="210"/>
        <v>0.00015</v>
      </c>
      <c r="M104" s="7">
        <f t="shared" si="210"/>
        <v>0.0001</v>
      </c>
      <c r="N104" s="7">
        <f t="shared" si="210"/>
        <v>0.00025</v>
      </c>
      <c r="O104" s="7">
        <f t="shared" si="210"/>
        <v>0.0002</v>
      </c>
      <c r="P104" s="7">
        <f t="shared" si="9"/>
        <v>0.02900495062</v>
      </c>
      <c r="Q104" s="7">
        <f t="shared" si="10"/>
        <v>0.048592016</v>
      </c>
      <c r="R104" s="7">
        <f t="shared" si="3"/>
        <v>1.010018501</v>
      </c>
      <c r="S104" s="7">
        <f t="shared" si="4"/>
        <v>0.13</v>
      </c>
      <c r="T104" s="7">
        <f t="shared" si="5"/>
        <v>1</v>
      </c>
      <c r="U104" s="7">
        <f t="shared" si="6"/>
        <v>0</v>
      </c>
      <c r="V104" s="7">
        <f t="shared" ref="V104:W104" si="211">IF(AVERAGE(T44:T103) &gt; 0.25, 1, 0)</f>
        <v>1</v>
      </c>
      <c r="W104" s="7">
        <f t="shared" si="211"/>
        <v>1</v>
      </c>
      <c r="X104" s="8">
        <v>1.0</v>
      </c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ht="22.5" customHeight="1">
      <c r="A105" s="6">
        <v>1304.0</v>
      </c>
      <c r="B105" s="6">
        <v>21455.0</v>
      </c>
      <c r="C105" s="6">
        <v>2.26</v>
      </c>
      <c r="D105" s="6">
        <v>-0.68</v>
      </c>
      <c r="E105" s="6">
        <v>10.5</v>
      </c>
      <c r="F105" s="6">
        <v>-0.09</v>
      </c>
      <c r="G105" s="6">
        <v>-0.09</v>
      </c>
      <c r="H105" s="6">
        <v>0.11</v>
      </c>
      <c r="I105" s="6">
        <v>33.28</v>
      </c>
      <c r="J105" s="7">
        <f t="shared" ref="J105:O105" si="212">abs(C105-C104)/200</f>
        <v>0.00095</v>
      </c>
      <c r="K105" s="7">
        <f t="shared" si="212"/>
        <v>0.0011</v>
      </c>
      <c r="L105" s="7">
        <f t="shared" si="212"/>
        <v>0.0005</v>
      </c>
      <c r="M105" s="7">
        <f t="shared" si="212"/>
        <v>0.00015</v>
      </c>
      <c r="N105" s="7">
        <f t="shared" si="212"/>
        <v>0.00025</v>
      </c>
      <c r="O105" s="7">
        <f t="shared" si="212"/>
        <v>0.0004</v>
      </c>
      <c r="P105" s="7">
        <f t="shared" si="9"/>
        <v>0.03822603841</v>
      </c>
      <c r="Q105" s="7">
        <f t="shared" si="10"/>
        <v>0.0480484215</v>
      </c>
      <c r="R105" s="7">
        <f t="shared" si="3"/>
        <v>0.9619700799</v>
      </c>
      <c r="S105" s="7">
        <f t="shared" si="4"/>
        <v>0.1682260384</v>
      </c>
      <c r="T105" s="7">
        <f t="shared" si="5"/>
        <v>1</v>
      </c>
      <c r="U105" s="7">
        <f t="shared" si="6"/>
        <v>1</v>
      </c>
      <c r="V105" s="7">
        <f t="shared" ref="V105:W105" si="213">IF(AVERAGE(T45:T104) &gt; 0.25, 1, 0)</f>
        <v>1</v>
      </c>
      <c r="W105" s="7">
        <f t="shared" si="213"/>
        <v>1</v>
      </c>
      <c r="X105" s="8">
        <v>1.0</v>
      </c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ht="22.5" customHeight="1">
      <c r="A106" s="6">
        <v>1305.0</v>
      </c>
      <c r="B106" s="6">
        <v>21659.0</v>
      </c>
      <c r="C106" s="6">
        <v>2.12</v>
      </c>
      <c r="D106" s="6">
        <v>-0.41</v>
      </c>
      <c r="E106" s="6">
        <v>10.53</v>
      </c>
      <c r="F106" s="6">
        <v>-0.1</v>
      </c>
      <c r="G106" s="6">
        <v>0.0</v>
      </c>
      <c r="H106" s="6">
        <v>-0.01</v>
      </c>
      <c r="I106" s="6">
        <v>33.29</v>
      </c>
      <c r="J106" s="7">
        <f t="shared" ref="J106:O106" si="214">abs(C106-C105)/200</f>
        <v>0.0007</v>
      </c>
      <c r="K106" s="7">
        <f t="shared" si="214"/>
        <v>0.00135</v>
      </c>
      <c r="L106" s="7">
        <f t="shared" si="214"/>
        <v>0.00015</v>
      </c>
      <c r="M106" s="7">
        <f t="shared" si="214"/>
        <v>0.00005</v>
      </c>
      <c r="N106" s="7">
        <f t="shared" si="214"/>
        <v>0.00045</v>
      </c>
      <c r="O106" s="7">
        <f t="shared" si="214"/>
        <v>0.0006</v>
      </c>
      <c r="P106" s="7">
        <f t="shared" si="9"/>
        <v>0.0677272822</v>
      </c>
      <c r="Q106" s="7">
        <f t="shared" si="10"/>
        <v>0.01285848867</v>
      </c>
      <c r="R106" s="7">
        <f t="shared" si="3"/>
        <v>0.9491115912</v>
      </c>
      <c r="S106" s="7">
        <f t="shared" si="4"/>
        <v>0.1004987562</v>
      </c>
      <c r="T106" s="7">
        <f t="shared" si="5"/>
        <v>1</v>
      </c>
      <c r="U106" s="7">
        <f t="shared" si="6"/>
        <v>1</v>
      </c>
      <c r="V106" s="7">
        <f t="shared" ref="V106:W106" si="215">IF(AVERAGE(T46:T105) &gt; 0.25, 1, 0)</f>
        <v>1</v>
      </c>
      <c r="W106" s="7">
        <f t="shared" si="215"/>
        <v>1</v>
      </c>
      <c r="X106" s="8">
        <v>1.0</v>
      </c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ht="22.5" customHeight="1">
      <c r="A107" s="6">
        <v>1306.0</v>
      </c>
      <c r="B107" s="6">
        <v>21863.0</v>
      </c>
      <c r="C107" s="6">
        <v>2.17</v>
      </c>
      <c r="D107" s="6">
        <v>-0.49</v>
      </c>
      <c r="E107" s="6">
        <v>10.53</v>
      </c>
      <c r="F107" s="6">
        <v>-0.11</v>
      </c>
      <c r="G107" s="6">
        <v>-0.02</v>
      </c>
      <c r="H107" s="6">
        <v>0.0</v>
      </c>
      <c r="I107" s="6">
        <v>33.29</v>
      </c>
      <c r="J107" s="7">
        <f t="shared" ref="J107:O107" si="216">abs(C107-C106)/200</f>
        <v>0.00025</v>
      </c>
      <c r="K107" s="7">
        <f t="shared" si="216"/>
        <v>0.0004</v>
      </c>
      <c r="L107" s="7">
        <f t="shared" si="216"/>
        <v>0</v>
      </c>
      <c r="M107" s="7">
        <f t="shared" si="216"/>
        <v>0.00005</v>
      </c>
      <c r="N107" s="7">
        <f t="shared" si="216"/>
        <v>0.0001</v>
      </c>
      <c r="O107" s="7">
        <f t="shared" si="216"/>
        <v>0.00005</v>
      </c>
      <c r="P107" s="7">
        <f t="shared" si="9"/>
        <v>0.01130464266</v>
      </c>
      <c r="Q107" s="7">
        <f t="shared" si="10"/>
        <v>0.0133184318</v>
      </c>
      <c r="R107" s="7">
        <f t="shared" si="3"/>
        <v>0.962430023</v>
      </c>
      <c r="S107" s="7">
        <f t="shared" si="4"/>
        <v>0.1118033989</v>
      </c>
      <c r="T107" s="7">
        <f t="shared" si="5"/>
        <v>1</v>
      </c>
      <c r="U107" s="7">
        <f t="shared" si="6"/>
        <v>0</v>
      </c>
      <c r="V107" s="7">
        <f t="shared" ref="V107:W107" si="217">IF(AVERAGE(T47:T106) &gt; 0.25, 1, 0)</f>
        <v>1</v>
      </c>
      <c r="W107" s="7">
        <f t="shared" si="217"/>
        <v>1</v>
      </c>
      <c r="X107" s="8">
        <v>1.0</v>
      </c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ht="22.5" customHeight="1">
      <c r="A108" s="6">
        <v>1307.0</v>
      </c>
      <c r="B108" s="6">
        <v>22067.0</v>
      </c>
      <c r="C108" s="6">
        <v>2.08</v>
      </c>
      <c r="D108" s="6">
        <v>-0.42</v>
      </c>
      <c r="E108" s="6">
        <v>10.57</v>
      </c>
      <c r="F108" s="6">
        <v>-0.08</v>
      </c>
      <c r="G108" s="6">
        <v>0.02</v>
      </c>
      <c r="H108" s="6">
        <v>-0.02</v>
      </c>
      <c r="I108" s="6">
        <v>33.29</v>
      </c>
      <c r="J108" s="7">
        <f t="shared" ref="J108:O108" si="218">abs(C108-C107)/200</f>
        <v>0.00045</v>
      </c>
      <c r="K108" s="7">
        <f t="shared" si="218"/>
        <v>0.00035</v>
      </c>
      <c r="L108" s="7">
        <f t="shared" si="218"/>
        <v>0.0002</v>
      </c>
      <c r="M108" s="7">
        <f t="shared" si="218"/>
        <v>0.00015</v>
      </c>
      <c r="N108" s="7">
        <f t="shared" si="218"/>
        <v>0.0002</v>
      </c>
      <c r="O108" s="7">
        <f t="shared" si="218"/>
        <v>0.0001</v>
      </c>
      <c r="P108" s="7">
        <f t="shared" si="9"/>
        <v>0.02695058513</v>
      </c>
      <c r="Q108" s="7">
        <f t="shared" si="10"/>
        <v>0.01846511609</v>
      </c>
      <c r="R108" s="7">
        <f t="shared" si="3"/>
        <v>0.9808951391</v>
      </c>
      <c r="S108" s="7">
        <f t="shared" si="4"/>
        <v>0.08485281374</v>
      </c>
      <c r="T108" s="7">
        <f t="shared" si="5"/>
        <v>1</v>
      </c>
      <c r="U108" s="7">
        <f t="shared" si="6"/>
        <v>0</v>
      </c>
      <c r="V108" s="7">
        <f t="shared" ref="V108:W108" si="219">IF(AVERAGE(T48:T107) &gt; 0.25, 1, 0)</f>
        <v>1</v>
      </c>
      <c r="W108" s="7">
        <f t="shared" si="219"/>
        <v>1</v>
      </c>
      <c r="X108" s="8">
        <v>1.0</v>
      </c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ht="22.5" customHeight="1">
      <c r="A109" s="6">
        <v>1308.0</v>
      </c>
      <c r="B109" s="6">
        <v>22271.0</v>
      </c>
      <c r="C109" s="6">
        <v>2.21</v>
      </c>
      <c r="D109" s="6">
        <v>-0.28</v>
      </c>
      <c r="E109" s="6">
        <v>10.55</v>
      </c>
      <c r="F109" s="6">
        <v>-0.09</v>
      </c>
      <c r="G109" s="6">
        <v>0.0</v>
      </c>
      <c r="H109" s="6">
        <v>-0.04</v>
      </c>
      <c r="I109" s="6">
        <v>33.29</v>
      </c>
      <c r="J109" s="7">
        <f t="shared" ref="J109:O109" si="220">abs(C109-C108)/200</f>
        <v>0.00065</v>
      </c>
      <c r="K109" s="7">
        <f t="shared" si="220"/>
        <v>0.0007</v>
      </c>
      <c r="L109" s="7">
        <f t="shared" si="220"/>
        <v>0.0001</v>
      </c>
      <c r="M109" s="7">
        <f t="shared" si="220"/>
        <v>0.00005</v>
      </c>
      <c r="N109" s="7">
        <f t="shared" si="220"/>
        <v>0.0001</v>
      </c>
      <c r="O109" s="7">
        <f t="shared" si="220"/>
        <v>0.0001</v>
      </c>
      <c r="P109" s="7">
        <f t="shared" si="9"/>
        <v>0.01363576428</v>
      </c>
      <c r="Q109" s="7">
        <f t="shared" si="10"/>
        <v>0.001729773243</v>
      </c>
      <c r="R109" s="7">
        <f t="shared" si="3"/>
        <v>0.9826249123</v>
      </c>
      <c r="S109" s="7">
        <f t="shared" si="4"/>
        <v>0.09848857802</v>
      </c>
      <c r="T109" s="7">
        <f t="shared" si="5"/>
        <v>1</v>
      </c>
      <c r="U109" s="7">
        <f t="shared" si="6"/>
        <v>0</v>
      </c>
      <c r="V109" s="7">
        <f t="shared" ref="V109:W109" si="221">IF(AVERAGE(T49:T108) &gt; 0.25, 1, 0)</f>
        <v>1</v>
      </c>
      <c r="W109" s="7">
        <f t="shared" si="221"/>
        <v>1</v>
      </c>
      <c r="X109" s="8">
        <v>1.0</v>
      </c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ht="22.5" customHeight="1">
      <c r="A110" s="6">
        <v>1309.0</v>
      </c>
      <c r="B110" s="6">
        <v>22475.0</v>
      </c>
      <c r="C110" s="6">
        <v>2.15</v>
      </c>
      <c r="D110" s="6">
        <v>-0.36</v>
      </c>
      <c r="E110" s="6">
        <v>10.57</v>
      </c>
      <c r="F110" s="6">
        <v>-0.08</v>
      </c>
      <c r="G110" s="6">
        <v>0.03</v>
      </c>
      <c r="H110" s="6">
        <v>-0.01</v>
      </c>
      <c r="I110" s="6">
        <v>33.3</v>
      </c>
      <c r="J110" s="7">
        <f t="shared" ref="J110:O110" si="222">abs(C110-C109)/200</f>
        <v>0.0003</v>
      </c>
      <c r="K110" s="7">
        <f t="shared" si="222"/>
        <v>0.0004</v>
      </c>
      <c r="L110" s="7">
        <f t="shared" si="222"/>
        <v>0.0001</v>
      </c>
      <c r="M110" s="7">
        <f t="shared" si="222"/>
        <v>0.00005</v>
      </c>
      <c r="N110" s="7">
        <f t="shared" si="222"/>
        <v>0.00015</v>
      </c>
      <c r="O110" s="7">
        <f t="shared" si="222"/>
        <v>0.00015</v>
      </c>
      <c r="P110" s="7">
        <f t="shared" si="9"/>
        <v>0.01246532535</v>
      </c>
      <c r="Q110" s="7">
        <f t="shared" si="10"/>
        <v>0.009826153114</v>
      </c>
      <c r="R110" s="7">
        <f t="shared" si="3"/>
        <v>0.9924510654</v>
      </c>
      <c r="S110" s="7">
        <f t="shared" si="4"/>
        <v>0.08602325267</v>
      </c>
      <c r="T110" s="7">
        <f t="shared" si="5"/>
        <v>1</v>
      </c>
      <c r="U110" s="7">
        <f t="shared" si="6"/>
        <v>0</v>
      </c>
      <c r="V110" s="7">
        <f t="shared" ref="V110:W110" si="223">IF(AVERAGE(T50:T109) &gt; 0.25, 1, 0)</f>
        <v>1</v>
      </c>
      <c r="W110" s="7">
        <f t="shared" si="223"/>
        <v>1</v>
      </c>
      <c r="X110" s="8">
        <v>1.0</v>
      </c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ht="22.5" customHeight="1">
      <c r="A111" s="6">
        <v>1310.0</v>
      </c>
      <c r="B111" s="6">
        <v>22679.0</v>
      </c>
      <c r="C111" s="6">
        <v>2.11</v>
      </c>
      <c r="D111" s="6">
        <v>-0.57</v>
      </c>
      <c r="E111" s="6">
        <v>10.52</v>
      </c>
      <c r="F111" s="6">
        <v>-0.11</v>
      </c>
      <c r="G111" s="6">
        <v>0.01</v>
      </c>
      <c r="H111" s="6">
        <v>-0.01</v>
      </c>
      <c r="I111" s="6">
        <v>33.3</v>
      </c>
      <c r="J111" s="7">
        <f t="shared" ref="J111:O111" si="224">abs(C111-C110)/200</f>
        <v>0.0002</v>
      </c>
      <c r="K111" s="7">
        <f t="shared" si="224"/>
        <v>0.00105</v>
      </c>
      <c r="L111" s="7">
        <f t="shared" si="224"/>
        <v>0.00025</v>
      </c>
      <c r="M111" s="7">
        <f t="shared" si="224"/>
        <v>0.00015</v>
      </c>
      <c r="N111" s="7">
        <f t="shared" si="224"/>
        <v>0.0001</v>
      </c>
      <c r="O111" s="7">
        <f t="shared" si="224"/>
        <v>0</v>
      </c>
      <c r="P111" s="7">
        <f t="shared" si="9"/>
        <v>0.02488211239</v>
      </c>
      <c r="Q111" s="7">
        <f t="shared" si="10"/>
        <v>0.0478058875</v>
      </c>
      <c r="R111" s="7">
        <f t="shared" si="3"/>
        <v>0.9446451779</v>
      </c>
      <c r="S111" s="7">
        <f t="shared" si="4"/>
        <v>0.1109053651</v>
      </c>
      <c r="T111" s="7">
        <f t="shared" si="5"/>
        <v>1</v>
      </c>
      <c r="U111" s="7">
        <f t="shared" si="6"/>
        <v>0</v>
      </c>
      <c r="V111" s="7">
        <f t="shared" ref="V111:W111" si="225">IF(AVERAGE(T51:T110) &gt; 0.25, 1, 0)</f>
        <v>1</v>
      </c>
      <c r="W111" s="7">
        <f t="shared" si="225"/>
        <v>1</v>
      </c>
      <c r="X111" s="8">
        <v>1.0</v>
      </c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ht="22.5" customHeight="1">
      <c r="A112" s="6">
        <v>1311.0</v>
      </c>
      <c r="B112" s="6">
        <v>22883.0</v>
      </c>
      <c r="C112" s="6">
        <v>2.1</v>
      </c>
      <c r="D112" s="6">
        <v>-0.38</v>
      </c>
      <c r="E112" s="6">
        <v>10.57</v>
      </c>
      <c r="F112" s="6">
        <v>-0.08</v>
      </c>
      <c r="G112" s="6">
        <v>0.0</v>
      </c>
      <c r="H112" s="6">
        <v>0.04</v>
      </c>
      <c r="I112" s="6">
        <v>33.3</v>
      </c>
      <c r="J112" s="7">
        <f t="shared" ref="J112:O112" si="226">abs(C112-C111)/200</f>
        <v>0.00005</v>
      </c>
      <c r="K112" s="7">
        <f t="shared" si="226"/>
        <v>0.00095</v>
      </c>
      <c r="L112" s="7">
        <f t="shared" si="226"/>
        <v>0.00025</v>
      </c>
      <c r="M112" s="7">
        <f t="shared" si="226"/>
        <v>0.00015</v>
      </c>
      <c r="N112" s="7">
        <f t="shared" si="226"/>
        <v>0.00005</v>
      </c>
      <c r="O112" s="7">
        <f t="shared" si="226"/>
        <v>0.00025</v>
      </c>
      <c r="P112" s="7">
        <f t="shared" si="9"/>
        <v>0.02146264596</v>
      </c>
      <c r="Q112" s="7">
        <f t="shared" si="10"/>
        <v>0.03864281784</v>
      </c>
      <c r="R112" s="7">
        <f t="shared" si="3"/>
        <v>0.9832879958</v>
      </c>
      <c r="S112" s="7">
        <f t="shared" si="4"/>
        <v>0.0894427191</v>
      </c>
      <c r="T112" s="7">
        <f t="shared" si="5"/>
        <v>1</v>
      </c>
      <c r="U112" s="7">
        <f t="shared" si="6"/>
        <v>0</v>
      </c>
      <c r="V112" s="7">
        <f t="shared" ref="V112:W112" si="227">IF(AVERAGE(T52:T111) &gt; 0.25, 1, 0)</f>
        <v>1</v>
      </c>
      <c r="W112" s="7">
        <f t="shared" si="227"/>
        <v>1</v>
      </c>
      <c r="X112" s="8">
        <v>1.0</v>
      </c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ht="22.5" customHeight="1">
      <c r="A113" s="6">
        <v>1312.0</v>
      </c>
      <c r="B113" s="6">
        <v>23087.0</v>
      </c>
      <c r="C113" s="6">
        <v>2.16</v>
      </c>
      <c r="D113" s="6">
        <v>-0.48</v>
      </c>
      <c r="E113" s="6">
        <v>10.57</v>
      </c>
      <c r="F113" s="6">
        <v>-0.1</v>
      </c>
      <c r="G113" s="6">
        <v>0.0</v>
      </c>
      <c r="H113" s="6">
        <v>0.02</v>
      </c>
      <c r="I113" s="6">
        <v>33.29</v>
      </c>
      <c r="J113" s="7">
        <f t="shared" ref="J113:O113" si="228">abs(C113-C112)/200</f>
        <v>0.0003</v>
      </c>
      <c r="K113" s="7">
        <f t="shared" si="228"/>
        <v>0.0005</v>
      </c>
      <c r="L113" s="7">
        <f t="shared" si="228"/>
        <v>0</v>
      </c>
      <c r="M113" s="7">
        <f t="shared" si="228"/>
        <v>0.0001</v>
      </c>
      <c r="N113" s="7">
        <f t="shared" si="228"/>
        <v>0</v>
      </c>
      <c r="O113" s="7">
        <f t="shared" si="228"/>
        <v>0.0001</v>
      </c>
      <c r="P113" s="7">
        <f t="shared" si="9"/>
        <v>0.01253767117</v>
      </c>
      <c r="Q113" s="7">
        <f t="shared" si="10"/>
        <v>0.01582770875</v>
      </c>
      <c r="R113" s="7">
        <f t="shared" si="3"/>
        <v>0.9991157045</v>
      </c>
      <c r="S113" s="7">
        <f t="shared" si="4"/>
        <v>0.1019803903</v>
      </c>
      <c r="T113" s="7">
        <f t="shared" si="5"/>
        <v>1</v>
      </c>
      <c r="U113" s="7">
        <f t="shared" si="6"/>
        <v>0</v>
      </c>
      <c r="V113" s="7">
        <f t="shared" ref="V113:W113" si="229">IF(AVERAGE(T53:T112) &gt; 0.25, 1, 0)</f>
        <v>1</v>
      </c>
      <c r="W113" s="7">
        <f t="shared" si="229"/>
        <v>1</v>
      </c>
      <c r="X113" s="8">
        <v>1.0</v>
      </c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ht="22.5" customHeight="1">
      <c r="A114" s="6">
        <v>1313.0</v>
      </c>
      <c r="B114" s="6">
        <v>23291.0</v>
      </c>
      <c r="C114" s="6">
        <v>2.14</v>
      </c>
      <c r="D114" s="6">
        <v>-0.45</v>
      </c>
      <c r="E114" s="6">
        <v>10.52</v>
      </c>
      <c r="F114" s="6">
        <v>-0.09</v>
      </c>
      <c r="G114" s="6">
        <v>-0.01</v>
      </c>
      <c r="H114" s="6">
        <v>0.05</v>
      </c>
      <c r="I114" s="6">
        <v>33.29</v>
      </c>
      <c r="J114" s="7">
        <f t="shared" ref="J114:O114" si="230">abs(C114-C113)/200</f>
        <v>0.0001</v>
      </c>
      <c r="K114" s="7">
        <f t="shared" si="230"/>
        <v>0.00015</v>
      </c>
      <c r="L114" s="7">
        <f t="shared" si="230"/>
        <v>0.00025</v>
      </c>
      <c r="M114" s="7">
        <f t="shared" si="230"/>
        <v>0.00005</v>
      </c>
      <c r="N114" s="7">
        <f t="shared" si="230"/>
        <v>0.00005</v>
      </c>
      <c r="O114" s="7">
        <f t="shared" si="230"/>
        <v>0.00015</v>
      </c>
      <c r="P114" s="7">
        <f t="shared" si="9"/>
        <v>0.001460414056</v>
      </c>
      <c r="Q114" s="7">
        <f t="shared" si="10"/>
        <v>0.05423320169</v>
      </c>
      <c r="R114" s="7">
        <f t="shared" si="3"/>
        <v>0.9448825028</v>
      </c>
      <c r="S114" s="7">
        <f t="shared" si="4"/>
        <v>0.1034408043</v>
      </c>
      <c r="T114" s="7">
        <f t="shared" si="5"/>
        <v>0</v>
      </c>
      <c r="U114" s="7">
        <f t="shared" si="6"/>
        <v>0</v>
      </c>
      <c r="V114" s="7">
        <f t="shared" ref="V114:W114" si="231">IF(AVERAGE(T54:T113) &gt; 0.25, 1, 0)</f>
        <v>1</v>
      </c>
      <c r="W114" s="7">
        <f t="shared" si="231"/>
        <v>1</v>
      </c>
      <c r="X114" s="8">
        <v>1.0</v>
      </c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ht="22.5" customHeight="1">
      <c r="A115" s="6">
        <v>1314.0</v>
      </c>
      <c r="B115" s="6">
        <v>23495.0</v>
      </c>
      <c r="C115" s="6">
        <v>2.17</v>
      </c>
      <c r="D115" s="6">
        <v>-0.58</v>
      </c>
      <c r="E115" s="6">
        <v>10.53</v>
      </c>
      <c r="F115" s="6">
        <v>-0.1</v>
      </c>
      <c r="G115" s="6">
        <v>-0.02</v>
      </c>
      <c r="H115" s="6">
        <v>0.02</v>
      </c>
      <c r="I115" s="6">
        <v>33.29</v>
      </c>
      <c r="J115" s="7">
        <f t="shared" ref="J115:O115" si="232">abs(C115-C114)/200</f>
        <v>0.00015</v>
      </c>
      <c r="K115" s="7">
        <f t="shared" si="232"/>
        <v>0.00065</v>
      </c>
      <c r="L115" s="7">
        <f t="shared" si="232"/>
        <v>0.00005</v>
      </c>
      <c r="M115" s="7">
        <f t="shared" si="232"/>
        <v>0.00005</v>
      </c>
      <c r="N115" s="7">
        <f t="shared" si="232"/>
        <v>0.00005</v>
      </c>
      <c r="O115" s="7">
        <f t="shared" si="232"/>
        <v>0.00015</v>
      </c>
      <c r="P115" s="7">
        <f t="shared" si="9"/>
        <v>0.0004822441262</v>
      </c>
      <c r="Q115" s="7">
        <f t="shared" si="10"/>
        <v>0.02202048733</v>
      </c>
      <c r="R115" s="7">
        <f t="shared" si="3"/>
        <v>0.9669029902</v>
      </c>
      <c r="S115" s="7">
        <f t="shared" si="4"/>
        <v>0.1039230485</v>
      </c>
      <c r="T115" s="7">
        <f t="shared" si="5"/>
        <v>1</v>
      </c>
      <c r="U115" s="7">
        <f t="shared" si="6"/>
        <v>0</v>
      </c>
      <c r="V115" s="7">
        <f t="shared" ref="V115:W115" si="233">IF(AVERAGE(T55:T114) &gt; 0.25, 1, 0)</f>
        <v>1</v>
      </c>
      <c r="W115" s="7">
        <f t="shared" si="233"/>
        <v>1</v>
      </c>
      <c r="X115" s="8">
        <v>1.0</v>
      </c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ht="22.5" customHeight="1">
      <c r="A116" s="6">
        <v>1315.0</v>
      </c>
      <c r="B116" s="6">
        <v>23699.0</v>
      </c>
      <c r="C116" s="6">
        <v>2.18</v>
      </c>
      <c r="D116" s="6">
        <v>-0.46</v>
      </c>
      <c r="E116" s="6">
        <v>10.55</v>
      </c>
      <c r="F116" s="6">
        <v>-0.08</v>
      </c>
      <c r="G116" s="6">
        <v>-0.01</v>
      </c>
      <c r="H116" s="6">
        <v>-0.01</v>
      </c>
      <c r="I116" s="6">
        <v>33.29</v>
      </c>
      <c r="J116" s="7">
        <f t="shared" ref="J116:O116" si="234">abs(C116-C115)/200</f>
        <v>0.00005</v>
      </c>
      <c r="K116" s="7">
        <f t="shared" si="234"/>
        <v>0.0006</v>
      </c>
      <c r="L116" s="7">
        <f t="shared" si="234"/>
        <v>0.0001</v>
      </c>
      <c r="M116" s="7">
        <f t="shared" si="234"/>
        <v>0.0001</v>
      </c>
      <c r="N116" s="7">
        <f t="shared" si="234"/>
        <v>0.00005</v>
      </c>
      <c r="O116" s="7">
        <f t="shared" si="234"/>
        <v>0.00015</v>
      </c>
      <c r="P116" s="7">
        <f t="shared" si="9"/>
        <v>0.02268266441</v>
      </c>
      <c r="Q116" s="7">
        <f t="shared" si="10"/>
        <v>0.01579147827</v>
      </c>
      <c r="R116" s="7">
        <f t="shared" si="3"/>
        <v>0.9826944685</v>
      </c>
      <c r="S116" s="7">
        <f t="shared" si="4"/>
        <v>0.08124038405</v>
      </c>
      <c r="T116" s="7">
        <f t="shared" si="5"/>
        <v>1</v>
      </c>
      <c r="U116" s="7">
        <f t="shared" si="6"/>
        <v>0</v>
      </c>
      <c r="V116" s="7">
        <f t="shared" ref="V116:W116" si="235">IF(AVERAGE(T56:T115) &gt; 0.25, 1, 0)</f>
        <v>1</v>
      </c>
      <c r="W116" s="7">
        <f t="shared" si="235"/>
        <v>1</v>
      </c>
      <c r="X116" s="8">
        <v>1.0</v>
      </c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ht="22.5" customHeight="1">
      <c r="A117" s="6">
        <v>1316.0</v>
      </c>
      <c r="B117" s="6">
        <v>23903.0</v>
      </c>
      <c r="C117" s="6">
        <v>2.19</v>
      </c>
      <c r="D117" s="6">
        <v>-0.4</v>
      </c>
      <c r="E117" s="6">
        <v>10.5</v>
      </c>
      <c r="F117" s="6">
        <v>-0.09</v>
      </c>
      <c r="G117" s="6">
        <v>-0.01</v>
      </c>
      <c r="H117" s="6">
        <v>-0.01</v>
      </c>
      <c r="I117" s="6">
        <v>33.3</v>
      </c>
      <c r="J117" s="7">
        <f t="shared" ref="J117:O117" si="236">abs(C117-C116)/200</f>
        <v>0.00005</v>
      </c>
      <c r="K117" s="7">
        <f t="shared" si="236"/>
        <v>0.0003</v>
      </c>
      <c r="L117" s="7">
        <f t="shared" si="236"/>
        <v>0.00025</v>
      </c>
      <c r="M117" s="7">
        <f t="shared" si="236"/>
        <v>0.00005</v>
      </c>
      <c r="N117" s="7">
        <f t="shared" si="236"/>
        <v>0</v>
      </c>
      <c r="O117" s="7">
        <f t="shared" si="236"/>
        <v>0</v>
      </c>
      <c r="P117" s="7">
        <f t="shared" si="9"/>
        <v>0.009863951745</v>
      </c>
      <c r="Q117" s="7">
        <f t="shared" si="10"/>
        <v>0.04928401324</v>
      </c>
      <c r="R117" s="7">
        <f t="shared" si="3"/>
        <v>0.9334104552</v>
      </c>
      <c r="S117" s="7">
        <f t="shared" si="4"/>
        <v>0.09110433579</v>
      </c>
      <c r="T117" s="7">
        <f t="shared" si="5"/>
        <v>0</v>
      </c>
      <c r="U117" s="7">
        <f t="shared" si="6"/>
        <v>0</v>
      </c>
      <c r="V117" s="7">
        <f t="shared" ref="V117:W117" si="237">IF(AVERAGE(T57:T116) &gt; 0.25, 1, 0)</f>
        <v>1</v>
      </c>
      <c r="W117" s="7">
        <f t="shared" si="237"/>
        <v>1</v>
      </c>
      <c r="X117" s="8">
        <v>1.0</v>
      </c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ht="22.5" customHeight="1">
      <c r="A118" s="6">
        <v>1317.0</v>
      </c>
      <c r="B118" s="6">
        <v>24107.0</v>
      </c>
      <c r="C118" s="6">
        <v>2.19</v>
      </c>
      <c r="D118" s="6">
        <v>-0.38</v>
      </c>
      <c r="E118" s="6">
        <v>10.54</v>
      </c>
      <c r="F118" s="6">
        <v>-0.1</v>
      </c>
      <c r="G118" s="6">
        <v>-0.02</v>
      </c>
      <c r="H118" s="6">
        <v>-0.02</v>
      </c>
      <c r="I118" s="6">
        <v>33.3</v>
      </c>
      <c r="J118" s="7">
        <f t="shared" ref="J118:O118" si="238">abs(C118-C117)/200</f>
        <v>0</v>
      </c>
      <c r="K118" s="7">
        <f t="shared" si="238"/>
        <v>0.0001</v>
      </c>
      <c r="L118" s="7">
        <f t="shared" si="238"/>
        <v>0.0002</v>
      </c>
      <c r="M118" s="7">
        <f t="shared" si="238"/>
        <v>0.00005</v>
      </c>
      <c r="N118" s="7">
        <f t="shared" si="238"/>
        <v>0.00005</v>
      </c>
      <c r="O118" s="7">
        <f t="shared" si="238"/>
        <v>0.00005</v>
      </c>
      <c r="P118" s="7">
        <f t="shared" si="9"/>
        <v>0.01281871266</v>
      </c>
      <c r="Q118" s="7">
        <f t="shared" si="10"/>
        <v>0.03840926107</v>
      </c>
      <c r="R118" s="7">
        <f t="shared" si="3"/>
        <v>0.9718197163</v>
      </c>
      <c r="S118" s="7">
        <f t="shared" si="4"/>
        <v>0.1039230485</v>
      </c>
      <c r="T118" s="7">
        <f t="shared" si="5"/>
        <v>0</v>
      </c>
      <c r="U118" s="7">
        <f t="shared" si="6"/>
        <v>0</v>
      </c>
      <c r="V118" s="7">
        <f t="shared" ref="V118:W118" si="239">IF(AVERAGE(T58:T117) &gt; 0.25, 1, 0)</f>
        <v>1</v>
      </c>
      <c r="W118" s="7">
        <f t="shared" si="239"/>
        <v>1</v>
      </c>
      <c r="X118" s="8">
        <v>1.0</v>
      </c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ht="22.5" customHeight="1">
      <c r="A119" s="6">
        <v>1318.0</v>
      </c>
      <c r="B119" s="6">
        <v>24311.0</v>
      </c>
      <c r="C119" s="6">
        <v>2.16</v>
      </c>
      <c r="D119" s="6">
        <v>-0.38</v>
      </c>
      <c r="E119" s="6">
        <v>10.54</v>
      </c>
      <c r="F119" s="6">
        <v>-0.08</v>
      </c>
      <c r="G119" s="6">
        <v>0.02</v>
      </c>
      <c r="H119" s="6">
        <v>-0.03</v>
      </c>
      <c r="I119" s="6">
        <v>33.31</v>
      </c>
      <c r="J119" s="7">
        <f t="shared" ref="J119:O119" si="240">abs(C119-C118)/200</f>
        <v>0.00015</v>
      </c>
      <c r="K119" s="7">
        <f t="shared" si="240"/>
        <v>0</v>
      </c>
      <c r="L119" s="7">
        <f t="shared" si="240"/>
        <v>0</v>
      </c>
      <c r="M119" s="7">
        <f t="shared" si="240"/>
        <v>0.0001</v>
      </c>
      <c r="N119" s="7">
        <f t="shared" si="240"/>
        <v>0.0002</v>
      </c>
      <c r="O119" s="7">
        <f t="shared" si="240"/>
        <v>0.00005</v>
      </c>
      <c r="P119" s="7">
        <f t="shared" si="9"/>
        <v>0.01617340458</v>
      </c>
      <c r="Q119" s="7">
        <f t="shared" si="10"/>
        <v>0.006059176493</v>
      </c>
      <c r="R119" s="7">
        <f t="shared" si="3"/>
        <v>0.9657605398</v>
      </c>
      <c r="S119" s="7">
        <f t="shared" si="4"/>
        <v>0.08774964387</v>
      </c>
      <c r="T119" s="7">
        <f t="shared" si="5"/>
        <v>0</v>
      </c>
      <c r="U119" s="7">
        <f t="shared" si="6"/>
        <v>0</v>
      </c>
      <c r="V119" s="7">
        <f t="shared" ref="V119:W119" si="241">IF(AVERAGE(T59:T118) &gt; 0.25, 1, 0)</f>
        <v>1</v>
      </c>
      <c r="W119" s="7">
        <f t="shared" si="241"/>
        <v>1</v>
      </c>
      <c r="X119" s="8">
        <v>1.0</v>
      </c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ht="22.5" customHeight="1">
      <c r="A120" s="6">
        <v>1319.0</v>
      </c>
      <c r="B120" s="6">
        <v>24515.0</v>
      </c>
      <c r="C120" s="6">
        <v>2.22</v>
      </c>
      <c r="D120" s="6">
        <v>-0.45</v>
      </c>
      <c r="E120" s="6">
        <v>10.47</v>
      </c>
      <c r="F120" s="6">
        <v>-0.17</v>
      </c>
      <c r="G120" s="6">
        <v>0.0</v>
      </c>
      <c r="H120" s="6">
        <v>-0.04</v>
      </c>
      <c r="I120" s="6">
        <v>33.31</v>
      </c>
      <c r="J120" s="7">
        <f t="shared" ref="J120:O120" si="242">abs(C120-C119)/200</f>
        <v>0.0003</v>
      </c>
      <c r="K120" s="7">
        <f t="shared" si="242"/>
        <v>0.00035</v>
      </c>
      <c r="L120" s="7">
        <f t="shared" si="242"/>
        <v>0.00035</v>
      </c>
      <c r="M120" s="7">
        <f t="shared" si="242"/>
        <v>0.00045</v>
      </c>
      <c r="N120" s="7">
        <f t="shared" si="242"/>
        <v>0.0001</v>
      </c>
      <c r="O120" s="7">
        <f t="shared" si="242"/>
        <v>0.00005</v>
      </c>
      <c r="P120" s="7">
        <f t="shared" si="9"/>
        <v>0.08689284809</v>
      </c>
      <c r="Q120" s="7">
        <f t="shared" si="10"/>
        <v>0.0535338805</v>
      </c>
      <c r="R120" s="7">
        <f t="shared" si="3"/>
        <v>0.9122266593</v>
      </c>
      <c r="S120" s="7">
        <f t="shared" si="4"/>
        <v>0.174642492</v>
      </c>
      <c r="T120" s="7">
        <f t="shared" si="5"/>
        <v>1</v>
      </c>
      <c r="U120" s="7">
        <f t="shared" si="6"/>
        <v>1</v>
      </c>
      <c r="V120" s="7">
        <f t="shared" ref="V120:W120" si="243">IF(AVERAGE(T60:T119) &gt; 0.25, 1, 0)</f>
        <v>1</v>
      </c>
      <c r="W120" s="7">
        <f t="shared" si="243"/>
        <v>1</v>
      </c>
      <c r="X120" s="8">
        <v>1.0</v>
      </c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ht="22.5" customHeight="1">
      <c r="A121" s="6">
        <v>1320.0</v>
      </c>
      <c r="B121" s="6">
        <v>24719.0</v>
      </c>
      <c r="C121" s="6">
        <v>2.17</v>
      </c>
      <c r="D121" s="6">
        <v>-0.43</v>
      </c>
      <c r="E121" s="6">
        <v>10.52</v>
      </c>
      <c r="F121" s="6">
        <v>-0.09</v>
      </c>
      <c r="G121" s="6">
        <v>0.04</v>
      </c>
      <c r="H121" s="6">
        <v>-0.05</v>
      </c>
      <c r="I121" s="6">
        <v>33.31</v>
      </c>
      <c r="J121" s="7">
        <f t="shared" ref="J121:O121" si="244">abs(C121-C120)/200</f>
        <v>0.00025</v>
      </c>
      <c r="K121" s="7">
        <f t="shared" si="244"/>
        <v>0.0001</v>
      </c>
      <c r="L121" s="7">
        <f t="shared" si="244"/>
        <v>0.00025</v>
      </c>
      <c r="M121" s="7">
        <f t="shared" si="244"/>
        <v>0.0004</v>
      </c>
      <c r="N121" s="7">
        <f t="shared" si="244"/>
        <v>0.0002</v>
      </c>
      <c r="O121" s="7">
        <f t="shared" si="244"/>
        <v>0.00005</v>
      </c>
      <c r="P121" s="7">
        <f t="shared" si="9"/>
        <v>0.06418888179</v>
      </c>
      <c r="Q121" s="7">
        <f t="shared" si="10"/>
        <v>0.03785241019</v>
      </c>
      <c r="R121" s="7">
        <f t="shared" si="3"/>
        <v>0.9500790695</v>
      </c>
      <c r="S121" s="7">
        <f t="shared" si="4"/>
        <v>0.1104536102</v>
      </c>
      <c r="T121" s="7">
        <f t="shared" si="5"/>
        <v>0</v>
      </c>
      <c r="U121" s="7">
        <f t="shared" si="6"/>
        <v>1</v>
      </c>
      <c r="V121" s="7">
        <f t="shared" ref="V121:W121" si="245">IF(AVERAGE(T61:T120) &gt; 0.25, 1, 0)</f>
        <v>1</v>
      </c>
      <c r="W121" s="7">
        <f t="shared" si="245"/>
        <v>1</v>
      </c>
      <c r="X121" s="8">
        <v>1.0</v>
      </c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ht="22.5" customHeight="1">
      <c r="A122" s="6">
        <v>1321.0</v>
      </c>
      <c r="B122" s="6">
        <v>24923.0</v>
      </c>
      <c r="C122" s="6">
        <v>2.12</v>
      </c>
      <c r="D122" s="6">
        <v>-0.49</v>
      </c>
      <c r="E122" s="6">
        <v>10.54</v>
      </c>
      <c r="F122" s="6">
        <v>-0.08</v>
      </c>
      <c r="G122" s="6">
        <v>0.01</v>
      </c>
      <c r="H122" s="6">
        <v>-0.02</v>
      </c>
      <c r="I122" s="6">
        <v>33.31</v>
      </c>
      <c r="J122" s="7">
        <f t="shared" ref="J122:O122" si="246">abs(C122-C121)/200</f>
        <v>0.00025</v>
      </c>
      <c r="K122" s="7">
        <f t="shared" si="246"/>
        <v>0.0003</v>
      </c>
      <c r="L122" s="7">
        <f t="shared" si="246"/>
        <v>0.0001</v>
      </c>
      <c r="M122" s="7">
        <f t="shared" si="246"/>
        <v>0.00005</v>
      </c>
      <c r="N122" s="7">
        <f t="shared" si="246"/>
        <v>0.00015</v>
      </c>
      <c r="O122" s="7">
        <f t="shared" si="246"/>
        <v>0.00015</v>
      </c>
      <c r="P122" s="7">
        <f t="shared" si="9"/>
        <v>0.02738737154</v>
      </c>
      <c r="Q122" s="7">
        <f t="shared" si="10"/>
        <v>0.01217441202</v>
      </c>
      <c r="R122" s="7">
        <f t="shared" si="3"/>
        <v>0.9622534815</v>
      </c>
      <c r="S122" s="7">
        <f t="shared" si="4"/>
        <v>0.08306623863</v>
      </c>
      <c r="T122" s="7">
        <f t="shared" si="5"/>
        <v>0</v>
      </c>
      <c r="U122" s="7">
        <f t="shared" si="6"/>
        <v>0</v>
      </c>
      <c r="V122" s="7">
        <f t="shared" ref="V122:W122" si="247">IF(AVERAGE(T62:T121) &gt; 0.25, 1, 0)</f>
        <v>1</v>
      </c>
      <c r="W122" s="7">
        <f t="shared" si="247"/>
        <v>1</v>
      </c>
      <c r="X122" s="8">
        <v>1.0</v>
      </c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ht="22.5" customHeight="1">
      <c r="A123" s="6">
        <v>1322.0</v>
      </c>
      <c r="B123" s="6">
        <v>25127.0</v>
      </c>
      <c r="C123" s="6">
        <v>2.11</v>
      </c>
      <c r="D123" s="6">
        <v>-0.54</v>
      </c>
      <c r="E123" s="6">
        <v>10.55</v>
      </c>
      <c r="F123" s="6">
        <v>-0.09</v>
      </c>
      <c r="G123" s="6">
        <v>0.01</v>
      </c>
      <c r="H123" s="6">
        <v>0.0</v>
      </c>
      <c r="I123" s="6">
        <v>33.31</v>
      </c>
      <c r="J123" s="7">
        <f t="shared" ref="J123:O123" si="248">abs(C123-C122)/200</f>
        <v>0.00005</v>
      </c>
      <c r="K123" s="7">
        <f t="shared" si="248"/>
        <v>0.00025</v>
      </c>
      <c r="L123" s="7">
        <f t="shared" si="248"/>
        <v>0.00005</v>
      </c>
      <c r="M123" s="7">
        <f t="shared" si="248"/>
        <v>0.00005</v>
      </c>
      <c r="N123" s="7">
        <f t="shared" si="248"/>
        <v>0</v>
      </c>
      <c r="O123" s="7">
        <f t="shared" si="248"/>
        <v>0.0001</v>
      </c>
      <c r="P123" s="7">
        <f t="shared" si="9"/>
        <v>0.007487612752</v>
      </c>
      <c r="Q123" s="7">
        <f t="shared" si="10"/>
        <v>0.01022070042</v>
      </c>
      <c r="R123" s="7">
        <f t="shared" si="3"/>
        <v>0.9724741819</v>
      </c>
      <c r="S123" s="7">
        <f t="shared" si="4"/>
        <v>0.09055385138</v>
      </c>
      <c r="T123" s="7">
        <f t="shared" si="5"/>
        <v>0</v>
      </c>
      <c r="U123" s="7">
        <f t="shared" si="6"/>
        <v>0</v>
      </c>
      <c r="V123" s="7">
        <f t="shared" ref="V123:W123" si="249">IF(AVERAGE(T63:T122) &gt; 0.25, 1, 0)</f>
        <v>1</v>
      </c>
      <c r="W123" s="7">
        <f t="shared" si="249"/>
        <v>1</v>
      </c>
      <c r="X123" s="8">
        <v>1.0</v>
      </c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ht="22.5" customHeight="1">
      <c r="A124" s="6">
        <v>1323.0</v>
      </c>
      <c r="B124" s="6">
        <v>25331.0</v>
      </c>
      <c r="C124" s="6">
        <v>2.11</v>
      </c>
      <c r="D124" s="6">
        <v>-0.5</v>
      </c>
      <c r="E124" s="6">
        <v>10.59</v>
      </c>
      <c r="F124" s="6">
        <v>-0.09</v>
      </c>
      <c r="G124" s="6">
        <v>0.0</v>
      </c>
      <c r="H124" s="6">
        <v>0.01</v>
      </c>
      <c r="I124" s="6">
        <v>33.32</v>
      </c>
      <c r="J124" s="7">
        <f t="shared" ref="J124:O124" si="250">abs(C124-C123)/200</f>
        <v>0</v>
      </c>
      <c r="K124" s="7">
        <f t="shared" si="250"/>
        <v>0.0002</v>
      </c>
      <c r="L124" s="7">
        <f t="shared" si="250"/>
        <v>0.0002</v>
      </c>
      <c r="M124" s="7">
        <f t="shared" si="250"/>
        <v>0</v>
      </c>
      <c r="N124" s="7">
        <f t="shared" si="250"/>
        <v>0.00005</v>
      </c>
      <c r="O124" s="7">
        <f t="shared" si="250"/>
        <v>0.00005</v>
      </c>
      <c r="P124" s="7">
        <f t="shared" si="9"/>
        <v>0</v>
      </c>
      <c r="Q124" s="7">
        <f t="shared" si="10"/>
        <v>0.03725291917</v>
      </c>
      <c r="R124" s="7">
        <f t="shared" si="3"/>
        <v>1.009727101</v>
      </c>
      <c r="S124" s="7">
        <f t="shared" si="4"/>
        <v>0.09055385138</v>
      </c>
      <c r="T124" s="7">
        <f t="shared" si="5"/>
        <v>0</v>
      </c>
      <c r="U124" s="7">
        <f t="shared" si="6"/>
        <v>0</v>
      </c>
      <c r="V124" s="7">
        <f t="shared" ref="V124:W124" si="251">IF(AVERAGE(T64:T123) &gt; 0.25, 1, 0)</f>
        <v>1</v>
      </c>
      <c r="W124" s="7">
        <f t="shared" si="251"/>
        <v>1</v>
      </c>
      <c r="X124" s="8">
        <v>1.0</v>
      </c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ht="22.5" customHeight="1">
      <c r="A125" s="6">
        <v>1324.0</v>
      </c>
      <c r="B125" s="6">
        <v>25535.0</v>
      </c>
      <c r="C125" s="6">
        <v>2.11</v>
      </c>
      <c r="D125" s="6">
        <v>-0.49</v>
      </c>
      <c r="E125" s="6">
        <v>10.59</v>
      </c>
      <c r="F125" s="6">
        <v>-0.1</v>
      </c>
      <c r="G125" s="6">
        <v>-0.01</v>
      </c>
      <c r="H125" s="6">
        <v>0.01</v>
      </c>
      <c r="I125" s="6">
        <v>33.33</v>
      </c>
      <c r="J125" s="7">
        <f t="shared" ref="J125:O125" si="252">abs(C125-C124)/200</f>
        <v>0</v>
      </c>
      <c r="K125" s="7">
        <f t="shared" si="252"/>
        <v>0.00005</v>
      </c>
      <c r="L125" s="7">
        <f t="shared" si="252"/>
        <v>0</v>
      </c>
      <c r="M125" s="7">
        <f t="shared" si="252"/>
        <v>0.00005</v>
      </c>
      <c r="N125" s="7">
        <f t="shared" si="252"/>
        <v>0.00005</v>
      </c>
      <c r="O125" s="7">
        <f t="shared" si="252"/>
        <v>0</v>
      </c>
      <c r="P125" s="7">
        <f t="shared" si="9"/>
        <v>0.010441198</v>
      </c>
      <c r="Q125" s="7">
        <f t="shared" si="10"/>
        <v>0.0004579306031</v>
      </c>
      <c r="R125" s="7">
        <f t="shared" si="3"/>
        <v>1.00926917</v>
      </c>
      <c r="S125" s="7">
        <f t="shared" si="4"/>
        <v>0.1009950494</v>
      </c>
      <c r="T125" s="7">
        <f t="shared" si="5"/>
        <v>0</v>
      </c>
      <c r="U125" s="7">
        <f t="shared" si="6"/>
        <v>0</v>
      </c>
      <c r="V125" s="7">
        <f t="shared" ref="V125:W125" si="253">IF(AVERAGE(T65:T124) &gt; 0.25, 1, 0)</f>
        <v>1</v>
      </c>
      <c r="W125" s="7">
        <f t="shared" si="253"/>
        <v>1</v>
      </c>
      <c r="X125" s="8">
        <v>1.0</v>
      </c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ht="22.5" customHeight="1">
      <c r="A126" s="6">
        <v>1325.0</v>
      </c>
      <c r="B126" s="6">
        <v>25739.0</v>
      </c>
      <c r="C126" s="6">
        <v>2.07</v>
      </c>
      <c r="D126" s="6">
        <v>-0.52</v>
      </c>
      <c r="E126" s="6">
        <v>10.53</v>
      </c>
      <c r="F126" s="6">
        <v>-0.13</v>
      </c>
      <c r="G126" s="6">
        <v>0.01</v>
      </c>
      <c r="H126" s="6">
        <v>0.02</v>
      </c>
      <c r="I126" s="6">
        <v>33.32</v>
      </c>
      <c r="J126" s="7">
        <f t="shared" ref="J126:O126" si="254">abs(C126-C125)/200</f>
        <v>0.0002</v>
      </c>
      <c r="K126" s="7">
        <f t="shared" si="254"/>
        <v>0.00015</v>
      </c>
      <c r="L126" s="7">
        <f t="shared" si="254"/>
        <v>0.0003</v>
      </c>
      <c r="M126" s="7">
        <f t="shared" si="254"/>
        <v>0.00015</v>
      </c>
      <c r="N126" s="7">
        <f t="shared" si="254"/>
        <v>0.0001</v>
      </c>
      <c r="O126" s="7">
        <f t="shared" si="254"/>
        <v>0.00005</v>
      </c>
      <c r="P126" s="7">
        <f t="shared" si="9"/>
        <v>0.0309140102</v>
      </c>
      <c r="Q126" s="7">
        <f t="shared" si="10"/>
        <v>0.06514519503</v>
      </c>
      <c r="R126" s="7">
        <f t="shared" si="3"/>
        <v>0.9441239755</v>
      </c>
      <c r="S126" s="7">
        <f t="shared" si="4"/>
        <v>0.1319090596</v>
      </c>
      <c r="T126" s="7">
        <f t="shared" si="5"/>
        <v>1</v>
      </c>
      <c r="U126" s="7">
        <f t="shared" si="6"/>
        <v>0</v>
      </c>
      <c r="V126" s="7">
        <f t="shared" ref="V126:W126" si="255">IF(AVERAGE(T66:T125) &gt; 0.25, 1, 0)</f>
        <v>1</v>
      </c>
      <c r="W126" s="7">
        <f t="shared" si="255"/>
        <v>1</v>
      </c>
      <c r="X126" s="8">
        <v>1.0</v>
      </c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ht="22.5" customHeight="1">
      <c r="A127" s="6">
        <v>1326.0</v>
      </c>
      <c r="B127" s="6">
        <v>25943.0</v>
      </c>
      <c r="C127" s="6">
        <v>2.13</v>
      </c>
      <c r="D127" s="6">
        <v>-0.7</v>
      </c>
      <c r="E127" s="6">
        <v>10.54</v>
      </c>
      <c r="F127" s="6">
        <v>-0.09</v>
      </c>
      <c r="G127" s="6">
        <v>-0.05</v>
      </c>
      <c r="H127" s="6">
        <v>0.08</v>
      </c>
      <c r="I127" s="6">
        <v>33.32</v>
      </c>
      <c r="J127" s="7">
        <f t="shared" ref="J127:O127" si="256">abs(C127-C126)/200</f>
        <v>0.0003</v>
      </c>
      <c r="K127" s="7">
        <f t="shared" si="256"/>
        <v>0.0009</v>
      </c>
      <c r="L127" s="7">
        <f t="shared" si="256"/>
        <v>0.00005</v>
      </c>
      <c r="M127" s="7">
        <f t="shared" si="256"/>
        <v>0.0002</v>
      </c>
      <c r="N127" s="7">
        <f t="shared" si="256"/>
        <v>0.0003</v>
      </c>
      <c r="O127" s="7">
        <f t="shared" si="256"/>
        <v>0.0003</v>
      </c>
      <c r="P127" s="7">
        <f t="shared" si="9"/>
        <v>0.001525011479</v>
      </c>
      <c r="Q127" s="7">
        <f t="shared" si="10"/>
        <v>0.03170545898</v>
      </c>
      <c r="R127" s="7">
        <f t="shared" si="3"/>
        <v>0.9758294344</v>
      </c>
      <c r="S127" s="7">
        <f t="shared" si="4"/>
        <v>0.1303840481</v>
      </c>
      <c r="T127" s="7">
        <f t="shared" si="5"/>
        <v>1</v>
      </c>
      <c r="U127" s="7">
        <f t="shared" si="6"/>
        <v>0</v>
      </c>
      <c r="V127" s="7">
        <f t="shared" ref="V127:W127" si="257">IF(AVERAGE(T67:T126) &gt; 0.25, 1, 0)</f>
        <v>1</v>
      </c>
      <c r="W127" s="7">
        <f t="shared" si="257"/>
        <v>1</v>
      </c>
      <c r="X127" s="8">
        <v>1.0</v>
      </c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ht="22.5" customHeight="1">
      <c r="A128" s="6">
        <v>1327.0</v>
      </c>
      <c r="B128" s="6">
        <v>26147.0</v>
      </c>
      <c r="C128" s="6">
        <v>2.13</v>
      </c>
      <c r="D128" s="6">
        <v>-0.66</v>
      </c>
      <c r="E128" s="6">
        <v>10.51</v>
      </c>
      <c r="F128" s="6">
        <v>-0.09</v>
      </c>
      <c r="G128" s="6">
        <v>0.0</v>
      </c>
      <c r="H128" s="6">
        <v>-0.03</v>
      </c>
      <c r="I128" s="6">
        <v>33.32</v>
      </c>
      <c r="J128" s="7">
        <f t="shared" ref="J128:O128" si="258">abs(C128-C127)/200</f>
        <v>0</v>
      </c>
      <c r="K128" s="7">
        <f t="shared" si="258"/>
        <v>0.0002</v>
      </c>
      <c r="L128" s="7">
        <f t="shared" si="258"/>
        <v>0.00015</v>
      </c>
      <c r="M128" s="7">
        <f t="shared" si="258"/>
        <v>0</v>
      </c>
      <c r="N128" s="7">
        <f t="shared" si="258"/>
        <v>0.00025</v>
      </c>
      <c r="O128" s="7">
        <f t="shared" si="258"/>
        <v>0.00055</v>
      </c>
      <c r="P128" s="7">
        <f t="shared" si="9"/>
        <v>0.0355157183</v>
      </c>
      <c r="Q128" s="7">
        <f t="shared" si="10"/>
        <v>0.03187299372</v>
      </c>
      <c r="R128" s="7">
        <f t="shared" si="3"/>
        <v>0.9439564407</v>
      </c>
      <c r="S128" s="7">
        <f t="shared" si="4"/>
        <v>0.09486832981</v>
      </c>
      <c r="T128" s="7">
        <f t="shared" si="5"/>
        <v>0</v>
      </c>
      <c r="U128" s="7">
        <f t="shared" si="6"/>
        <v>1</v>
      </c>
      <c r="V128" s="7">
        <f t="shared" ref="V128:W128" si="259">IF(AVERAGE(T68:T127) &gt; 0.25, 1, 0)</f>
        <v>1</v>
      </c>
      <c r="W128" s="7">
        <f t="shared" si="259"/>
        <v>1</v>
      </c>
      <c r="X128" s="8">
        <v>1.0</v>
      </c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ht="22.5" customHeight="1">
      <c r="A129" s="6">
        <v>1328.0</v>
      </c>
      <c r="B129" s="6">
        <v>26351.0</v>
      </c>
      <c r="C129" s="6">
        <v>2.15</v>
      </c>
      <c r="D129" s="6">
        <v>-0.44</v>
      </c>
      <c r="E129" s="6">
        <v>10.55</v>
      </c>
      <c r="F129" s="6">
        <v>-0.1</v>
      </c>
      <c r="G129" s="6">
        <v>-0.02</v>
      </c>
      <c r="H129" s="6">
        <v>-0.02</v>
      </c>
      <c r="I129" s="6">
        <v>33.32</v>
      </c>
      <c r="J129" s="7">
        <f t="shared" ref="J129:O129" si="260">abs(C129-C128)/200</f>
        <v>0.0001</v>
      </c>
      <c r="K129" s="7">
        <f t="shared" si="260"/>
        <v>0.0011</v>
      </c>
      <c r="L129" s="7">
        <f t="shared" si="260"/>
        <v>0.0002</v>
      </c>
      <c r="M129" s="7">
        <f t="shared" si="260"/>
        <v>0.00005</v>
      </c>
      <c r="N129" s="7">
        <f t="shared" si="260"/>
        <v>0.0001</v>
      </c>
      <c r="O129" s="7">
        <f t="shared" si="260"/>
        <v>0.00005</v>
      </c>
      <c r="P129" s="7">
        <f t="shared" si="9"/>
        <v>0.009054718649</v>
      </c>
      <c r="Q129" s="7">
        <f t="shared" si="10"/>
        <v>0.03187763373</v>
      </c>
      <c r="R129" s="7">
        <f t="shared" si="3"/>
        <v>0.9758340744</v>
      </c>
      <c r="S129" s="7">
        <f t="shared" si="4"/>
        <v>0.1039230485</v>
      </c>
      <c r="T129" s="7">
        <f t="shared" si="5"/>
        <v>1</v>
      </c>
      <c r="U129" s="7">
        <f t="shared" si="6"/>
        <v>0</v>
      </c>
      <c r="V129" s="7">
        <f t="shared" ref="V129:W129" si="261">IF(AVERAGE(T69:T128) &gt; 0.25, 1, 0)</f>
        <v>1</v>
      </c>
      <c r="W129" s="7">
        <f t="shared" si="261"/>
        <v>1</v>
      </c>
      <c r="X129" s="8">
        <v>1.0</v>
      </c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ht="22.5" customHeight="1">
      <c r="A130" s="6">
        <v>1329.0</v>
      </c>
      <c r="B130" s="6">
        <v>26555.0</v>
      </c>
      <c r="C130" s="6">
        <v>2.17</v>
      </c>
      <c r="D130" s="6">
        <v>-0.41</v>
      </c>
      <c r="E130" s="6">
        <v>10.54</v>
      </c>
      <c r="F130" s="6">
        <v>-0.09</v>
      </c>
      <c r="G130" s="6">
        <v>-0.01</v>
      </c>
      <c r="H130" s="6">
        <v>-0.03</v>
      </c>
      <c r="I130" s="6">
        <v>33.3</v>
      </c>
      <c r="J130" s="7">
        <f t="shared" ref="J130:O130" si="262">abs(C130-C129)/200</f>
        <v>0.0001</v>
      </c>
      <c r="K130" s="7">
        <f t="shared" si="262"/>
        <v>0.00015</v>
      </c>
      <c r="L130" s="7">
        <f t="shared" si="262"/>
        <v>0.00005</v>
      </c>
      <c r="M130" s="7">
        <f t="shared" si="262"/>
        <v>0.00005</v>
      </c>
      <c r="N130" s="7">
        <f t="shared" si="262"/>
        <v>0.00005</v>
      </c>
      <c r="O130" s="7">
        <f t="shared" si="262"/>
        <v>0.00005</v>
      </c>
      <c r="P130" s="7">
        <f t="shared" si="9"/>
        <v>0.008529128312</v>
      </c>
      <c r="Q130" s="7">
        <f t="shared" si="10"/>
        <v>0.006962267242</v>
      </c>
      <c r="R130" s="7">
        <f t="shared" si="3"/>
        <v>0.9688718072</v>
      </c>
      <c r="S130" s="7">
        <f t="shared" si="4"/>
        <v>0.09539392014</v>
      </c>
      <c r="T130" s="7">
        <f t="shared" si="5"/>
        <v>0</v>
      </c>
      <c r="U130" s="7">
        <f t="shared" si="6"/>
        <v>0</v>
      </c>
      <c r="V130" s="7">
        <f t="shared" ref="V130:W130" si="263">IF(AVERAGE(T70:T129) &gt; 0.25, 1, 0)</f>
        <v>1</v>
      </c>
      <c r="W130" s="7">
        <f t="shared" si="263"/>
        <v>1</v>
      </c>
      <c r="X130" s="8">
        <v>1.0</v>
      </c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ht="22.5" customHeight="1">
      <c r="A131" s="6">
        <v>1330.0</v>
      </c>
      <c r="B131" s="6">
        <v>26759.0</v>
      </c>
      <c r="C131" s="6">
        <v>2.18</v>
      </c>
      <c r="D131" s="6">
        <v>-0.47</v>
      </c>
      <c r="E131" s="6">
        <v>10.57</v>
      </c>
      <c r="F131" s="6">
        <v>-0.08</v>
      </c>
      <c r="G131" s="6">
        <v>-0.01</v>
      </c>
      <c r="H131" s="6">
        <v>-0.03</v>
      </c>
      <c r="I131" s="6">
        <v>33.31</v>
      </c>
      <c r="J131" s="7">
        <f t="shared" ref="J131:O131" si="264">abs(C131-C130)/200</f>
        <v>0.00005</v>
      </c>
      <c r="K131" s="7">
        <f t="shared" si="264"/>
        <v>0.0003</v>
      </c>
      <c r="L131" s="7">
        <f t="shared" si="264"/>
        <v>0.00015</v>
      </c>
      <c r="M131" s="7">
        <f t="shared" si="264"/>
        <v>0.00005</v>
      </c>
      <c r="N131" s="7">
        <f t="shared" si="264"/>
        <v>0</v>
      </c>
      <c r="O131" s="7">
        <f t="shared" si="264"/>
        <v>0</v>
      </c>
      <c r="P131" s="7">
        <f t="shared" si="9"/>
        <v>0.009370667471</v>
      </c>
      <c r="Q131" s="7">
        <f t="shared" si="10"/>
        <v>0.03382230121</v>
      </c>
      <c r="R131" s="7">
        <f t="shared" si="3"/>
        <v>1.002694108</v>
      </c>
      <c r="S131" s="7">
        <f t="shared" si="4"/>
        <v>0.08602325267</v>
      </c>
      <c r="T131" s="7">
        <f t="shared" si="5"/>
        <v>0</v>
      </c>
      <c r="U131" s="7">
        <f t="shared" si="6"/>
        <v>0</v>
      </c>
      <c r="V131" s="7">
        <f t="shared" ref="V131:W131" si="265">IF(AVERAGE(T71:T130) &gt; 0.25, 1, 0)</f>
        <v>1</v>
      </c>
      <c r="W131" s="7">
        <f t="shared" si="265"/>
        <v>1</v>
      </c>
      <c r="X131" s="8">
        <v>1.0</v>
      </c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ht="22.5" customHeight="1">
      <c r="A132" s="6">
        <v>1331.0</v>
      </c>
      <c r="B132" s="6">
        <v>26963.0</v>
      </c>
      <c r="C132" s="6">
        <v>2.25</v>
      </c>
      <c r="D132" s="6">
        <v>-0.4</v>
      </c>
      <c r="E132" s="6">
        <v>10.53</v>
      </c>
      <c r="F132" s="6">
        <v>-0.11</v>
      </c>
      <c r="G132" s="6">
        <v>-0.01</v>
      </c>
      <c r="H132" s="6">
        <v>-0.03</v>
      </c>
      <c r="I132" s="6">
        <v>33.32</v>
      </c>
      <c r="J132" s="7">
        <f t="shared" ref="J132:O132" si="266">abs(C132-C131)/200</f>
        <v>0.00035</v>
      </c>
      <c r="K132" s="7">
        <f t="shared" si="266"/>
        <v>0.00035</v>
      </c>
      <c r="L132" s="7">
        <f t="shared" si="266"/>
        <v>0.0002</v>
      </c>
      <c r="M132" s="7">
        <f t="shared" si="266"/>
        <v>0.00015</v>
      </c>
      <c r="N132" s="7">
        <f t="shared" si="266"/>
        <v>0</v>
      </c>
      <c r="O132" s="7">
        <f t="shared" si="266"/>
        <v>0</v>
      </c>
      <c r="P132" s="7">
        <f t="shared" si="9"/>
        <v>0.02843197875</v>
      </c>
      <c r="Q132" s="7">
        <f t="shared" si="10"/>
        <v>0.02756533888</v>
      </c>
      <c r="R132" s="7">
        <f t="shared" si="3"/>
        <v>0.9751287695</v>
      </c>
      <c r="S132" s="7">
        <f t="shared" si="4"/>
        <v>0.1144552314</v>
      </c>
      <c r="T132" s="7">
        <f t="shared" si="5"/>
        <v>1</v>
      </c>
      <c r="U132" s="7">
        <f t="shared" si="6"/>
        <v>0</v>
      </c>
      <c r="V132" s="7">
        <f t="shared" ref="V132:W132" si="267">IF(AVERAGE(T72:T131) &gt; 0.25, 1, 0)</f>
        <v>1</v>
      </c>
      <c r="W132" s="7">
        <f t="shared" si="267"/>
        <v>1</v>
      </c>
      <c r="X132" s="8">
        <v>1.0</v>
      </c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ht="22.5" customHeight="1">
      <c r="A133" s="6">
        <v>1332.0</v>
      </c>
      <c r="B133" s="6">
        <v>27167.0</v>
      </c>
      <c r="C133" s="6">
        <v>2.19</v>
      </c>
      <c r="D133" s="6">
        <v>-0.4</v>
      </c>
      <c r="E133" s="6">
        <v>10.56</v>
      </c>
      <c r="F133" s="6">
        <v>-0.1</v>
      </c>
      <c r="G133" s="6">
        <v>0.04</v>
      </c>
      <c r="H133" s="6">
        <v>-0.03</v>
      </c>
      <c r="I133" s="6">
        <v>33.32</v>
      </c>
      <c r="J133" s="7">
        <f t="shared" ref="J133:O133" si="268">abs(C133-C132)/200</f>
        <v>0.0003</v>
      </c>
      <c r="K133" s="7">
        <f t="shared" si="268"/>
        <v>0</v>
      </c>
      <c r="L133" s="7">
        <f t="shared" si="268"/>
        <v>0.00015</v>
      </c>
      <c r="M133" s="7">
        <f t="shared" si="268"/>
        <v>0.00005</v>
      </c>
      <c r="N133" s="7">
        <f t="shared" si="268"/>
        <v>0.00025</v>
      </c>
      <c r="O133" s="7">
        <f t="shared" si="268"/>
        <v>0</v>
      </c>
      <c r="P133" s="7">
        <f t="shared" si="9"/>
        <v>0.002651832548</v>
      </c>
      <c r="Q133" s="7">
        <f t="shared" si="10"/>
        <v>0.01698409126</v>
      </c>
      <c r="R133" s="7">
        <f t="shared" si="3"/>
        <v>0.9921128608</v>
      </c>
      <c r="S133" s="7">
        <f t="shared" si="4"/>
        <v>0.1118033989</v>
      </c>
      <c r="T133" s="7">
        <f t="shared" si="5"/>
        <v>0</v>
      </c>
      <c r="U133" s="7">
        <f t="shared" si="6"/>
        <v>0</v>
      </c>
      <c r="V133" s="7">
        <f t="shared" ref="V133:W133" si="269">IF(AVERAGE(T73:T132) &gt; 0.25, 1, 0)</f>
        <v>1</v>
      </c>
      <c r="W133" s="7">
        <f t="shared" si="269"/>
        <v>1</v>
      </c>
      <c r="X133" s="8">
        <v>1.0</v>
      </c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ht="22.5" customHeight="1">
      <c r="A134" s="6">
        <v>1333.0</v>
      </c>
      <c r="B134" s="6">
        <v>27371.0</v>
      </c>
      <c r="C134" s="6">
        <v>2.16</v>
      </c>
      <c r="D134" s="6">
        <v>-0.44</v>
      </c>
      <c r="E134" s="6">
        <v>10.57</v>
      </c>
      <c r="F134" s="6">
        <v>-0.08</v>
      </c>
      <c r="G134" s="6">
        <v>0.02</v>
      </c>
      <c r="H134" s="6">
        <v>-0.02</v>
      </c>
      <c r="I134" s="6">
        <v>33.31</v>
      </c>
      <c r="J134" s="7">
        <f t="shared" ref="J134:O134" si="270">abs(C134-C133)/200</f>
        <v>0.00015</v>
      </c>
      <c r="K134" s="7">
        <f t="shared" si="270"/>
        <v>0.0002</v>
      </c>
      <c r="L134" s="7">
        <f t="shared" si="270"/>
        <v>0.00005</v>
      </c>
      <c r="M134" s="7">
        <f t="shared" si="270"/>
        <v>0.0001</v>
      </c>
      <c r="N134" s="7">
        <f t="shared" si="270"/>
        <v>0.0001</v>
      </c>
      <c r="O134" s="7">
        <f t="shared" si="270"/>
        <v>0.00005</v>
      </c>
      <c r="P134" s="7">
        <f t="shared" si="9"/>
        <v>0.02695058513</v>
      </c>
      <c r="Q134" s="7">
        <f t="shared" si="10"/>
        <v>0.005298866102</v>
      </c>
      <c r="R134" s="7">
        <f t="shared" si="3"/>
        <v>0.9974117269</v>
      </c>
      <c r="S134" s="7">
        <f t="shared" si="4"/>
        <v>0.08485281374</v>
      </c>
      <c r="T134" s="7">
        <f t="shared" si="5"/>
        <v>0</v>
      </c>
      <c r="U134" s="7">
        <f t="shared" si="6"/>
        <v>0</v>
      </c>
      <c r="V134" s="7">
        <f t="shared" ref="V134:W134" si="271">IF(AVERAGE(T74:T133) &gt; 0.25, 1, 0)</f>
        <v>1</v>
      </c>
      <c r="W134" s="7">
        <f t="shared" si="271"/>
        <v>1</v>
      </c>
      <c r="X134" s="8">
        <v>1.0</v>
      </c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ht="22.5" customHeight="1">
      <c r="A135" s="6">
        <v>1334.0</v>
      </c>
      <c r="B135" s="6">
        <v>27575.0</v>
      </c>
      <c r="C135" s="6">
        <v>2.15</v>
      </c>
      <c r="D135" s="6">
        <v>-0.51</v>
      </c>
      <c r="E135" s="6">
        <v>10.58</v>
      </c>
      <c r="F135" s="6">
        <v>-0.08</v>
      </c>
      <c r="G135" s="6">
        <v>-0.01</v>
      </c>
      <c r="H135" s="6">
        <v>0.02</v>
      </c>
      <c r="I135" s="6">
        <v>33.31</v>
      </c>
      <c r="J135" s="7">
        <f t="shared" ref="J135:O135" si="272">abs(C135-C134)/200</f>
        <v>0.00005</v>
      </c>
      <c r="K135" s="7">
        <f t="shared" si="272"/>
        <v>0.00035</v>
      </c>
      <c r="L135" s="7">
        <f t="shared" si="272"/>
        <v>0.00005</v>
      </c>
      <c r="M135" s="7">
        <f t="shared" si="272"/>
        <v>0</v>
      </c>
      <c r="N135" s="7">
        <f t="shared" si="272"/>
        <v>0.00015</v>
      </c>
      <c r="O135" s="7">
        <f t="shared" si="272"/>
        <v>0.0002</v>
      </c>
      <c r="P135" s="7">
        <f t="shared" si="9"/>
        <v>0.001786575113</v>
      </c>
      <c r="Q135" s="7">
        <f t="shared" si="10"/>
        <v>0.01087213319</v>
      </c>
      <c r="R135" s="7">
        <f t="shared" si="3"/>
        <v>1.00828386</v>
      </c>
      <c r="S135" s="7">
        <f t="shared" si="4"/>
        <v>0.08306623863</v>
      </c>
      <c r="T135" s="7">
        <f t="shared" si="5"/>
        <v>1</v>
      </c>
      <c r="U135" s="7">
        <f t="shared" si="6"/>
        <v>0</v>
      </c>
      <c r="V135" s="7">
        <f t="shared" ref="V135:W135" si="273">IF(AVERAGE(T75:T134) &gt; 0.25, 1, 0)</f>
        <v>1</v>
      </c>
      <c r="W135" s="7">
        <f t="shared" si="273"/>
        <v>1</v>
      </c>
      <c r="X135" s="8">
        <v>1.0</v>
      </c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ht="22.5" customHeight="1">
      <c r="A136" s="6">
        <v>1335.0</v>
      </c>
      <c r="B136" s="6">
        <v>27779.0</v>
      </c>
      <c r="C136" s="6">
        <v>2.17</v>
      </c>
      <c r="D136" s="6">
        <v>-0.45</v>
      </c>
      <c r="E136" s="6">
        <v>10.52</v>
      </c>
      <c r="F136" s="6">
        <v>-0.1</v>
      </c>
      <c r="G136" s="6">
        <v>-0.02</v>
      </c>
      <c r="H136" s="6">
        <v>0.01</v>
      </c>
      <c r="I136" s="6">
        <v>33.32</v>
      </c>
      <c r="J136" s="7">
        <f t="shared" ref="J136:O136" si="274">abs(C136-C135)/200</f>
        <v>0.0001</v>
      </c>
      <c r="K136" s="7">
        <f t="shared" si="274"/>
        <v>0.0003</v>
      </c>
      <c r="L136" s="7">
        <f t="shared" si="274"/>
        <v>0.0003</v>
      </c>
      <c r="M136" s="7">
        <f t="shared" si="274"/>
        <v>0.0001</v>
      </c>
      <c r="N136" s="7">
        <f t="shared" si="274"/>
        <v>0.00005</v>
      </c>
      <c r="O136" s="7">
        <f t="shared" si="274"/>
        <v>0.00005</v>
      </c>
      <c r="P136" s="7">
        <f t="shared" si="9"/>
        <v>0.01940326903</v>
      </c>
      <c r="Q136" s="7">
        <f t="shared" si="10"/>
        <v>0.05738622314</v>
      </c>
      <c r="R136" s="7">
        <f t="shared" si="3"/>
        <v>0.9508976369</v>
      </c>
      <c r="S136" s="7">
        <f t="shared" si="4"/>
        <v>0.1024695077</v>
      </c>
      <c r="T136" s="7">
        <f t="shared" si="5"/>
        <v>1</v>
      </c>
      <c r="U136" s="7">
        <f t="shared" si="6"/>
        <v>0</v>
      </c>
      <c r="V136" s="7">
        <f t="shared" ref="V136:W136" si="275">IF(AVERAGE(T76:T135) &gt; 0.25, 1, 0)</f>
        <v>1</v>
      </c>
      <c r="W136" s="7">
        <f t="shared" si="275"/>
        <v>1</v>
      </c>
      <c r="X136" s="8">
        <v>1.0</v>
      </c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ht="22.5" customHeight="1">
      <c r="A137" s="6">
        <v>1336.0</v>
      </c>
      <c r="B137" s="6">
        <v>27983.0</v>
      </c>
      <c r="C137" s="6">
        <v>2.18</v>
      </c>
      <c r="D137" s="6">
        <v>-0.46</v>
      </c>
      <c r="E137" s="6">
        <v>10.52</v>
      </c>
      <c r="F137" s="6">
        <v>-0.11</v>
      </c>
      <c r="G137" s="6">
        <v>-0.01</v>
      </c>
      <c r="H137" s="6">
        <v>0.01</v>
      </c>
      <c r="I137" s="6">
        <v>33.32</v>
      </c>
      <c r="J137" s="7">
        <f t="shared" ref="J137:O137" si="276">abs(C137-C136)/200</f>
        <v>0.00005</v>
      </c>
      <c r="K137" s="7">
        <f t="shared" si="276"/>
        <v>0.00005</v>
      </c>
      <c r="L137" s="7">
        <f t="shared" si="276"/>
        <v>0</v>
      </c>
      <c r="M137" s="7">
        <f t="shared" si="276"/>
        <v>0.00005</v>
      </c>
      <c r="N137" s="7">
        <f t="shared" si="276"/>
        <v>0.00005</v>
      </c>
      <c r="O137" s="7">
        <f t="shared" si="276"/>
        <v>0</v>
      </c>
      <c r="P137" s="7">
        <f t="shared" si="9"/>
        <v>0.008435857404</v>
      </c>
      <c r="Q137" s="7">
        <f t="shared" si="10"/>
        <v>0.0024460291</v>
      </c>
      <c r="R137" s="7">
        <f t="shared" si="3"/>
        <v>0.953343666</v>
      </c>
      <c r="S137" s="7">
        <f t="shared" si="4"/>
        <v>0.1109053651</v>
      </c>
      <c r="T137" s="7">
        <f t="shared" si="5"/>
        <v>0</v>
      </c>
      <c r="U137" s="7">
        <f t="shared" si="6"/>
        <v>0</v>
      </c>
      <c r="V137" s="7">
        <f t="shared" ref="V137:W137" si="277">IF(AVERAGE(T77:T136) &gt; 0.25, 1, 0)</f>
        <v>1</v>
      </c>
      <c r="W137" s="7">
        <f t="shared" si="277"/>
        <v>1</v>
      </c>
      <c r="X137" s="8">
        <v>1.0</v>
      </c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ht="22.5" customHeight="1">
      <c r="A138" s="6">
        <v>1337.0</v>
      </c>
      <c r="B138" s="6">
        <v>28187.0</v>
      </c>
      <c r="C138" s="6">
        <v>2.28</v>
      </c>
      <c r="D138" s="6">
        <v>-0.69</v>
      </c>
      <c r="E138" s="6">
        <v>10.54</v>
      </c>
      <c r="F138" s="6">
        <v>-0.1</v>
      </c>
      <c r="G138" s="6">
        <v>-0.02</v>
      </c>
      <c r="H138" s="6">
        <v>0.07</v>
      </c>
      <c r="I138" s="6">
        <v>33.32</v>
      </c>
      <c r="J138" s="7">
        <f t="shared" ref="J138:O138" si="278">abs(C138-C137)/200</f>
        <v>0.0005</v>
      </c>
      <c r="K138" s="7">
        <f t="shared" si="278"/>
        <v>0.00115</v>
      </c>
      <c r="L138" s="7">
        <f t="shared" si="278"/>
        <v>0.0001</v>
      </c>
      <c r="M138" s="7">
        <f t="shared" si="278"/>
        <v>0.00005</v>
      </c>
      <c r="N138" s="7">
        <f t="shared" si="278"/>
        <v>0.00005</v>
      </c>
      <c r="O138" s="7">
        <f t="shared" si="278"/>
        <v>0.0003</v>
      </c>
      <c r="P138" s="7">
        <f t="shared" si="9"/>
        <v>0.0127878037</v>
      </c>
      <c r="Q138" s="7">
        <f t="shared" si="10"/>
        <v>0.05249271991</v>
      </c>
      <c r="R138" s="7">
        <f t="shared" si="3"/>
        <v>1.005836386</v>
      </c>
      <c r="S138" s="7">
        <f t="shared" si="4"/>
        <v>0.1236931688</v>
      </c>
      <c r="T138" s="7">
        <f t="shared" si="5"/>
        <v>1</v>
      </c>
      <c r="U138" s="7">
        <f t="shared" si="6"/>
        <v>0</v>
      </c>
      <c r="V138" s="7">
        <f t="shared" ref="V138:W138" si="279">IF(AVERAGE(T78:T137) &gt; 0.25, 1, 0)</f>
        <v>1</v>
      </c>
      <c r="W138" s="7">
        <f t="shared" si="279"/>
        <v>1</v>
      </c>
      <c r="X138" s="8">
        <v>1.0</v>
      </c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ht="22.5" customHeight="1">
      <c r="A139" s="6">
        <v>1338.0</v>
      </c>
      <c r="B139" s="6">
        <v>28391.0</v>
      </c>
      <c r="C139" s="6">
        <v>2.29</v>
      </c>
      <c r="D139" s="6">
        <v>-0.46</v>
      </c>
      <c r="E139" s="6">
        <v>10.47</v>
      </c>
      <c r="F139" s="6">
        <v>-0.06</v>
      </c>
      <c r="G139" s="6">
        <v>-0.01</v>
      </c>
      <c r="H139" s="6">
        <v>0.0</v>
      </c>
      <c r="I139" s="6">
        <v>33.32</v>
      </c>
      <c r="J139" s="7">
        <f t="shared" ref="J139:O139" si="280">abs(C139-C138)/200</f>
        <v>0.00005</v>
      </c>
      <c r="K139" s="7">
        <f t="shared" si="280"/>
        <v>0.00115</v>
      </c>
      <c r="L139" s="7">
        <f t="shared" si="280"/>
        <v>0.00035</v>
      </c>
      <c r="M139" s="7">
        <f t="shared" si="280"/>
        <v>0.0002</v>
      </c>
      <c r="N139" s="7">
        <f t="shared" si="280"/>
        <v>0.00005</v>
      </c>
      <c r="O139" s="7">
        <f t="shared" si="280"/>
        <v>0.00035</v>
      </c>
      <c r="P139" s="7">
        <f t="shared" si="9"/>
        <v>0.06286554347</v>
      </c>
      <c r="Q139" s="7">
        <f t="shared" si="10"/>
        <v>0.07846019231</v>
      </c>
      <c r="R139" s="7">
        <f t="shared" si="3"/>
        <v>0.9273761936</v>
      </c>
      <c r="S139" s="7">
        <f t="shared" si="4"/>
        <v>0.0608276253</v>
      </c>
      <c r="T139" s="7">
        <f t="shared" si="5"/>
        <v>1</v>
      </c>
      <c r="U139" s="7">
        <f t="shared" si="6"/>
        <v>1</v>
      </c>
      <c r="V139" s="7">
        <f t="shared" ref="V139:W139" si="281">IF(AVERAGE(T79:T138) &gt; 0.25, 1, 0)</f>
        <v>1</v>
      </c>
      <c r="W139" s="7">
        <f t="shared" si="281"/>
        <v>1</v>
      </c>
      <c r="X139" s="8">
        <v>1.0</v>
      </c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ht="22.5" customHeight="1">
      <c r="A140" s="6">
        <v>1339.0</v>
      </c>
      <c r="B140" s="6">
        <v>28595.0</v>
      </c>
      <c r="C140" s="6">
        <v>2.14</v>
      </c>
      <c r="D140" s="6">
        <v>-0.14</v>
      </c>
      <c r="E140" s="6">
        <v>10.57</v>
      </c>
      <c r="F140" s="6">
        <v>-0.09</v>
      </c>
      <c r="G140" s="6">
        <v>0.0</v>
      </c>
      <c r="H140" s="6">
        <v>-0.04</v>
      </c>
      <c r="I140" s="6">
        <v>33.32</v>
      </c>
      <c r="J140" s="7">
        <f t="shared" ref="J140:O140" si="282">abs(C140-C139)/200</f>
        <v>0.00075</v>
      </c>
      <c r="K140" s="7">
        <f t="shared" si="282"/>
        <v>0.0016</v>
      </c>
      <c r="L140" s="7">
        <f t="shared" si="282"/>
        <v>0.0005</v>
      </c>
      <c r="M140" s="7">
        <f t="shared" si="282"/>
        <v>0.00015</v>
      </c>
      <c r="N140" s="7">
        <f t="shared" si="282"/>
        <v>0.00005</v>
      </c>
      <c r="O140" s="7">
        <f t="shared" si="282"/>
        <v>0.0002</v>
      </c>
      <c r="P140" s="7">
        <f t="shared" si="9"/>
        <v>0.03766095271</v>
      </c>
      <c r="Q140" s="7">
        <f t="shared" si="10"/>
        <v>0.05798889058</v>
      </c>
      <c r="R140" s="7">
        <f t="shared" si="3"/>
        <v>0.9853650842</v>
      </c>
      <c r="S140" s="7">
        <f t="shared" si="4"/>
        <v>0.09848857802</v>
      </c>
      <c r="T140" s="7">
        <f t="shared" si="5"/>
        <v>1</v>
      </c>
      <c r="U140" s="7">
        <f t="shared" si="6"/>
        <v>0</v>
      </c>
      <c r="V140" s="7">
        <f t="shared" ref="V140:W140" si="283">IF(AVERAGE(T80:T139) &gt; 0.25, 1, 0)</f>
        <v>1</v>
      </c>
      <c r="W140" s="7">
        <f t="shared" si="283"/>
        <v>1</v>
      </c>
      <c r="X140" s="8">
        <v>1.0</v>
      </c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ht="22.5" customHeight="1">
      <c r="A141" s="6">
        <v>1340.0</v>
      </c>
      <c r="B141" s="6">
        <v>799.0</v>
      </c>
      <c r="C141" s="6">
        <v>2.23</v>
      </c>
      <c r="D141" s="6">
        <v>-0.38</v>
      </c>
      <c r="E141" s="6">
        <v>10.59</v>
      </c>
      <c r="F141" s="6">
        <v>-0.1</v>
      </c>
      <c r="G141" s="6">
        <v>-0.01</v>
      </c>
      <c r="H141" s="6">
        <v>-0.05</v>
      </c>
      <c r="I141" s="6">
        <v>33.31</v>
      </c>
      <c r="J141" s="7">
        <f t="shared" ref="J141:O141" si="284">abs(C141-C140)/200</f>
        <v>0.00045</v>
      </c>
      <c r="K141" s="7">
        <f t="shared" si="284"/>
        <v>0.0012</v>
      </c>
      <c r="L141" s="7">
        <f t="shared" si="284"/>
        <v>0.0001</v>
      </c>
      <c r="M141" s="7">
        <f t="shared" si="284"/>
        <v>0.00005</v>
      </c>
      <c r="N141" s="7">
        <f t="shared" si="284"/>
        <v>0.00005</v>
      </c>
      <c r="O141" s="7">
        <f t="shared" si="284"/>
        <v>0.00005</v>
      </c>
      <c r="P141" s="7">
        <f t="shared" si="9"/>
        <v>0.01376114359</v>
      </c>
      <c r="Q141" s="7">
        <f t="shared" si="10"/>
        <v>0.04354991221</v>
      </c>
      <c r="R141" s="7">
        <f t="shared" si="3"/>
        <v>1.028914996</v>
      </c>
      <c r="S141" s="7">
        <f t="shared" si="4"/>
        <v>0.1122497216</v>
      </c>
      <c r="T141" s="7">
        <f t="shared" si="5"/>
        <v>1</v>
      </c>
      <c r="U141" s="7">
        <f t="shared" si="6"/>
        <v>0</v>
      </c>
      <c r="V141" s="7">
        <f t="shared" ref="V141:W141" si="285">IF(AVERAGE(T81:T140) &gt; 0.25, 1, 0)</f>
        <v>1</v>
      </c>
      <c r="W141" s="7">
        <f t="shared" si="285"/>
        <v>1</v>
      </c>
      <c r="X141" s="8">
        <v>1.0</v>
      </c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ht="22.5" customHeight="1">
      <c r="A142" s="6">
        <v>1341.0</v>
      </c>
      <c r="B142" s="6">
        <v>29003.0</v>
      </c>
      <c r="C142" s="6">
        <v>2.15</v>
      </c>
      <c r="D142" s="6">
        <v>-0.28</v>
      </c>
      <c r="E142" s="6">
        <v>10.55</v>
      </c>
      <c r="F142" s="6">
        <v>-0.11</v>
      </c>
      <c r="G142" s="6">
        <v>0.01</v>
      </c>
      <c r="H142" s="6">
        <v>-0.03</v>
      </c>
      <c r="I142" s="6">
        <v>33.33</v>
      </c>
      <c r="J142" s="7">
        <f t="shared" ref="J142:O142" si="286">abs(C142-C141)/200</f>
        <v>0.0004</v>
      </c>
      <c r="K142" s="7">
        <f t="shared" si="286"/>
        <v>0.0005</v>
      </c>
      <c r="L142" s="7">
        <f t="shared" si="286"/>
        <v>0.0002</v>
      </c>
      <c r="M142" s="7">
        <f t="shared" si="286"/>
        <v>0.00005</v>
      </c>
      <c r="N142" s="7">
        <f t="shared" si="286"/>
        <v>0.0001</v>
      </c>
      <c r="O142" s="7">
        <f t="shared" si="286"/>
        <v>0.0001</v>
      </c>
      <c r="P142" s="7">
        <f t="shared" si="9"/>
        <v>0.002205509819</v>
      </c>
      <c r="Q142" s="7">
        <f t="shared" si="10"/>
        <v>0.05842754228</v>
      </c>
      <c r="R142" s="7">
        <f t="shared" si="3"/>
        <v>0.9704874541</v>
      </c>
      <c r="S142" s="7">
        <f t="shared" si="4"/>
        <v>0.1144552314</v>
      </c>
      <c r="T142" s="7">
        <f t="shared" si="5"/>
        <v>1</v>
      </c>
      <c r="U142" s="7">
        <f t="shared" si="6"/>
        <v>0</v>
      </c>
      <c r="V142" s="7">
        <f t="shared" ref="V142:W142" si="287">IF(AVERAGE(T82:T141) &gt; 0.25, 1, 0)</f>
        <v>1</v>
      </c>
      <c r="W142" s="7">
        <f t="shared" si="287"/>
        <v>1</v>
      </c>
      <c r="X142" s="8">
        <v>1.0</v>
      </c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ht="22.5" customHeight="1">
      <c r="A143" s="6">
        <v>1342.0</v>
      </c>
      <c r="B143" s="6">
        <v>29207.0</v>
      </c>
      <c r="C143" s="6">
        <v>2.18</v>
      </c>
      <c r="D143" s="6">
        <v>-0.41</v>
      </c>
      <c r="E143" s="6">
        <v>10.54</v>
      </c>
      <c r="F143" s="6">
        <v>-0.09</v>
      </c>
      <c r="G143" s="6">
        <v>0.03</v>
      </c>
      <c r="H143" s="6">
        <v>-0.02</v>
      </c>
      <c r="I143" s="6">
        <v>33.31</v>
      </c>
      <c r="J143" s="7">
        <f t="shared" ref="J143:O143" si="288">abs(C143-C142)/200</f>
        <v>0.00015</v>
      </c>
      <c r="K143" s="7">
        <f t="shared" si="288"/>
        <v>0.00065</v>
      </c>
      <c r="L143" s="7">
        <f t="shared" si="288"/>
        <v>0.00005</v>
      </c>
      <c r="M143" s="7">
        <f t="shared" si="288"/>
        <v>0.0001</v>
      </c>
      <c r="N143" s="7">
        <f t="shared" si="288"/>
        <v>0.0001</v>
      </c>
      <c r="O143" s="7">
        <f t="shared" si="288"/>
        <v>0.00005</v>
      </c>
      <c r="P143" s="7">
        <f t="shared" si="9"/>
        <v>0.01750163427</v>
      </c>
      <c r="Q143" s="7">
        <f t="shared" si="10"/>
        <v>0.0004038738694</v>
      </c>
      <c r="R143" s="7">
        <f t="shared" si="3"/>
        <v>0.970891328</v>
      </c>
      <c r="S143" s="7">
        <f t="shared" si="4"/>
        <v>0.09695359715</v>
      </c>
      <c r="T143" s="7">
        <f t="shared" si="5"/>
        <v>1</v>
      </c>
      <c r="U143" s="7">
        <f t="shared" si="6"/>
        <v>0</v>
      </c>
      <c r="V143" s="7">
        <f t="shared" ref="V143:W143" si="289">IF(AVERAGE(T83:T142) &gt; 0.25, 1, 0)</f>
        <v>1</v>
      </c>
      <c r="W143" s="7">
        <f t="shared" si="289"/>
        <v>1</v>
      </c>
      <c r="X143" s="8">
        <v>1.0</v>
      </c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ht="22.5" customHeight="1">
      <c r="A144" s="6">
        <v>1343.0</v>
      </c>
      <c r="B144" s="6">
        <v>29411.0</v>
      </c>
      <c r="C144" s="6">
        <v>2.27</v>
      </c>
      <c r="D144" s="6">
        <v>-0.84</v>
      </c>
      <c r="E144" s="6">
        <v>10.54</v>
      </c>
      <c r="F144" s="6">
        <v>-0.07</v>
      </c>
      <c r="G144" s="6">
        <v>-0.03</v>
      </c>
      <c r="H144" s="6">
        <v>0.04</v>
      </c>
      <c r="I144" s="6">
        <v>33.31</v>
      </c>
      <c r="J144" s="7">
        <f t="shared" ref="J144:O144" si="290">abs(C144-C143)/200</f>
        <v>0.00045</v>
      </c>
      <c r="K144" s="7">
        <f t="shared" si="290"/>
        <v>0.00215</v>
      </c>
      <c r="L144" s="7">
        <f t="shared" si="290"/>
        <v>0</v>
      </c>
      <c r="M144" s="7">
        <f t="shared" si="290"/>
        <v>0.0001</v>
      </c>
      <c r="N144" s="7">
        <f t="shared" si="290"/>
        <v>0.0003</v>
      </c>
      <c r="O144" s="7">
        <f t="shared" si="290"/>
        <v>0.0003</v>
      </c>
      <c r="P144" s="7">
        <f t="shared" si="9"/>
        <v>0.01093034448</v>
      </c>
      <c r="Q144" s="7">
        <f t="shared" si="10"/>
        <v>0.04345562406</v>
      </c>
      <c r="R144" s="7">
        <f t="shared" si="3"/>
        <v>1.014346952</v>
      </c>
      <c r="S144" s="7">
        <f t="shared" si="4"/>
        <v>0.08602325267</v>
      </c>
      <c r="T144" s="7">
        <f t="shared" si="5"/>
        <v>1</v>
      </c>
      <c r="U144" s="7">
        <f t="shared" si="6"/>
        <v>0</v>
      </c>
      <c r="V144" s="7">
        <f t="shared" ref="V144:W144" si="291">IF(AVERAGE(T84:T143) &gt; 0.25, 1, 0)</f>
        <v>1</v>
      </c>
      <c r="W144" s="7">
        <f t="shared" si="291"/>
        <v>1</v>
      </c>
      <c r="X144" s="8">
        <v>1.0</v>
      </c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ht="22.5" customHeight="1">
      <c r="A145" s="6">
        <v>1344.0</v>
      </c>
      <c r="B145" s="6">
        <v>29615.0</v>
      </c>
      <c r="C145" s="6">
        <v>2.2</v>
      </c>
      <c r="D145" s="6">
        <v>-0.38</v>
      </c>
      <c r="E145" s="6">
        <v>10.57</v>
      </c>
      <c r="F145" s="6">
        <v>-0.1</v>
      </c>
      <c r="G145" s="6">
        <v>-0.02</v>
      </c>
      <c r="H145" s="6">
        <v>-0.01</v>
      </c>
      <c r="I145" s="6">
        <v>33.31</v>
      </c>
      <c r="J145" s="7">
        <f t="shared" ref="J145:O145" si="292">abs(C145-C144)/200</f>
        <v>0.00035</v>
      </c>
      <c r="K145" s="7">
        <f t="shared" si="292"/>
        <v>0.0023</v>
      </c>
      <c r="L145" s="7">
        <f t="shared" si="292"/>
        <v>0.00015</v>
      </c>
      <c r="M145" s="7">
        <f t="shared" si="292"/>
        <v>0.00015</v>
      </c>
      <c r="N145" s="7">
        <f t="shared" si="292"/>
        <v>0.00005</v>
      </c>
      <c r="O145" s="7">
        <f t="shared" si="292"/>
        <v>0.00025</v>
      </c>
      <c r="P145" s="7">
        <f t="shared" si="9"/>
        <v>0.01644625499</v>
      </c>
      <c r="Q145" s="7">
        <f t="shared" si="10"/>
        <v>0.01113909515</v>
      </c>
      <c r="R145" s="7">
        <f t="shared" si="3"/>
        <v>1.003207857</v>
      </c>
      <c r="S145" s="7">
        <f t="shared" si="4"/>
        <v>0.1024695077</v>
      </c>
      <c r="T145" s="7">
        <f t="shared" si="5"/>
        <v>1</v>
      </c>
      <c r="U145" s="7">
        <f t="shared" si="6"/>
        <v>0</v>
      </c>
      <c r="V145" s="7">
        <f t="shared" ref="V145:W145" si="293">IF(AVERAGE(T85:T144) &gt; 0.25, 1, 0)</f>
        <v>1</v>
      </c>
      <c r="W145" s="7">
        <f t="shared" si="293"/>
        <v>1</v>
      </c>
      <c r="X145" s="8">
        <v>1.0</v>
      </c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ht="22.5" customHeight="1">
      <c r="A146" s="6">
        <v>1345.0</v>
      </c>
      <c r="B146" s="6">
        <v>29819.0</v>
      </c>
      <c r="C146" s="6">
        <v>2.25</v>
      </c>
      <c r="D146" s="6">
        <v>-0.54</v>
      </c>
      <c r="E146" s="6">
        <v>10.51</v>
      </c>
      <c r="F146" s="6">
        <v>-0.12</v>
      </c>
      <c r="G146" s="6">
        <v>0.0</v>
      </c>
      <c r="H146" s="6">
        <v>0.03</v>
      </c>
      <c r="I146" s="6">
        <v>33.32</v>
      </c>
      <c r="J146" s="7">
        <f t="shared" ref="J146:O146" si="294">abs(C146-C145)/200</f>
        <v>0.00025</v>
      </c>
      <c r="K146" s="7">
        <f t="shared" si="294"/>
        <v>0.0008</v>
      </c>
      <c r="L146" s="7">
        <f t="shared" si="294"/>
        <v>0.0003</v>
      </c>
      <c r="M146" s="7">
        <f t="shared" si="294"/>
        <v>0.0001</v>
      </c>
      <c r="N146" s="7">
        <f t="shared" si="294"/>
        <v>0.0001</v>
      </c>
      <c r="O146" s="7">
        <f t="shared" si="294"/>
        <v>0.0002</v>
      </c>
      <c r="P146" s="7">
        <f t="shared" si="9"/>
        <v>0.02122366111</v>
      </c>
      <c r="Q146" s="7">
        <f t="shared" si="10"/>
        <v>0.04150724782</v>
      </c>
      <c r="R146" s="7">
        <f t="shared" si="3"/>
        <v>0.9617006091</v>
      </c>
      <c r="S146" s="7">
        <f t="shared" si="4"/>
        <v>0.1236931688</v>
      </c>
      <c r="T146" s="7">
        <f t="shared" si="5"/>
        <v>1</v>
      </c>
      <c r="U146" s="7">
        <f t="shared" si="6"/>
        <v>0</v>
      </c>
      <c r="V146" s="7">
        <f t="shared" ref="V146:W146" si="295">IF(AVERAGE(T86:T145) &gt; 0.25, 1, 0)</f>
        <v>1</v>
      </c>
      <c r="W146" s="7">
        <f t="shared" si="295"/>
        <v>1</v>
      </c>
      <c r="X146" s="8">
        <v>1.0</v>
      </c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ht="22.5" customHeight="1">
      <c r="A147" s="6">
        <v>1346.0</v>
      </c>
      <c r="B147" s="6">
        <v>30023.0</v>
      </c>
      <c r="C147" s="6">
        <v>2.29</v>
      </c>
      <c r="D147" s="6">
        <v>-0.69</v>
      </c>
      <c r="E147" s="6">
        <v>10.51</v>
      </c>
      <c r="F147" s="6">
        <v>-0.09</v>
      </c>
      <c r="G147" s="6">
        <v>0.0</v>
      </c>
      <c r="H147" s="6">
        <v>0.06</v>
      </c>
      <c r="I147" s="6">
        <v>33.32</v>
      </c>
      <c r="J147" s="7">
        <f t="shared" ref="J147:O147" si="296">abs(C147-C146)/200</f>
        <v>0.0002</v>
      </c>
      <c r="K147" s="7">
        <f t="shared" si="296"/>
        <v>0.00075</v>
      </c>
      <c r="L147" s="7">
        <f t="shared" si="296"/>
        <v>0</v>
      </c>
      <c r="M147" s="7">
        <f t="shared" si="296"/>
        <v>0.00015</v>
      </c>
      <c r="N147" s="7">
        <f t="shared" si="296"/>
        <v>0</v>
      </c>
      <c r="O147" s="7">
        <f t="shared" si="296"/>
        <v>0.00015</v>
      </c>
      <c r="P147" s="7">
        <f t="shared" si="9"/>
        <v>0.0155266305</v>
      </c>
      <c r="Q147" s="7">
        <f t="shared" si="10"/>
        <v>0.01699597258</v>
      </c>
      <c r="R147" s="7">
        <f t="shared" si="3"/>
        <v>0.9786965817</v>
      </c>
      <c r="S147" s="7">
        <f t="shared" si="4"/>
        <v>0.1081665383</v>
      </c>
      <c r="T147" s="7">
        <f t="shared" si="5"/>
        <v>1</v>
      </c>
      <c r="U147" s="7">
        <f t="shared" si="6"/>
        <v>0</v>
      </c>
      <c r="V147" s="7">
        <f t="shared" ref="V147:W147" si="297">IF(AVERAGE(T87:T146) &gt; 0.25, 1, 0)</f>
        <v>1</v>
      </c>
      <c r="W147" s="7">
        <f t="shared" si="297"/>
        <v>1</v>
      </c>
      <c r="X147" s="8">
        <v>1.0</v>
      </c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ht="22.5" customHeight="1">
      <c r="A148" s="6">
        <v>1347.0</v>
      </c>
      <c r="B148" s="6">
        <v>30227.0</v>
      </c>
      <c r="C148" s="6">
        <v>2.13</v>
      </c>
      <c r="D148" s="6">
        <v>-0.54</v>
      </c>
      <c r="E148" s="6">
        <v>10.53</v>
      </c>
      <c r="F148" s="6">
        <v>-0.11</v>
      </c>
      <c r="G148" s="6">
        <v>-0.03</v>
      </c>
      <c r="H148" s="6">
        <v>-0.08</v>
      </c>
      <c r="I148" s="6">
        <v>33.32</v>
      </c>
      <c r="J148" s="7">
        <f t="shared" ref="J148:O148" si="298">abs(C148-C147)/200</f>
        <v>0.0008</v>
      </c>
      <c r="K148" s="7">
        <f t="shared" si="298"/>
        <v>0.00075</v>
      </c>
      <c r="L148" s="7">
        <f t="shared" si="298"/>
        <v>0.0001</v>
      </c>
      <c r="M148" s="7">
        <f t="shared" si="298"/>
        <v>0.0001</v>
      </c>
      <c r="N148" s="7">
        <f t="shared" si="298"/>
        <v>0.00015</v>
      </c>
      <c r="O148" s="7">
        <f t="shared" si="298"/>
        <v>0.0007</v>
      </c>
      <c r="P148" s="7">
        <f t="shared" si="9"/>
        <v>0.03111734451</v>
      </c>
      <c r="Q148" s="7">
        <f t="shared" si="10"/>
        <v>0.02186619351</v>
      </c>
      <c r="R148" s="7">
        <f t="shared" si="3"/>
        <v>0.9568303882</v>
      </c>
      <c r="S148" s="7">
        <f t="shared" si="4"/>
        <v>0.1392838828</v>
      </c>
      <c r="T148" s="7">
        <f t="shared" si="5"/>
        <v>1</v>
      </c>
      <c r="U148" s="7">
        <f t="shared" si="6"/>
        <v>1</v>
      </c>
      <c r="V148" s="7">
        <f t="shared" ref="V148:W148" si="299">IF(AVERAGE(T88:T147) &gt; 0.25, 1, 0)</f>
        <v>1</v>
      </c>
      <c r="W148" s="7">
        <f t="shared" si="299"/>
        <v>1</v>
      </c>
      <c r="X148" s="8">
        <v>1.0</v>
      </c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ht="22.5" customHeight="1">
      <c r="A149" s="6">
        <v>1348.0</v>
      </c>
      <c r="B149" s="6">
        <v>30431.0</v>
      </c>
      <c r="C149" s="6">
        <v>2.17</v>
      </c>
      <c r="D149" s="6">
        <v>-0.08</v>
      </c>
      <c r="E149" s="6">
        <v>10.57</v>
      </c>
      <c r="F149" s="6">
        <v>-0.1</v>
      </c>
      <c r="G149" s="6">
        <v>0.0</v>
      </c>
      <c r="H149" s="6">
        <v>-0.06</v>
      </c>
      <c r="I149" s="6">
        <v>33.31</v>
      </c>
      <c r="J149" s="7">
        <f t="shared" ref="J149:O149" si="300">abs(C149-C148)/200</f>
        <v>0.0002</v>
      </c>
      <c r="K149" s="7">
        <f t="shared" si="300"/>
        <v>0.0023</v>
      </c>
      <c r="L149" s="7">
        <f t="shared" si="300"/>
        <v>0.0002</v>
      </c>
      <c r="M149" s="7">
        <f t="shared" si="300"/>
        <v>0.00005</v>
      </c>
      <c r="N149" s="7">
        <f t="shared" si="300"/>
        <v>0.00015</v>
      </c>
      <c r="O149" s="7">
        <f t="shared" si="300"/>
        <v>0.0001</v>
      </c>
      <c r="P149" s="7">
        <f t="shared" si="9"/>
        <v>0.02266484487</v>
      </c>
      <c r="Q149" s="7">
        <f t="shared" si="10"/>
        <v>0.0339156472</v>
      </c>
      <c r="R149" s="7">
        <f t="shared" si="3"/>
        <v>0.9907460354</v>
      </c>
      <c r="S149" s="7">
        <f t="shared" si="4"/>
        <v>0.1166190379</v>
      </c>
      <c r="T149" s="7">
        <f t="shared" si="5"/>
        <v>1</v>
      </c>
      <c r="U149" s="7">
        <f t="shared" si="6"/>
        <v>0</v>
      </c>
      <c r="V149" s="7">
        <f t="shared" ref="V149:W149" si="301">IF(AVERAGE(T89:T148) &gt; 0.25, 1, 0)</f>
        <v>1</v>
      </c>
      <c r="W149" s="7">
        <f t="shared" si="301"/>
        <v>1</v>
      </c>
      <c r="X149" s="8">
        <v>1.0</v>
      </c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ht="22.5" customHeight="1">
      <c r="A150" s="6">
        <v>1349.0</v>
      </c>
      <c r="B150" s="6">
        <v>30635.0</v>
      </c>
      <c r="C150" s="6">
        <v>2.25</v>
      </c>
      <c r="D150" s="6">
        <v>-0.44</v>
      </c>
      <c r="E150" s="6">
        <v>10.59</v>
      </c>
      <c r="F150" s="6">
        <v>-0.08</v>
      </c>
      <c r="G150" s="6">
        <v>-0.03</v>
      </c>
      <c r="H150" s="6">
        <v>-0.03</v>
      </c>
      <c r="I150" s="6">
        <v>33.32</v>
      </c>
      <c r="J150" s="7">
        <f t="shared" ref="J150:O150" si="302">abs(C150-C149)/200</f>
        <v>0.0004</v>
      </c>
      <c r="K150" s="7">
        <f t="shared" si="302"/>
        <v>0.0018</v>
      </c>
      <c r="L150" s="7">
        <f t="shared" si="302"/>
        <v>0.0001</v>
      </c>
      <c r="M150" s="7">
        <f t="shared" si="302"/>
        <v>0.0001</v>
      </c>
      <c r="N150" s="7">
        <f t="shared" si="302"/>
        <v>0.00015</v>
      </c>
      <c r="O150" s="7">
        <f t="shared" si="302"/>
        <v>0.00015</v>
      </c>
      <c r="P150" s="7">
        <f t="shared" si="9"/>
        <v>0.02606518652</v>
      </c>
      <c r="Q150" s="7">
        <f t="shared" si="10"/>
        <v>0.0445758334</v>
      </c>
      <c r="R150" s="7">
        <f t="shared" si="3"/>
        <v>1.035321869</v>
      </c>
      <c r="S150" s="7">
        <f t="shared" si="4"/>
        <v>0.09055385138</v>
      </c>
      <c r="T150" s="7">
        <f t="shared" si="5"/>
        <v>1</v>
      </c>
      <c r="U150" s="7">
        <f t="shared" si="6"/>
        <v>0</v>
      </c>
      <c r="V150" s="7">
        <f t="shared" ref="V150:W150" si="303">IF(AVERAGE(T90:T149) &gt; 0.25, 1, 0)</f>
        <v>1</v>
      </c>
      <c r="W150" s="7">
        <f t="shared" si="303"/>
        <v>1</v>
      </c>
      <c r="X150" s="8">
        <v>1.0</v>
      </c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ht="22.5" customHeight="1">
      <c r="A151" s="6">
        <v>1350.0</v>
      </c>
      <c r="B151" s="6">
        <v>30839.0</v>
      </c>
      <c r="C151" s="6">
        <v>2.26</v>
      </c>
      <c r="D151" s="6">
        <v>-0.4</v>
      </c>
      <c r="E151" s="6">
        <v>10.52</v>
      </c>
      <c r="F151" s="6">
        <v>-0.1</v>
      </c>
      <c r="G151" s="6">
        <v>-0.01</v>
      </c>
      <c r="H151" s="6">
        <v>-0.02</v>
      </c>
      <c r="I151" s="6">
        <v>33.32</v>
      </c>
      <c r="J151" s="7">
        <f t="shared" ref="J151:O151" si="304">abs(C151-C150)/200</f>
        <v>0.00005</v>
      </c>
      <c r="K151" s="7">
        <f t="shared" si="304"/>
        <v>0.0002</v>
      </c>
      <c r="L151" s="7">
        <f t="shared" si="304"/>
        <v>0.00035</v>
      </c>
      <c r="M151" s="7">
        <f t="shared" si="304"/>
        <v>0.0001</v>
      </c>
      <c r="N151" s="7">
        <f t="shared" si="304"/>
        <v>0.0001</v>
      </c>
      <c r="O151" s="7">
        <f t="shared" si="304"/>
        <v>0.00005</v>
      </c>
      <c r="P151" s="7">
        <f t="shared" si="9"/>
        <v>0.01191565628</v>
      </c>
      <c r="Q151" s="7">
        <f t="shared" si="10"/>
        <v>0.06787091695</v>
      </c>
      <c r="R151" s="7">
        <f t="shared" si="3"/>
        <v>0.9674509518</v>
      </c>
      <c r="S151" s="7">
        <f t="shared" si="4"/>
        <v>0.1024695077</v>
      </c>
      <c r="T151" s="7">
        <f t="shared" si="5"/>
        <v>1</v>
      </c>
      <c r="U151" s="7">
        <f t="shared" si="6"/>
        <v>0</v>
      </c>
      <c r="V151" s="7">
        <f t="shared" ref="V151:W151" si="305">IF(AVERAGE(T91:T150) &gt; 0.25, 1, 0)</f>
        <v>1</v>
      </c>
      <c r="W151" s="7">
        <f t="shared" si="305"/>
        <v>0</v>
      </c>
      <c r="X151" s="8">
        <v>1.0</v>
      </c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ht="22.5" customHeight="1">
      <c r="A152" s="6">
        <v>1351.0</v>
      </c>
      <c r="B152" s="6">
        <v>31043.0</v>
      </c>
      <c r="C152" s="6">
        <v>2.23</v>
      </c>
      <c r="D152" s="6">
        <v>-0.22</v>
      </c>
      <c r="E152" s="6">
        <v>10.56</v>
      </c>
      <c r="F152" s="6">
        <v>-0.1</v>
      </c>
      <c r="G152" s="6">
        <v>0.03</v>
      </c>
      <c r="H152" s="6">
        <v>-0.02</v>
      </c>
      <c r="I152" s="6">
        <v>33.32</v>
      </c>
      <c r="J152" s="7">
        <f t="shared" ref="J152:O152" si="306">abs(C152-C151)/200</f>
        <v>0.00015</v>
      </c>
      <c r="K152" s="7">
        <f t="shared" si="306"/>
        <v>0.0009</v>
      </c>
      <c r="L152" s="7">
        <f t="shared" si="306"/>
        <v>0.0002</v>
      </c>
      <c r="M152" s="7">
        <f t="shared" si="306"/>
        <v>0</v>
      </c>
      <c r="N152" s="7">
        <f t="shared" si="306"/>
        <v>0.0002</v>
      </c>
      <c r="O152" s="7">
        <f t="shared" si="306"/>
        <v>0</v>
      </c>
      <c r="P152" s="7">
        <f t="shared" si="9"/>
        <v>0.003831950468</v>
      </c>
      <c r="Q152" s="7">
        <f t="shared" si="10"/>
        <v>0.02768221085</v>
      </c>
      <c r="R152" s="7">
        <f t="shared" si="3"/>
        <v>0.9951331627</v>
      </c>
      <c r="S152" s="7">
        <f t="shared" si="4"/>
        <v>0.1063014581</v>
      </c>
      <c r="T152" s="7">
        <f t="shared" si="5"/>
        <v>1</v>
      </c>
      <c r="U152" s="7">
        <f t="shared" si="6"/>
        <v>0</v>
      </c>
      <c r="V152" s="7">
        <f t="shared" ref="V152:W152" si="307">IF(AVERAGE(T92:T151) &gt; 0.25, 1, 0)</f>
        <v>1</v>
      </c>
      <c r="W152" s="7">
        <f t="shared" si="307"/>
        <v>0</v>
      </c>
      <c r="X152" s="8">
        <v>1.0</v>
      </c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ht="22.5" customHeight="1">
      <c r="A153" s="6">
        <v>1352.0</v>
      </c>
      <c r="B153" s="6">
        <v>31247.0</v>
      </c>
      <c r="C153" s="6">
        <v>2.21</v>
      </c>
      <c r="D153" s="6">
        <v>-0.25</v>
      </c>
      <c r="E153" s="6">
        <v>10.53</v>
      </c>
      <c r="F153" s="6">
        <v>-0.13</v>
      </c>
      <c r="G153" s="6">
        <v>0.04</v>
      </c>
      <c r="H153" s="6">
        <v>0.01</v>
      </c>
      <c r="I153" s="6">
        <v>33.32</v>
      </c>
      <c r="J153" s="7">
        <f t="shared" ref="J153:O153" si="308">abs(C153-C152)/200</f>
        <v>0.0001</v>
      </c>
      <c r="K153" s="7">
        <f t="shared" si="308"/>
        <v>0.00015</v>
      </c>
      <c r="L153" s="7">
        <f t="shared" si="308"/>
        <v>0.00015</v>
      </c>
      <c r="M153" s="7">
        <f t="shared" si="308"/>
        <v>0.00015</v>
      </c>
      <c r="N153" s="7">
        <f t="shared" si="308"/>
        <v>0.00005</v>
      </c>
      <c r="O153" s="7">
        <f t="shared" si="308"/>
        <v>0.00015</v>
      </c>
      <c r="P153" s="7">
        <f t="shared" si="9"/>
        <v>0.03008035884</v>
      </c>
      <c r="Q153" s="7">
        <f t="shared" si="10"/>
        <v>0.03281463924</v>
      </c>
      <c r="R153" s="7">
        <f t="shared" si="3"/>
        <v>0.9623185234</v>
      </c>
      <c r="S153" s="7">
        <f t="shared" si="4"/>
        <v>0.136381817</v>
      </c>
      <c r="T153" s="7">
        <f t="shared" si="5"/>
        <v>0</v>
      </c>
      <c r="U153" s="7">
        <f t="shared" si="6"/>
        <v>0</v>
      </c>
      <c r="V153" s="7">
        <f t="shared" ref="V153:W153" si="309">IF(AVERAGE(T93:T152) &gt; 0.25, 1, 0)</f>
        <v>1</v>
      </c>
      <c r="W153" s="7">
        <f t="shared" si="309"/>
        <v>0</v>
      </c>
      <c r="X153" s="8">
        <v>1.0</v>
      </c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ht="22.5" customHeight="1">
      <c r="A154" s="6">
        <v>1353.0</v>
      </c>
      <c r="B154" s="6">
        <v>31451.0</v>
      </c>
      <c r="C154" s="6">
        <v>2.19</v>
      </c>
      <c r="D154" s="6">
        <v>-0.72</v>
      </c>
      <c r="E154" s="6">
        <v>10.54</v>
      </c>
      <c r="F154" s="6">
        <v>-0.07</v>
      </c>
      <c r="G154" s="6">
        <v>0.0</v>
      </c>
      <c r="H154" s="6">
        <v>0.02</v>
      </c>
      <c r="I154" s="6">
        <v>33.32</v>
      </c>
      <c r="J154" s="7">
        <f t="shared" ref="J154:O154" si="310">abs(C154-C153)/200</f>
        <v>0.0001</v>
      </c>
      <c r="K154" s="7">
        <f t="shared" si="310"/>
        <v>0.00235</v>
      </c>
      <c r="L154" s="7">
        <f t="shared" si="310"/>
        <v>0.00005</v>
      </c>
      <c r="M154" s="7">
        <f t="shared" si="310"/>
        <v>0.0003</v>
      </c>
      <c r="N154" s="7">
        <f t="shared" si="310"/>
        <v>0.0002</v>
      </c>
      <c r="O154" s="7">
        <f t="shared" si="310"/>
        <v>0.00005</v>
      </c>
      <c r="P154" s="7">
        <f t="shared" si="9"/>
        <v>0.06358071808</v>
      </c>
      <c r="Q154" s="7">
        <f t="shared" si="10"/>
        <v>0.02684733866</v>
      </c>
      <c r="R154" s="7">
        <f t="shared" si="3"/>
        <v>0.9891658621</v>
      </c>
      <c r="S154" s="7">
        <f t="shared" si="4"/>
        <v>0.07280109889</v>
      </c>
      <c r="T154" s="7">
        <f t="shared" si="5"/>
        <v>1</v>
      </c>
      <c r="U154" s="7">
        <f t="shared" si="6"/>
        <v>0</v>
      </c>
      <c r="V154" s="7">
        <f t="shared" ref="V154:W154" si="311">IF(AVERAGE(T94:T153) &gt; 0.25, 1, 0)</f>
        <v>1</v>
      </c>
      <c r="W154" s="7">
        <f t="shared" si="311"/>
        <v>0</v>
      </c>
      <c r="X154" s="8">
        <v>1.0</v>
      </c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ht="22.5" customHeight="1">
      <c r="A155" s="6">
        <v>1354.0</v>
      </c>
      <c r="B155" s="6">
        <v>31655.0</v>
      </c>
      <c r="C155" s="6">
        <v>2.23</v>
      </c>
      <c r="D155" s="6">
        <v>-0.56</v>
      </c>
      <c r="E155" s="6">
        <v>10.55</v>
      </c>
      <c r="F155" s="6">
        <v>-0.09</v>
      </c>
      <c r="G155" s="6">
        <v>-0.02</v>
      </c>
      <c r="H155" s="6">
        <v>-0.01</v>
      </c>
      <c r="I155" s="6">
        <v>33.33</v>
      </c>
      <c r="J155" s="7">
        <f t="shared" ref="J155:O155" si="312">abs(C155-C154)/200</f>
        <v>0.0002</v>
      </c>
      <c r="K155" s="7">
        <f t="shared" si="312"/>
        <v>0.0008</v>
      </c>
      <c r="L155" s="7">
        <f t="shared" si="312"/>
        <v>0.00005</v>
      </c>
      <c r="M155" s="7">
        <f t="shared" si="312"/>
        <v>0.0001</v>
      </c>
      <c r="N155" s="7">
        <f t="shared" si="312"/>
        <v>0.0001</v>
      </c>
      <c r="O155" s="7">
        <f t="shared" si="312"/>
        <v>0.00015</v>
      </c>
      <c r="P155" s="7">
        <f t="shared" si="9"/>
        <v>0.01993508606</v>
      </c>
      <c r="Q155" s="7">
        <f t="shared" si="10"/>
        <v>0.008472768633</v>
      </c>
      <c r="R155" s="7">
        <f t="shared" si="3"/>
        <v>0.9976386307</v>
      </c>
      <c r="S155" s="7">
        <f t="shared" si="4"/>
        <v>0.09273618495</v>
      </c>
      <c r="T155" s="7">
        <f t="shared" si="5"/>
        <v>1</v>
      </c>
      <c r="U155" s="7">
        <f t="shared" si="6"/>
        <v>0</v>
      </c>
      <c r="V155" s="7">
        <f t="shared" ref="V155:W155" si="313">IF(AVERAGE(T95:T154) &gt; 0.25, 1, 0)</f>
        <v>1</v>
      </c>
      <c r="W155" s="7">
        <f t="shared" si="313"/>
        <v>0</v>
      </c>
      <c r="X155" s="8">
        <v>1.0</v>
      </c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ht="22.5" customHeight="1">
      <c r="A156" s="6">
        <v>1355.0</v>
      </c>
      <c r="B156" s="6">
        <v>31859.0</v>
      </c>
      <c r="C156" s="6">
        <v>2.18</v>
      </c>
      <c r="D156" s="6">
        <v>-0.45</v>
      </c>
      <c r="E156" s="6">
        <v>10.59</v>
      </c>
      <c r="F156" s="6">
        <v>-0.12</v>
      </c>
      <c r="G156" s="6">
        <v>0.0</v>
      </c>
      <c r="H156" s="6">
        <v>0.01</v>
      </c>
      <c r="I156" s="6">
        <v>33.32</v>
      </c>
      <c r="J156" s="7">
        <f t="shared" ref="J156:O156" si="314">abs(C156-C155)/200</f>
        <v>0.00025</v>
      </c>
      <c r="K156" s="7">
        <f t="shared" si="314"/>
        <v>0.00055</v>
      </c>
      <c r="L156" s="7">
        <f t="shared" si="314"/>
        <v>0.0002</v>
      </c>
      <c r="M156" s="7">
        <f t="shared" si="314"/>
        <v>0.00015</v>
      </c>
      <c r="N156" s="7">
        <f t="shared" si="314"/>
        <v>0.0001</v>
      </c>
      <c r="O156" s="7">
        <f t="shared" si="314"/>
        <v>0.0001</v>
      </c>
      <c r="P156" s="7">
        <f t="shared" si="9"/>
        <v>0.02767976083</v>
      </c>
      <c r="Q156" s="7">
        <f t="shared" si="10"/>
        <v>0.02377532493</v>
      </c>
      <c r="R156" s="7">
        <f t="shared" si="3"/>
        <v>1.021413956</v>
      </c>
      <c r="S156" s="7">
        <f t="shared" si="4"/>
        <v>0.1204159458</v>
      </c>
      <c r="T156" s="7">
        <f t="shared" si="5"/>
        <v>1</v>
      </c>
      <c r="U156" s="7">
        <f t="shared" si="6"/>
        <v>0</v>
      </c>
      <c r="V156" s="7">
        <f t="shared" ref="V156:W156" si="315">IF(AVERAGE(T96:T155) &gt; 0.25, 1, 0)</f>
        <v>1</v>
      </c>
      <c r="W156" s="7">
        <f t="shared" si="315"/>
        <v>0</v>
      </c>
      <c r="X156" s="8">
        <v>1.0</v>
      </c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ht="22.5" customHeight="1">
      <c r="A157" s="6">
        <v>1356.0</v>
      </c>
      <c r="B157" s="6">
        <v>32063.0</v>
      </c>
      <c r="C157" s="6">
        <v>2.23</v>
      </c>
      <c r="D157" s="6">
        <v>-0.57</v>
      </c>
      <c r="E157" s="6">
        <v>10.52</v>
      </c>
      <c r="F157" s="6">
        <v>-0.1</v>
      </c>
      <c r="G157" s="6">
        <v>0.0</v>
      </c>
      <c r="H157" s="6">
        <v>0.05</v>
      </c>
      <c r="I157" s="6">
        <v>33.33</v>
      </c>
      <c r="J157" s="7">
        <f t="shared" ref="J157:O157" si="316">abs(C157-C156)/200</f>
        <v>0.00025</v>
      </c>
      <c r="K157" s="7">
        <f t="shared" si="316"/>
        <v>0.0006</v>
      </c>
      <c r="L157" s="7">
        <f t="shared" si="316"/>
        <v>0.00035</v>
      </c>
      <c r="M157" s="7">
        <f t="shared" si="316"/>
        <v>0.0001</v>
      </c>
      <c r="N157" s="7">
        <f t="shared" si="316"/>
        <v>0</v>
      </c>
      <c r="O157" s="7">
        <f t="shared" si="316"/>
        <v>0.0002</v>
      </c>
      <c r="P157" s="7">
        <f t="shared" si="9"/>
        <v>0.008612546913</v>
      </c>
      <c r="Q157" s="7">
        <f t="shared" si="10"/>
        <v>0.05256072053</v>
      </c>
      <c r="R157" s="7">
        <f t="shared" si="3"/>
        <v>0.9688532351</v>
      </c>
      <c r="S157" s="7">
        <f t="shared" si="4"/>
        <v>0.1118033989</v>
      </c>
      <c r="T157" s="7">
        <f t="shared" si="5"/>
        <v>1</v>
      </c>
      <c r="U157" s="7">
        <f t="shared" si="6"/>
        <v>0</v>
      </c>
      <c r="V157" s="7">
        <f t="shared" ref="V157:W157" si="317">IF(AVERAGE(T97:T156) &gt; 0.25, 1, 0)</f>
        <v>1</v>
      </c>
      <c r="W157" s="7">
        <f t="shared" si="317"/>
        <v>0</v>
      </c>
      <c r="X157" s="8">
        <v>1.0</v>
      </c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ht="22.5" customHeight="1">
      <c r="A158" s="6">
        <v>1357.0</v>
      </c>
      <c r="B158" s="6">
        <v>32267.0</v>
      </c>
      <c r="C158" s="6">
        <v>2.2</v>
      </c>
      <c r="D158" s="6">
        <v>-0.77</v>
      </c>
      <c r="E158" s="6">
        <v>10.51</v>
      </c>
      <c r="F158" s="6">
        <v>-0.09</v>
      </c>
      <c r="G158" s="6">
        <v>0.0</v>
      </c>
      <c r="H158" s="6">
        <v>0.02</v>
      </c>
      <c r="I158" s="6">
        <v>33.32</v>
      </c>
      <c r="J158" s="7">
        <f t="shared" ref="J158:O158" si="318">abs(C158-C157)/200</f>
        <v>0.00015</v>
      </c>
      <c r="K158" s="7">
        <f t="shared" si="318"/>
        <v>0.001</v>
      </c>
      <c r="L158" s="7">
        <f t="shared" si="318"/>
        <v>0.00005</v>
      </c>
      <c r="M158" s="7">
        <f t="shared" si="318"/>
        <v>0.00005</v>
      </c>
      <c r="N158" s="7">
        <f t="shared" si="318"/>
        <v>0</v>
      </c>
      <c r="O158" s="7">
        <f t="shared" si="318"/>
        <v>0.00015</v>
      </c>
      <c r="P158" s="7">
        <f t="shared" si="9"/>
        <v>0.0196079543</v>
      </c>
      <c r="Q158" s="7">
        <f t="shared" si="10"/>
        <v>0.003492117185</v>
      </c>
      <c r="R158" s="7">
        <f t="shared" si="3"/>
        <v>0.965361118</v>
      </c>
      <c r="S158" s="7">
        <f t="shared" si="4"/>
        <v>0.09219544457</v>
      </c>
      <c r="T158" s="7">
        <f t="shared" si="5"/>
        <v>1</v>
      </c>
      <c r="U158" s="7">
        <f t="shared" si="6"/>
        <v>0</v>
      </c>
      <c r="V158" s="7">
        <f t="shared" ref="V158:W158" si="319">IF(AVERAGE(T98:T157) &gt; 0.25, 1, 0)</f>
        <v>1</v>
      </c>
      <c r="W158" s="7">
        <f t="shared" si="319"/>
        <v>0</v>
      </c>
      <c r="X158" s="8">
        <v>1.0</v>
      </c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ht="22.5" customHeight="1">
      <c r="A159" s="6">
        <v>1358.0</v>
      </c>
      <c r="B159" s="6">
        <v>32471.0</v>
      </c>
      <c r="C159" s="6">
        <v>2.17</v>
      </c>
      <c r="D159" s="6">
        <v>-0.39</v>
      </c>
      <c r="E159" s="6">
        <v>10.51</v>
      </c>
      <c r="F159" s="6">
        <v>-0.11</v>
      </c>
      <c r="G159" s="6">
        <v>-0.01</v>
      </c>
      <c r="H159" s="6">
        <v>-0.06</v>
      </c>
      <c r="I159" s="6">
        <v>33.32</v>
      </c>
      <c r="J159" s="7">
        <f t="shared" ref="J159:O159" si="320">abs(C159-C158)/200</f>
        <v>0.00015</v>
      </c>
      <c r="K159" s="7">
        <f t="shared" si="320"/>
        <v>0.0019</v>
      </c>
      <c r="L159" s="7">
        <f t="shared" si="320"/>
        <v>0</v>
      </c>
      <c r="M159" s="7">
        <f t="shared" si="320"/>
        <v>0.0001</v>
      </c>
      <c r="N159" s="7">
        <f t="shared" si="320"/>
        <v>0.00005</v>
      </c>
      <c r="O159" s="7">
        <f t="shared" si="320"/>
        <v>0.0004</v>
      </c>
      <c r="P159" s="7">
        <f t="shared" si="9"/>
        <v>0.03350260633</v>
      </c>
      <c r="Q159" s="7">
        <f t="shared" si="10"/>
        <v>0.0265948946</v>
      </c>
      <c r="R159" s="7">
        <f t="shared" si="3"/>
        <v>0.9387662234</v>
      </c>
      <c r="S159" s="7">
        <f t="shared" si="4"/>
        <v>0.1256980509</v>
      </c>
      <c r="T159" s="7">
        <f t="shared" si="5"/>
        <v>1</v>
      </c>
      <c r="U159" s="7">
        <f t="shared" si="6"/>
        <v>1</v>
      </c>
      <c r="V159" s="7">
        <f t="shared" ref="V159:W159" si="321">IF(AVERAGE(T99:T158) &gt; 0.25, 1, 0)</f>
        <v>1</v>
      </c>
      <c r="W159" s="7">
        <f t="shared" si="321"/>
        <v>0</v>
      </c>
      <c r="X159" s="8">
        <v>1.0</v>
      </c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ht="22.5" customHeight="1">
      <c r="A160" s="6">
        <v>1359.0</v>
      </c>
      <c r="B160" s="6">
        <v>32675.0</v>
      </c>
      <c r="C160" s="6">
        <v>2.23</v>
      </c>
      <c r="D160" s="6">
        <v>-0.4</v>
      </c>
      <c r="E160" s="6">
        <v>10.53</v>
      </c>
      <c r="F160" s="6">
        <v>-0.1</v>
      </c>
      <c r="G160" s="6">
        <v>-0.02</v>
      </c>
      <c r="H160" s="6">
        <v>-0.01</v>
      </c>
      <c r="I160" s="6">
        <v>33.33</v>
      </c>
      <c r="J160" s="7">
        <f t="shared" ref="J160:O160" si="322">abs(C160-C159)/200</f>
        <v>0.0003</v>
      </c>
      <c r="K160" s="7">
        <f t="shared" si="322"/>
        <v>0.00005</v>
      </c>
      <c r="L160" s="7">
        <f t="shared" si="322"/>
        <v>0.0001</v>
      </c>
      <c r="M160" s="7">
        <f t="shared" si="322"/>
        <v>0.00005</v>
      </c>
      <c r="N160" s="7">
        <f t="shared" si="322"/>
        <v>0.00005</v>
      </c>
      <c r="O160" s="7">
        <f t="shared" si="322"/>
        <v>0.00025</v>
      </c>
      <c r="P160" s="7">
        <f t="shared" si="9"/>
        <v>0.02322854324</v>
      </c>
      <c r="Q160" s="7">
        <f t="shared" si="10"/>
        <v>0.03220402077</v>
      </c>
      <c r="R160" s="7">
        <f t="shared" si="3"/>
        <v>0.9709702441</v>
      </c>
      <c r="S160" s="7">
        <f t="shared" si="4"/>
        <v>0.1024695077</v>
      </c>
      <c r="T160" s="7">
        <f t="shared" si="5"/>
        <v>0</v>
      </c>
      <c r="U160" s="7">
        <f t="shared" si="6"/>
        <v>0</v>
      </c>
      <c r="V160" s="7">
        <f t="shared" ref="V160:W160" si="323">IF(AVERAGE(T100:T159) &gt; 0.25, 1, 0)</f>
        <v>1</v>
      </c>
      <c r="W160" s="7">
        <f t="shared" si="323"/>
        <v>0</v>
      </c>
      <c r="X160" s="8">
        <v>1.0</v>
      </c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ht="22.5" customHeight="1">
      <c r="A161" s="6">
        <v>1360.0</v>
      </c>
      <c r="B161" s="6">
        <v>32879.0</v>
      </c>
      <c r="C161" s="6">
        <v>2.26</v>
      </c>
      <c r="D161" s="6">
        <v>-0.5</v>
      </c>
      <c r="E161" s="6">
        <v>10.51</v>
      </c>
      <c r="F161" s="6">
        <v>-0.07</v>
      </c>
      <c r="G161" s="6">
        <v>-0.01</v>
      </c>
      <c r="H161" s="6">
        <v>-0.03</v>
      </c>
      <c r="I161" s="6">
        <v>33.34</v>
      </c>
      <c r="J161" s="7">
        <f t="shared" ref="J161:O161" si="324">abs(C161-C160)/200</f>
        <v>0.00015</v>
      </c>
      <c r="K161" s="7">
        <f t="shared" si="324"/>
        <v>0.0005</v>
      </c>
      <c r="L161" s="7">
        <f t="shared" si="324"/>
        <v>0.0001</v>
      </c>
      <c r="M161" s="7">
        <f t="shared" si="324"/>
        <v>0.00015</v>
      </c>
      <c r="N161" s="7">
        <f t="shared" si="324"/>
        <v>0.00005</v>
      </c>
      <c r="O161" s="7">
        <f t="shared" si="324"/>
        <v>0.0001</v>
      </c>
      <c r="P161" s="7">
        <f t="shared" si="9"/>
        <v>0.02565805018</v>
      </c>
      <c r="Q161" s="7">
        <f t="shared" si="10"/>
        <v>0.009107022553</v>
      </c>
      <c r="R161" s="7">
        <f t="shared" si="3"/>
        <v>0.9618632216</v>
      </c>
      <c r="S161" s="7">
        <f t="shared" si="4"/>
        <v>0.07681145748</v>
      </c>
      <c r="T161" s="7">
        <f t="shared" si="5"/>
        <v>1</v>
      </c>
      <c r="U161" s="7">
        <f t="shared" si="6"/>
        <v>0</v>
      </c>
      <c r="V161" s="7">
        <f t="shared" ref="V161:W161" si="325">IF(AVERAGE(T101:T160) &gt; 0.25, 1, 0)</f>
        <v>1</v>
      </c>
      <c r="W161" s="7">
        <f t="shared" si="325"/>
        <v>0</v>
      </c>
      <c r="X161" s="8">
        <v>1.0</v>
      </c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ht="22.5" customHeight="1">
      <c r="A162" s="6">
        <v>1361.0</v>
      </c>
      <c r="B162" s="6">
        <v>33083.0</v>
      </c>
      <c r="C162" s="6">
        <v>2.33</v>
      </c>
      <c r="D162" s="6">
        <v>-0.42</v>
      </c>
      <c r="E162" s="6">
        <v>10.55</v>
      </c>
      <c r="F162" s="6">
        <v>-0.09</v>
      </c>
      <c r="G162" s="6">
        <v>-0.03</v>
      </c>
      <c r="H162" s="6">
        <v>-0.03</v>
      </c>
      <c r="I162" s="6">
        <v>33.33</v>
      </c>
      <c r="J162" s="7">
        <f t="shared" ref="J162:O162" si="326">abs(C162-C161)/200</f>
        <v>0.00035</v>
      </c>
      <c r="K162" s="7">
        <f t="shared" si="326"/>
        <v>0.0004</v>
      </c>
      <c r="L162" s="7">
        <f t="shared" si="326"/>
        <v>0.0002</v>
      </c>
      <c r="M162" s="7">
        <f t="shared" si="326"/>
        <v>0.0001</v>
      </c>
      <c r="N162" s="7">
        <f t="shared" si="326"/>
        <v>0.0001</v>
      </c>
      <c r="O162" s="7">
        <f t="shared" si="326"/>
        <v>0</v>
      </c>
      <c r="P162" s="7">
        <f t="shared" si="9"/>
        <v>0.02268728623</v>
      </c>
      <c r="Q162" s="7">
        <f t="shared" si="10"/>
        <v>0.05052781833</v>
      </c>
      <c r="R162" s="7">
        <f t="shared" si="3"/>
        <v>1.01239104</v>
      </c>
      <c r="S162" s="7">
        <f t="shared" si="4"/>
        <v>0.09949874371</v>
      </c>
      <c r="T162" s="7">
        <f t="shared" si="5"/>
        <v>1</v>
      </c>
      <c r="U162" s="7">
        <f t="shared" si="6"/>
        <v>0</v>
      </c>
      <c r="V162" s="7">
        <f t="shared" ref="V162:W162" si="327">IF(AVERAGE(T102:T161) &gt; 0.25, 1, 0)</f>
        <v>1</v>
      </c>
      <c r="W162" s="7">
        <f t="shared" si="327"/>
        <v>0</v>
      </c>
      <c r="X162" s="8">
        <v>1.0</v>
      </c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ht="22.5" customHeight="1">
      <c r="A163" s="6">
        <v>1362.0</v>
      </c>
      <c r="B163" s="6">
        <v>33287.0</v>
      </c>
      <c r="C163" s="6">
        <v>2.28</v>
      </c>
      <c r="D163" s="6">
        <v>-0.27</v>
      </c>
      <c r="E163" s="6">
        <v>10.53</v>
      </c>
      <c r="F163" s="6">
        <v>-0.08</v>
      </c>
      <c r="G163" s="6">
        <v>0.08</v>
      </c>
      <c r="H163" s="6">
        <v>-0.03</v>
      </c>
      <c r="I163" s="6">
        <v>33.32</v>
      </c>
      <c r="J163" s="7">
        <f t="shared" ref="J163:O163" si="328">abs(C163-C162)/200</f>
        <v>0.00025</v>
      </c>
      <c r="K163" s="7">
        <f t="shared" si="328"/>
        <v>0.00075</v>
      </c>
      <c r="L163" s="7">
        <f t="shared" si="328"/>
        <v>0.0001</v>
      </c>
      <c r="M163" s="7">
        <f t="shared" si="328"/>
        <v>0.00005</v>
      </c>
      <c r="N163" s="7">
        <f t="shared" si="328"/>
        <v>0.00055</v>
      </c>
      <c r="O163" s="7">
        <f t="shared" si="328"/>
        <v>0</v>
      </c>
      <c r="P163" s="7">
        <f t="shared" si="9"/>
        <v>0.0175482554</v>
      </c>
      <c r="Q163" s="7">
        <f t="shared" si="10"/>
        <v>0.03499803418</v>
      </c>
      <c r="R163" s="7">
        <f t="shared" si="3"/>
        <v>0.9773930057</v>
      </c>
      <c r="S163" s="7">
        <f t="shared" si="4"/>
        <v>0.1170469991</v>
      </c>
      <c r="T163" s="7">
        <f t="shared" si="5"/>
        <v>1</v>
      </c>
      <c r="U163" s="7">
        <f t="shared" si="6"/>
        <v>1</v>
      </c>
      <c r="V163" s="7">
        <f t="shared" ref="V163:W163" si="329">IF(AVERAGE(T103:T162) &gt; 0.25, 1, 0)</f>
        <v>1</v>
      </c>
      <c r="W163" s="7">
        <f t="shared" si="329"/>
        <v>0</v>
      </c>
      <c r="X163" s="8">
        <v>1.0</v>
      </c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ht="22.5" customHeight="1">
      <c r="A164" s="6">
        <v>1363.0</v>
      </c>
      <c r="B164" s="6">
        <v>33491.0</v>
      </c>
      <c r="C164" s="6">
        <v>2.19</v>
      </c>
      <c r="D164" s="6">
        <v>-0.41</v>
      </c>
      <c r="E164" s="6">
        <v>10.54</v>
      </c>
      <c r="F164" s="6">
        <v>-0.1</v>
      </c>
      <c r="G164" s="6">
        <v>0.03</v>
      </c>
      <c r="H164" s="6">
        <v>-0.02</v>
      </c>
      <c r="I164" s="6">
        <v>33.32</v>
      </c>
      <c r="J164" s="7">
        <f t="shared" ref="J164:O164" si="330">abs(C164-C163)/200</f>
        <v>0.00045</v>
      </c>
      <c r="K164" s="7">
        <f t="shared" si="330"/>
        <v>0.0007</v>
      </c>
      <c r="L164" s="7">
        <f t="shared" si="330"/>
        <v>0.00005</v>
      </c>
      <c r="M164" s="7">
        <f t="shared" si="330"/>
        <v>0.0001</v>
      </c>
      <c r="N164" s="7">
        <f t="shared" si="330"/>
        <v>0.00025</v>
      </c>
      <c r="O164" s="7">
        <f t="shared" si="330"/>
        <v>0.00005</v>
      </c>
      <c r="P164" s="7">
        <f t="shared" si="9"/>
        <v>0.01074554098</v>
      </c>
      <c r="Q164" s="7">
        <f t="shared" si="10"/>
        <v>0.004473252944</v>
      </c>
      <c r="R164" s="7">
        <f t="shared" si="3"/>
        <v>0.9729197528</v>
      </c>
      <c r="S164" s="7">
        <f t="shared" si="4"/>
        <v>0.1063014581</v>
      </c>
      <c r="T164" s="7">
        <f t="shared" si="5"/>
        <v>1</v>
      </c>
      <c r="U164" s="7">
        <f t="shared" si="6"/>
        <v>0</v>
      </c>
      <c r="V164" s="7">
        <f t="shared" ref="V164:W164" si="331">IF(AVERAGE(T104:T163) &gt; 0.25, 1, 0)</f>
        <v>1</v>
      </c>
      <c r="W164" s="7">
        <f t="shared" si="331"/>
        <v>0</v>
      </c>
      <c r="X164" s="8">
        <v>1.0</v>
      </c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ht="22.5" customHeight="1">
      <c r="A165" s="6">
        <v>1364.0</v>
      </c>
      <c r="B165" s="6">
        <v>33695.0</v>
      </c>
      <c r="C165" s="6">
        <v>2.35</v>
      </c>
      <c r="D165" s="6">
        <v>-0.79</v>
      </c>
      <c r="E165" s="6">
        <v>10.47</v>
      </c>
      <c r="F165" s="6">
        <v>-0.1</v>
      </c>
      <c r="G165" s="6">
        <v>0.0</v>
      </c>
      <c r="H165" s="6">
        <v>0.07</v>
      </c>
      <c r="I165" s="6">
        <v>33.34</v>
      </c>
      <c r="J165" s="7">
        <f t="shared" ref="J165:O165" si="332">abs(C165-C164)/200</f>
        <v>0.0008</v>
      </c>
      <c r="K165" s="7">
        <f t="shared" si="332"/>
        <v>0.0019</v>
      </c>
      <c r="L165" s="7">
        <f t="shared" si="332"/>
        <v>0.00035</v>
      </c>
      <c r="M165" s="7">
        <f t="shared" si="332"/>
        <v>0</v>
      </c>
      <c r="N165" s="7">
        <f t="shared" si="332"/>
        <v>0.00015</v>
      </c>
      <c r="O165" s="7">
        <f t="shared" si="332"/>
        <v>0.00045</v>
      </c>
      <c r="P165" s="7">
        <f t="shared" si="9"/>
        <v>0.01576409803</v>
      </c>
      <c r="Q165" s="7">
        <f t="shared" si="10"/>
        <v>0.01338909388</v>
      </c>
      <c r="R165" s="7">
        <f t="shared" si="3"/>
        <v>0.9595306589</v>
      </c>
      <c r="S165" s="7">
        <f t="shared" si="4"/>
        <v>0.1220655562</v>
      </c>
      <c r="T165" s="7">
        <f t="shared" si="5"/>
        <v>1</v>
      </c>
      <c r="U165" s="7">
        <f t="shared" si="6"/>
        <v>1</v>
      </c>
      <c r="V165" s="7">
        <f t="shared" ref="V165:W165" si="333">IF(AVERAGE(T105:T164) &gt; 0.25, 1, 0)</f>
        <v>1</v>
      </c>
      <c r="W165" s="7">
        <f t="shared" si="333"/>
        <v>0</v>
      </c>
      <c r="X165" s="8">
        <v>1.0</v>
      </c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ht="22.5" customHeight="1">
      <c r="A166" s="6">
        <v>1365.0</v>
      </c>
      <c r="B166" s="6">
        <v>33899.0</v>
      </c>
      <c r="C166" s="6">
        <v>2.39</v>
      </c>
      <c r="D166" s="6">
        <v>-0.66</v>
      </c>
      <c r="E166" s="6">
        <v>10.4</v>
      </c>
      <c r="F166" s="6">
        <v>-0.09</v>
      </c>
      <c r="G166" s="6">
        <v>-0.04</v>
      </c>
      <c r="H166" s="6">
        <v>0.3</v>
      </c>
      <c r="I166" s="6">
        <v>33.32</v>
      </c>
      <c r="J166" s="7">
        <f t="shared" ref="J166:O166" si="334">abs(C166-C165)/200</f>
        <v>0.0002</v>
      </c>
      <c r="K166" s="7">
        <f t="shared" si="334"/>
        <v>0.00065</v>
      </c>
      <c r="L166" s="7">
        <f t="shared" si="334"/>
        <v>0.00035</v>
      </c>
      <c r="M166" s="7">
        <f t="shared" si="334"/>
        <v>0.00005</v>
      </c>
      <c r="N166" s="7">
        <f t="shared" si="334"/>
        <v>0.0002</v>
      </c>
      <c r="O166" s="7">
        <f t="shared" si="334"/>
        <v>0.00115</v>
      </c>
      <c r="P166" s="7">
        <f t="shared" si="9"/>
        <v>0.1936875119</v>
      </c>
      <c r="Q166" s="7">
        <f t="shared" si="10"/>
        <v>0.06805274423</v>
      </c>
      <c r="R166" s="7">
        <f t="shared" si="3"/>
        <v>0.8914779147</v>
      </c>
      <c r="S166" s="7">
        <f t="shared" si="4"/>
        <v>0.3157530681</v>
      </c>
      <c r="T166" s="7">
        <f t="shared" si="5"/>
        <v>1</v>
      </c>
      <c r="U166" s="7">
        <f t="shared" si="6"/>
        <v>1</v>
      </c>
      <c r="V166" s="7">
        <f t="shared" ref="V166:W166" si="335">IF(AVERAGE(T106:T165) &gt; 0.25, 1, 0)</f>
        <v>1</v>
      </c>
      <c r="W166" s="7">
        <f t="shared" si="335"/>
        <v>0</v>
      </c>
      <c r="X166" s="8">
        <v>1.0</v>
      </c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ht="22.5" customHeight="1">
      <c r="A167" s="6">
        <v>1366.0</v>
      </c>
      <c r="B167" s="6">
        <v>34103.0</v>
      </c>
      <c r="C167" s="6">
        <v>2.35</v>
      </c>
      <c r="D167" s="6">
        <v>-0.79</v>
      </c>
      <c r="E167" s="6">
        <v>10.51</v>
      </c>
      <c r="F167" s="6">
        <v>-0.16</v>
      </c>
      <c r="G167" s="6">
        <v>0.04</v>
      </c>
      <c r="H167" s="6">
        <v>-0.15</v>
      </c>
      <c r="I167" s="6">
        <v>33.32</v>
      </c>
      <c r="J167" s="7">
        <f t="shared" ref="J167:O167" si="336">abs(C167-C166)/200</f>
        <v>0.0002</v>
      </c>
      <c r="K167" s="7">
        <f t="shared" si="336"/>
        <v>0.00065</v>
      </c>
      <c r="L167" s="7">
        <f t="shared" si="336"/>
        <v>0.00055</v>
      </c>
      <c r="M167" s="7">
        <f t="shared" si="336"/>
        <v>0.00035</v>
      </c>
      <c r="N167" s="7">
        <f t="shared" si="336"/>
        <v>0.0004</v>
      </c>
      <c r="O167" s="7">
        <f t="shared" si="336"/>
        <v>0.00225</v>
      </c>
      <c r="P167" s="7">
        <f t="shared" si="9"/>
        <v>0.09281809998</v>
      </c>
      <c r="Q167" s="7">
        <f t="shared" si="10"/>
        <v>0.1069803086</v>
      </c>
      <c r="R167" s="7">
        <f t="shared" si="3"/>
        <v>0.9984582233</v>
      </c>
      <c r="S167" s="7">
        <f t="shared" si="4"/>
        <v>0.2229349681</v>
      </c>
      <c r="T167" s="7">
        <f t="shared" si="5"/>
        <v>1</v>
      </c>
      <c r="U167" s="7">
        <f t="shared" si="6"/>
        <v>1</v>
      </c>
      <c r="V167" s="7">
        <f t="shared" ref="V167:W167" si="337">IF(AVERAGE(T107:T166) &gt; 0.25, 1, 0)</f>
        <v>1</v>
      </c>
      <c r="W167" s="7">
        <f t="shared" si="337"/>
        <v>0</v>
      </c>
      <c r="X167" s="8">
        <v>1.0</v>
      </c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ht="22.5" customHeight="1">
      <c r="A168" s="6">
        <v>1367.0</v>
      </c>
      <c r="B168" s="6">
        <v>34307.0</v>
      </c>
      <c r="C168" s="6">
        <v>2.2</v>
      </c>
      <c r="D168" s="6">
        <v>-0.69</v>
      </c>
      <c r="E168" s="6">
        <v>10.6</v>
      </c>
      <c r="F168" s="6">
        <v>-0.14</v>
      </c>
      <c r="G168" s="6">
        <v>0.04</v>
      </c>
      <c r="H168" s="6">
        <v>-0.15</v>
      </c>
      <c r="I168" s="6">
        <v>33.33</v>
      </c>
      <c r="J168" s="7">
        <f t="shared" ref="J168:O168" si="338">abs(C168-C167)/200</f>
        <v>0.00075</v>
      </c>
      <c r="K168" s="7">
        <f t="shared" si="338"/>
        <v>0.0005</v>
      </c>
      <c r="L168" s="7">
        <f t="shared" si="338"/>
        <v>0.00045</v>
      </c>
      <c r="M168" s="7">
        <f t="shared" si="338"/>
        <v>0.0001</v>
      </c>
      <c r="N168" s="7">
        <f t="shared" si="338"/>
        <v>0</v>
      </c>
      <c r="O168" s="7">
        <f t="shared" si="338"/>
        <v>0</v>
      </c>
      <c r="P168" s="7">
        <f t="shared" si="9"/>
        <v>0.01388951849</v>
      </c>
      <c r="Q168" s="7">
        <f t="shared" si="10"/>
        <v>0.04940331713</v>
      </c>
      <c r="R168" s="7">
        <f t="shared" si="3"/>
        <v>1.04786154</v>
      </c>
      <c r="S168" s="7">
        <f t="shared" si="4"/>
        <v>0.2090454496</v>
      </c>
      <c r="T168" s="7">
        <f t="shared" si="5"/>
        <v>1</v>
      </c>
      <c r="U168" s="7">
        <f t="shared" si="6"/>
        <v>0</v>
      </c>
      <c r="V168" s="7">
        <f t="shared" ref="V168:W168" si="339">IF(AVERAGE(T108:T167) &gt; 0.25, 1, 0)</f>
        <v>1</v>
      </c>
      <c r="W168" s="7">
        <f t="shared" si="339"/>
        <v>0</v>
      </c>
      <c r="X168" s="8">
        <v>1.0</v>
      </c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ht="22.5" customHeight="1">
      <c r="A169" s="6">
        <v>1368.0</v>
      </c>
      <c r="B169" s="6">
        <v>34511.0</v>
      </c>
      <c r="C169" s="6">
        <v>1.76</v>
      </c>
      <c r="D169" s="6">
        <v>-0.48</v>
      </c>
      <c r="E169" s="6">
        <v>10.55</v>
      </c>
      <c r="F169" s="6">
        <v>-0.09</v>
      </c>
      <c r="G169" s="6">
        <v>0.0</v>
      </c>
      <c r="H169" s="6">
        <v>-0.19</v>
      </c>
      <c r="I169" s="6">
        <v>33.33</v>
      </c>
      <c r="J169" s="7">
        <f t="shared" ref="J169:O169" si="340">abs(C169-C168)/200</f>
        <v>0.0022</v>
      </c>
      <c r="K169" s="7">
        <f t="shared" si="340"/>
        <v>0.00105</v>
      </c>
      <c r="L169" s="7">
        <f t="shared" si="340"/>
        <v>0.00025</v>
      </c>
      <c r="M169" s="7">
        <f t="shared" si="340"/>
        <v>0.00025</v>
      </c>
      <c r="N169" s="7">
        <f t="shared" si="340"/>
        <v>0.0002</v>
      </c>
      <c r="O169" s="7">
        <f t="shared" si="340"/>
        <v>0.0002</v>
      </c>
      <c r="P169" s="7">
        <f t="shared" si="9"/>
        <v>0.001192510813</v>
      </c>
      <c r="Q169" s="7">
        <f t="shared" si="10"/>
        <v>0.1412981329</v>
      </c>
      <c r="R169" s="7">
        <f t="shared" si="3"/>
        <v>0.9065634076</v>
      </c>
      <c r="S169" s="7">
        <f t="shared" si="4"/>
        <v>0.2102379604</v>
      </c>
      <c r="T169" s="7">
        <f t="shared" si="5"/>
        <v>1</v>
      </c>
      <c r="U169" s="7">
        <f t="shared" si="6"/>
        <v>0</v>
      </c>
      <c r="V169" s="7">
        <f t="shared" ref="V169:W169" si="341">IF(AVERAGE(T109:T168) &gt; 0.25, 1, 0)</f>
        <v>1</v>
      </c>
      <c r="W169" s="7">
        <f t="shared" si="341"/>
        <v>0</v>
      </c>
      <c r="X169" s="8">
        <v>1.0</v>
      </c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ht="22.5" customHeight="1">
      <c r="A170" s="6">
        <v>1369.0</v>
      </c>
      <c r="B170" s="6">
        <v>34715.0</v>
      </c>
      <c r="C170" s="6">
        <v>1.95</v>
      </c>
      <c r="D170" s="6">
        <v>-0.52</v>
      </c>
      <c r="E170" s="6">
        <v>10.66</v>
      </c>
      <c r="F170" s="6">
        <v>-0.16</v>
      </c>
      <c r="G170" s="6">
        <v>-0.02</v>
      </c>
      <c r="H170" s="6">
        <v>-0.32</v>
      </c>
      <c r="I170" s="6">
        <v>33.34</v>
      </c>
      <c r="J170" s="7">
        <f t="shared" ref="J170:O170" si="342">abs(C170-C169)/200</f>
        <v>0.00095</v>
      </c>
      <c r="K170" s="7">
        <f t="shared" si="342"/>
        <v>0.0002</v>
      </c>
      <c r="L170" s="7">
        <f t="shared" si="342"/>
        <v>0.00055</v>
      </c>
      <c r="M170" s="7">
        <f t="shared" si="342"/>
        <v>0.00035</v>
      </c>
      <c r="N170" s="7">
        <f t="shared" si="342"/>
        <v>0.0001</v>
      </c>
      <c r="O170" s="7">
        <f t="shared" si="342"/>
        <v>0.00065</v>
      </c>
      <c r="P170" s="7">
        <f t="shared" si="9"/>
        <v>0.1480914969</v>
      </c>
      <c r="Q170" s="7">
        <f t="shared" si="10"/>
        <v>0.142791412</v>
      </c>
      <c r="R170" s="7">
        <f t="shared" si="3"/>
        <v>1.04935482</v>
      </c>
      <c r="S170" s="7">
        <f t="shared" si="4"/>
        <v>0.3583294573</v>
      </c>
      <c r="T170" s="7">
        <f t="shared" si="5"/>
        <v>1</v>
      </c>
      <c r="U170" s="7">
        <f t="shared" si="6"/>
        <v>1</v>
      </c>
      <c r="V170" s="7">
        <f t="shared" ref="V170:W170" si="343">IF(AVERAGE(T110:T169) &gt; 0.25, 1, 0)</f>
        <v>1</v>
      </c>
      <c r="W170" s="7">
        <f t="shared" si="343"/>
        <v>0</v>
      </c>
      <c r="X170" s="8">
        <v>1.0</v>
      </c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ht="22.5" customHeight="1">
      <c r="A171" s="6">
        <v>1370.0</v>
      </c>
      <c r="B171" s="6">
        <v>34919.0</v>
      </c>
      <c r="C171" s="6">
        <v>1.94</v>
      </c>
      <c r="D171" s="6">
        <v>-0.56</v>
      </c>
      <c r="E171" s="6">
        <v>10.4</v>
      </c>
      <c r="F171" s="6">
        <v>-0.13</v>
      </c>
      <c r="G171" s="6">
        <v>0.03</v>
      </c>
      <c r="H171" s="6">
        <v>-0.14</v>
      </c>
      <c r="I171" s="6">
        <v>33.33</v>
      </c>
      <c r="J171" s="7">
        <f t="shared" ref="J171:O171" si="344">abs(C171-C170)/200</f>
        <v>0.00005</v>
      </c>
      <c r="K171" s="7">
        <f t="shared" si="344"/>
        <v>0.0002</v>
      </c>
      <c r="L171" s="7">
        <f t="shared" si="344"/>
        <v>0.0013</v>
      </c>
      <c r="M171" s="7">
        <f t="shared" si="344"/>
        <v>0.00015</v>
      </c>
      <c r="N171" s="7">
        <f t="shared" si="344"/>
        <v>0.00025</v>
      </c>
      <c r="O171" s="7">
        <f t="shared" si="344"/>
        <v>0.0009</v>
      </c>
      <c r="P171" s="7">
        <f t="shared" si="9"/>
        <v>0.1649386613</v>
      </c>
      <c r="Q171" s="7">
        <f t="shared" si="10"/>
        <v>0.2551488559</v>
      </c>
      <c r="R171" s="7">
        <f t="shared" si="3"/>
        <v>0.7942059636</v>
      </c>
      <c r="S171" s="7">
        <f t="shared" si="4"/>
        <v>0.1933907961</v>
      </c>
      <c r="T171" s="7">
        <f t="shared" si="5"/>
        <v>1</v>
      </c>
      <c r="U171" s="7">
        <f t="shared" si="6"/>
        <v>1</v>
      </c>
      <c r="V171" s="7">
        <f t="shared" ref="V171:W171" si="345">IF(AVERAGE(T111:T170) &gt; 0.25, 1, 0)</f>
        <v>1</v>
      </c>
      <c r="W171" s="7">
        <f t="shared" si="345"/>
        <v>0</v>
      </c>
      <c r="X171" s="8">
        <v>1.0</v>
      </c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ht="22.5" customHeight="1">
      <c r="A172" s="6">
        <v>1371.0</v>
      </c>
      <c r="B172" s="6">
        <v>35123.0</v>
      </c>
      <c r="C172" s="6">
        <v>2.25</v>
      </c>
      <c r="D172" s="6">
        <v>-0.32</v>
      </c>
      <c r="E172" s="6">
        <v>10.33</v>
      </c>
      <c r="F172" s="6">
        <v>-0.11</v>
      </c>
      <c r="G172" s="6">
        <v>-0.07</v>
      </c>
      <c r="H172" s="6">
        <v>0.07</v>
      </c>
      <c r="I172" s="6">
        <v>33.35</v>
      </c>
      <c r="J172" s="7">
        <f t="shared" ref="J172:O172" si="346">abs(C172-C171)/200</f>
        <v>0.00155</v>
      </c>
      <c r="K172" s="7">
        <f t="shared" si="346"/>
        <v>0.0012</v>
      </c>
      <c r="L172" s="7">
        <f t="shared" si="346"/>
        <v>0.00035</v>
      </c>
      <c r="M172" s="7">
        <f t="shared" si="346"/>
        <v>0.0001</v>
      </c>
      <c r="N172" s="7">
        <f t="shared" si="346"/>
        <v>0.0005</v>
      </c>
      <c r="O172" s="7">
        <f t="shared" si="346"/>
        <v>0.00105</v>
      </c>
      <c r="P172" s="7">
        <f t="shared" si="9"/>
        <v>0.04540431019</v>
      </c>
      <c r="Q172" s="7">
        <f t="shared" si="10"/>
        <v>0.01716478947</v>
      </c>
      <c r="R172" s="7">
        <f t="shared" si="3"/>
        <v>0.7770411742</v>
      </c>
      <c r="S172" s="7">
        <f t="shared" si="4"/>
        <v>0.1479864859</v>
      </c>
      <c r="T172" s="7">
        <f t="shared" si="5"/>
        <v>1</v>
      </c>
      <c r="U172" s="7">
        <f t="shared" si="6"/>
        <v>1</v>
      </c>
      <c r="V172" s="7">
        <f t="shared" ref="V172:W172" si="347">IF(AVERAGE(T112:T171) &gt; 0.25, 1, 0)</f>
        <v>1</v>
      </c>
      <c r="W172" s="7">
        <f t="shared" si="347"/>
        <v>0</v>
      </c>
      <c r="X172" s="8">
        <v>1.0</v>
      </c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ht="22.5" customHeight="1">
      <c r="A173" s="6">
        <v>1372.0</v>
      </c>
      <c r="B173" s="6">
        <v>35327.0</v>
      </c>
      <c r="C173" s="6">
        <v>2.29</v>
      </c>
      <c r="D173" s="6">
        <v>-0.62</v>
      </c>
      <c r="E173" s="6">
        <v>10.46</v>
      </c>
      <c r="F173" s="6">
        <v>-0.12</v>
      </c>
      <c r="G173" s="6">
        <v>0.09</v>
      </c>
      <c r="H173" s="6">
        <v>0.09</v>
      </c>
      <c r="I173" s="6">
        <v>33.34</v>
      </c>
      <c r="J173" s="7">
        <f t="shared" ref="J173:O173" si="348">abs(C173-C172)/200</f>
        <v>0.0002</v>
      </c>
      <c r="K173" s="7">
        <f t="shared" si="348"/>
        <v>0.0015</v>
      </c>
      <c r="L173" s="7">
        <f t="shared" si="348"/>
        <v>0.00065</v>
      </c>
      <c r="M173" s="7">
        <f t="shared" si="348"/>
        <v>0.00005</v>
      </c>
      <c r="N173" s="7">
        <f t="shared" si="348"/>
        <v>0.0008</v>
      </c>
      <c r="O173" s="7">
        <f t="shared" si="348"/>
        <v>0.0001</v>
      </c>
      <c r="P173" s="7">
        <f t="shared" si="9"/>
        <v>0.02694207098</v>
      </c>
      <c r="Q173" s="7">
        <f t="shared" si="10"/>
        <v>0.1486336298</v>
      </c>
      <c r="R173" s="7">
        <f t="shared" si="3"/>
        <v>0.9256748039</v>
      </c>
      <c r="S173" s="7">
        <f t="shared" si="4"/>
        <v>0.1749285568</v>
      </c>
      <c r="T173" s="7">
        <f t="shared" si="5"/>
        <v>1</v>
      </c>
      <c r="U173" s="7">
        <f t="shared" si="6"/>
        <v>1</v>
      </c>
      <c r="V173" s="7">
        <f t="shared" ref="V173:W173" si="349">IF(AVERAGE(T113:T172) &gt; 0.25, 1, 0)</f>
        <v>1</v>
      </c>
      <c r="W173" s="7">
        <f t="shared" si="349"/>
        <v>0</v>
      </c>
      <c r="X173" s="8">
        <v>1.0</v>
      </c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ht="22.5" customHeight="1">
      <c r="A174" s="6">
        <v>1373.0</v>
      </c>
      <c r="B174" s="6">
        <v>35531.0</v>
      </c>
      <c r="C174" s="6">
        <v>2.08</v>
      </c>
      <c r="D174" s="6">
        <v>-0.73</v>
      </c>
      <c r="E174" s="6">
        <v>10.56</v>
      </c>
      <c r="F174" s="6">
        <v>-0.1</v>
      </c>
      <c r="G174" s="6">
        <v>0.04</v>
      </c>
      <c r="H174" s="6">
        <v>0.0</v>
      </c>
      <c r="I174" s="6">
        <v>33.34</v>
      </c>
      <c r="J174" s="7">
        <f t="shared" ref="J174:O174" si="350">abs(C174-C173)/200</f>
        <v>0.00105</v>
      </c>
      <c r="K174" s="7">
        <f t="shared" si="350"/>
        <v>0.00055</v>
      </c>
      <c r="L174" s="7">
        <f t="shared" si="350"/>
        <v>0.0005</v>
      </c>
      <c r="M174" s="7">
        <f t="shared" si="350"/>
        <v>0.0001</v>
      </c>
      <c r="N174" s="7">
        <f t="shared" si="350"/>
        <v>0.00025</v>
      </c>
      <c r="O174" s="7">
        <f t="shared" si="350"/>
        <v>0.00045</v>
      </c>
      <c r="P174" s="7">
        <f t="shared" si="9"/>
        <v>0.0672252607</v>
      </c>
      <c r="Q174" s="7">
        <f t="shared" si="10"/>
        <v>0.06195236796</v>
      </c>
      <c r="R174" s="7">
        <f t="shared" si="3"/>
        <v>0.9876271719</v>
      </c>
      <c r="S174" s="7">
        <f t="shared" si="4"/>
        <v>0.1077032961</v>
      </c>
      <c r="T174" s="7">
        <f t="shared" si="5"/>
        <v>1</v>
      </c>
      <c r="U174" s="7">
        <f t="shared" si="6"/>
        <v>1</v>
      </c>
      <c r="V174" s="7">
        <f t="shared" ref="V174:W174" si="351">IF(AVERAGE(T114:T173) &gt; 0.25, 1, 0)</f>
        <v>1</v>
      </c>
      <c r="W174" s="7">
        <f t="shared" si="351"/>
        <v>0</v>
      </c>
      <c r="X174" s="8">
        <v>1.0</v>
      </c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ht="22.5" customHeight="1">
      <c r="A175" s="6">
        <v>1374.0</v>
      </c>
      <c r="B175" s="6">
        <v>35735.0</v>
      </c>
      <c r="C175" s="6">
        <v>1.88</v>
      </c>
      <c r="D175" s="6">
        <v>-0.67</v>
      </c>
      <c r="E175" s="6">
        <v>10.56</v>
      </c>
      <c r="F175" s="6">
        <v>-0.11</v>
      </c>
      <c r="G175" s="6">
        <v>0.05</v>
      </c>
      <c r="H175" s="6">
        <v>-0.01</v>
      </c>
      <c r="I175" s="6">
        <v>33.33</v>
      </c>
      <c r="J175" s="7">
        <f t="shared" ref="J175:O175" si="352">abs(C175-C174)/200</f>
        <v>0.001</v>
      </c>
      <c r="K175" s="7">
        <f t="shared" si="352"/>
        <v>0.0003</v>
      </c>
      <c r="L175" s="7">
        <f t="shared" si="352"/>
        <v>0</v>
      </c>
      <c r="M175" s="7">
        <f t="shared" si="352"/>
        <v>0.00005</v>
      </c>
      <c r="N175" s="7">
        <f t="shared" si="352"/>
        <v>0.00005</v>
      </c>
      <c r="O175" s="7">
        <f t="shared" si="352"/>
        <v>0.00005</v>
      </c>
      <c r="P175" s="7">
        <f t="shared" si="9"/>
        <v>0.01354026039</v>
      </c>
      <c r="Q175" s="7">
        <f t="shared" si="10"/>
        <v>0.04067876782</v>
      </c>
      <c r="R175" s="7">
        <f t="shared" si="3"/>
        <v>0.9469484041</v>
      </c>
      <c r="S175" s="7">
        <f t="shared" si="4"/>
        <v>0.1212435565</v>
      </c>
      <c r="T175" s="7">
        <f t="shared" si="5"/>
        <v>1</v>
      </c>
      <c r="U175" s="7">
        <f t="shared" si="6"/>
        <v>0</v>
      </c>
      <c r="V175" s="7">
        <f t="shared" ref="V175:W175" si="353">IF(AVERAGE(T115:T174) &gt; 0.25, 1, 0)</f>
        <v>1</v>
      </c>
      <c r="W175" s="7">
        <f t="shared" si="353"/>
        <v>0</v>
      </c>
      <c r="X175" s="8">
        <v>1.0</v>
      </c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ht="22.5" customHeight="1">
      <c r="A176" s="6">
        <v>1375.0</v>
      </c>
      <c r="B176" s="6">
        <v>35939.0</v>
      </c>
      <c r="C176" s="6">
        <v>1.85</v>
      </c>
      <c r="D176" s="6">
        <v>-0.6</v>
      </c>
      <c r="E176" s="6">
        <v>10.61</v>
      </c>
      <c r="F176" s="6">
        <v>-0.06</v>
      </c>
      <c r="G176" s="6">
        <v>0.04</v>
      </c>
      <c r="H176" s="6">
        <v>0.01</v>
      </c>
      <c r="I176" s="6">
        <v>33.33</v>
      </c>
      <c r="J176" s="7">
        <f t="shared" ref="J176:O176" si="354">abs(C176-C175)/200</f>
        <v>0.00015</v>
      </c>
      <c r="K176" s="7">
        <f t="shared" si="354"/>
        <v>0.00035</v>
      </c>
      <c r="L176" s="7">
        <f t="shared" si="354"/>
        <v>0.00025</v>
      </c>
      <c r="M176" s="7">
        <f t="shared" si="354"/>
        <v>0.00025</v>
      </c>
      <c r="N176" s="7">
        <f t="shared" si="354"/>
        <v>0.00005</v>
      </c>
      <c r="O176" s="7">
        <f t="shared" si="354"/>
        <v>0.0001</v>
      </c>
      <c r="P176" s="7">
        <f t="shared" si="9"/>
        <v>0.04844245764</v>
      </c>
      <c r="Q176" s="7">
        <f t="shared" si="10"/>
        <v>0.03983054053</v>
      </c>
      <c r="R176" s="7">
        <f t="shared" si="3"/>
        <v>0.9867789446</v>
      </c>
      <c r="S176" s="7">
        <f t="shared" si="4"/>
        <v>0.07280109889</v>
      </c>
      <c r="T176" s="7">
        <f t="shared" si="5"/>
        <v>1</v>
      </c>
      <c r="U176" s="7">
        <f t="shared" si="6"/>
        <v>0</v>
      </c>
      <c r="V176" s="7">
        <f t="shared" ref="V176:W176" si="355">IF(AVERAGE(T116:T175) &gt; 0.25, 1, 0)</f>
        <v>1</v>
      </c>
      <c r="W176" s="7">
        <f t="shared" si="355"/>
        <v>0</v>
      </c>
      <c r="X176" s="8">
        <v>1.0</v>
      </c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ht="22.5" customHeight="1">
      <c r="A177" s="6">
        <v>1376.0</v>
      </c>
      <c r="B177" s="6">
        <v>36143.0</v>
      </c>
      <c r="C177" s="6">
        <v>1.58</v>
      </c>
      <c r="D177" s="6">
        <v>-0.71</v>
      </c>
      <c r="E177" s="6">
        <v>10.69</v>
      </c>
      <c r="F177" s="6">
        <v>-0.1</v>
      </c>
      <c r="G177" s="6">
        <v>0.01</v>
      </c>
      <c r="H177" s="6">
        <v>0.09</v>
      </c>
      <c r="I177" s="6">
        <v>33.34</v>
      </c>
      <c r="J177" s="7">
        <f t="shared" ref="J177:O177" si="356">abs(C177-C176)/200</f>
        <v>0.00135</v>
      </c>
      <c r="K177" s="7">
        <f t="shared" si="356"/>
        <v>0.00055</v>
      </c>
      <c r="L177" s="7">
        <f t="shared" si="356"/>
        <v>0.0004</v>
      </c>
      <c r="M177" s="7">
        <f t="shared" si="356"/>
        <v>0.0002</v>
      </c>
      <c r="N177" s="7">
        <f t="shared" si="356"/>
        <v>0.00015</v>
      </c>
      <c r="O177" s="7">
        <f t="shared" si="356"/>
        <v>0.0004</v>
      </c>
      <c r="P177" s="7">
        <f t="shared" si="9"/>
        <v>0.06210627674</v>
      </c>
      <c r="Q177" s="7">
        <f t="shared" si="10"/>
        <v>0.04265317346</v>
      </c>
      <c r="R177" s="7">
        <f t="shared" si="3"/>
        <v>1.029432118</v>
      </c>
      <c r="S177" s="7">
        <f t="shared" si="4"/>
        <v>0.1349073756</v>
      </c>
      <c r="T177" s="7">
        <f t="shared" si="5"/>
        <v>1</v>
      </c>
      <c r="U177" s="7">
        <f t="shared" si="6"/>
        <v>1</v>
      </c>
      <c r="V177" s="7">
        <f t="shared" ref="V177:W177" si="357">IF(AVERAGE(T117:T176) &gt; 0.25, 1, 0)</f>
        <v>1</v>
      </c>
      <c r="W177" s="7">
        <f t="shared" si="357"/>
        <v>0</v>
      </c>
      <c r="X177" s="8">
        <v>1.0</v>
      </c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ht="22.5" customHeight="1">
      <c r="A178" s="6">
        <v>1377.0</v>
      </c>
      <c r="B178" s="6">
        <v>36347.0</v>
      </c>
      <c r="C178" s="6">
        <v>1.4</v>
      </c>
      <c r="D178" s="6">
        <v>-0.61</v>
      </c>
      <c r="E178" s="6">
        <v>10.65</v>
      </c>
      <c r="F178" s="6">
        <v>-0.08</v>
      </c>
      <c r="G178" s="6">
        <v>0.03</v>
      </c>
      <c r="H178" s="6">
        <v>0.09</v>
      </c>
      <c r="I178" s="6">
        <v>33.34</v>
      </c>
      <c r="J178" s="7">
        <f t="shared" ref="J178:O178" si="358">abs(C178-C177)/200</f>
        <v>0.0009</v>
      </c>
      <c r="K178" s="7">
        <f t="shared" si="358"/>
        <v>0.0005</v>
      </c>
      <c r="L178" s="7">
        <f t="shared" si="358"/>
        <v>0.0002</v>
      </c>
      <c r="M178" s="7">
        <f t="shared" si="358"/>
        <v>0.0001</v>
      </c>
      <c r="N178" s="7">
        <f t="shared" si="358"/>
        <v>0.0001</v>
      </c>
      <c r="O178" s="7">
        <f t="shared" si="358"/>
        <v>0</v>
      </c>
      <c r="P178" s="7">
        <f t="shared" si="9"/>
        <v>0.01081063917</v>
      </c>
      <c r="Q178" s="7">
        <f t="shared" si="10"/>
        <v>0.07050094439</v>
      </c>
      <c r="R178" s="7">
        <f t="shared" si="3"/>
        <v>0.9589311737</v>
      </c>
      <c r="S178" s="7">
        <f t="shared" si="4"/>
        <v>0.1240967365</v>
      </c>
      <c r="T178" s="7">
        <f t="shared" si="5"/>
        <v>1</v>
      </c>
      <c r="U178" s="7">
        <f t="shared" si="6"/>
        <v>0</v>
      </c>
      <c r="V178" s="7">
        <f t="shared" ref="V178:W178" si="359">IF(AVERAGE(T118:T177) &gt; 0.25, 1, 0)</f>
        <v>1</v>
      </c>
      <c r="W178" s="7">
        <f t="shared" si="359"/>
        <v>1</v>
      </c>
      <c r="X178" s="8">
        <v>1.0</v>
      </c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ht="22.5" customHeight="1">
      <c r="A179" s="6">
        <v>1378.0</v>
      </c>
      <c r="B179" s="6">
        <v>36551.0</v>
      </c>
      <c r="C179" s="6">
        <v>1.71</v>
      </c>
      <c r="D179" s="6">
        <v>-0.61</v>
      </c>
      <c r="E179" s="6">
        <v>10.58</v>
      </c>
      <c r="F179" s="6">
        <v>0.04</v>
      </c>
      <c r="G179" s="6">
        <v>-0.08</v>
      </c>
      <c r="H179" s="6">
        <v>0.37</v>
      </c>
      <c r="I179" s="6">
        <v>33.34</v>
      </c>
      <c r="J179" s="7">
        <f t="shared" ref="J179:O179" si="360">abs(C179-C178)/200</f>
        <v>0.00155</v>
      </c>
      <c r="K179" s="7">
        <f t="shared" si="360"/>
        <v>0</v>
      </c>
      <c r="L179" s="7">
        <f t="shared" si="360"/>
        <v>0.00035</v>
      </c>
      <c r="M179" s="7">
        <f t="shared" si="360"/>
        <v>0.0006</v>
      </c>
      <c r="N179" s="7">
        <f t="shared" si="360"/>
        <v>0.00055</v>
      </c>
      <c r="O179" s="7">
        <f t="shared" si="360"/>
        <v>0.0014</v>
      </c>
      <c r="P179" s="7">
        <f t="shared" si="9"/>
        <v>0.2565605898</v>
      </c>
      <c r="Q179" s="7">
        <f t="shared" si="10"/>
        <v>0.02428632627</v>
      </c>
      <c r="R179" s="7">
        <f t="shared" si="3"/>
        <v>0.9346448474</v>
      </c>
      <c r="S179" s="7">
        <f t="shared" si="4"/>
        <v>0.3806573262</v>
      </c>
      <c r="T179" s="7">
        <f t="shared" si="5"/>
        <v>1</v>
      </c>
      <c r="U179" s="7">
        <f t="shared" si="6"/>
        <v>1</v>
      </c>
      <c r="V179" s="7">
        <f t="shared" ref="V179:W179" si="361">IF(AVERAGE(T119:T178) &gt; 0.25, 1, 0)</f>
        <v>1</v>
      </c>
      <c r="W179" s="7">
        <f t="shared" si="361"/>
        <v>1</v>
      </c>
      <c r="X179" s="8">
        <v>1.0</v>
      </c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ht="22.5" customHeight="1">
      <c r="A180" s="6">
        <v>1379.0</v>
      </c>
      <c r="B180" s="6">
        <v>36755.0</v>
      </c>
      <c r="C180" s="6">
        <v>1.57</v>
      </c>
      <c r="D180" s="6">
        <v>-0.45</v>
      </c>
      <c r="E180" s="6">
        <v>10.64</v>
      </c>
      <c r="F180" s="6">
        <v>-0.02</v>
      </c>
      <c r="G180" s="6">
        <v>-0.01</v>
      </c>
      <c r="H180" s="6">
        <v>0.17</v>
      </c>
      <c r="I180" s="6">
        <v>33.32</v>
      </c>
      <c r="J180" s="7">
        <f t="shared" ref="J180:O180" si="362">abs(C180-C179)/200</f>
        <v>0.0007</v>
      </c>
      <c r="K180" s="7">
        <f t="shared" si="362"/>
        <v>0.0008</v>
      </c>
      <c r="L180" s="7">
        <f t="shared" si="362"/>
        <v>0.0003</v>
      </c>
      <c r="M180" s="7">
        <f t="shared" si="362"/>
        <v>0.0003</v>
      </c>
      <c r="N180" s="7">
        <f t="shared" si="362"/>
        <v>0.00035</v>
      </c>
      <c r="O180" s="7">
        <f t="shared" si="362"/>
        <v>0.001</v>
      </c>
      <c r="P180" s="7">
        <f t="shared" si="9"/>
        <v>0.2091930442</v>
      </c>
      <c r="Q180" s="7">
        <f t="shared" si="10"/>
        <v>0.02997312073</v>
      </c>
      <c r="R180" s="7">
        <f t="shared" si="3"/>
        <v>0.9646179681</v>
      </c>
      <c r="S180" s="7">
        <f t="shared" si="4"/>
        <v>0.171464282</v>
      </c>
      <c r="T180" s="7">
        <f t="shared" si="5"/>
        <v>1</v>
      </c>
      <c r="U180" s="7">
        <f t="shared" si="6"/>
        <v>1</v>
      </c>
      <c r="V180" s="7">
        <f t="shared" ref="V180:W180" si="363">IF(AVERAGE(T120:T179) &gt; 0.25, 1, 0)</f>
        <v>1</v>
      </c>
      <c r="W180" s="7">
        <f t="shared" si="363"/>
        <v>1</v>
      </c>
      <c r="X180" s="8">
        <v>1.0</v>
      </c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ht="22.5" customHeight="1">
      <c r="A181" s="6">
        <v>1380.0</v>
      </c>
      <c r="B181" s="6">
        <v>36959.0</v>
      </c>
      <c r="C181" s="6">
        <v>1.56</v>
      </c>
      <c r="D181" s="6">
        <v>-0.06</v>
      </c>
      <c r="E181" s="6">
        <v>10.72</v>
      </c>
      <c r="F181" s="6">
        <v>-0.03</v>
      </c>
      <c r="G181" s="6">
        <v>-0.03</v>
      </c>
      <c r="H181" s="6">
        <v>0.01</v>
      </c>
      <c r="I181" s="6">
        <v>33.34</v>
      </c>
      <c r="J181" s="7">
        <f t="shared" ref="J181:O181" si="364">abs(C181-C180)/200</f>
        <v>0.00005</v>
      </c>
      <c r="K181" s="7">
        <f t="shared" si="364"/>
        <v>0.00195</v>
      </c>
      <c r="L181" s="7">
        <f t="shared" si="364"/>
        <v>0.0004</v>
      </c>
      <c r="M181" s="7">
        <f t="shared" si="364"/>
        <v>0.00005</v>
      </c>
      <c r="N181" s="7">
        <f t="shared" si="364"/>
        <v>0.0001</v>
      </c>
      <c r="O181" s="7">
        <f t="shared" si="364"/>
        <v>0.0008</v>
      </c>
      <c r="P181" s="7">
        <f t="shared" si="9"/>
        <v>0.1278752926</v>
      </c>
      <c r="Q181" s="7">
        <f t="shared" si="10"/>
        <v>0.06846100323</v>
      </c>
      <c r="R181" s="7">
        <f t="shared" si="3"/>
        <v>1.033078971</v>
      </c>
      <c r="S181" s="7">
        <f t="shared" si="4"/>
        <v>0.04358898944</v>
      </c>
      <c r="T181" s="7">
        <f t="shared" si="5"/>
        <v>1</v>
      </c>
      <c r="U181" s="7">
        <f t="shared" si="6"/>
        <v>1</v>
      </c>
      <c r="V181" s="7">
        <f t="shared" ref="V181:W181" si="365">IF(AVERAGE(T121:T180) &gt; 0.25, 1, 0)</f>
        <v>1</v>
      </c>
      <c r="W181" s="7">
        <f t="shared" si="365"/>
        <v>1</v>
      </c>
      <c r="X181" s="8">
        <v>1.0</v>
      </c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ht="22.5" customHeight="1">
      <c r="A182" s="6">
        <v>1381.0</v>
      </c>
      <c r="B182" s="6">
        <v>37163.0</v>
      </c>
      <c r="C182" s="6">
        <v>1.73</v>
      </c>
      <c r="D182" s="6">
        <v>-0.12</v>
      </c>
      <c r="E182" s="6">
        <v>10.74</v>
      </c>
      <c r="F182" s="6">
        <v>0.02</v>
      </c>
      <c r="G182" s="6">
        <v>-0.05</v>
      </c>
      <c r="H182" s="6">
        <v>0.16</v>
      </c>
      <c r="I182" s="6">
        <v>33.33</v>
      </c>
      <c r="J182" s="7">
        <f t="shared" ref="J182:O182" si="366">abs(C182-C181)/200</f>
        <v>0.00085</v>
      </c>
      <c r="K182" s="7">
        <f t="shared" si="366"/>
        <v>0.0003</v>
      </c>
      <c r="L182" s="7">
        <f t="shared" si="366"/>
        <v>0.0001</v>
      </c>
      <c r="M182" s="7">
        <f t="shared" si="366"/>
        <v>0.00025</v>
      </c>
      <c r="N182" s="7">
        <f t="shared" si="366"/>
        <v>0.0001</v>
      </c>
      <c r="O182" s="7">
        <f t="shared" si="366"/>
        <v>0.00075</v>
      </c>
      <c r="P182" s="7">
        <f t="shared" si="9"/>
        <v>0.1252304407</v>
      </c>
      <c r="Q182" s="7">
        <f t="shared" si="10"/>
        <v>0.04602485201</v>
      </c>
      <c r="R182" s="7">
        <f t="shared" si="3"/>
        <v>1.079103823</v>
      </c>
      <c r="S182" s="7">
        <f t="shared" si="4"/>
        <v>0.1688194302</v>
      </c>
      <c r="T182" s="7">
        <f t="shared" si="5"/>
        <v>1</v>
      </c>
      <c r="U182" s="7">
        <f t="shared" si="6"/>
        <v>1</v>
      </c>
      <c r="V182" s="7">
        <f t="shared" ref="V182:W182" si="367">IF(AVERAGE(T122:T181) &gt; 0.25, 1, 0)</f>
        <v>1</v>
      </c>
      <c r="W182" s="7">
        <f t="shared" si="367"/>
        <v>1</v>
      </c>
      <c r="X182" s="8">
        <v>1.0</v>
      </c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ht="22.5" customHeight="1">
      <c r="A183" s="6">
        <v>1382.0</v>
      </c>
      <c r="B183" s="6">
        <v>37367.0</v>
      </c>
      <c r="C183" s="6">
        <v>3.24</v>
      </c>
      <c r="D183" s="6">
        <v>-0.93</v>
      </c>
      <c r="E183" s="6">
        <v>10.33</v>
      </c>
      <c r="F183" s="6">
        <v>0.02</v>
      </c>
      <c r="G183" s="6">
        <v>0.0</v>
      </c>
      <c r="H183" s="6">
        <v>0.2</v>
      </c>
      <c r="I183" s="6">
        <v>33.32</v>
      </c>
      <c r="J183" s="7">
        <f t="shared" ref="J183:O183" si="368">abs(C183-C182)/200</f>
        <v>0.00755</v>
      </c>
      <c r="K183" s="7">
        <f t="shared" si="368"/>
        <v>0.00405</v>
      </c>
      <c r="L183" s="7">
        <f t="shared" si="368"/>
        <v>0.00205</v>
      </c>
      <c r="M183" s="7">
        <f t="shared" si="368"/>
        <v>0</v>
      </c>
      <c r="N183" s="7">
        <f t="shared" si="368"/>
        <v>0.00025</v>
      </c>
      <c r="O183" s="7">
        <f t="shared" si="368"/>
        <v>0.0002</v>
      </c>
      <c r="P183" s="7">
        <f t="shared" si="9"/>
        <v>0.03217808226</v>
      </c>
      <c r="Q183" s="7">
        <f t="shared" si="10"/>
        <v>0.01303737779</v>
      </c>
      <c r="R183" s="7">
        <f t="shared" si="3"/>
        <v>1.066066446</v>
      </c>
      <c r="S183" s="7">
        <f t="shared" si="4"/>
        <v>0.2009975124</v>
      </c>
      <c r="T183" s="7">
        <f t="shared" si="5"/>
        <v>1</v>
      </c>
      <c r="U183" s="7">
        <f t="shared" si="6"/>
        <v>0</v>
      </c>
      <c r="V183" s="7">
        <f t="shared" ref="V183:W183" si="369">IF(AVERAGE(T123:T182) &gt; 0.25, 1, 0)</f>
        <v>1</v>
      </c>
      <c r="W183" s="7">
        <f t="shared" si="369"/>
        <v>1</v>
      </c>
      <c r="X183" s="8">
        <v>1.0</v>
      </c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ht="22.5" customHeight="1">
      <c r="A184" s="6">
        <v>1383.0</v>
      </c>
      <c r="B184" s="6">
        <v>37571.0</v>
      </c>
      <c r="C184" s="6">
        <v>2.47</v>
      </c>
      <c r="D184" s="6">
        <v>-0.38</v>
      </c>
      <c r="E184" s="6">
        <v>10.52</v>
      </c>
      <c r="F184" s="6">
        <v>0.05</v>
      </c>
      <c r="G184" s="6">
        <v>-0.38</v>
      </c>
      <c r="H184" s="6">
        <v>0.22</v>
      </c>
      <c r="I184" s="6">
        <v>33.32</v>
      </c>
      <c r="J184" s="7">
        <f t="shared" ref="J184:O184" si="370">abs(C184-C183)/200</f>
        <v>0.00385</v>
      </c>
      <c r="K184" s="7">
        <f t="shared" si="370"/>
        <v>0.00275</v>
      </c>
      <c r="L184" s="7">
        <f t="shared" si="370"/>
        <v>0.00095</v>
      </c>
      <c r="M184" s="7">
        <f t="shared" si="370"/>
        <v>0.00015</v>
      </c>
      <c r="N184" s="7">
        <f t="shared" si="370"/>
        <v>0.0019</v>
      </c>
      <c r="O184" s="7">
        <f t="shared" si="370"/>
        <v>0.0001</v>
      </c>
      <c r="P184" s="7">
        <f t="shared" si="9"/>
        <v>0.2409300835</v>
      </c>
      <c r="Q184" s="7">
        <f t="shared" si="10"/>
        <v>0.05331009025</v>
      </c>
      <c r="R184" s="7">
        <f t="shared" si="3"/>
        <v>1.012756355</v>
      </c>
      <c r="S184" s="7">
        <f t="shared" si="4"/>
        <v>0.4419275959</v>
      </c>
      <c r="T184" s="7">
        <f t="shared" si="5"/>
        <v>1</v>
      </c>
      <c r="U184" s="7">
        <f t="shared" si="6"/>
        <v>1</v>
      </c>
      <c r="V184" s="7">
        <f t="shared" ref="V184:W184" si="371">IF(AVERAGE(T124:T183) &gt; 0.25, 1, 0)</f>
        <v>1</v>
      </c>
      <c r="W184" s="7">
        <f t="shared" si="371"/>
        <v>1</v>
      </c>
      <c r="X184" s="8">
        <v>1.0</v>
      </c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ht="22.5" customHeight="1">
      <c r="A185" s="6">
        <v>1384.0</v>
      </c>
      <c r="B185" s="6">
        <v>37775.0</v>
      </c>
      <c r="C185" s="6">
        <v>2.63</v>
      </c>
      <c r="D185" s="6">
        <v>-0.15</v>
      </c>
      <c r="E185" s="6">
        <v>10.46</v>
      </c>
      <c r="F185" s="6">
        <v>-0.11</v>
      </c>
      <c r="G185" s="6">
        <v>0.01</v>
      </c>
      <c r="H185" s="6">
        <v>-0.2</v>
      </c>
      <c r="I185" s="6">
        <v>33.32</v>
      </c>
      <c r="J185" s="7">
        <f t="shared" ref="J185:O185" si="372">abs(C185-C184)/200</f>
        <v>0.0008</v>
      </c>
      <c r="K185" s="7">
        <f t="shared" si="372"/>
        <v>0.00115</v>
      </c>
      <c r="L185" s="7">
        <f t="shared" si="372"/>
        <v>0.0003</v>
      </c>
      <c r="M185" s="7">
        <f t="shared" si="372"/>
        <v>0.0008</v>
      </c>
      <c r="N185" s="7">
        <f t="shared" si="372"/>
        <v>0.00195</v>
      </c>
      <c r="O185" s="7">
        <f t="shared" si="372"/>
        <v>0.0021</v>
      </c>
      <c r="P185" s="7">
        <f t="shared" si="9"/>
        <v>0.2134544027</v>
      </c>
      <c r="Q185" s="7">
        <f t="shared" si="10"/>
        <v>0.02614428296</v>
      </c>
      <c r="R185" s="7">
        <f t="shared" si="3"/>
        <v>0.9866120724</v>
      </c>
      <c r="S185" s="7">
        <f t="shared" si="4"/>
        <v>0.2284731932</v>
      </c>
      <c r="T185" s="7">
        <f t="shared" si="5"/>
        <v>1</v>
      </c>
      <c r="U185" s="7">
        <f t="shared" si="6"/>
        <v>1</v>
      </c>
      <c r="V185" s="7">
        <f t="shared" ref="V185:W185" si="373">IF(AVERAGE(T125:T184) &gt; 0.25, 1, 0)</f>
        <v>1</v>
      </c>
      <c r="W185" s="7">
        <f t="shared" si="373"/>
        <v>1</v>
      </c>
      <c r="X185" s="8">
        <v>1.0</v>
      </c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ht="22.5" customHeight="1">
      <c r="A186" s="6">
        <v>1385.0</v>
      </c>
      <c r="B186" s="6">
        <v>37979.0</v>
      </c>
      <c r="C186" s="6">
        <v>2.42</v>
      </c>
      <c r="D186" s="6">
        <v>0.08</v>
      </c>
      <c r="E186" s="6">
        <v>10.55</v>
      </c>
      <c r="F186" s="6">
        <v>-0.15</v>
      </c>
      <c r="G186" s="6">
        <v>-0.03</v>
      </c>
      <c r="H186" s="6">
        <v>-0.16</v>
      </c>
      <c r="I186" s="6">
        <v>33.32</v>
      </c>
      <c r="J186" s="7">
        <f t="shared" ref="J186:O186" si="374">abs(C186-C185)/200</f>
        <v>0.00105</v>
      </c>
      <c r="K186" s="7">
        <f t="shared" si="374"/>
        <v>0.00115</v>
      </c>
      <c r="L186" s="7">
        <f t="shared" si="374"/>
        <v>0.00045</v>
      </c>
      <c r="M186" s="7">
        <f t="shared" si="374"/>
        <v>0.0002</v>
      </c>
      <c r="N186" s="7">
        <f t="shared" si="374"/>
        <v>0.0002</v>
      </c>
      <c r="O186" s="7">
        <f t="shared" si="374"/>
        <v>0.0002</v>
      </c>
      <c r="P186" s="7">
        <f t="shared" si="9"/>
        <v>0.007113756964</v>
      </c>
      <c r="Q186" s="7">
        <f t="shared" si="10"/>
        <v>0.03768005228</v>
      </c>
      <c r="R186" s="7">
        <f t="shared" si="3"/>
        <v>1.024292125</v>
      </c>
      <c r="S186" s="7">
        <f t="shared" si="4"/>
        <v>0.2213594362</v>
      </c>
      <c r="T186" s="7">
        <f t="shared" si="5"/>
        <v>1</v>
      </c>
      <c r="U186" s="7">
        <f t="shared" si="6"/>
        <v>0</v>
      </c>
      <c r="V186" s="7">
        <f t="shared" ref="V186:W186" si="375">IF(AVERAGE(T126:T185) &gt; 0.25, 1, 0)</f>
        <v>1</v>
      </c>
      <c r="W186" s="7">
        <f t="shared" si="375"/>
        <v>1</v>
      </c>
      <c r="X186" s="8">
        <v>1.0</v>
      </c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ht="22.5" customHeight="1">
      <c r="A187" s="6">
        <v>1386.0</v>
      </c>
      <c r="B187" s="6">
        <v>38183.0</v>
      </c>
      <c r="C187" s="6">
        <v>2.62</v>
      </c>
      <c r="D187" s="6">
        <v>-0.05</v>
      </c>
      <c r="E187" s="6">
        <v>10.41</v>
      </c>
      <c r="F187" s="6">
        <v>-0.13</v>
      </c>
      <c r="G187" s="6">
        <v>0.03</v>
      </c>
      <c r="H187" s="6">
        <v>0.01</v>
      </c>
      <c r="I187" s="6">
        <v>33.33</v>
      </c>
      <c r="J187" s="7">
        <f t="shared" ref="J187:O187" si="376">abs(C187-C186)/200</f>
        <v>0.001</v>
      </c>
      <c r="K187" s="7">
        <f t="shared" si="376"/>
        <v>0.00065</v>
      </c>
      <c r="L187" s="7">
        <f t="shared" si="376"/>
        <v>0.0007</v>
      </c>
      <c r="M187" s="7">
        <f t="shared" si="376"/>
        <v>0.0001</v>
      </c>
      <c r="N187" s="7">
        <f t="shared" si="376"/>
        <v>0.0003</v>
      </c>
      <c r="O187" s="7">
        <f t="shared" si="376"/>
        <v>0.00085</v>
      </c>
      <c r="P187" s="7">
        <f t="shared" si="9"/>
        <v>0.08756855461</v>
      </c>
      <c r="Q187" s="7">
        <f t="shared" si="10"/>
        <v>0.08953549025</v>
      </c>
      <c r="R187" s="7">
        <f t="shared" si="3"/>
        <v>0.9347566344</v>
      </c>
      <c r="S187" s="7">
        <f t="shared" si="4"/>
        <v>0.1337908816</v>
      </c>
      <c r="T187" s="7">
        <f t="shared" si="5"/>
        <v>1</v>
      </c>
      <c r="U187" s="7">
        <f t="shared" si="6"/>
        <v>1</v>
      </c>
      <c r="V187" s="7">
        <f t="shared" ref="V187:W187" si="377">IF(AVERAGE(T127:T186) &gt; 0.25, 1, 0)</f>
        <v>1</v>
      </c>
      <c r="W187" s="7">
        <f t="shared" si="377"/>
        <v>1</v>
      </c>
      <c r="X187" s="8">
        <v>1.0</v>
      </c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ht="22.5" customHeight="1">
      <c r="A188" s="6">
        <v>1387.0</v>
      </c>
      <c r="B188" s="6">
        <v>38387.0</v>
      </c>
      <c r="C188" s="6">
        <v>2.26</v>
      </c>
      <c r="D188" s="6">
        <v>-0.27</v>
      </c>
      <c r="E188" s="6">
        <v>10.36</v>
      </c>
      <c r="F188" s="6">
        <v>-0.17</v>
      </c>
      <c r="G188" s="6">
        <v>0.02</v>
      </c>
      <c r="H188" s="6">
        <v>-0.01</v>
      </c>
      <c r="I188" s="6">
        <v>33.34</v>
      </c>
      <c r="J188" s="7">
        <f t="shared" ref="J188:O188" si="378">abs(C188-C187)/200</f>
        <v>0.0018</v>
      </c>
      <c r="K188" s="7">
        <f t="shared" si="378"/>
        <v>0.0011</v>
      </c>
      <c r="L188" s="7">
        <f t="shared" si="378"/>
        <v>0.00025</v>
      </c>
      <c r="M188" s="7">
        <f t="shared" si="378"/>
        <v>0.0002</v>
      </c>
      <c r="N188" s="7">
        <f t="shared" si="378"/>
        <v>0.00005</v>
      </c>
      <c r="O188" s="7">
        <f t="shared" si="378"/>
        <v>0.0001</v>
      </c>
      <c r="P188" s="7">
        <f t="shared" si="9"/>
        <v>0.03767340039</v>
      </c>
      <c r="Q188" s="7">
        <f t="shared" si="10"/>
        <v>0.1276788087</v>
      </c>
      <c r="R188" s="7">
        <f t="shared" si="3"/>
        <v>0.8070778257</v>
      </c>
      <c r="S188" s="7">
        <f t="shared" si="4"/>
        <v>0.171464282</v>
      </c>
      <c r="T188" s="7">
        <f t="shared" si="5"/>
        <v>1</v>
      </c>
      <c r="U188" s="7">
        <f t="shared" si="6"/>
        <v>0</v>
      </c>
      <c r="V188" s="7">
        <f t="shared" ref="V188:W188" si="379">IF(AVERAGE(T128:T187) &gt; 0.25, 1, 0)</f>
        <v>1</v>
      </c>
      <c r="W188" s="7">
        <f t="shared" si="379"/>
        <v>1</v>
      </c>
      <c r="X188" s="8">
        <v>1.0</v>
      </c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ht="22.5" customHeight="1">
      <c r="A189" s="6">
        <v>1388.0</v>
      </c>
      <c r="B189" s="6">
        <v>38591.0</v>
      </c>
      <c r="C189" s="6">
        <v>2.42</v>
      </c>
      <c r="D189" s="6">
        <v>0.15</v>
      </c>
      <c r="E189" s="6">
        <v>10.84</v>
      </c>
      <c r="F189" s="6">
        <v>-0.08</v>
      </c>
      <c r="G189" s="6">
        <v>-0.24</v>
      </c>
      <c r="H189" s="6">
        <v>0.11</v>
      </c>
      <c r="I189" s="6">
        <v>33.33</v>
      </c>
      <c r="J189" s="7">
        <f t="shared" ref="J189:O189" si="380">abs(C189-C188)/200</f>
        <v>0.0008</v>
      </c>
      <c r="K189" s="7">
        <f t="shared" si="380"/>
        <v>0.0021</v>
      </c>
      <c r="L189" s="7">
        <f t="shared" si="380"/>
        <v>0.0024</v>
      </c>
      <c r="M189" s="7">
        <f t="shared" si="380"/>
        <v>0.00045</v>
      </c>
      <c r="N189" s="7">
        <f t="shared" si="380"/>
        <v>0.0013</v>
      </c>
      <c r="O189" s="7">
        <f t="shared" si="380"/>
        <v>0.0006</v>
      </c>
      <c r="P189" s="7">
        <f t="shared" si="9"/>
        <v>0.1043980025</v>
      </c>
      <c r="Q189" s="7">
        <f t="shared" si="10"/>
        <v>0.5007797535</v>
      </c>
      <c r="R189" s="7">
        <f t="shared" si="3"/>
        <v>1.307857579</v>
      </c>
      <c r="S189" s="7">
        <f t="shared" si="4"/>
        <v>0.2758622845</v>
      </c>
      <c r="T189" s="7">
        <f t="shared" si="5"/>
        <v>1</v>
      </c>
      <c r="U189" s="7">
        <f t="shared" si="6"/>
        <v>1</v>
      </c>
      <c r="V189" s="7">
        <f t="shared" ref="V189:W189" si="381">IF(AVERAGE(T129:T188) &gt; 0.25, 1, 0)</f>
        <v>1</v>
      </c>
      <c r="W189" s="7">
        <f t="shared" si="381"/>
        <v>1</v>
      </c>
      <c r="X189" s="8">
        <v>1.0</v>
      </c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ht="22.5" customHeight="1">
      <c r="A190" s="6">
        <v>1389.0</v>
      </c>
      <c r="B190" s="6">
        <v>38795.0</v>
      </c>
      <c r="C190" s="6">
        <v>2.18</v>
      </c>
      <c r="D190" s="6">
        <v>-0.16</v>
      </c>
      <c r="E190" s="6">
        <v>10.59</v>
      </c>
      <c r="F190" s="6">
        <v>-0.1</v>
      </c>
      <c r="G190" s="6">
        <v>0.01</v>
      </c>
      <c r="H190" s="6">
        <v>-0.01</v>
      </c>
      <c r="I190" s="6">
        <v>33.34</v>
      </c>
      <c r="J190" s="7">
        <f t="shared" ref="J190:O190" si="382">abs(C190-C189)/200</f>
        <v>0.0012</v>
      </c>
      <c r="K190" s="7">
        <f t="shared" si="382"/>
        <v>0.00155</v>
      </c>
      <c r="L190" s="7">
        <f t="shared" si="382"/>
        <v>0.00125</v>
      </c>
      <c r="M190" s="7">
        <f t="shared" si="382"/>
        <v>0.0001</v>
      </c>
      <c r="N190" s="7">
        <f t="shared" si="382"/>
        <v>0.00125</v>
      </c>
      <c r="O190" s="7">
        <f t="shared" si="382"/>
        <v>0.0006</v>
      </c>
      <c r="P190" s="7">
        <f t="shared" si="9"/>
        <v>0.1748672351</v>
      </c>
      <c r="Q190" s="7">
        <f t="shared" si="10"/>
        <v>0.2946203211</v>
      </c>
      <c r="R190" s="7">
        <f t="shared" si="3"/>
        <v>1.013237258</v>
      </c>
      <c r="S190" s="7">
        <f t="shared" si="4"/>
        <v>0.1009950494</v>
      </c>
      <c r="T190" s="7">
        <f t="shared" si="5"/>
        <v>1</v>
      </c>
      <c r="U190" s="7">
        <f t="shared" si="6"/>
        <v>1</v>
      </c>
      <c r="V190" s="7">
        <f t="shared" ref="V190:W190" si="383">IF(AVERAGE(T130:T189) &gt; 0.25, 1, 0)</f>
        <v>1</v>
      </c>
      <c r="W190" s="7">
        <f t="shared" si="383"/>
        <v>1</v>
      </c>
      <c r="X190" s="8">
        <v>1.0</v>
      </c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ht="22.5" customHeight="1">
      <c r="A191" s="6">
        <v>1390.0</v>
      </c>
      <c r="B191" s="6">
        <v>38999.0</v>
      </c>
      <c r="C191" s="6">
        <v>2.19</v>
      </c>
      <c r="D191" s="6">
        <v>-0.16</v>
      </c>
      <c r="E191" s="6">
        <v>10.54</v>
      </c>
      <c r="F191" s="6">
        <v>-0.1</v>
      </c>
      <c r="G191" s="6">
        <v>0.0</v>
      </c>
      <c r="H191" s="6">
        <v>-0.01</v>
      </c>
      <c r="I191" s="6">
        <v>33.33</v>
      </c>
      <c r="J191" s="7">
        <f t="shared" ref="J191:O191" si="384">abs(C191-C190)/200</f>
        <v>0.00005</v>
      </c>
      <c r="K191" s="7">
        <f t="shared" si="384"/>
        <v>0</v>
      </c>
      <c r="L191" s="7">
        <f t="shared" si="384"/>
        <v>0.00025</v>
      </c>
      <c r="M191" s="7">
        <f t="shared" si="384"/>
        <v>0</v>
      </c>
      <c r="N191" s="7">
        <f t="shared" si="384"/>
        <v>0.00005</v>
      </c>
      <c r="O191" s="7">
        <f t="shared" si="384"/>
        <v>0</v>
      </c>
      <c r="P191" s="7">
        <f t="shared" si="9"/>
        <v>0.0004962931724</v>
      </c>
      <c r="Q191" s="7">
        <f t="shared" si="10"/>
        <v>0.04693334264</v>
      </c>
      <c r="R191" s="7">
        <f t="shared" si="3"/>
        <v>0.9663039155</v>
      </c>
      <c r="S191" s="7">
        <f t="shared" si="4"/>
        <v>0.1004987562</v>
      </c>
      <c r="T191" s="7">
        <f t="shared" si="5"/>
        <v>0</v>
      </c>
      <c r="U191" s="7">
        <f t="shared" si="6"/>
        <v>0</v>
      </c>
      <c r="V191" s="7">
        <f t="shared" ref="V191:W191" si="385">IF(AVERAGE(T131:T190) &gt; 0.25, 1, 0)</f>
        <v>1</v>
      </c>
      <c r="W191" s="7">
        <f t="shared" si="385"/>
        <v>1</v>
      </c>
      <c r="X191" s="8">
        <v>1.0</v>
      </c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ht="22.5" customHeight="1">
      <c r="A192" s="6">
        <v>1391.0</v>
      </c>
      <c r="B192" s="6">
        <v>39203.0</v>
      </c>
      <c r="C192" s="6">
        <v>2.19</v>
      </c>
      <c r="D192" s="6">
        <v>-0.17</v>
      </c>
      <c r="E192" s="6">
        <v>10.55</v>
      </c>
      <c r="F192" s="6">
        <v>-0.1</v>
      </c>
      <c r="G192" s="6">
        <v>0.0</v>
      </c>
      <c r="H192" s="6">
        <v>-0.01</v>
      </c>
      <c r="I192" s="6">
        <v>33.33</v>
      </c>
      <c r="J192" s="7">
        <f t="shared" ref="J192:O192" si="386">abs(C192-C191)/200</f>
        <v>0</v>
      </c>
      <c r="K192" s="7">
        <f t="shared" si="386"/>
        <v>0.00005</v>
      </c>
      <c r="L192" s="7">
        <f t="shared" si="386"/>
        <v>0.00005</v>
      </c>
      <c r="M192" s="7">
        <f t="shared" si="386"/>
        <v>0</v>
      </c>
      <c r="N192" s="7">
        <f t="shared" si="386"/>
        <v>0</v>
      </c>
      <c r="O192" s="7">
        <f t="shared" si="386"/>
        <v>0</v>
      </c>
      <c r="P192" s="7">
        <f t="shared" si="9"/>
        <v>0</v>
      </c>
      <c r="Q192" s="7">
        <f t="shared" si="10"/>
        <v>0.009943112149</v>
      </c>
      <c r="R192" s="7">
        <f t="shared" si="3"/>
        <v>0.9762470276</v>
      </c>
      <c r="S192" s="7">
        <f t="shared" si="4"/>
        <v>0.1004987562</v>
      </c>
      <c r="T192" s="7">
        <f t="shared" si="5"/>
        <v>0</v>
      </c>
      <c r="U192" s="7">
        <f t="shared" si="6"/>
        <v>0</v>
      </c>
      <c r="V192" s="7">
        <f t="shared" ref="V192:W192" si="387">IF(AVERAGE(T132:T191) &gt; 0.25, 1, 0)</f>
        <v>1</v>
      </c>
      <c r="W192" s="7">
        <f t="shared" si="387"/>
        <v>1</v>
      </c>
      <c r="X192" s="8">
        <v>1.0</v>
      </c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ht="22.5" customHeight="1">
      <c r="A193" s="6">
        <v>1392.0</v>
      </c>
      <c r="B193" s="6">
        <v>41039.0</v>
      </c>
      <c r="C193" s="6">
        <v>2.18</v>
      </c>
      <c r="D193" s="6">
        <v>-0.16</v>
      </c>
      <c r="E193" s="6">
        <v>10.56</v>
      </c>
      <c r="F193" s="6">
        <v>-0.1</v>
      </c>
      <c r="G193" s="6">
        <v>0.0</v>
      </c>
      <c r="H193" s="6">
        <v>-0.01</v>
      </c>
      <c r="I193" s="6">
        <v>33.33</v>
      </c>
      <c r="J193" s="7">
        <f t="shared" ref="J193:O193" si="388">abs(C193-C192)/200</f>
        <v>0.00005</v>
      </c>
      <c r="K193" s="7">
        <f t="shared" si="388"/>
        <v>0.00005</v>
      </c>
      <c r="L193" s="7">
        <f t="shared" si="388"/>
        <v>0.00005</v>
      </c>
      <c r="M193" s="7">
        <f t="shared" si="388"/>
        <v>0</v>
      </c>
      <c r="N193" s="7">
        <f t="shared" si="388"/>
        <v>0</v>
      </c>
      <c r="O193" s="7">
        <f t="shared" si="388"/>
        <v>0</v>
      </c>
      <c r="P193" s="7">
        <f t="shared" si="9"/>
        <v>0</v>
      </c>
      <c r="Q193" s="7">
        <f t="shared" si="10"/>
        <v>0.007611280068</v>
      </c>
      <c r="R193" s="7">
        <f t="shared" si="3"/>
        <v>0.9838583077</v>
      </c>
      <c r="S193" s="7">
        <f t="shared" si="4"/>
        <v>0.1004987562</v>
      </c>
      <c r="T193" s="7">
        <f t="shared" si="5"/>
        <v>0</v>
      </c>
      <c r="U193" s="7">
        <f t="shared" si="6"/>
        <v>0</v>
      </c>
      <c r="V193" s="7">
        <f t="shared" ref="V193:W193" si="389">IF(AVERAGE(T133:T192) &gt; 0.25, 1, 0)</f>
        <v>1</v>
      </c>
      <c r="W193" s="7">
        <f t="shared" si="389"/>
        <v>1</v>
      </c>
      <c r="X193" s="8">
        <v>1.0</v>
      </c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ht="22.5" customHeight="1">
      <c r="A194" s="6">
        <v>1393.0</v>
      </c>
      <c r="B194" s="6">
        <v>41243.0</v>
      </c>
      <c r="C194" s="6">
        <v>2.18</v>
      </c>
      <c r="D194" s="6">
        <v>-0.16</v>
      </c>
      <c r="E194" s="6">
        <v>10.56</v>
      </c>
      <c r="F194" s="6">
        <v>-0.1</v>
      </c>
      <c r="G194" s="6">
        <v>0.0</v>
      </c>
      <c r="H194" s="6">
        <v>-0.01</v>
      </c>
      <c r="I194" s="6">
        <v>33.34</v>
      </c>
      <c r="J194" s="7">
        <f t="shared" ref="J194:O194" si="390">abs(C194-C193)/200</f>
        <v>0</v>
      </c>
      <c r="K194" s="7">
        <f t="shared" si="390"/>
        <v>0</v>
      </c>
      <c r="L194" s="7">
        <f t="shared" si="390"/>
        <v>0</v>
      </c>
      <c r="M194" s="7">
        <f t="shared" si="390"/>
        <v>0</v>
      </c>
      <c r="N194" s="7">
        <f t="shared" si="390"/>
        <v>0</v>
      </c>
      <c r="O194" s="7">
        <f t="shared" si="390"/>
        <v>0</v>
      </c>
      <c r="P194" s="7">
        <f t="shared" si="9"/>
        <v>0</v>
      </c>
      <c r="Q194" s="7">
        <f t="shared" si="10"/>
        <v>0</v>
      </c>
      <c r="R194" s="7">
        <f t="shared" si="3"/>
        <v>0.9838583077</v>
      </c>
      <c r="S194" s="7">
        <f t="shared" si="4"/>
        <v>0.1004987562</v>
      </c>
      <c r="T194" s="7">
        <f t="shared" si="5"/>
        <v>0</v>
      </c>
      <c r="U194" s="7">
        <f t="shared" si="6"/>
        <v>0</v>
      </c>
      <c r="V194" s="7">
        <f t="shared" ref="V194:W194" si="391">IF(AVERAGE(T134:T193) &gt; 0.25, 1, 0)</f>
        <v>1</v>
      </c>
      <c r="W194" s="7">
        <f t="shared" si="391"/>
        <v>1</v>
      </c>
      <c r="X194" s="8">
        <v>1.0</v>
      </c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ht="22.5" customHeight="1">
      <c r="A195" s="6">
        <v>1394.0</v>
      </c>
      <c r="B195" s="6">
        <v>41447.0</v>
      </c>
      <c r="C195" s="6">
        <v>2.18</v>
      </c>
      <c r="D195" s="6">
        <v>-0.17</v>
      </c>
      <c r="E195" s="6">
        <v>10.56</v>
      </c>
      <c r="F195" s="6">
        <v>-0.1</v>
      </c>
      <c r="G195" s="6">
        <v>0.0</v>
      </c>
      <c r="H195" s="6">
        <v>-0.01</v>
      </c>
      <c r="I195" s="6">
        <v>33.33</v>
      </c>
      <c r="J195" s="7">
        <f t="shared" ref="J195:O195" si="392">abs(C195-C194)/200</f>
        <v>0</v>
      </c>
      <c r="K195" s="7">
        <f t="shared" si="392"/>
        <v>0.00005</v>
      </c>
      <c r="L195" s="7">
        <f t="shared" si="392"/>
        <v>0</v>
      </c>
      <c r="M195" s="7">
        <f t="shared" si="392"/>
        <v>0</v>
      </c>
      <c r="N195" s="7">
        <f t="shared" si="392"/>
        <v>0</v>
      </c>
      <c r="O195" s="7">
        <f t="shared" si="392"/>
        <v>0</v>
      </c>
      <c r="P195" s="7">
        <f t="shared" si="9"/>
        <v>0</v>
      </c>
      <c r="Q195" s="7">
        <f t="shared" si="10"/>
        <v>0.000153005376</v>
      </c>
      <c r="R195" s="7">
        <f t="shared" si="3"/>
        <v>0.9840113131</v>
      </c>
      <c r="S195" s="7">
        <f t="shared" si="4"/>
        <v>0.1004987562</v>
      </c>
      <c r="T195" s="7">
        <f t="shared" si="5"/>
        <v>0</v>
      </c>
      <c r="U195" s="7">
        <f t="shared" si="6"/>
        <v>0</v>
      </c>
      <c r="V195" s="7">
        <f t="shared" ref="V195:W195" si="393">IF(AVERAGE(T135:T194) &gt; 0.25, 1, 0)</f>
        <v>1</v>
      </c>
      <c r="W195" s="7">
        <f t="shared" si="393"/>
        <v>1</v>
      </c>
      <c r="X195" s="8">
        <v>1.0</v>
      </c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ht="22.5" customHeight="1">
      <c r="A196" s="6">
        <v>1395.0</v>
      </c>
      <c r="B196" s="6">
        <v>41651.0</v>
      </c>
      <c r="C196" s="6">
        <v>2.18</v>
      </c>
      <c r="D196" s="6">
        <v>-0.16</v>
      </c>
      <c r="E196" s="6">
        <v>10.55</v>
      </c>
      <c r="F196" s="6">
        <v>-0.1</v>
      </c>
      <c r="G196" s="6">
        <v>0.0</v>
      </c>
      <c r="H196" s="6">
        <v>-0.01</v>
      </c>
      <c r="I196" s="6">
        <v>33.35</v>
      </c>
      <c r="J196" s="7">
        <f t="shared" ref="J196:O196" si="394">abs(C196-C195)/200</f>
        <v>0</v>
      </c>
      <c r="K196" s="7">
        <f t="shared" si="394"/>
        <v>0.00005</v>
      </c>
      <c r="L196" s="7">
        <f t="shared" si="394"/>
        <v>0.00005</v>
      </c>
      <c r="M196" s="7">
        <f t="shared" si="394"/>
        <v>0</v>
      </c>
      <c r="N196" s="7">
        <f t="shared" si="394"/>
        <v>0</v>
      </c>
      <c r="O196" s="7">
        <f t="shared" si="394"/>
        <v>0</v>
      </c>
      <c r="P196" s="7">
        <f t="shared" si="9"/>
        <v>0</v>
      </c>
      <c r="Q196" s="7">
        <f t="shared" si="10"/>
        <v>0.009945228234</v>
      </c>
      <c r="R196" s="7">
        <f t="shared" si="3"/>
        <v>0.9740660848</v>
      </c>
      <c r="S196" s="7">
        <f t="shared" si="4"/>
        <v>0.1004987562</v>
      </c>
      <c r="T196" s="7">
        <f t="shared" si="5"/>
        <v>0</v>
      </c>
      <c r="U196" s="7">
        <f t="shared" si="6"/>
        <v>0</v>
      </c>
      <c r="V196" s="7">
        <f t="shared" ref="V196:W196" si="395">IF(AVERAGE(T136:T195) &gt; 0.25, 1, 0)</f>
        <v>1</v>
      </c>
      <c r="W196" s="7">
        <f t="shared" si="395"/>
        <v>1</v>
      </c>
      <c r="X196" s="8">
        <v>1.0</v>
      </c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ht="22.5" customHeight="1">
      <c r="A197" s="6">
        <v>1396.0</v>
      </c>
      <c r="B197" s="6">
        <v>41855.0</v>
      </c>
      <c r="C197" s="6">
        <v>2.18</v>
      </c>
      <c r="D197" s="6">
        <v>-0.17</v>
      </c>
      <c r="E197" s="6">
        <v>10.55</v>
      </c>
      <c r="F197" s="6">
        <v>-0.1</v>
      </c>
      <c r="G197" s="6">
        <v>0.0</v>
      </c>
      <c r="H197" s="6">
        <v>-0.01</v>
      </c>
      <c r="I197" s="6">
        <v>33.34</v>
      </c>
      <c r="J197" s="7">
        <f t="shared" ref="J197:O197" si="396">abs(C197-C196)/200</f>
        <v>0</v>
      </c>
      <c r="K197" s="7">
        <f t="shared" si="396"/>
        <v>0.00005</v>
      </c>
      <c r="L197" s="7">
        <f t="shared" si="396"/>
        <v>0</v>
      </c>
      <c r="M197" s="7">
        <f t="shared" si="396"/>
        <v>0</v>
      </c>
      <c r="N197" s="7">
        <f t="shared" si="396"/>
        <v>0</v>
      </c>
      <c r="O197" s="7">
        <f t="shared" si="396"/>
        <v>0</v>
      </c>
      <c r="P197" s="7">
        <f t="shared" si="9"/>
        <v>0</v>
      </c>
      <c r="Q197" s="7">
        <f t="shared" si="10"/>
        <v>0.0001531444359</v>
      </c>
      <c r="R197" s="7">
        <f t="shared" si="3"/>
        <v>0.9742192293</v>
      </c>
      <c r="S197" s="7">
        <f t="shared" si="4"/>
        <v>0.1004987562</v>
      </c>
      <c r="T197" s="7">
        <f t="shared" si="5"/>
        <v>0</v>
      </c>
      <c r="U197" s="7">
        <f t="shared" si="6"/>
        <v>0</v>
      </c>
      <c r="V197" s="7">
        <f t="shared" ref="V197:W197" si="397">IF(AVERAGE(T137:T196) &gt; 0.25, 1, 0)</f>
        <v>1</v>
      </c>
      <c r="W197" s="7">
        <f t="shared" si="397"/>
        <v>1</v>
      </c>
      <c r="X197" s="8">
        <v>1.0</v>
      </c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ht="22.5" customHeight="1">
      <c r="A198" s="6">
        <v>1397.0</v>
      </c>
      <c r="B198" s="6">
        <v>42059.0</v>
      </c>
      <c r="C198" s="6">
        <v>2.18</v>
      </c>
      <c r="D198" s="6">
        <v>-0.17</v>
      </c>
      <c r="E198" s="6">
        <v>10.56</v>
      </c>
      <c r="F198" s="6">
        <v>-0.1</v>
      </c>
      <c r="G198" s="6">
        <v>0.0</v>
      </c>
      <c r="H198" s="6">
        <v>-0.01</v>
      </c>
      <c r="I198" s="6">
        <v>33.33</v>
      </c>
      <c r="J198" s="7">
        <f t="shared" ref="J198:O198" si="398">abs(C198-C197)/200</f>
        <v>0</v>
      </c>
      <c r="K198" s="7">
        <f t="shared" si="398"/>
        <v>0</v>
      </c>
      <c r="L198" s="7">
        <f t="shared" si="398"/>
        <v>0.00005</v>
      </c>
      <c r="M198" s="7">
        <f t="shared" si="398"/>
        <v>0</v>
      </c>
      <c r="N198" s="7">
        <f t="shared" si="398"/>
        <v>0</v>
      </c>
      <c r="O198" s="7">
        <f t="shared" si="398"/>
        <v>0</v>
      </c>
      <c r="P198" s="7">
        <f t="shared" si="9"/>
        <v>0</v>
      </c>
      <c r="Q198" s="7">
        <f t="shared" si="10"/>
        <v>0.009792083798</v>
      </c>
      <c r="R198" s="7">
        <f t="shared" si="3"/>
        <v>0.9840113131</v>
      </c>
      <c r="S198" s="7">
        <f t="shared" si="4"/>
        <v>0.1004987562</v>
      </c>
      <c r="T198" s="7">
        <f t="shared" si="5"/>
        <v>0</v>
      </c>
      <c r="U198" s="7">
        <f t="shared" si="6"/>
        <v>0</v>
      </c>
      <c r="V198" s="7">
        <f t="shared" ref="V198:W198" si="399">IF(AVERAGE(T138:T197) &gt; 0.25, 1, 0)</f>
        <v>1</v>
      </c>
      <c r="W198" s="7">
        <f t="shared" si="399"/>
        <v>1</v>
      </c>
      <c r="X198" s="8">
        <v>1.0</v>
      </c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ht="22.5" customHeight="1">
      <c r="A199" s="6">
        <v>1398.0</v>
      </c>
      <c r="B199" s="6">
        <v>42263.0</v>
      </c>
      <c r="C199" s="6">
        <v>2.18</v>
      </c>
      <c r="D199" s="6">
        <v>-0.17</v>
      </c>
      <c r="E199" s="6">
        <v>10.55</v>
      </c>
      <c r="F199" s="6">
        <v>-0.1</v>
      </c>
      <c r="G199" s="6">
        <v>0.0</v>
      </c>
      <c r="H199" s="6">
        <v>-0.01</v>
      </c>
      <c r="I199" s="6">
        <v>33.32</v>
      </c>
      <c r="J199" s="7">
        <f t="shared" ref="J199:O199" si="400">abs(C199-C198)/200</f>
        <v>0</v>
      </c>
      <c r="K199" s="7">
        <f t="shared" si="400"/>
        <v>0</v>
      </c>
      <c r="L199" s="7">
        <f t="shared" si="400"/>
        <v>0.00005</v>
      </c>
      <c r="M199" s="7">
        <f t="shared" si="400"/>
        <v>0</v>
      </c>
      <c r="N199" s="7">
        <f t="shared" si="400"/>
        <v>0</v>
      </c>
      <c r="O199" s="7">
        <f t="shared" si="400"/>
        <v>0</v>
      </c>
      <c r="P199" s="7">
        <f t="shared" si="9"/>
        <v>0</v>
      </c>
      <c r="Q199" s="7">
        <f t="shared" si="10"/>
        <v>0.009792083798</v>
      </c>
      <c r="R199" s="7">
        <f t="shared" si="3"/>
        <v>0.9742192293</v>
      </c>
      <c r="S199" s="7">
        <f t="shared" si="4"/>
        <v>0.1004987562</v>
      </c>
      <c r="T199" s="7">
        <f t="shared" si="5"/>
        <v>0</v>
      </c>
      <c r="U199" s="7">
        <f t="shared" si="6"/>
        <v>0</v>
      </c>
      <c r="V199" s="7">
        <f t="shared" ref="V199:W199" si="401">IF(AVERAGE(T139:T198) &gt; 0.25, 1, 0)</f>
        <v>1</v>
      </c>
      <c r="W199" s="7">
        <f t="shared" si="401"/>
        <v>1</v>
      </c>
      <c r="X199" s="8">
        <v>1.0</v>
      </c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ht="22.5" customHeight="1">
      <c r="A200" s="6">
        <v>1399.0</v>
      </c>
      <c r="B200" s="6">
        <v>42467.0</v>
      </c>
      <c r="C200" s="6">
        <v>2.18</v>
      </c>
      <c r="D200" s="6">
        <v>-0.17</v>
      </c>
      <c r="E200" s="6">
        <v>10.55</v>
      </c>
      <c r="F200" s="6">
        <v>-0.1</v>
      </c>
      <c r="G200" s="6">
        <v>0.0</v>
      </c>
      <c r="H200" s="6">
        <v>-0.01</v>
      </c>
      <c r="I200" s="6">
        <v>33.34</v>
      </c>
      <c r="J200" s="7">
        <f t="shared" ref="J200:O200" si="402">abs(C200-C199)/200</f>
        <v>0</v>
      </c>
      <c r="K200" s="7">
        <f t="shared" si="402"/>
        <v>0</v>
      </c>
      <c r="L200" s="7">
        <f t="shared" si="402"/>
        <v>0</v>
      </c>
      <c r="M200" s="7">
        <f t="shared" si="402"/>
        <v>0</v>
      </c>
      <c r="N200" s="7">
        <f t="shared" si="402"/>
        <v>0</v>
      </c>
      <c r="O200" s="7">
        <f t="shared" si="402"/>
        <v>0</v>
      </c>
      <c r="P200" s="7">
        <f t="shared" si="9"/>
        <v>0</v>
      </c>
      <c r="Q200" s="7">
        <f t="shared" si="10"/>
        <v>0</v>
      </c>
      <c r="R200" s="7">
        <f t="shared" si="3"/>
        <v>0.9742192293</v>
      </c>
      <c r="S200" s="7">
        <f t="shared" si="4"/>
        <v>0.1004987562</v>
      </c>
      <c r="T200" s="7">
        <f t="shared" si="5"/>
        <v>0</v>
      </c>
      <c r="U200" s="7">
        <f t="shared" si="6"/>
        <v>0</v>
      </c>
      <c r="V200" s="7">
        <f t="shared" ref="V200:W200" si="403">IF(AVERAGE(T140:T199) &gt; 0.25, 1, 0)</f>
        <v>1</v>
      </c>
      <c r="W200" s="7">
        <f t="shared" si="403"/>
        <v>1</v>
      </c>
      <c r="X200" s="8">
        <v>1.0</v>
      </c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ht="22.5" customHeight="1">
      <c r="A201" s="6">
        <v>1400.0</v>
      </c>
      <c r="B201" s="6">
        <v>42671.0</v>
      </c>
      <c r="C201" s="6">
        <v>2.16</v>
      </c>
      <c r="D201" s="6">
        <v>-0.16</v>
      </c>
      <c r="E201" s="6">
        <v>10.57</v>
      </c>
      <c r="F201" s="6">
        <v>-0.1</v>
      </c>
      <c r="G201" s="6">
        <v>0.0</v>
      </c>
      <c r="H201" s="6">
        <v>-0.01</v>
      </c>
      <c r="I201" s="6">
        <v>33.32</v>
      </c>
      <c r="J201" s="7">
        <f t="shared" ref="J201:O201" si="404">abs(C201-C200)/200</f>
        <v>0.0001</v>
      </c>
      <c r="K201" s="7">
        <f t="shared" si="404"/>
        <v>0.00005</v>
      </c>
      <c r="L201" s="7">
        <f t="shared" si="404"/>
        <v>0.0001</v>
      </c>
      <c r="M201" s="7">
        <f t="shared" si="404"/>
        <v>0</v>
      </c>
      <c r="N201" s="7">
        <f t="shared" si="404"/>
        <v>0</v>
      </c>
      <c r="O201" s="7">
        <f t="shared" si="404"/>
        <v>0</v>
      </c>
      <c r="P201" s="7">
        <f t="shared" si="9"/>
        <v>0</v>
      </c>
      <c r="Q201" s="7">
        <f t="shared" si="10"/>
        <v>0.01541005075</v>
      </c>
      <c r="R201" s="7">
        <f t="shared" si="3"/>
        <v>0.98962928</v>
      </c>
      <c r="S201" s="7">
        <f t="shared" si="4"/>
        <v>0.1004987562</v>
      </c>
      <c r="T201" s="7">
        <f t="shared" si="5"/>
        <v>0</v>
      </c>
      <c r="U201" s="7">
        <f t="shared" si="6"/>
        <v>0</v>
      </c>
      <c r="V201" s="7">
        <f t="shared" ref="V201:W201" si="405">IF(AVERAGE(T141:T200) &gt; 0.25, 1, 0)</f>
        <v>1</v>
      </c>
      <c r="W201" s="7">
        <f t="shared" si="405"/>
        <v>1</v>
      </c>
      <c r="X201" s="8">
        <v>1.0</v>
      </c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ht="22.5" customHeight="1">
      <c r="A202" s="6">
        <v>1401.0</v>
      </c>
      <c r="B202" s="6">
        <v>42875.0</v>
      </c>
      <c r="C202" s="6">
        <v>2.18</v>
      </c>
      <c r="D202" s="6">
        <v>-0.17</v>
      </c>
      <c r="E202" s="6">
        <v>10.57</v>
      </c>
      <c r="F202" s="6">
        <v>-0.1</v>
      </c>
      <c r="G202" s="6">
        <v>0.0</v>
      </c>
      <c r="H202" s="6">
        <v>-0.01</v>
      </c>
      <c r="I202" s="6">
        <v>33.33</v>
      </c>
      <c r="J202" s="7">
        <f t="shared" ref="J202:O202" si="406">abs(C202-C201)/200</f>
        <v>0.0001</v>
      </c>
      <c r="K202" s="7">
        <f t="shared" si="406"/>
        <v>0.00005</v>
      </c>
      <c r="L202" s="7">
        <f t="shared" si="406"/>
        <v>0</v>
      </c>
      <c r="M202" s="7">
        <f t="shared" si="406"/>
        <v>0</v>
      </c>
      <c r="N202" s="7">
        <f t="shared" si="406"/>
        <v>0</v>
      </c>
      <c r="O202" s="7">
        <f t="shared" si="406"/>
        <v>0</v>
      </c>
      <c r="P202" s="7">
        <f t="shared" si="9"/>
        <v>0</v>
      </c>
      <c r="Q202" s="7">
        <f t="shared" si="10"/>
        <v>0.004174498086</v>
      </c>
      <c r="R202" s="7">
        <f t="shared" si="3"/>
        <v>0.9938037781</v>
      </c>
      <c r="S202" s="7">
        <f t="shared" si="4"/>
        <v>0.1004987562</v>
      </c>
      <c r="T202" s="7">
        <f t="shared" si="5"/>
        <v>0</v>
      </c>
      <c r="U202" s="7">
        <f t="shared" si="6"/>
        <v>0</v>
      </c>
      <c r="V202" s="7">
        <f t="shared" ref="V202:W202" si="407">IF(AVERAGE(T142:T201) &gt; 0.25, 1, 0)</f>
        <v>1</v>
      </c>
      <c r="W202" s="7">
        <f t="shared" si="407"/>
        <v>1</v>
      </c>
      <c r="X202" s="8">
        <v>1.0</v>
      </c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ht="22.5" customHeight="1">
      <c r="A203" s="6">
        <v>1402.0</v>
      </c>
      <c r="B203" s="6">
        <v>43079.0</v>
      </c>
      <c r="C203" s="6">
        <v>2.18</v>
      </c>
      <c r="D203" s="6">
        <v>-0.16</v>
      </c>
      <c r="E203" s="6">
        <v>10.55</v>
      </c>
      <c r="F203" s="6">
        <v>-0.1</v>
      </c>
      <c r="G203" s="6">
        <v>0.0</v>
      </c>
      <c r="H203" s="6">
        <v>-0.01</v>
      </c>
      <c r="I203" s="6">
        <v>33.33</v>
      </c>
      <c r="J203" s="7">
        <f t="shared" ref="J203:O203" si="408">abs(C203-C202)/200</f>
        <v>0</v>
      </c>
      <c r="K203" s="7">
        <f t="shared" si="408"/>
        <v>0.00005</v>
      </c>
      <c r="L203" s="7">
        <f t="shared" si="408"/>
        <v>0.0001</v>
      </c>
      <c r="M203" s="7">
        <f t="shared" si="408"/>
        <v>0</v>
      </c>
      <c r="N203" s="7">
        <f t="shared" si="408"/>
        <v>0</v>
      </c>
      <c r="O203" s="7">
        <f t="shared" si="408"/>
        <v>0</v>
      </c>
      <c r="P203" s="7">
        <f t="shared" si="9"/>
        <v>0</v>
      </c>
      <c r="Q203" s="7">
        <f t="shared" si="10"/>
        <v>0.01973769328</v>
      </c>
      <c r="R203" s="7">
        <f t="shared" si="3"/>
        <v>0.9740660848</v>
      </c>
      <c r="S203" s="7">
        <f t="shared" si="4"/>
        <v>0.1004987562</v>
      </c>
      <c r="T203" s="7">
        <f t="shared" si="5"/>
        <v>0</v>
      </c>
      <c r="U203" s="7">
        <f t="shared" si="6"/>
        <v>0</v>
      </c>
      <c r="V203" s="7">
        <f t="shared" ref="V203:W203" si="409">IF(AVERAGE(T143:T202) &gt; 0.25, 1, 0)</f>
        <v>1</v>
      </c>
      <c r="W203" s="7">
        <f t="shared" si="409"/>
        <v>1</v>
      </c>
      <c r="X203" s="8">
        <v>1.0</v>
      </c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ht="22.5" customHeight="1">
      <c r="A204" s="6">
        <v>1403.0</v>
      </c>
      <c r="B204" s="6">
        <v>43283.0</v>
      </c>
      <c r="C204" s="6">
        <v>2.18</v>
      </c>
      <c r="D204" s="6">
        <v>-0.16</v>
      </c>
      <c r="E204" s="6">
        <v>10.56</v>
      </c>
      <c r="F204" s="6">
        <v>-0.1</v>
      </c>
      <c r="G204" s="6">
        <v>0.0</v>
      </c>
      <c r="H204" s="6">
        <v>-0.01</v>
      </c>
      <c r="I204" s="6">
        <v>33.33</v>
      </c>
      <c r="J204" s="7">
        <f t="shared" ref="J204:O204" si="410">abs(C204-C203)/200</f>
        <v>0</v>
      </c>
      <c r="K204" s="7">
        <f t="shared" si="410"/>
        <v>0</v>
      </c>
      <c r="L204" s="7">
        <f t="shared" si="410"/>
        <v>0.00005</v>
      </c>
      <c r="M204" s="7">
        <f t="shared" si="410"/>
        <v>0</v>
      </c>
      <c r="N204" s="7">
        <f t="shared" si="410"/>
        <v>0</v>
      </c>
      <c r="O204" s="7">
        <f t="shared" si="410"/>
        <v>0</v>
      </c>
      <c r="P204" s="7">
        <f t="shared" si="9"/>
        <v>0</v>
      </c>
      <c r="Q204" s="7">
        <f t="shared" si="10"/>
        <v>0.009792222858</v>
      </c>
      <c r="R204" s="7">
        <f t="shared" si="3"/>
        <v>0.9838583077</v>
      </c>
      <c r="S204" s="7">
        <f t="shared" si="4"/>
        <v>0.1004987562</v>
      </c>
      <c r="T204" s="7">
        <f t="shared" si="5"/>
        <v>0</v>
      </c>
      <c r="U204" s="7">
        <f t="shared" si="6"/>
        <v>0</v>
      </c>
      <c r="V204" s="7">
        <f t="shared" ref="V204:W204" si="411">IF(AVERAGE(T144:T203) &gt; 0.25, 1, 0)</f>
        <v>1</v>
      </c>
      <c r="W204" s="7">
        <f t="shared" si="411"/>
        <v>1</v>
      </c>
      <c r="X204" s="8">
        <v>1.0</v>
      </c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ht="22.5" customHeight="1">
      <c r="A205" s="6">
        <v>1404.0</v>
      </c>
      <c r="B205" s="6">
        <v>43487.0</v>
      </c>
      <c r="C205" s="6">
        <v>2.18</v>
      </c>
      <c r="D205" s="6">
        <v>-0.17</v>
      </c>
      <c r="E205" s="6">
        <v>10.55</v>
      </c>
      <c r="F205" s="6">
        <v>-0.1</v>
      </c>
      <c r="G205" s="6">
        <v>0.0</v>
      </c>
      <c r="H205" s="6">
        <v>-0.01</v>
      </c>
      <c r="I205" s="6">
        <v>33.33</v>
      </c>
      <c r="J205" s="7">
        <f t="shared" ref="J205:O205" si="412">abs(C205-C204)/200</f>
        <v>0</v>
      </c>
      <c r="K205" s="7">
        <f t="shared" si="412"/>
        <v>0.00005</v>
      </c>
      <c r="L205" s="7">
        <f t="shared" si="412"/>
        <v>0.00005</v>
      </c>
      <c r="M205" s="7">
        <f t="shared" si="412"/>
        <v>0</v>
      </c>
      <c r="N205" s="7">
        <f t="shared" si="412"/>
        <v>0</v>
      </c>
      <c r="O205" s="7">
        <f t="shared" si="412"/>
        <v>0</v>
      </c>
      <c r="P205" s="7">
        <f t="shared" si="9"/>
        <v>0</v>
      </c>
      <c r="Q205" s="7">
        <f t="shared" si="10"/>
        <v>0.009639078422</v>
      </c>
      <c r="R205" s="7">
        <f t="shared" si="3"/>
        <v>0.9742192293</v>
      </c>
      <c r="S205" s="7">
        <f t="shared" si="4"/>
        <v>0.1004987562</v>
      </c>
      <c r="T205" s="7">
        <f t="shared" si="5"/>
        <v>0</v>
      </c>
      <c r="U205" s="7">
        <f t="shared" si="6"/>
        <v>0</v>
      </c>
      <c r="V205" s="7">
        <f t="shared" ref="V205:W205" si="413">IF(AVERAGE(T145:T204) &gt; 0.25, 1, 0)</f>
        <v>1</v>
      </c>
      <c r="W205" s="7">
        <f t="shared" si="413"/>
        <v>1</v>
      </c>
      <c r="X205" s="8">
        <v>1.0</v>
      </c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ht="22.5" customHeight="1">
      <c r="A206" s="6">
        <v>1405.0</v>
      </c>
      <c r="B206" s="6">
        <v>43691.0</v>
      </c>
      <c r="C206" s="6">
        <v>2.17</v>
      </c>
      <c r="D206" s="6">
        <v>-0.17</v>
      </c>
      <c r="E206" s="6">
        <v>10.55</v>
      </c>
      <c r="F206" s="6">
        <v>-0.1</v>
      </c>
      <c r="G206" s="6">
        <v>0.0</v>
      </c>
      <c r="H206" s="6">
        <v>-0.01</v>
      </c>
      <c r="I206" s="6">
        <v>33.32</v>
      </c>
      <c r="J206" s="7">
        <f t="shared" ref="J206:O206" si="414">abs(C206-C205)/200</f>
        <v>0.00005</v>
      </c>
      <c r="K206" s="7">
        <f t="shared" si="414"/>
        <v>0</v>
      </c>
      <c r="L206" s="7">
        <f t="shared" si="414"/>
        <v>0</v>
      </c>
      <c r="M206" s="7">
        <f t="shared" si="414"/>
        <v>0</v>
      </c>
      <c r="N206" s="7">
        <f t="shared" si="414"/>
        <v>0</v>
      </c>
      <c r="O206" s="7">
        <f t="shared" si="414"/>
        <v>0</v>
      </c>
      <c r="P206" s="7">
        <f t="shared" si="9"/>
        <v>0</v>
      </c>
      <c r="Q206" s="7">
        <f t="shared" si="10"/>
        <v>0.002018896916</v>
      </c>
      <c r="R206" s="7">
        <f t="shared" si="3"/>
        <v>0.9722003323</v>
      </c>
      <c r="S206" s="7">
        <f t="shared" si="4"/>
        <v>0.1004987562</v>
      </c>
      <c r="T206" s="7">
        <f t="shared" si="5"/>
        <v>0</v>
      </c>
      <c r="U206" s="7">
        <f t="shared" si="6"/>
        <v>0</v>
      </c>
      <c r="V206" s="7">
        <f t="shared" ref="V206:W206" si="415">IF(AVERAGE(T146:T205) &gt; 0.25, 1, 0)</f>
        <v>1</v>
      </c>
      <c r="W206" s="7">
        <f t="shared" si="415"/>
        <v>1</v>
      </c>
      <c r="X206" s="8">
        <v>1.0</v>
      </c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ht="22.5" customHeight="1">
      <c r="A207" s="6">
        <v>1406.0</v>
      </c>
      <c r="B207" s="6">
        <v>43895.0</v>
      </c>
      <c r="C207" s="6">
        <v>2.18</v>
      </c>
      <c r="D207" s="6">
        <v>-0.17</v>
      </c>
      <c r="E207" s="6">
        <v>10.56</v>
      </c>
      <c r="F207" s="6">
        <v>-0.1</v>
      </c>
      <c r="G207" s="6">
        <v>0.0</v>
      </c>
      <c r="H207" s="6">
        <v>-0.01</v>
      </c>
      <c r="I207" s="6">
        <v>33.32</v>
      </c>
      <c r="J207" s="7">
        <f t="shared" ref="J207:O207" si="416">abs(C207-C206)/200</f>
        <v>0.00005</v>
      </c>
      <c r="K207" s="7">
        <f t="shared" si="416"/>
        <v>0</v>
      </c>
      <c r="L207" s="7">
        <f t="shared" si="416"/>
        <v>0.00005</v>
      </c>
      <c r="M207" s="7">
        <f t="shared" si="416"/>
        <v>0</v>
      </c>
      <c r="N207" s="7">
        <f t="shared" si="416"/>
        <v>0</v>
      </c>
      <c r="O207" s="7">
        <f t="shared" si="416"/>
        <v>0</v>
      </c>
      <c r="P207" s="7">
        <f t="shared" si="9"/>
        <v>0</v>
      </c>
      <c r="Q207" s="7">
        <f t="shared" si="10"/>
        <v>0.01181098071</v>
      </c>
      <c r="R207" s="7">
        <f t="shared" si="3"/>
        <v>0.9840113131</v>
      </c>
      <c r="S207" s="7">
        <f t="shared" si="4"/>
        <v>0.1004987562</v>
      </c>
      <c r="T207" s="7">
        <f t="shared" si="5"/>
        <v>0</v>
      </c>
      <c r="U207" s="7">
        <f t="shared" si="6"/>
        <v>0</v>
      </c>
      <c r="V207" s="7">
        <f t="shared" ref="V207:W207" si="417">IF(AVERAGE(T147:T206) &gt; 0.25, 1, 0)</f>
        <v>1</v>
      </c>
      <c r="W207" s="7">
        <f t="shared" si="417"/>
        <v>1</v>
      </c>
      <c r="X207" s="8">
        <v>1.0</v>
      </c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ht="22.5" customHeight="1">
      <c r="A208" s="6">
        <v>1407.0</v>
      </c>
      <c r="B208" s="6">
        <v>44099.0</v>
      </c>
      <c r="C208" s="6">
        <v>2.18</v>
      </c>
      <c r="D208" s="6">
        <v>-0.17</v>
      </c>
      <c r="E208" s="6">
        <v>10.56</v>
      </c>
      <c r="F208" s="6">
        <v>-0.1</v>
      </c>
      <c r="G208" s="6">
        <v>0.0</v>
      </c>
      <c r="H208" s="6">
        <v>-0.01</v>
      </c>
      <c r="I208" s="6">
        <v>33.33</v>
      </c>
      <c r="J208" s="7">
        <f t="shared" ref="J208:O208" si="418">abs(C208-C207)/200</f>
        <v>0</v>
      </c>
      <c r="K208" s="7">
        <f t="shared" si="418"/>
        <v>0</v>
      </c>
      <c r="L208" s="7">
        <f t="shared" si="418"/>
        <v>0</v>
      </c>
      <c r="M208" s="7">
        <f t="shared" si="418"/>
        <v>0</v>
      </c>
      <c r="N208" s="7">
        <f t="shared" si="418"/>
        <v>0</v>
      </c>
      <c r="O208" s="7">
        <f t="shared" si="418"/>
        <v>0</v>
      </c>
      <c r="P208" s="7">
        <f t="shared" si="9"/>
        <v>0</v>
      </c>
      <c r="Q208" s="7">
        <f t="shared" si="10"/>
        <v>0</v>
      </c>
      <c r="R208" s="7">
        <f t="shared" si="3"/>
        <v>0.9840113131</v>
      </c>
      <c r="S208" s="7">
        <f t="shared" si="4"/>
        <v>0.1004987562</v>
      </c>
      <c r="T208" s="7">
        <f t="shared" si="5"/>
        <v>0</v>
      </c>
      <c r="U208" s="7">
        <f t="shared" si="6"/>
        <v>0</v>
      </c>
      <c r="V208" s="7">
        <f t="shared" ref="V208:W208" si="419">IF(AVERAGE(T148:T207) &gt; 0.25, 1, 0)</f>
        <v>1</v>
      </c>
      <c r="W208" s="7">
        <f t="shared" si="419"/>
        <v>1</v>
      </c>
      <c r="X208" s="8">
        <v>1.0</v>
      </c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ht="22.5" customHeight="1">
      <c r="A209" s="6">
        <v>1408.0</v>
      </c>
      <c r="B209" s="6">
        <v>44303.0</v>
      </c>
      <c r="C209" s="6">
        <v>2.18</v>
      </c>
      <c r="D209" s="6">
        <v>-0.17</v>
      </c>
      <c r="E209" s="6">
        <v>10.55</v>
      </c>
      <c r="F209" s="6">
        <v>-0.1</v>
      </c>
      <c r="G209" s="6">
        <v>0.0</v>
      </c>
      <c r="H209" s="6">
        <v>-0.01</v>
      </c>
      <c r="I209" s="6">
        <v>33.34</v>
      </c>
      <c r="J209" s="7">
        <f t="shared" ref="J209:O209" si="420">abs(C209-C208)/200</f>
        <v>0</v>
      </c>
      <c r="K209" s="7">
        <f t="shared" si="420"/>
        <v>0</v>
      </c>
      <c r="L209" s="7">
        <f t="shared" si="420"/>
        <v>0.00005</v>
      </c>
      <c r="M209" s="7">
        <f t="shared" si="420"/>
        <v>0</v>
      </c>
      <c r="N209" s="7">
        <f t="shared" si="420"/>
        <v>0</v>
      </c>
      <c r="O209" s="7">
        <f t="shared" si="420"/>
        <v>0</v>
      </c>
      <c r="P209" s="7">
        <f t="shared" si="9"/>
        <v>0</v>
      </c>
      <c r="Q209" s="7">
        <f t="shared" si="10"/>
        <v>0.009792083798</v>
      </c>
      <c r="R209" s="7">
        <f t="shared" si="3"/>
        <v>0.9742192293</v>
      </c>
      <c r="S209" s="7">
        <f t="shared" si="4"/>
        <v>0.1004987562</v>
      </c>
      <c r="T209" s="7">
        <f t="shared" si="5"/>
        <v>0</v>
      </c>
      <c r="U209" s="7">
        <f t="shared" si="6"/>
        <v>0</v>
      </c>
      <c r="V209" s="7">
        <f t="shared" ref="V209:W209" si="421">IF(AVERAGE(T149:T208) &gt; 0.25, 1, 0)</f>
        <v>1</v>
      </c>
      <c r="W209" s="7">
        <f t="shared" si="421"/>
        <v>1</v>
      </c>
      <c r="X209" s="8">
        <v>1.0</v>
      </c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ht="22.5" customHeight="1">
      <c r="A210" s="6">
        <v>1409.0</v>
      </c>
      <c r="B210" s="6">
        <v>44507.0</v>
      </c>
      <c r="C210" s="6">
        <v>2.18</v>
      </c>
      <c r="D210" s="6">
        <v>-0.17</v>
      </c>
      <c r="E210" s="6">
        <v>10.54</v>
      </c>
      <c r="F210" s="6">
        <v>-0.1</v>
      </c>
      <c r="G210" s="6">
        <v>0.0</v>
      </c>
      <c r="H210" s="6">
        <v>-0.01</v>
      </c>
      <c r="I210" s="6">
        <v>33.34</v>
      </c>
      <c r="J210" s="7">
        <f t="shared" ref="J210:O210" si="422">abs(C210-C209)/200</f>
        <v>0</v>
      </c>
      <c r="K210" s="7">
        <f t="shared" si="422"/>
        <v>0</v>
      </c>
      <c r="L210" s="7">
        <f t="shared" si="422"/>
        <v>0.00005</v>
      </c>
      <c r="M210" s="7">
        <f t="shared" si="422"/>
        <v>0</v>
      </c>
      <c r="N210" s="7">
        <f t="shared" si="422"/>
        <v>0</v>
      </c>
      <c r="O210" s="7">
        <f t="shared" si="422"/>
        <v>0</v>
      </c>
      <c r="P210" s="7">
        <f t="shared" si="9"/>
        <v>0</v>
      </c>
      <c r="Q210" s="7">
        <f t="shared" si="10"/>
        <v>0.009791701511</v>
      </c>
      <c r="R210" s="7">
        <f t="shared" si="3"/>
        <v>0.9644275277</v>
      </c>
      <c r="S210" s="7">
        <f t="shared" si="4"/>
        <v>0.1004987562</v>
      </c>
      <c r="T210" s="7">
        <f t="shared" si="5"/>
        <v>0</v>
      </c>
      <c r="U210" s="7">
        <f t="shared" si="6"/>
        <v>0</v>
      </c>
      <c r="V210" s="7">
        <f t="shared" ref="V210:W210" si="423">IF(AVERAGE(T150:T209) &gt; 0.25, 1, 0)</f>
        <v>1</v>
      </c>
      <c r="W210" s="7">
        <f t="shared" si="423"/>
        <v>1</v>
      </c>
      <c r="X210" s="8">
        <v>1.0</v>
      </c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ht="22.5" customHeight="1">
      <c r="A211" s="6">
        <v>1410.0</v>
      </c>
      <c r="B211" s="6">
        <v>44711.0</v>
      </c>
      <c r="C211" s="6">
        <v>2.17</v>
      </c>
      <c r="D211" s="6">
        <v>-0.17</v>
      </c>
      <c r="E211" s="6">
        <v>10.55</v>
      </c>
      <c r="F211" s="6">
        <v>-0.1</v>
      </c>
      <c r="G211" s="6">
        <v>0.0</v>
      </c>
      <c r="H211" s="6">
        <v>-0.01</v>
      </c>
      <c r="I211" s="6">
        <v>33.34</v>
      </c>
      <c r="J211" s="7">
        <f t="shared" ref="J211:O211" si="424">abs(C211-C210)/200</f>
        <v>0.00005</v>
      </c>
      <c r="K211" s="7">
        <f t="shared" si="424"/>
        <v>0</v>
      </c>
      <c r="L211" s="7">
        <f t="shared" si="424"/>
        <v>0.00005</v>
      </c>
      <c r="M211" s="7">
        <f t="shared" si="424"/>
        <v>0</v>
      </c>
      <c r="N211" s="7">
        <f t="shared" si="424"/>
        <v>0</v>
      </c>
      <c r="O211" s="7">
        <f t="shared" si="424"/>
        <v>0</v>
      </c>
      <c r="P211" s="7">
        <f t="shared" si="9"/>
        <v>0</v>
      </c>
      <c r="Q211" s="7">
        <f t="shared" si="10"/>
        <v>0.007772804595</v>
      </c>
      <c r="R211" s="7">
        <f t="shared" si="3"/>
        <v>0.9722003323</v>
      </c>
      <c r="S211" s="7">
        <f t="shared" si="4"/>
        <v>0.1004987562</v>
      </c>
      <c r="T211" s="7">
        <f t="shared" si="5"/>
        <v>0</v>
      </c>
      <c r="U211" s="7">
        <f t="shared" si="6"/>
        <v>0</v>
      </c>
      <c r="V211" s="7">
        <f t="shared" ref="V211:W211" si="425">IF(AVERAGE(T151:T210) &gt; 0.25, 1, 0)</f>
        <v>1</v>
      </c>
      <c r="W211" s="7">
        <f t="shared" si="425"/>
        <v>1</v>
      </c>
      <c r="X211" s="8">
        <v>1.0</v>
      </c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ht="22.5" customHeight="1">
      <c r="A212" s="6">
        <v>1411.0</v>
      </c>
      <c r="B212" s="6">
        <v>44915.0</v>
      </c>
      <c r="C212" s="6">
        <v>2.17</v>
      </c>
      <c r="D212" s="6">
        <v>-0.17</v>
      </c>
      <c r="E212" s="6">
        <v>10.56</v>
      </c>
      <c r="F212" s="6">
        <v>-0.1</v>
      </c>
      <c r="G212" s="6">
        <v>0.0</v>
      </c>
      <c r="H212" s="6">
        <v>-0.01</v>
      </c>
      <c r="I212" s="6">
        <v>33.34</v>
      </c>
      <c r="J212" s="7">
        <f t="shared" ref="J212:O212" si="426">abs(C212-C211)/200</f>
        <v>0</v>
      </c>
      <c r="K212" s="7">
        <f t="shared" si="426"/>
        <v>0</v>
      </c>
      <c r="L212" s="7">
        <f t="shared" si="426"/>
        <v>0.00005</v>
      </c>
      <c r="M212" s="7">
        <f t="shared" si="426"/>
        <v>0</v>
      </c>
      <c r="N212" s="7">
        <f t="shared" si="426"/>
        <v>0</v>
      </c>
      <c r="O212" s="7">
        <f t="shared" si="426"/>
        <v>0</v>
      </c>
      <c r="P212" s="7">
        <f t="shared" si="9"/>
        <v>0</v>
      </c>
      <c r="Q212" s="7">
        <f t="shared" si="10"/>
        <v>0.009793917337</v>
      </c>
      <c r="R212" s="7">
        <f t="shared" si="3"/>
        <v>0.9819942497</v>
      </c>
      <c r="S212" s="7">
        <f t="shared" si="4"/>
        <v>0.1004987562</v>
      </c>
      <c r="T212" s="7">
        <f t="shared" si="5"/>
        <v>0</v>
      </c>
      <c r="U212" s="7">
        <f t="shared" si="6"/>
        <v>0</v>
      </c>
      <c r="V212" s="7">
        <f t="shared" ref="V212:W212" si="427">IF(AVERAGE(T152:T211) &gt; 0.25, 1, 0)</f>
        <v>1</v>
      </c>
      <c r="W212" s="7">
        <f t="shared" si="427"/>
        <v>1</v>
      </c>
      <c r="X212" s="8">
        <v>1.0</v>
      </c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ht="22.5" customHeight="1">
      <c r="A213" s="6">
        <v>1412.0</v>
      </c>
      <c r="B213" s="6">
        <v>45119.0</v>
      </c>
      <c r="C213" s="6">
        <v>2.17</v>
      </c>
      <c r="D213" s="6">
        <v>-0.16</v>
      </c>
      <c r="E213" s="6">
        <v>10.56</v>
      </c>
      <c r="F213" s="6">
        <v>-0.1</v>
      </c>
      <c r="G213" s="6">
        <v>0.0</v>
      </c>
      <c r="H213" s="6">
        <v>-0.01</v>
      </c>
      <c r="I213" s="6">
        <v>33.34</v>
      </c>
      <c r="J213" s="7">
        <f t="shared" ref="J213:O213" si="428">abs(C213-C212)/200</f>
        <v>0</v>
      </c>
      <c r="K213" s="7">
        <f t="shared" si="428"/>
        <v>0.00005</v>
      </c>
      <c r="L213" s="7">
        <f t="shared" si="428"/>
        <v>0</v>
      </c>
      <c r="M213" s="7">
        <f t="shared" si="428"/>
        <v>0</v>
      </c>
      <c r="N213" s="7">
        <f t="shared" si="428"/>
        <v>0</v>
      </c>
      <c r="O213" s="7">
        <f t="shared" si="428"/>
        <v>0</v>
      </c>
      <c r="P213" s="7">
        <f t="shared" si="9"/>
        <v>0</v>
      </c>
      <c r="Q213" s="7">
        <f t="shared" si="10"/>
        <v>0.0001530340002</v>
      </c>
      <c r="R213" s="7">
        <f t="shared" si="3"/>
        <v>0.9818412157</v>
      </c>
      <c r="S213" s="7">
        <f t="shared" si="4"/>
        <v>0.1004987562</v>
      </c>
      <c r="T213" s="7">
        <f t="shared" si="5"/>
        <v>0</v>
      </c>
      <c r="U213" s="7">
        <f t="shared" si="6"/>
        <v>0</v>
      </c>
      <c r="V213" s="7">
        <f t="shared" ref="V213:W213" si="429">IF(AVERAGE(T153:T212) &gt; 0.25, 1, 0)</f>
        <v>1</v>
      </c>
      <c r="W213" s="7">
        <f t="shared" si="429"/>
        <v>1</v>
      </c>
      <c r="X213" s="8">
        <v>1.0</v>
      </c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ht="22.5" customHeight="1">
      <c r="A214" s="6">
        <v>1413.0</v>
      </c>
      <c r="B214" s="6">
        <v>45323.0</v>
      </c>
      <c r="C214" s="6">
        <v>2.18</v>
      </c>
      <c r="D214" s="6">
        <v>-0.17</v>
      </c>
      <c r="E214" s="6">
        <v>10.56</v>
      </c>
      <c r="F214" s="6">
        <v>-0.1</v>
      </c>
      <c r="G214" s="6">
        <v>0.0</v>
      </c>
      <c r="H214" s="6">
        <v>-0.01</v>
      </c>
      <c r="I214" s="6">
        <v>33.33</v>
      </c>
      <c r="J214" s="7">
        <f t="shared" ref="J214:O214" si="430">abs(C214-C213)/200</f>
        <v>0.00005</v>
      </c>
      <c r="K214" s="7">
        <f t="shared" si="430"/>
        <v>0.00005</v>
      </c>
      <c r="L214" s="7">
        <f t="shared" si="430"/>
        <v>0</v>
      </c>
      <c r="M214" s="7">
        <f t="shared" si="430"/>
        <v>0</v>
      </c>
      <c r="N214" s="7">
        <f t="shared" si="430"/>
        <v>0</v>
      </c>
      <c r="O214" s="7">
        <f t="shared" si="430"/>
        <v>0</v>
      </c>
      <c r="P214" s="7">
        <f t="shared" si="9"/>
        <v>0</v>
      </c>
      <c r="Q214" s="7">
        <f t="shared" si="10"/>
        <v>0.002170097377</v>
      </c>
      <c r="R214" s="7">
        <f t="shared" si="3"/>
        <v>0.9840113131</v>
      </c>
      <c r="S214" s="7">
        <f t="shared" si="4"/>
        <v>0.1004987562</v>
      </c>
      <c r="T214" s="7">
        <f t="shared" si="5"/>
        <v>0</v>
      </c>
      <c r="U214" s="7">
        <f t="shared" si="6"/>
        <v>0</v>
      </c>
      <c r="V214" s="7">
        <f t="shared" ref="V214:W214" si="431">IF(AVERAGE(T154:T213) &gt; 0.25, 1, 0)</f>
        <v>1</v>
      </c>
      <c r="W214" s="7">
        <f t="shared" si="431"/>
        <v>1</v>
      </c>
      <c r="X214" s="8">
        <v>1.0</v>
      </c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ht="22.5" customHeight="1">
      <c r="A215" s="6">
        <v>1414.0</v>
      </c>
      <c r="B215" s="6">
        <v>45527.0</v>
      </c>
      <c r="C215" s="6">
        <v>2.18</v>
      </c>
      <c r="D215" s="6">
        <v>-0.17</v>
      </c>
      <c r="E215" s="6">
        <v>10.56</v>
      </c>
      <c r="F215" s="6">
        <v>-0.1</v>
      </c>
      <c r="G215" s="6">
        <v>0.0</v>
      </c>
      <c r="H215" s="6">
        <v>-0.01</v>
      </c>
      <c r="I215" s="6">
        <v>33.34</v>
      </c>
      <c r="J215" s="7">
        <f t="shared" ref="J215:O215" si="432">abs(C215-C214)/200</f>
        <v>0</v>
      </c>
      <c r="K215" s="7">
        <f t="shared" si="432"/>
        <v>0</v>
      </c>
      <c r="L215" s="7">
        <f t="shared" si="432"/>
        <v>0</v>
      </c>
      <c r="M215" s="7">
        <f t="shared" si="432"/>
        <v>0</v>
      </c>
      <c r="N215" s="7">
        <f t="shared" si="432"/>
        <v>0</v>
      </c>
      <c r="O215" s="7">
        <f t="shared" si="432"/>
        <v>0</v>
      </c>
      <c r="P215" s="7">
        <f t="shared" si="9"/>
        <v>0</v>
      </c>
      <c r="Q215" s="7">
        <f t="shared" si="10"/>
        <v>0</v>
      </c>
      <c r="R215" s="7">
        <f t="shared" si="3"/>
        <v>0.9840113131</v>
      </c>
      <c r="S215" s="7">
        <f t="shared" si="4"/>
        <v>0.1004987562</v>
      </c>
      <c r="T215" s="7">
        <f t="shared" si="5"/>
        <v>0</v>
      </c>
      <c r="U215" s="7">
        <f t="shared" si="6"/>
        <v>0</v>
      </c>
      <c r="V215" s="7">
        <f t="shared" ref="V215:W215" si="433">IF(AVERAGE(T155:T214) &gt; 0.25, 1, 0)</f>
        <v>1</v>
      </c>
      <c r="W215" s="7">
        <f t="shared" si="433"/>
        <v>1</v>
      </c>
      <c r="X215" s="8">
        <v>1.0</v>
      </c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ht="22.5" customHeight="1">
      <c r="A216" s="6">
        <v>1415.0</v>
      </c>
      <c r="B216" s="6">
        <v>45731.0</v>
      </c>
      <c r="C216" s="6">
        <v>2.18</v>
      </c>
      <c r="D216" s="6">
        <v>-0.16</v>
      </c>
      <c r="E216" s="6">
        <v>10.55</v>
      </c>
      <c r="F216" s="6">
        <v>-0.1</v>
      </c>
      <c r="G216" s="6">
        <v>0.0</v>
      </c>
      <c r="H216" s="6">
        <v>-0.01</v>
      </c>
      <c r="I216" s="6">
        <v>33.34</v>
      </c>
      <c r="J216" s="7">
        <f t="shared" ref="J216:O216" si="434">abs(C216-C215)/200</f>
        <v>0</v>
      </c>
      <c r="K216" s="7">
        <f t="shared" si="434"/>
        <v>0.00005</v>
      </c>
      <c r="L216" s="7">
        <f t="shared" si="434"/>
        <v>0.00005</v>
      </c>
      <c r="M216" s="7">
        <f t="shared" si="434"/>
        <v>0</v>
      </c>
      <c r="N216" s="7">
        <f t="shared" si="434"/>
        <v>0</v>
      </c>
      <c r="O216" s="7">
        <f t="shared" si="434"/>
        <v>0</v>
      </c>
      <c r="P216" s="7">
        <f t="shared" si="9"/>
        <v>0</v>
      </c>
      <c r="Q216" s="7">
        <f t="shared" si="10"/>
        <v>0.009945228234</v>
      </c>
      <c r="R216" s="7">
        <f t="shared" si="3"/>
        <v>0.9740660848</v>
      </c>
      <c r="S216" s="7">
        <f t="shared" si="4"/>
        <v>0.1004987562</v>
      </c>
      <c r="T216" s="7">
        <f t="shared" si="5"/>
        <v>0</v>
      </c>
      <c r="U216" s="7">
        <f t="shared" si="6"/>
        <v>0</v>
      </c>
      <c r="V216" s="7">
        <f t="shared" ref="V216:W216" si="435">IF(AVERAGE(T156:T215) &gt; 0.25, 1, 0)</f>
        <v>1</v>
      </c>
      <c r="W216" s="7">
        <f t="shared" si="435"/>
        <v>1</v>
      </c>
      <c r="X216" s="8">
        <v>1.0</v>
      </c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ht="22.5" customHeight="1">
      <c r="A217" s="6">
        <v>1416.0</v>
      </c>
      <c r="B217" s="6">
        <v>45935.0</v>
      </c>
      <c r="C217" s="6">
        <v>2.18</v>
      </c>
      <c r="D217" s="6">
        <v>-0.16</v>
      </c>
      <c r="E217" s="6">
        <v>10.55</v>
      </c>
      <c r="F217" s="6">
        <v>-0.1</v>
      </c>
      <c r="G217" s="6">
        <v>0.0</v>
      </c>
      <c r="H217" s="6">
        <v>-0.01</v>
      </c>
      <c r="I217" s="6">
        <v>33.34</v>
      </c>
      <c r="J217" s="7">
        <f t="shared" ref="J217:O217" si="436">abs(C217-C216)/200</f>
        <v>0</v>
      </c>
      <c r="K217" s="7">
        <f t="shared" si="436"/>
        <v>0</v>
      </c>
      <c r="L217" s="7">
        <f t="shared" si="436"/>
        <v>0</v>
      </c>
      <c r="M217" s="7">
        <f t="shared" si="436"/>
        <v>0</v>
      </c>
      <c r="N217" s="7">
        <f t="shared" si="436"/>
        <v>0</v>
      </c>
      <c r="O217" s="7">
        <f t="shared" si="436"/>
        <v>0</v>
      </c>
      <c r="P217" s="7">
        <f t="shared" si="9"/>
        <v>0</v>
      </c>
      <c r="Q217" s="7">
        <f t="shared" si="10"/>
        <v>0</v>
      </c>
      <c r="R217" s="7">
        <f t="shared" si="3"/>
        <v>0.9740660848</v>
      </c>
      <c r="S217" s="7">
        <f t="shared" si="4"/>
        <v>0.1004987562</v>
      </c>
      <c r="T217" s="7">
        <f t="shared" si="5"/>
        <v>0</v>
      </c>
      <c r="U217" s="7">
        <f t="shared" si="6"/>
        <v>0</v>
      </c>
      <c r="V217" s="7">
        <f t="shared" ref="V217:W217" si="437">IF(AVERAGE(T157:T216) &gt; 0.25, 1, 0)</f>
        <v>1</v>
      </c>
      <c r="W217" s="7">
        <f t="shared" si="437"/>
        <v>1</v>
      </c>
      <c r="X217" s="8">
        <v>1.0</v>
      </c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ht="22.5" customHeight="1">
      <c r="A218" s="6">
        <v>1417.0</v>
      </c>
      <c r="B218" s="6">
        <v>46139.0</v>
      </c>
      <c r="C218" s="6">
        <v>2.19</v>
      </c>
      <c r="D218" s="6">
        <v>-0.16</v>
      </c>
      <c r="E218" s="6">
        <v>10.56</v>
      </c>
      <c r="F218" s="6">
        <v>-0.1</v>
      </c>
      <c r="G218" s="6">
        <v>0.0</v>
      </c>
      <c r="H218" s="6">
        <v>-0.01</v>
      </c>
      <c r="I218" s="6">
        <v>33.34</v>
      </c>
      <c r="J218" s="7">
        <f t="shared" ref="J218:O218" si="438">abs(C218-C217)/200</f>
        <v>0.00005</v>
      </c>
      <c r="K218" s="7">
        <f t="shared" si="438"/>
        <v>0</v>
      </c>
      <c r="L218" s="7">
        <f t="shared" si="438"/>
        <v>0.00005</v>
      </c>
      <c r="M218" s="7">
        <f t="shared" si="438"/>
        <v>0</v>
      </c>
      <c r="N218" s="7">
        <f t="shared" si="438"/>
        <v>0</v>
      </c>
      <c r="O218" s="7">
        <f t="shared" si="438"/>
        <v>0</v>
      </c>
      <c r="P218" s="7">
        <f t="shared" si="9"/>
        <v>0</v>
      </c>
      <c r="Q218" s="7">
        <f t="shared" si="10"/>
        <v>0.01181820902</v>
      </c>
      <c r="R218" s="7">
        <f t="shared" si="3"/>
        <v>0.9858842938</v>
      </c>
      <c r="S218" s="7">
        <f t="shared" si="4"/>
        <v>0.1004987562</v>
      </c>
      <c r="T218" s="7">
        <f t="shared" si="5"/>
        <v>0</v>
      </c>
      <c r="U218" s="7">
        <f t="shared" si="6"/>
        <v>0</v>
      </c>
      <c r="V218" s="7">
        <f t="shared" ref="V218:W218" si="439">IF(AVERAGE(T158:T217) &gt; 0.25, 1, 0)</f>
        <v>1</v>
      </c>
      <c r="W218" s="7">
        <f t="shared" si="439"/>
        <v>1</v>
      </c>
      <c r="X218" s="8">
        <v>1.0</v>
      </c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ht="22.5" customHeight="1">
      <c r="A219" s="6">
        <v>1418.0</v>
      </c>
      <c r="B219" s="6">
        <v>46343.0</v>
      </c>
      <c r="C219" s="6">
        <v>2.19</v>
      </c>
      <c r="D219" s="6">
        <v>-0.16</v>
      </c>
      <c r="E219" s="6">
        <v>10.31</v>
      </c>
      <c r="F219" s="6">
        <v>-0.09</v>
      </c>
      <c r="G219" s="6">
        <v>0.0</v>
      </c>
      <c r="H219" s="6">
        <v>-0.01</v>
      </c>
      <c r="I219" s="6">
        <v>33.33</v>
      </c>
      <c r="J219" s="7">
        <f t="shared" ref="J219:O219" si="440">abs(C219-C218)/200</f>
        <v>0</v>
      </c>
      <c r="K219" s="7">
        <f t="shared" si="440"/>
        <v>0</v>
      </c>
      <c r="L219" s="7">
        <f t="shared" si="440"/>
        <v>0.00125</v>
      </c>
      <c r="M219" s="7">
        <f t="shared" si="440"/>
        <v>0.00005</v>
      </c>
      <c r="N219" s="7">
        <f t="shared" si="440"/>
        <v>0</v>
      </c>
      <c r="O219" s="7">
        <f t="shared" si="440"/>
        <v>0</v>
      </c>
      <c r="P219" s="7">
        <f t="shared" si="9"/>
        <v>0.00994490483</v>
      </c>
      <c r="Q219" s="7">
        <f t="shared" si="10"/>
        <v>0.2446414829</v>
      </c>
      <c r="R219" s="7">
        <f t="shared" si="3"/>
        <v>0.741242811</v>
      </c>
      <c r="S219" s="7">
        <f t="shared" si="4"/>
        <v>0.09055385138</v>
      </c>
      <c r="T219" s="7">
        <f t="shared" si="5"/>
        <v>1</v>
      </c>
      <c r="U219" s="7">
        <f t="shared" si="6"/>
        <v>0</v>
      </c>
      <c r="V219" s="7">
        <f t="shared" ref="V219:W219" si="441">IF(AVERAGE(T159:T218) &gt; 0.25, 1, 0)</f>
        <v>1</v>
      </c>
      <c r="W219" s="7">
        <f t="shared" si="441"/>
        <v>1</v>
      </c>
      <c r="X219" s="8">
        <v>1.0</v>
      </c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ht="22.5" customHeight="1">
      <c r="A220" s="6">
        <v>1419.0</v>
      </c>
      <c r="B220" s="6">
        <v>46547.0</v>
      </c>
      <c r="C220" s="6">
        <v>2.22</v>
      </c>
      <c r="D220" s="6">
        <v>-0.26</v>
      </c>
      <c r="E220" s="6">
        <v>11.13</v>
      </c>
      <c r="F220" s="6">
        <v>-0.21</v>
      </c>
      <c r="G220" s="6">
        <v>-0.05</v>
      </c>
      <c r="H220" s="6">
        <v>0.17</v>
      </c>
      <c r="I220" s="6">
        <v>33.34</v>
      </c>
      <c r="J220" s="7">
        <f t="shared" ref="J220:O220" si="442">abs(C220-C219)/200</f>
        <v>0.00015</v>
      </c>
      <c r="K220" s="7">
        <f t="shared" si="442"/>
        <v>0.0005</v>
      </c>
      <c r="L220" s="7">
        <f t="shared" si="442"/>
        <v>0.0041</v>
      </c>
      <c r="M220" s="7">
        <f t="shared" si="442"/>
        <v>0.0006</v>
      </c>
      <c r="N220" s="7">
        <f t="shared" si="442"/>
        <v>0.00025</v>
      </c>
      <c r="O220" s="7">
        <f t="shared" si="442"/>
        <v>0.0009</v>
      </c>
      <c r="P220" s="7">
        <f t="shared" si="9"/>
        <v>0.1842187819</v>
      </c>
      <c r="Q220" s="7">
        <f t="shared" si="10"/>
        <v>0.8109772362</v>
      </c>
      <c r="R220" s="7">
        <f t="shared" si="3"/>
        <v>1.552220047</v>
      </c>
      <c r="S220" s="7">
        <f t="shared" si="4"/>
        <v>0.2747726333</v>
      </c>
      <c r="T220" s="7">
        <f t="shared" si="5"/>
        <v>1</v>
      </c>
      <c r="U220" s="7">
        <f t="shared" si="6"/>
        <v>1</v>
      </c>
      <c r="V220" s="7">
        <f t="shared" ref="V220:W220" si="443">IF(AVERAGE(T160:T219) &gt; 0.25, 1, 0)</f>
        <v>1</v>
      </c>
      <c r="W220" s="7">
        <f t="shared" si="443"/>
        <v>1</v>
      </c>
      <c r="X220" s="8">
        <v>1.0</v>
      </c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ht="22.5" customHeight="1">
      <c r="A221" s="6">
        <v>1420.0</v>
      </c>
      <c r="B221" s="6">
        <v>46751.0</v>
      </c>
      <c r="C221" s="6">
        <v>3.02</v>
      </c>
      <c r="D221" s="6">
        <v>-0.94</v>
      </c>
      <c r="E221" s="6">
        <v>10.06</v>
      </c>
      <c r="F221" s="6">
        <v>0.05</v>
      </c>
      <c r="G221" s="6">
        <v>-1.15</v>
      </c>
      <c r="H221" s="6">
        <v>1.03</v>
      </c>
      <c r="I221" s="6">
        <v>33.33</v>
      </c>
      <c r="J221" s="7">
        <f t="shared" ref="J221:O221" si="444">abs(C221-C220)/200</f>
        <v>0.004</v>
      </c>
      <c r="K221" s="7">
        <f t="shared" si="444"/>
        <v>0.0034</v>
      </c>
      <c r="L221" s="7">
        <f t="shared" si="444"/>
        <v>0.00535</v>
      </c>
      <c r="M221" s="7">
        <f t="shared" si="444"/>
        <v>0.0013</v>
      </c>
      <c r="N221" s="7">
        <f t="shared" si="444"/>
        <v>0.0055</v>
      </c>
      <c r="O221" s="7">
        <f t="shared" si="444"/>
        <v>0.0043</v>
      </c>
      <c r="P221" s="7">
        <f t="shared" si="9"/>
        <v>1.269863246</v>
      </c>
      <c r="Q221" s="7">
        <f t="shared" si="10"/>
        <v>0.8067186366</v>
      </c>
      <c r="R221" s="7">
        <f t="shared" si="3"/>
        <v>0.7455014106</v>
      </c>
      <c r="S221" s="7">
        <f t="shared" si="4"/>
        <v>1.544635879</v>
      </c>
      <c r="T221" s="7">
        <f t="shared" si="5"/>
        <v>1</v>
      </c>
      <c r="U221" s="7">
        <f t="shared" si="6"/>
        <v>1</v>
      </c>
      <c r="V221" s="7">
        <f t="shared" ref="V221:W221" si="445">IF(AVERAGE(T161:T220) &gt; 0.25, 1, 0)</f>
        <v>1</v>
      </c>
      <c r="W221" s="7">
        <f t="shared" si="445"/>
        <v>1</v>
      </c>
      <c r="X221" s="8">
        <v>1.0</v>
      </c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ht="22.5" customHeight="1">
      <c r="A222" s="6">
        <v>1421.0</v>
      </c>
      <c r="B222" s="6">
        <v>46955.0</v>
      </c>
      <c r="C222" s="6">
        <v>3.63</v>
      </c>
      <c r="D222" s="6">
        <v>0.08</v>
      </c>
      <c r="E222" s="6">
        <v>10.21</v>
      </c>
      <c r="F222" s="6">
        <v>-0.07</v>
      </c>
      <c r="G222" s="6">
        <v>0.32</v>
      </c>
      <c r="H222" s="6">
        <v>0.0</v>
      </c>
      <c r="I222" s="6">
        <v>33.34</v>
      </c>
      <c r="J222" s="7">
        <f t="shared" ref="J222:O222" si="446">abs(C222-C221)/200</f>
        <v>0.00305</v>
      </c>
      <c r="K222" s="7">
        <f t="shared" si="446"/>
        <v>0.0051</v>
      </c>
      <c r="L222" s="7">
        <f t="shared" si="446"/>
        <v>0.00075</v>
      </c>
      <c r="M222" s="7">
        <f t="shared" si="446"/>
        <v>0.0006</v>
      </c>
      <c r="N222" s="7">
        <f t="shared" si="446"/>
        <v>0.00735</v>
      </c>
      <c r="O222" s="7">
        <f t="shared" si="446"/>
        <v>0.00515</v>
      </c>
      <c r="P222" s="7">
        <f t="shared" si="9"/>
        <v>1.217069092</v>
      </c>
      <c r="Q222" s="7">
        <f t="shared" si="10"/>
        <v>0.2908909781</v>
      </c>
      <c r="R222" s="7">
        <f t="shared" si="3"/>
        <v>1.036392389</v>
      </c>
      <c r="S222" s="7">
        <f t="shared" si="4"/>
        <v>0.3275667871</v>
      </c>
      <c r="T222" s="7">
        <f t="shared" si="5"/>
        <v>1</v>
      </c>
      <c r="U222" s="7">
        <f t="shared" si="6"/>
        <v>1</v>
      </c>
      <c r="V222" s="7">
        <f t="shared" ref="V222:W222" si="447">IF(AVERAGE(T162:T221) &gt; 0.25, 1, 0)</f>
        <v>1</v>
      </c>
      <c r="W222" s="7">
        <f t="shared" si="447"/>
        <v>1</v>
      </c>
      <c r="X222" s="8">
        <v>1.0</v>
      </c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ht="22.5" customHeight="1">
      <c r="A223" s="6">
        <v>1422.0</v>
      </c>
      <c r="B223" s="6">
        <v>47159.0</v>
      </c>
      <c r="C223" s="6">
        <v>2.83</v>
      </c>
      <c r="D223" s="6">
        <v>-0.31</v>
      </c>
      <c r="E223" s="6">
        <v>10.25</v>
      </c>
      <c r="F223" s="6">
        <v>-0.03</v>
      </c>
      <c r="G223" s="6">
        <v>0.06</v>
      </c>
      <c r="H223" s="6">
        <v>0.27</v>
      </c>
      <c r="I223" s="6">
        <v>33.34</v>
      </c>
      <c r="J223" s="7">
        <f t="shared" ref="J223:O223" si="448">abs(C223-C222)/200</f>
        <v>0.004</v>
      </c>
      <c r="K223" s="7">
        <f t="shared" si="448"/>
        <v>0.00195</v>
      </c>
      <c r="L223" s="7">
        <f t="shared" si="448"/>
        <v>0.0002</v>
      </c>
      <c r="M223" s="7">
        <f t="shared" si="448"/>
        <v>0.0002</v>
      </c>
      <c r="N223" s="7">
        <f t="shared" si="448"/>
        <v>0.0013</v>
      </c>
      <c r="O223" s="7">
        <f t="shared" si="448"/>
        <v>0.00135</v>
      </c>
      <c r="P223" s="7">
        <f t="shared" si="9"/>
        <v>0.04935823222</v>
      </c>
      <c r="Q223" s="7">
        <f t="shared" si="10"/>
        <v>0.198370956</v>
      </c>
      <c r="R223" s="7">
        <f t="shared" si="3"/>
        <v>0.8380214326</v>
      </c>
      <c r="S223" s="7">
        <f t="shared" si="4"/>
        <v>0.2782085549</v>
      </c>
      <c r="T223" s="7">
        <f t="shared" si="5"/>
        <v>1</v>
      </c>
      <c r="U223" s="7">
        <f t="shared" si="6"/>
        <v>1</v>
      </c>
      <c r="V223" s="7">
        <f t="shared" ref="V223:W223" si="449">IF(AVERAGE(T163:T222) &gt; 0.25, 1, 0)</f>
        <v>1</v>
      </c>
      <c r="W223" s="7">
        <f t="shared" si="449"/>
        <v>1</v>
      </c>
      <c r="X223" s="8">
        <v>1.0</v>
      </c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ht="22.5" customHeight="1">
      <c r="A224" s="6">
        <v>1423.0</v>
      </c>
      <c r="B224" s="6">
        <v>47363.0</v>
      </c>
      <c r="C224" s="6">
        <v>2.72</v>
      </c>
      <c r="D224" s="6">
        <v>-0.73</v>
      </c>
      <c r="E224" s="6">
        <v>10.65</v>
      </c>
      <c r="F224" s="6">
        <v>0.03</v>
      </c>
      <c r="G224" s="6">
        <v>0.2</v>
      </c>
      <c r="H224" s="6">
        <v>0.18</v>
      </c>
      <c r="I224" s="6">
        <v>33.35</v>
      </c>
      <c r="J224" s="7">
        <f t="shared" ref="J224:O224" si="450">abs(C224-C223)/200</f>
        <v>0.00055</v>
      </c>
      <c r="K224" s="7">
        <f t="shared" si="450"/>
        <v>0.0021</v>
      </c>
      <c r="L224" s="7">
        <f t="shared" si="450"/>
        <v>0.002</v>
      </c>
      <c r="M224" s="7">
        <f t="shared" si="450"/>
        <v>0.0003</v>
      </c>
      <c r="N224" s="7">
        <f t="shared" si="450"/>
        <v>0.0007</v>
      </c>
      <c r="O224" s="7">
        <f t="shared" si="450"/>
        <v>0.00045</v>
      </c>
      <c r="P224" s="7">
        <f t="shared" si="9"/>
        <v>0.007468827451</v>
      </c>
      <c r="Q224" s="7">
        <f t="shared" si="10"/>
        <v>0.3780486471</v>
      </c>
      <c r="R224" s="7">
        <f t="shared" si="3"/>
        <v>1.21607008</v>
      </c>
      <c r="S224" s="7">
        <f t="shared" si="4"/>
        <v>0.2707397274</v>
      </c>
      <c r="T224" s="7">
        <f t="shared" si="5"/>
        <v>1</v>
      </c>
      <c r="U224" s="7">
        <f t="shared" si="6"/>
        <v>1</v>
      </c>
      <c r="V224" s="7">
        <f t="shared" ref="V224:W224" si="451">IF(AVERAGE(T164:T223) &gt; 0.25, 1, 0)</f>
        <v>1</v>
      </c>
      <c r="W224" s="7">
        <f t="shared" si="451"/>
        <v>1</v>
      </c>
      <c r="X224" s="8">
        <v>1.0</v>
      </c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ht="22.5" customHeight="1">
      <c r="A225" s="6">
        <v>1424.0</v>
      </c>
      <c r="B225" s="6">
        <v>47567.0</v>
      </c>
      <c r="C225" s="6">
        <v>2.5</v>
      </c>
      <c r="D225" s="6">
        <v>-0.71</v>
      </c>
      <c r="E225" s="6">
        <v>10.55</v>
      </c>
      <c r="F225" s="6">
        <v>-0.06</v>
      </c>
      <c r="G225" s="6">
        <v>-0.01</v>
      </c>
      <c r="H225" s="6">
        <v>0.02</v>
      </c>
      <c r="I225" s="6">
        <v>33.33</v>
      </c>
      <c r="J225" s="7">
        <f t="shared" ref="J225:O225" si="452">abs(C225-C224)/200</f>
        <v>0.0011</v>
      </c>
      <c r="K225" s="7">
        <f t="shared" si="452"/>
        <v>0.0001</v>
      </c>
      <c r="L225" s="7">
        <f t="shared" si="452"/>
        <v>0.0005</v>
      </c>
      <c r="M225" s="7">
        <f t="shared" si="452"/>
        <v>0.00045</v>
      </c>
      <c r="N225" s="7">
        <f t="shared" si="452"/>
        <v>0.00105</v>
      </c>
      <c r="O225" s="7">
        <f t="shared" si="452"/>
        <v>0.0008</v>
      </c>
      <c r="P225" s="7">
        <f t="shared" si="9"/>
        <v>0.206708485</v>
      </c>
      <c r="Q225" s="7">
        <f t="shared" si="10"/>
        <v>0.1506846746</v>
      </c>
      <c r="R225" s="7">
        <f t="shared" si="3"/>
        <v>1.065385405</v>
      </c>
      <c r="S225" s="7">
        <f t="shared" si="4"/>
        <v>0.06403124237</v>
      </c>
      <c r="T225" s="7">
        <f t="shared" si="5"/>
        <v>1</v>
      </c>
      <c r="U225" s="7">
        <f t="shared" si="6"/>
        <v>1</v>
      </c>
      <c r="V225" s="7">
        <f t="shared" ref="V225:W225" si="453">IF(AVERAGE(T165:T224) &gt; 0.25, 1, 0)</f>
        <v>1</v>
      </c>
      <c r="W225" s="7">
        <f t="shared" si="453"/>
        <v>1</v>
      </c>
      <c r="X225" s="8">
        <v>1.0</v>
      </c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ht="22.5" customHeight="1">
      <c r="A226" s="6">
        <v>1425.0</v>
      </c>
      <c r="B226" s="6">
        <v>47771.0</v>
      </c>
      <c r="C226" s="6">
        <v>2.43</v>
      </c>
      <c r="D226" s="6">
        <v>-0.89</v>
      </c>
      <c r="E226" s="6">
        <v>10.38</v>
      </c>
      <c r="F226" s="6">
        <v>-0.11</v>
      </c>
      <c r="G226" s="6">
        <v>0.02</v>
      </c>
      <c r="H226" s="6">
        <v>-0.04</v>
      </c>
      <c r="I226" s="6">
        <v>33.34</v>
      </c>
      <c r="J226" s="7">
        <f t="shared" ref="J226:O226" si="454">abs(C226-C225)/200</f>
        <v>0.00035</v>
      </c>
      <c r="K226" s="7">
        <f t="shared" si="454"/>
        <v>0.0009</v>
      </c>
      <c r="L226" s="7">
        <f t="shared" si="454"/>
        <v>0.00085</v>
      </c>
      <c r="M226" s="7">
        <f t="shared" si="454"/>
        <v>0.00025</v>
      </c>
      <c r="N226" s="7">
        <f t="shared" si="454"/>
        <v>0.00015</v>
      </c>
      <c r="O226" s="7">
        <f t="shared" si="454"/>
        <v>0.0003</v>
      </c>
      <c r="P226" s="7">
        <f t="shared" si="9"/>
        <v>0.0547121785</v>
      </c>
      <c r="Q226" s="7">
        <f t="shared" si="10"/>
        <v>0.1676566741</v>
      </c>
      <c r="R226" s="7">
        <f t="shared" si="3"/>
        <v>0.8977287309</v>
      </c>
      <c r="S226" s="7">
        <f t="shared" si="4"/>
        <v>0.1187434209</v>
      </c>
      <c r="T226" s="7">
        <f t="shared" si="5"/>
        <v>1</v>
      </c>
      <c r="U226" s="7">
        <f t="shared" si="6"/>
        <v>0</v>
      </c>
      <c r="V226" s="7">
        <f t="shared" ref="V226:W226" si="455">IF(AVERAGE(T166:T225) &gt; 0.25, 1, 0)</f>
        <v>1</v>
      </c>
      <c r="W226" s="7">
        <f t="shared" si="455"/>
        <v>1</v>
      </c>
      <c r="X226" s="8">
        <v>1.0</v>
      </c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ht="22.5" customHeight="1">
      <c r="A227" s="6">
        <v>1426.0</v>
      </c>
      <c r="B227" s="6">
        <v>47975.0</v>
      </c>
      <c r="C227" s="6">
        <v>2.53</v>
      </c>
      <c r="D227" s="6">
        <v>-0.56</v>
      </c>
      <c r="E227" s="6">
        <v>10.49</v>
      </c>
      <c r="F227" s="6">
        <v>-0.11</v>
      </c>
      <c r="G227" s="6">
        <v>-0.02</v>
      </c>
      <c r="H227" s="6">
        <v>-0.04</v>
      </c>
      <c r="I227" s="6">
        <v>33.34</v>
      </c>
      <c r="J227" s="7">
        <f t="shared" ref="J227:O227" si="456">abs(C227-C226)/200</f>
        <v>0.0005</v>
      </c>
      <c r="K227" s="7">
        <f t="shared" si="456"/>
        <v>0.00165</v>
      </c>
      <c r="L227" s="7">
        <f t="shared" si="456"/>
        <v>0.00055</v>
      </c>
      <c r="M227" s="7">
        <f t="shared" si="456"/>
        <v>0</v>
      </c>
      <c r="N227" s="7">
        <f t="shared" si="456"/>
        <v>0.0002</v>
      </c>
      <c r="O227" s="7">
        <f t="shared" si="456"/>
        <v>0</v>
      </c>
      <c r="P227" s="7">
        <f t="shared" si="9"/>
        <v>0</v>
      </c>
      <c r="Q227" s="7">
        <f t="shared" si="10"/>
        <v>0.1075755221</v>
      </c>
      <c r="R227" s="7">
        <f t="shared" si="3"/>
        <v>1.005304253</v>
      </c>
      <c r="S227" s="7">
        <f t="shared" si="4"/>
        <v>0.1187434209</v>
      </c>
      <c r="T227" s="7">
        <f t="shared" si="5"/>
        <v>1</v>
      </c>
      <c r="U227" s="7">
        <f t="shared" si="6"/>
        <v>0</v>
      </c>
      <c r="V227" s="7">
        <f t="shared" ref="V227:W227" si="457">IF(AVERAGE(T167:T226) &gt; 0.25, 1, 0)</f>
        <v>1</v>
      </c>
      <c r="W227" s="7">
        <f t="shared" si="457"/>
        <v>1</v>
      </c>
      <c r="X227" s="8">
        <v>1.0</v>
      </c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ht="22.5" customHeight="1">
      <c r="A228" s="6">
        <v>1427.0</v>
      </c>
      <c r="B228" s="6">
        <v>48179.0</v>
      </c>
      <c r="C228" s="6">
        <v>2.55</v>
      </c>
      <c r="D228" s="6">
        <v>0.13</v>
      </c>
      <c r="E228" s="6">
        <v>10.53</v>
      </c>
      <c r="F228" s="6">
        <v>-0.09</v>
      </c>
      <c r="G228" s="6">
        <v>-0.01</v>
      </c>
      <c r="H228" s="6">
        <v>-0.07</v>
      </c>
      <c r="I228" s="6">
        <v>33.34</v>
      </c>
      <c r="J228" s="7">
        <f t="shared" ref="J228:O228" si="458">abs(C228-C227)/200</f>
        <v>0.0001</v>
      </c>
      <c r="K228" s="7">
        <f t="shared" si="458"/>
        <v>0.00345</v>
      </c>
      <c r="L228" s="7">
        <f t="shared" si="458"/>
        <v>0.0002</v>
      </c>
      <c r="M228" s="7">
        <f t="shared" si="458"/>
        <v>0.0001</v>
      </c>
      <c r="N228" s="7">
        <f t="shared" si="458"/>
        <v>0.00005</v>
      </c>
      <c r="O228" s="7">
        <f t="shared" si="458"/>
        <v>0.00015</v>
      </c>
      <c r="P228" s="7">
        <f t="shared" si="9"/>
        <v>0.004288189448</v>
      </c>
      <c r="Q228" s="7">
        <f t="shared" si="10"/>
        <v>0.02983764731</v>
      </c>
      <c r="R228" s="7">
        <f t="shared" si="3"/>
        <v>1.0351419</v>
      </c>
      <c r="S228" s="7">
        <f t="shared" si="4"/>
        <v>0.1144552314</v>
      </c>
      <c r="T228" s="7">
        <f t="shared" si="5"/>
        <v>1</v>
      </c>
      <c r="U228" s="7">
        <f t="shared" si="6"/>
        <v>0</v>
      </c>
      <c r="V228" s="7">
        <f t="shared" ref="V228:W228" si="459">IF(AVERAGE(T168:T227) &gt; 0.25, 1, 0)</f>
        <v>1</v>
      </c>
      <c r="W228" s="7">
        <f t="shared" si="459"/>
        <v>1</v>
      </c>
      <c r="X228" s="8">
        <v>1.0</v>
      </c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ht="22.5" customHeight="1">
      <c r="A229" s="6">
        <v>1428.0</v>
      </c>
      <c r="B229" s="6">
        <v>48383.0</v>
      </c>
      <c r="C229" s="6">
        <v>2.43</v>
      </c>
      <c r="D229" s="6">
        <v>0.08</v>
      </c>
      <c r="E229" s="6">
        <v>10.63</v>
      </c>
      <c r="F229" s="6">
        <v>-0.06</v>
      </c>
      <c r="G229" s="6">
        <v>0.03</v>
      </c>
      <c r="H229" s="6">
        <v>0.1</v>
      </c>
      <c r="I229" s="6">
        <v>33.34</v>
      </c>
      <c r="J229" s="7">
        <f t="shared" ref="J229:O229" si="460">abs(C229-C228)/200</f>
        <v>0.0006</v>
      </c>
      <c r="K229" s="7">
        <f t="shared" si="460"/>
        <v>0.00025</v>
      </c>
      <c r="L229" s="7">
        <f t="shared" si="460"/>
        <v>0.0005</v>
      </c>
      <c r="M229" s="7">
        <f t="shared" si="460"/>
        <v>0.00015</v>
      </c>
      <c r="N229" s="7">
        <f t="shared" si="460"/>
        <v>0.0002</v>
      </c>
      <c r="O229" s="7">
        <f t="shared" si="460"/>
        <v>0.00085</v>
      </c>
      <c r="P229" s="7">
        <f t="shared" si="9"/>
        <v>0.005960714365</v>
      </c>
      <c r="Q229" s="7">
        <f t="shared" si="10"/>
        <v>0.06936175643</v>
      </c>
      <c r="R229" s="7">
        <f t="shared" si="3"/>
        <v>1.104503657</v>
      </c>
      <c r="S229" s="7">
        <f t="shared" si="4"/>
        <v>0.1204159458</v>
      </c>
      <c r="T229" s="7">
        <f t="shared" si="5"/>
        <v>1</v>
      </c>
      <c r="U229" s="7">
        <f t="shared" si="6"/>
        <v>1</v>
      </c>
      <c r="V229" s="7">
        <f t="shared" ref="V229:W229" si="461">IF(AVERAGE(T169:T228) &gt; 0.25, 1, 0)</f>
        <v>1</v>
      </c>
      <c r="W229" s="7">
        <f t="shared" si="461"/>
        <v>1</v>
      </c>
      <c r="X229" s="8">
        <v>1.0</v>
      </c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ht="22.5" customHeight="1">
      <c r="A230" s="6">
        <v>1429.0</v>
      </c>
      <c r="B230" s="6">
        <v>48587.0</v>
      </c>
      <c r="C230" s="6">
        <v>2.39</v>
      </c>
      <c r="D230" s="6">
        <v>-0.44</v>
      </c>
      <c r="E230" s="6">
        <v>10.5</v>
      </c>
      <c r="F230" s="6">
        <v>-0.08</v>
      </c>
      <c r="G230" s="6">
        <v>0.0</v>
      </c>
      <c r="H230" s="6">
        <v>0.03</v>
      </c>
      <c r="I230" s="6">
        <v>33.34</v>
      </c>
      <c r="J230" s="7">
        <f t="shared" ref="J230:O230" si="462">abs(C230-C229)/200</f>
        <v>0.0002</v>
      </c>
      <c r="K230" s="7">
        <f t="shared" si="462"/>
        <v>0.0026</v>
      </c>
      <c r="L230" s="7">
        <f t="shared" si="462"/>
        <v>0.00065</v>
      </c>
      <c r="M230" s="7">
        <f t="shared" si="462"/>
        <v>0.0001</v>
      </c>
      <c r="N230" s="7">
        <f t="shared" si="462"/>
        <v>0.00015</v>
      </c>
      <c r="O230" s="7">
        <f t="shared" si="462"/>
        <v>0.00035</v>
      </c>
      <c r="P230" s="7">
        <f t="shared" si="9"/>
        <v>0.03497590833</v>
      </c>
      <c r="Q230" s="7">
        <f t="shared" si="10"/>
        <v>0.1269482753</v>
      </c>
      <c r="R230" s="7">
        <f t="shared" si="3"/>
        <v>0.9775553814</v>
      </c>
      <c r="S230" s="7">
        <f t="shared" si="4"/>
        <v>0.08544003745</v>
      </c>
      <c r="T230" s="7">
        <f t="shared" si="5"/>
        <v>1</v>
      </c>
      <c r="U230" s="7">
        <f t="shared" si="6"/>
        <v>1</v>
      </c>
      <c r="V230" s="7">
        <f t="shared" ref="V230:W230" si="463">IF(AVERAGE(T170:T229) &gt; 0.25, 1, 0)</f>
        <v>1</v>
      </c>
      <c r="W230" s="7">
        <f t="shared" si="463"/>
        <v>1</v>
      </c>
      <c r="X230" s="8">
        <v>1.0</v>
      </c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ht="22.5" customHeight="1">
      <c r="A231" s="6">
        <v>1430.0</v>
      </c>
      <c r="B231" s="6">
        <v>48791.0</v>
      </c>
      <c r="C231" s="6">
        <v>2.41</v>
      </c>
      <c r="D231" s="6">
        <v>-0.23</v>
      </c>
      <c r="E231" s="6">
        <v>10.51</v>
      </c>
      <c r="F231" s="6">
        <v>-0.09</v>
      </c>
      <c r="G231" s="6">
        <v>0.04</v>
      </c>
      <c r="H231" s="6">
        <v>-0.11</v>
      </c>
      <c r="I231" s="6">
        <v>33.34</v>
      </c>
      <c r="J231" s="7">
        <f t="shared" ref="J231:O231" si="464">abs(C231-C230)/200</f>
        <v>0.0001</v>
      </c>
      <c r="K231" s="7">
        <f t="shared" si="464"/>
        <v>0.00105</v>
      </c>
      <c r="L231" s="7">
        <f t="shared" si="464"/>
        <v>0.00005</v>
      </c>
      <c r="M231" s="7">
        <f t="shared" si="464"/>
        <v>0.00005</v>
      </c>
      <c r="N231" s="7">
        <f t="shared" si="464"/>
        <v>0.0002</v>
      </c>
      <c r="O231" s="7">
        <f t="shared" si="464"/>
        <v>0.0007</v>
      </c>
      <c r="P231" s="7">
        <f t="shared" si="9"/>
        <v>0.06220819315</v>
      </c>
      <c r="Q231" s="7">
        <f t="shared" si="10"/>
        <v>0.007670624537</v>
      </c>
      <c r="R231" s="7">
        <f t="shared" si="3"/>
        <v>0.985226006</v>
      </c>
      <c r="S231" s="7">
        <f t="shared" si="4"/>
        <v>0.1476482306</v>
      </c>
      <c r="T231" s="7">
        <f t="shared" si="5"/>
        <v>1</v>
      </c>
      <c r="U231" s="7">
        <f t="shared" si="6"/>
        <v>1</v>
      </c>
      <c r="V231" s="7">
        <f t="shared" ref="V231:W231" si="465">IF(AVERAGE(T171:T230) &gt; 0.25, 1, 0)</f>
        <v>1</v>
      </c>
      <c r="W231" s="7">
        <f t="shared" si="465"/>
        <v>1</v>
      </c>
      <c r="X231" s="8">
        <v>1.0</v>
      </c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ht="22.5" customHeight="1">
      <c r="A232" s="6">
        <v>1431.0</v>
      </c>
      <c r="B232" s="6">
        <v>48995.0</v>
      </c>
      <c r="C232" s="6">
        <v>2.51</v>
      </c>
      <c r="D232" s="6">
        <v>-0.9</v>
      </c>
      <c r="E232" s="6">
        <v>10.47</v>
      </c>
      <c r="F232" s="6">
        <v>-0.07</v>
      </c>
      <c r="G232" s="6">
        <v>0.0</v>
      </c>
      <c r="H232" s="6">
        <v>0.04</v>
      </c>
      <c r="I232" s="6">
        <v>33.35</v>
      </c>
      <c r="J232" s="7">
        <f t="shared" ref="J232:O232" si="466">abs(C232-C231)/200</f>
        <v>0.0005</v>
      </c>
      <c r="K232" s="7">
        <f t="shared" si="466"/>
        <v>0.00335</v>
      </c>
      <c r="L232" s="7">
        <f t="shared" si="466"/>
        <v>0.0002</v>
      </c>
      <c r="M232" s="7">
        <f t="shared" si="466"/>
        <v>0.0001</v>
      </c>
      <c r="N232" s="7">
        <f t="shared" si="466"/>
        <v>0.0002</v>
      </c>
      <c r="O232" s="7">
        <f t="shared" si="466"/>
        <v>0.00075</v>
      </c>
      <c r="P232" s="7">
        <f t="shared" si="9"/>
        <v>0.06702565312</v>
      </c>
      <c r="Q232" s="7">
        <f t="shared" si="10"/>
        <v>0.01898613559</v>
      </c>
      <c r="R232" s="7">
        <f t="shared" si="3"/>
        <v>1.004212142</v>
      </c>
      <c r="S232" s="7">
        <f t="shared" si="4"/>
        <v>0.08062257748</v>
      </c>
      <c r="T232" s="7">
        <f t="shared" si="5"/>
        <v>1</v>
      </c>
      <c r="U232" s="7">
        <f t="shared" si="6"/>
        <v>1</v>
      </c>
      <c r="V232" s="7">
        <f t="shared" ref="V232:W232" si="467">IF(AVERAGE(T172:T231) &gt; 0.25, 1, 0)</f>
        <v>1</v>
      </c>
      <c r="W232" s="7">
        <f t="shared" si="467"/>
        <v>1</v>
      </c>
      <c r="X232" s="8">
        <v>1.0</v>
      </c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ht="22.5" customHeight="1">
      <c r="A233" s="6">
        <v>1432.0</v>
      </c>
      <c r="B233" s="6">
        <v>49199.0</v>
      </c>
      <c r="C233" s="6">
        <v>2.39</v>
      </c>
      <c r="D233" s="6">
        <v>-0.51</v>
      </c>
      <c r="E233" s="6">
        <v>10.49</v>
      </c>
      <c r="F233" s="6">
        <v>-0.12</v>
      </c>
      <c r="G233" s="6">
        <v>-0.03</v>
      </c>
      <c r="H233" s="6">
        <v>-0.01</v>
      </c>
      <c r="I233" s="6">
        <v>33.34</v>
      </c>
      <c r="J233" s="7">
        <f t="shared" ref="J233:O233" si="468">abs(C233-C232)/200</f>
        <v>0.0006</v>
      </c>
      <c r="K233" s="7">
        <f t="shared" si="468"/>
        <v>0.00195</v>
      </c>
      <c r="L233" s="7">
        <f t="shared" si="468"/>
        <v>0.0001</v>
      </c>
      <c r="M233" s="7">
        <f t="shared" si="468"/>
        <v>0.00025</v>
      </c>
      <c r="N233" s="7">
        <f t="shared" si="468"/>
        <v>0.00015</v>
      </c>
      <c r="O233" s="7">
        <f t="shared" si="468"/>
        <v>0.00025</v>
      </c>
      <c r="P233" s="7">
        <f t="shared" si="9"/>
        <v>0.04347415898</v>
      </c>
      <c r="Q233" s="7">
        <f t="shared" si="10"/>
        <v>0.03331152927</v>
      </c>
      <c r="R233" s="7">
        <f t="shared" si="3"/>
        <v>0.9709006123</v>
      </c>
      <c r="S233" s="7">
        <f t="shared" si="4"/>
        <v>0.1240967365</v>
      </c>
      <c r="T233" s="7">
        <f t="shared" si="5"/>
        <v>1</v>
      </c>
      <c r="U233" s="7">
        <f t="shared" si="6"/>
        <v>0</v>
      </c>
      <c r="V233" s="7">
        <f t="shared" ref="V233:W233" si="469">IF(AVERAGE(T173:T232) &gt; 0.25, 1, 0)</f>
        <v>1</v>
      </c>
      <c r="W233" s="7">
        <f t="shared" si="469"/>
        <v>1</v>
      </c>
      <c r="X233" s="8">
        <v>1.0</v>
      </c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ht="22.5" customHeight="1">
      <c r="A234" s="6">
        <v>1433.0</v>
      </c>
      <c r="B234" s="6">
        <v>49403.0</v>
      </c>
      <c r="C234" s="6">
        <v>2.4</v>
      </c>
      <c r="D234" s="6">
        <v>-0.52</v>
      </c>
      <c r="E234" s="6">
        <v>10.46</v>
      </c>
      <c r="F234" s="6">
        <v>-0.11</v>
      </c>
      <c r="G234" s="6">
        <v>0.0</v>
      </c>
      <c r="H234" s="6">
        <v>0.0</v>
      </c>
      <c r="I234" s="6">
        <v>33.35</v>
      </c>
      <c r="J234" s="7">
        <f t="shared" ref="J234:O234" si="470">abs(C234-C233)/200</f>
        <v>0.00005</v>
      </c>
      <c r="K234" s="7">
        <f t="shared" si="470"/>
        <v>0.00005</v>
      </c>
      <c r="L234" s="7">
        <f t="shared" si="470"/>
        <v>0.00015</v>
      </c>
      <c r="M234" s="7">
        <f t="shared" si="470"/>
        <v>0.00005</v>
      </c>
      <c r="N234" s="7">
        <f t="shared" si="470"/>
        <v>0.00015</v>
      </c>
      <c r="O234" s="7">
        <f t="shared" si="470"/>
        <v>0.00005</v>
      </c>
      <c r="P234" s="7">
        <f t="shared" si="9"/>
        <v>0.01409673646</v>
      </c>
      <c r="Q234" s="7">
        <f t="shared" si="10"/>
        <v>0.02650672525</v>
      </c>
      <c r="R234" s="7">
        <f t="shared" si="3"/>
        <v>0.944393887</v>
      </c>
      <c r="S234" s="7">
        <f t="shared" si="4"/>
        <v>0.11</v>
      </c>
      <c r="T234" s="7">
        <f t="shared" si="5"/>
        <v>0</v>
      </c>
      <c r="U234" s="7">
        <f t="shared" si="6"/>
        <v>0</v>
      </c>
      <c r="V234" s="7">
        <f t="shared" ref="V234:W234" si="471">IF(AVERAGE(T174:T233) &gt; 0.25, 1, 0)</f>
        <v>1</v>
      </c>
      <c r="W234" s="7">
        <f t="shared" si="471"/>
        <v>1</v>
      </c>
      <c r="X234" s="8">
        <v>1.0</v>
      </c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ht="22.5" customHeight="1">
      <c r="A235" s="6">
        <v>1434.0</v>
      </c>
      <c r="B235" s="6">
        <v>49607.0</v>
      </c>
      <c r="C235" s="6">
        <v>2.43</v>
      </c>
      <c r="D235" s="6">
        <v>-0.52</v>
      </c>
      <c r="E235" s="6">
        <v>10.52</v>
      </c>
      <c r="F235" s="6">
        <v>-0.12</v>
      </c>
      <c r="G235" s="6">
        <v>-0.02</v>
      </c>
      <c r="H235" s="6">
        <v>0.02</v>
      </c>
      <c r="I235" s="6">
        <v>33.34</v>
      </c>
      <c r="J235" s="7">
        <f t="shared" ref="J235:O235" si="472">abs(C235-C234)/200</f>
        <v>0.00015</v>
      </c>
      <c r="K235" s="7">
        <f t="shared" si="472"/>
        <v>0</v>
      </c>
      <c r="L235" s="7">
        <f t="shared" si="472"/>
        <v>0.0003</v>
      </c>
      <c r="M235" s="7">
        <f t="shared" si="472"/>
        <v>0.00005</v>
      </c>
      <c r="N235" s="7">
        <f t="shared" si="472"/>
        <v>0.0001</v>
      </c>
      <c r="O235" s="7">
        <f t="shared" si="472"/>
        <v>0.0001</v>
      </c>
      <c r="P235" s="7">
        <f t="shared" si="9"/>
        <v>0.01328828006</v>
      </c>
      <c r="Q235" s="7">
        <f t="shared" si="10"/>
        <v>0.06512506617</v>
      </c>
      <c r="R235" s="7">
        <f t="shared" si="3"/>
        <v>1.009518953</v>
      </c>
      <c r="S235" s="7">
        <f t="shared" si="4"/>
        <v>0.1232882801</v>
      </c>
      <c r="T235" s="7">
        <f t="shared" si="5"/>
        <v>0</v>
      </c>
      <c r="U235" s="7">
        <f t="shared" si="6"/>
        <v>0</v>
      </c>
      <c r="V235" s="7">
        <f t="shared" ref="V235:W235" si="473">IF(AVERAGE(T175:T234) &gt; 0.25, 1, 0)</f>
        <v>1</v>
      </c>
      <c r="W235" s="7">
        <f t="shared" si="473"/>
        <v>1</v>
      </c>
      <c r="X235" s="8">
        <v>1.0</v>
      </c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ht="22.5" customHeight="1">
      <c r="A236" s="6">
        <v>1435.0</v>
      </c>
      <c r="B236" s="6">
        <v>49811.0</v>
      </c>
      <c r="C236" s="6">
        <v>2.44</v>
      </c>
      <c r="D236" s="6">
        <v>-0.32</v>
      </c>
      <c r="E236" s="6">
        <v>10.49</v>
      </c>
      <c r="F236" s="6">
        <v>-0.13</v>
      </c>
      <c r="G236" s="6">
        <v>0.0</v>
      </c>
      <c r="H236" s="6">
        <v>-0.04</v>
      </c>
      <c r="I236" s="6">
        <v>33.35</v>
      </c>
      <c r="J236" s="7">
        <f t="shared" ref="J236:O236" si="474">abs(C236-C235)/200</f>
        <v>0.00005</v>
      </c>
      <c r="K236" s="7">
        <f t="shared" si="474"/>
        <v>0.001</v>
      </c>
      <c r="L236" s="7">
        <f t="shared" si="474"/>
        <v>0.00015</v>
      </c>
      <c r="M236" s="7">
        <f t="shared" si="474"/>
        <v>0.00005</v>
      </c>
      <c r="N236" s="7">
        <f t="shared" si="474"/>
        <v>0.0001</v>
      </c>
      <c r="O236" s="7">
        <f t="shared" si="474"/>
        <v>0.0003</v>
      </c>
      <c r="P236" s="7">
        <f t="shared" si="9"/>
        <v>0.01272642503</v>
      </c>
      <c r="Q236" s="7">
        <f t="shared" si="10"/>
        <v>0.03472893206</v>
      </c>
      <c r="R236" s="7">
        <f t="shared" si="3"/>
        <v>0.9747900212</v>
      </c>
      <c r="S236" s="7">
        <f t="shared" si="4"/>
        <v>0.1360147051</v>
      </c>
      <c r="T236" s="7">
        <f t="shared" si="5"/>
        <v>1</v>
      </c>
      <c r="U236" s="7">
        <f t="shared" si="6"/>
        <v>0</v>
      </c>
      <c r="V236" s="7">
        <f t="shared" ref="V236:W236" si="475">IF(AVERAGE(T176:T235) &gt; 0.25, 1, 0)</f>
        <v>1</v>
      </c>
      <c r="W236" s="7">
        <f t="shared" si="475"/>
        <v>1</v>
      </c>
      <c r="X236" s="8">
        <v>1.0</v>
      </c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ht="22.5" customHeight="1">
      <c r="A237" s="6">
        <v>1436.0</v>
      </c>
      <c r="B237" s="6">
        <v>50015.0</v>
      </c>
      <c r="C237" s="6">
        <v>2.42</v>
      </c>
      <c r="D237" s="6">
        <v>-0.49</v>
      </c>
      <c r="E237" s="6">
        <v>10.43</v>
      </c>
      <c r="F237" s="6">
        <v>-0.07</v>
      </c>
      <c r="G237" s="6">
        <v>0.03</v>
      </c>
      <c r="H237" s="6">
        <v>-0.01</v>
      </c>
      <c r="I237" s="6">
        <v>33.35</v>
      </c>
      <c r="J237" s="7">
        <f t="shared" ref="J237:O237" si="476">abs(C237-C236)/200</f>
        <v>0.0001</v>
      </c>
      <c r="K237" s="7">
        <f t="shared" si="476"/>
        <v>0.00085</v>
      </c>
      <c r="L237" s="7">
        <f t="shared" si="476"/>
        <v>0.0003</v>
      </c>
      <c r="M237" s="7">
        <f t="shared" si="476"/>
        <v>0.0003</v>
      </c>
      <c r="N237" s="7">
        <f t="shared" si="476"/>
        <v>0.00015</v>
      </c>
      <c r="O237" s="7">
        <f t="shared" si="476"/>
        <v>0.00015</v>
      </c>
      <c r="P237" s="7">
        <f t="shared" si="9"/>
        <v>0.05920324761</v>
      </c>
      <c r="Q237" s="7">
        <f t="shared" si="10"/>
        <v>0.05651590636</v>
      </c>
      <c r="R237" s="7">
        <f t="shared" si="3"/>
        <v>0.9182741148</v>
      </c>
      <c r="S237" s="7">
        <f t="shared" si="4"/>
        <v>0.07681145748</v>
      </c>
      <c r="T237" s="7">
        <f t="shared" si="5"/>
        <v>1</v>
      </c>
      <c r="U237" s="7">
        <f t="shared" si="6"/>
        <v>0</v>
      </c>
      <c r="V237" s="7">
        <f t="shared" ref="V237:W237" si="477">IF(AVERAGE(T177:T236) &gt; 0.25, 1, 0)</f>
        <v>1</v>
      </c>
      <c r="W237" s="7">
        <f t="shared" si="477"/>
        <v>1</v>
      </c>
      <c r="X237" s="8">
        <v>1.0</v>
      </c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ht="22.5" customHeight="1">
      <c r="A238" s="6">
        <v>1437.0</v>
      </c>
      <c r="B238" s="6">
        <v>50219.0</v>
      </c>
      <c r="C238" s="6">
        <v>2.4</v>
      </c>
      <c r="D238" s="6">
        <v>-0.39</v>
      </c>
      <c r="E238" s="6">
        <v>10.49</v>
      </c>
      <c r="F238" s="6">
        <v>-0.07</v>
      </c>
      <c r="G238" s="6">
        <v>-0.01</v>
      </c>
      <c r="H238" s="6">
        <v>-0.02</v>
      </c>
      <c r="I238" s="6">
        <v>33.34</v>
      </c>
      <c r="J238" s="7">
        <f t="shared" ref="J238:O238" si="478">abs(C238-C237)/200</f>
        <v>0.0001</v>
      </c>
      <c r="K238" s="7">
        <f t="shared" si="478"/>
        <v>0.0005</v>
      </c>
      <c r="L238" s="7">
        <f t="shared" si="478"/>
        <v>0.0003</v>
      </c>
      <c r="M238" s="7">
        <f t="shared" si="478"/>
        <v>0</v>
      </c>
      <c r="N238" s="7">
        <f t="shared" si="478"/>
        <v>0.0002</v>
      </c>
      <c r="O238" s="7">
        <f t="shared" si="478"/>
        <v>0.00005</v>
      </c>
      <c r="P238" s="7">
        <f t="shared" si="9"/>
        <v>0.003326765195</v>
      </c>
      <c r="Q238" s="7">
        <f t="shared" si="10"/>
        <v>0.04983621153</v>
      </c>
      <c r="R238" s="7">
        <f t="shared" si="3"/>
        <v>0.9681103263</v>
      </c>
      <c r="S238" s="7">
        <f t="shared" si="4"/>
        <v>0.07348469228</v>
      </c>
      <c r="T238" s="7">
        <f t="shared" si="5"/>
        <v>1</v>
      </c>
      <c r="U238" s="7">
        <f t="shared" si="6"/>
        <v>0</v>
      </c>
      <c r="V238" s="7">
        <f t="shared" ref="V238:W238" si="479">IF(AVERAGE(T178:T237) &gt; 0.25, 1, 0)</f>
        <v>1</v>
      </c>
      <c r="W238" s="7">
        <f t="shared" si="479"/>
        <v>1</v>
      </c>
      <c r="X238" s="8">
        <v>1.0</v>
      </c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ht="22.5" customHeight="1">
      <c r="A239" s="6">
        <v>1438.0</v>
      </c>
      <c r="B239" s="6">
        <v>50423.0</v>
      </c>
      <c r="C239" s="6">
        <v>2.38</v>
      </c>
      <c r="D239" s="6">
        <v>-0.3</v>
      </c>
      <c r="E239" s="6">
        <v>10.51</v>
      </c>
      <c r="F239" s="6">
        <v>-0.1</v>
      </c>
      <c r="G239" s="6">
        <v>0.01</v>
      </c>
      <c r="H239" s="6">
        <v>-0.01</v>
      </c>
      <c r="I239" s="6">
        <v>33.36</v>
      </c>
      <c r="J239" s="7">
        <f t="shared" ref="J239:O239" si="480">abs(C239-C238)/200</f>
        <v>0.0001</v>
      </c>
      <c r="K239" s="7">
        <f t="shared" si="480"/>
        <v>0.00045</v>
      </c>
      <c r="L239" s="7">
        <f t="shared" si="480"/>
        <v>0.0001</v>
      </c>
      <c r="M239" s="7">
        <f t="shared" si="480"/>
        <v>0.00015</v>
      </c>
      <c r="N239" s="7">
        <f t="shared" si="480"/>
        <v>0.0001</v>
      </c>
      <c r="O239" s="7">
        <f t="shared" si="480"/>
        <v>0.00005</v>
      </c>
      <c r="P239" s="7">
        <f t="shared" si="9"/>
        <v>0.0275103571</v>
      </c>
      <c r="Q239" s="7">
        <f t="shared" si="10"/>
        <v>0.01217260131</v>
      </c>
      <c r="R239" s="7">
        <f t="shared" si="3"/>
        <v>0.9802829276</v>
      </c>
      <c r="S239" s="7">
        <f t="shared" si="4"/>
        <v>0.1009950494</v>
      </c>
      <c r="T239" s="7">
        <f t="shared" si="5"/>
        <v>1</v>
      </c>
      <c r="U239" s="7">
        <f t="shared" si="6"/>
        <v>0</v>
      </c>
      <c r="V239" s="7">
        <f t="shared" ref="V239:W239" si="481">IF(AVERAGE(T179:T238) &gt; 0.25, 1, 0)</f>
        <v>1</v>
      </c>
      <c r="W239" s="7">
        <f t="shared" si="481"/>
        <v>1</v>
      </c>
      <c r="X239" s="8">
        <v>1.0</v>
      </c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ht="22.5" customHeight="1">
      <c r="A240" s="6">
        <v>1439.0</v>
      </c>
      <c r="B240" s="6">
        <v>50627.0</v>
      </c>
      <c r="C240" s="6">
        <v>2.41</v>
      </c>
      <c r="D240" s="6">
        <v>-0.63</v>
      </c>
      <c r="E240" s="6">
        <v>10.49</v>
      </c>
      <c r="F240" s="6">
        <v>-0.06</v>
      </c>
      <c r="G240" s="6">
        <v>0.02</v>
      </c>
      <c r="H240" s="6">
        <v>0.02</v>
      </c>
      <c r="I240" s="6">
        <v>33.34</v>
      </c>
      <c r="J240" s="7">
        <f t="shared" ref="J240:O240" si="482">abs(C240-C239)/200</f>
        <v>0.00015</v>
      </c>
      <c r="K240" s="7">
        <f t="shared" si="482"/>
        <v>0.00165</v>
      </c>
      <c r="L240" s="7">
        <f t="shared" si="482"/>
        <v>0.0001</v>
      </c>
      <c r="M240" s="7">
        <f t="shared" si="482"/>
        <v>0.0002</v>
      </c>
      <c r="N240" s="7">
        <f t="shared" si="482"/>
        <v>0.00005</v>
      </c>
      <c r="O240" s="7">
        <f t="shared" si="482"/>
        <v>0.00015</v>
      </c>
      <c r="P240" s="7">
        <f t="shared" si="9"/>
        <v>0.03466255358</v>
      </c>
      <c r="Q240" s="7">
        <f t="shared" si="10"/>
        <v>0.001419164329</v>
      </c>
      <c r="R240" s="7">
        <f t="shared" si="3"/>
        <v>0.981702092</v>
      </c>
      <c r="S240" s="7">
        <f t="shared" si="4"/>
        <v>0.06633249581</v>
      </c>
      <c r="T240" s="7">
        <f t="shared" si="5"/>
        <v>1</v>
      </c>
      <c r="U240" s="7">
        <f t="shared" si="6"/>
        <v>0</v>
      </c>
      <c r="V240" s="7">
        <f t="shared" ref="V240:W240" si="483">IF(AVERAGE(T180:T239) &gt; 0.25, 1, 0)</f>
        <v>1</v>
      </c>
      <c r="W240" s="7">
        <f t="shared" si="483"/>
        <v>1</v>
      </c>
      <c r="X240" s="8">
        <v>1.0</v>
      </c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ht="22.5" customHeight="1">
      <c r="A241" s="6">
        <v>1440.0</v>
      </c>
      <c r="B241" s="6">
        <v>50831.0</v>
      </c>
      <c r="C241" s="6">
        <v>2.39</v>
      </c>
      <c r="D241" s="6">
        <v>-0.62</v>
      </c>
      <c r="E241" s="6">
        <v>10.57</v>
      </c>
      <c r="F241" s="6">
        <v>-0.08</v>
      </c>
      <c r="G241" s="6">
        <v>-0.02</v>
      </c>
      <c r="H241" s="6">
        <v>0.0</v>
      </c>
      <c r="I241" s="6">
        <v>33.34</v>
      </c>
      <c r="J241" s="7">
        <f t="shared" ref="J241:O241" si="484">abs(C241-C240)/200</f>
        <v>0.0001</v>
      </c>
      <c r="K241" s="7">
        <f t="shared" si="484"/>
        <v>0.00005</v>
      </c>
      <c r="L241" s="7">
        <f t="shared" si="484"/>
        <v>0.0004</v>
      </c>
      <c r="M241" s="7">
        <f t="shared" si="484"/>
        <v>0.0001</v>
      </c>
      <c r="N241" s="7">
        <f t="shared" si="484"/>
        <v>0.0002</v>
      </c>
      <c r="O241" s="7">
        <f t="shared" si="484"/>
        <v>0.0001</v>
      </c>
      <c r="P241" s="7">
        <f t="shared" si="9"/>
        <v>0.01612961671</v>
      </c>
      <c r="Q241" s="7">
        <f t="shared" si="10"/>
        <v>0.07285455489</v>
      </c>
      <c r="R241" s="7">
        <f t="shared" si="3"/>
        <v>1.054556647</v>
      </c>
      <c r="S241" s="7">
        <f t="shared" si="4"/>
        <v>0.08246211251</v>
      </c>
      <c r="T241" s="7">
        <f t="shared" si="5"/>
        <v>1</v>
      </c>
      <c r="U241" s="7">
        <f t="shared" si="6"/>
        <v>0</v>
      </c>
      <c r="V241" s="7">
        <f t="shared" ref="V241:W241" si="485">IF(AVERAGE(T181:T240) &gt; 0.25, 1, 0)</f>
        <v>1</v>
      </c>
      <c r="W241" s="7">
        <f t="shared" si="485"/>
        <v>1</v>
      </c>
      <c r="X241" s="8">
        <v>1.0</v>
      </c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ht="22.5" customHeight="1">
      <c r="A242" s="6">
        <v>1441.0</v>
      </c>
      <c r="B242" s="6">
        <v>51035.0</v>
      </c>
      <c r="C242" s="6">
        <v>2.41</v>
      </c>
      <c r="D242" s="6">
        <v>-0.62</v>
      </c>
      <c r="E242" s="6">
        <v>10.47</v>
      </c>
      <c r="F242" s="6">
        <v>-0.14</v>
      </c>
      <c r="G242" s="6">
        <v>0.0</v>
      </c>
      <c r="H242" s="6">
        <v>0.01</v>
      </c>
      <c r="I242" s="6">
        <v>33.34</v>
      </c>
      <c r="J242" s="7">
        <f t="shared" ref="J242:O242" si="486">abs(C242-C241)/200</f>
        <v>0.0001</v>
      </c>
      <c r="K242" s="7">
        <f t="shared" si="486"/>
        <v>0</v>
      </c>
      <c r="L242" s="7">
        <f t="shared" si="486"/>
        <v>0.0005</v>
      </c>
      <c r="M242" s="7">
        <f t="shared" si="486"/>
        <v>0.0003</v>
      </c>
      <c r="N242" s="7">
        <f t="shared" si="486"/>
        <v>0.0001</v>
      </c>
      <c r="O242" s="7">
        <f t="shared" si="486"/>
        <v>0.00005</v>
      </c>
      <c r="P242" s="7">
        <f t="shared" si="9"/>
        <v>0.05789457596</v>
      </c>
      <c r="Q242" s="7">
        <f t="shared" si="10"/>
        <v>0.09289320667</v>
      </c>
      <c r="R242" s="7">
        <f t="shared" si="3"/>
        <v>0.9616634402</v>
      </c>
      <c r="S242" s="7">
        <f t="shared" si="4"/>
        <v>0.1403566885</v>
      </c>
      <c r="T242" s="7">
        <f t="shared" si="5"/>
        <v>1</v>
      </c>
      <c r="U242" s="7">
        <f t="shared" si="6"/>
        <v>0</v>
      </c>
      <c r="V242" s="7">
        <f t="shared" ref="V242:W242" si="487">IF(AVERAGE(T182:T241) &gt; 0.25, 1, 0)</f>
        <v>1</v>
      </c>
      <c r="W242" s="7">
        <f t="shared" si="487"/>
        <v>1</v>
      </c>
      <c r="X242" s="8">
        <v>1.0</v>
      </c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ht="22.5" customHeight="1">
      <c r="A243" s="6">
        <v>1442.0</v>
      </c>
      <c r="B243" s="6">
        <v>51239.0</v>
      </c>
      <c r="C243" s="6">
        <v>2.37</v>
      </c>
      <c r="D243" s="6">
        <v>-0.59</v>
      </c>
      <c r="E243" s="6">
        <v>10.48</v>
      </c>
      <c r="F243" s="6">
        <v>-0.12</v>
      </c>
      <c r="G243" s="6">
        <v>-0.01</v>
      </c>
      <c r="H243" s="6">
        <v>-0.02</v>
      </c>
      <c r="I243" s="6">
        <v>33.33</v>
      </c>
      <c r="J243" s="7">
        <f t="shared" ref="J243:O243" si="488">abs(C243-C242)/200</f>
        <v>0.0002</v>
      </c>
      <c r="K243" s="7">
        <f t="shared" si="488"/>
        <v>0.00015</v>
      </c>
      <c r="L243" s="7">
        <f t="shared" si="488"/>
        <v>0.00005</v>
      </c>
      <c r="M243" s="7">
        <f t="shared" si="488"/>
        <v>0.0001</v>
      </c>
      <c r="N243" s="7">
        <f t="shared" si="488"/>
        <v>0.00005</v>
      </c>
      <c r="O243" s="7">
        <f t="shared" si="488"/>
        <v>0.00015</v>
      </c>
      <c r="P243" s="7">
        <f t="shared" si="9"/>
        <v>0.01829113232</v>
      </c>
      <c r="Q243" s="7">
        <f t="shared" si="10"/>
        <v>0.0008363344364</v>
      </c>
      <c r="R243" s="7">
        <f t="shared" si="3"/>
        <v>0.9608271058</v>
      </c>
      <c r="S243" s="7">
        <f t="shared" si="4"/>
        <v>0.1220655562</v>
      </c>
      <c r="T243" s="7">
        <f t="shared" si="5"/>
        <v>0</v>
      </c>
      <c r="U243" s="7">
        <f t="shared" si="6"/>
        <v>0</v>
      </c>
      <c r="V243" s="7">
        <f t="shared" ref="V243:W243" si="489">IF(AVERAGE(T183:T242) &gt; 0.25, 1, 0)</f>
        <v>1</v>
      </c>
      <c r="W243" s="7">
        <f t="shared" si="489"/>
        <v>0</v>
      </c>
      <c r="X243" s="8">
        <v>1.0</v>
      </c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ht="22.5" customHeight="1">
      <c r="A244" s="6">
        <v>1443.0</v>
      </c>
      <c r="B244" s="6">
        <v>51443.0</v>
      </c>
      <c r="C244" s="6">
        <v>2.43</v>
      </c>
      <c r="D244" s="6">
        <v>-0.4</v>
      </c>
      <c r="E244" s="6">
        <v>10.48</v>
      </c>
      <c r="F244" s="6">
        <v>-0.1</v>
      </c>
      <c r="G244" s="6">
        <v>-0.01</v>
      </c>
      <c r="H244" s="6">
        <v>-0.01</v>
      </c>
      <c r="I244" s="6">
        <v>33.33</v>
      </c>
      <c r="J244" s="7">
        <f t="shared" ref="J244:O244" si="490">abs(C244-C243)/200</f>
        <v>0.0003</v>
      </c>
      <c r="K244" s="7">
        <f t="shared" si="490"/>
        <v>0.00095</v>
      </c>
      <c r="L244" s="7">
        <f t="shared" si="490"/>
        <v>0</v>
      </c>
      <c r="M244" s="7">
        <f t="shared" si="490"/>
        <v>0.0001</v>
      </c>
      <c r="N244" s="7">
        <f t="shared" si="490"/>
        <v>0</v>
      </c>
      <c r="O244" s="7">
        <f t="shared" si="490"/>
        <v>0.00005</v>
      </c>
      <c r="P244" s="7">
        <f t="shared" si="9"/>
        <v>0.02107050677</v>
      </c>
      <c r="Q244" s="7">
        <f t="shared" si="10"/>
        <v>0.004640835768</v>
      </c>
      <c r="R244" s="7">
        <f t="shared" si="3"/>
        <v>0.9654679415</v>
      </c>
      <c r="S244" s="7">
        <f t="shared" si="4"/>
        <v>0.1009950494</v>
      </c>
      <c r="T244" s="7">
        <f t="shared" si="5"/>
        <v>1</v>
      </c>
      <c r="U244" s="7">
        <f t="shared" si="6"/>
        <v>0</v>
      </c>
      <c r="V244" s="7">
        <f t="shared" ref="V244:W244" si="491">IF(AVERAGE(T184:T243) &gt; 0.25, 1, 0)</f>
        <v>1</v>
      </c>
      <c r="W244" s="7">
        <f t="shared" si="491"/>
        <v>0</v>
      </c>
      <c r="X244" s="8">
        <v>1.0</v>
      </c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ht="22.5" customHeight="1">
      <c r="A245" s="6">
        <v>1444.0</v>
      </c>
      <c r="B245" s="6">
        <v>51647.0</v>
      </c>
      <c r="C245" s="6">
        <v>2.46</v>
      </c>
      <c r="D245" s="6">
        <v>-0.45</v>
      </c>
      <c r="E245" s="6">
        <v>10.41</v>
      </c>
      <c r="F245" s="6">
        <v>-0.09</v>
      </c>
      <c r="G245" s="6">
        <v>0.01</v>
      </c>
      <c r="H245" s="6">
        <v>-0.03</v>
      </c>
      <c r="I245" s="6">
        <v>33.34</v>
      </c>
      <c r="J245" s="7">
        <f t="shared" ref="J245:O245" si="492">abs(C245-C244)/200</f>
        <v>0.00015</v>
      </c>
      <c r="K245" s="7">
        <f t="shared" si="492"/>
        <v>0.00025</v>
      </c>
      <c r="L245" s="7">
        <f t="shared" si="492"/>
        <v>0.00035</v>
      </c>
      <c r="M245" s="7">
        <f t="shared" si="492"/>
        <v>0.00005</v>
      </c>
      <c r="N245" s="7">
        <f t="shared" si="492"/>
        <v>0.0001</v>
      </c>
      <c r="O245" s="7">
        <f t="shared" si="492"/>
        <v>0.0001</v>
      </c>
      <c r="P245" s="7">
        <f t="shared" si="9"/>
        <v>0.005601129242</v>
      </c>
      <c r="Q245" s="7">
        <f t="shared" si="10"/>
        <v>0.05929215369</v>
      </c>
      <c r="R245" s="7">
        <f t="shared" si="3"/>
        <v>0.9061757878</v>
      </c>
      <c r="S245" s="7">
        <f t="shared" si="4"/>
        <v>0.09539392014</v>
      </c>
      <c r="T245" s="7">
        <f t="shared" si="5"/>
        <v>1</v>
      </c>
      <c r="U245" s="7">
        <f t="shared" si="6"/>
        <v>0</v>
      </c>
      <c r="V245" s="7">
        <f t="shared" ref="V245:W245" si="493">IF(AVERAGE(T185:T244) &gt; 0.25, 1, 0)</f>
        <v>1</v>
      </c>
      <c r="W245" s="7">
        <f t="shared" si="493"/>
        <v>0</v>
      </c>
      <c r="X245" s="8">
        <v>1.0</v>
      </c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ht="22.5" customHeight="1">
      <c r="A246" s="6">
        <v>1445.0</v>
      </c>
      <c r="B246" s="6">
        <v>51851.0</v>
      </c>
      <c r="C246" s="6">
        <v>2.38</v>
      </c>
      <c r="D246" s="6">
        <v>-0.34</v>
      </c>
      <c r="E246" s="6">
        <v>10.52</v>
      </c>
      <c r="F246" s="6">
        <v>-0.09</v>
      </c>
      <c r="G246" s="6">
        <v>0.01</v>
      </c>
      <c r="H246" s="6">
        <v>-0.03</v>
      </c>
      <c r="I246" s="6">
        <v>33.33</v>
      </c>
      <c r="J246" s="7">
        <f t="shared" ref="J246:O246" si="494">abs(C246-C245)/200</f>
        <v>0.0004</v>
      </c>
      <c r="K246" s="7">
        <f t="shared" si="494"/>
        <v>0.00055</v>
      </c>
      <c r="L246" s="7">
        <f t="shared" si="494"/>
        <v>0.00055</v>
      </c>
      <c r="M246" s="7">
        <f t="shared" si="494"/>
        <v>0</v>
      </c>
      <c r="N246" s="7">
        <f t="shared" si="494"/>
        <v>0</v>
      </c>
      <c r="O246" s="7">
        <f t="shared" si="494"/>
        <v>0</v>
      </c>
      <c r="P246" s="7">
        <f t="shared" si="9"/>
        <v>0</v>
      </c>
      <c r="Q246" s="7">
        <f t="shared" si="10"/>
        <v>0.08504286439</v>
      </c>
      <c r="R246" s="7">
        <f t="shared" si="3"/>
        <v>0.9912186522</v>
      </c>
      <c r="S246" s="7">
        <f t="shared" si="4"/>
        <v>0.09539392014</v>
      </c>
      <c r="T246" s="7">
        <f t="shared" si="5"/>
        <v>1</v>
      </c>
      <c r="U246" s="7">
        <f t="shared" si="6"/>
        <v>0</v>
      </c>
      <c r="V246" s="7">
        <f t="shared" ref="V246:W246" si="495">IF(AVERAGE(T186:T245) &gt; 0.25, 1, 0)</f>
        <v>1</v>
      </c>
      <c r="W246" s="7">
        <f t="shared" si="495"/>
        <v>0</v>
      </c>
      <c r="X246" s="8">
        <v>1.0</v>
      </c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ht="22.5" customHeight="1">
      <c r="A247" s="6">
        <v>1446.0</v>
      </c>
      <c r="B247" s="6">
        <v>52055.0</v>
      </c>
      <c r="C247" s="6">
        <v>2.4</v>
      </c>
      <c r="D247" s="6">
        <v>-0.43</v>
      </c>
      <c r="E247" s="6">
        <v>10.49</v>
      </c>
      <c r="F247" s="6">
        <v>-0.09</v>
      </c>
      <c r="G247" s="6">
        <v>0.01</v>
      </c>
      <c r="H247" s="6">
        <v>0.0</v>
      </c>
      <c r="I247" s="6">
        <v>33.33</v>
      </c>
      <c r="J247" s="7">
        <f t="shared" ref="J247:O247" si="496">abs(C247-C246)/200</f>
        <v>0.0001</v>
      </c>
      <c r="K247" s="7">
        <f t="shared" si="496"/>
        <v>0.00045</v>
      </c>
      <c r="L247" s="7">
        <f t="shared" si="496"/>
        <v>0.00015</v>
      </c>
      <c r="M247" s="7">
        <f t="shared" si="496"/>
        <v>0</v>
      </c>
      <c r="N247" s="7">
        <f t="shared" si="496"/>
        <v>0</v>
      </c>
      <c r="O247" s="7">
        <f t="shared" si="496"/>
        <v>0.00015</v>
      </c>
      <c r="P247" s="7">
        <f t="shared" si="9"/>
        <v>0.00484006876</v>
      </c>
      <c r="Q247" s="7">
        <f t="shared" si="10"/>
        <v>0.02158541798</v>
      </c>
      <c r="R247" s="7">
        <f t="shared" si="3"/>
        <v>0.9696332342</v>
      </c>
      <c r="S247" s="7">
        <f t="shared" si="4"/>
        <v>0.09055385138</v>
      </c>
      <c r="T247" s="7">
        <f t="shared" si="5"/>
        <v>1</v>
      </c>
      <c r="U247" s="7">
        <f t="shared" si="6"/>
        <v>0</v>
      </c>
      <c r="V247" s="7">
        <f t="shared" ref="V247:W247" si="497">IF(AVERAGE(T187:T246) &gt; 0.25, 1, 0)</f>
        <v>1</v>
      </c>
      <c r="W247" s="7">
        <f t="shared" si="497"/>
        <v>0</v>
      </c>
      <c r="X247" s="8">
        <v>1.0</v>
      </c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ht="22.5" customHeight="1">
      <c r="A248" s="6">
        <v>1447.0</v>
      </c>
      <c r="B248" s="6">
        <v>52259.0</v>
      </c>
      <c r="C248" s="6">
        <v>2.36</v>
      </c>
      <c r="D248" s="6">
        <v>-0.67</v>
      </c>
      <c r="E248" s="6">
        <v>10.49</v>
      </c>
      <c r="F248" s="6">
        <v>-0.07</v>
      </c>
      <c r="G248" s="6">
        <v>0.01</v>
      </c>
      <c r="H248" s="6">
        <v>0.04</v>
      </c>
      <c r="I248" s="6">
        <v>33.34</v>
      </c>
      <c r="J248" s="7">
        <f t="shared" ref="J248:O248" si="498">abs(C248-C247)/200</f>
        <v>0.0002</v>
      </c>
      <c r="K248" s="7">
        <f t="shared" si="498"/>
        <v>0.0012</v>
      </c>
      <c r="L248" s="7">
        <f t="shared" si="498"/>
        <v>0</v>
      </c>
      <c r="M248" s="7">
        <f t="shared" si="498"/>
        <v>0.0001</v>
      </c>
      <c r="N248" s="7">
        <f t="shared" si="498"/>
        <v>0</v>
      </c>
      <c r="O248" s="7">
        <f t="shared" si="498"/>
        <v>0.0002</v>
      </c>
      <c r="P248" s="7">
        <f t="shared" si="9"/>
        <v>0.009313467335</v>
      </c>
      <c r="Q248" s="7">
        <f t="shared" si="10"/>
        <v>0.00341647325</v>
      </c>
      <c r="R248" s="7">
        <f t="shared" si="3"/>
        <v>0.9730497075</v>
      </c>
      <c r="S248" s="7">
        <f t="shared" si="4"/>
        <v>0.08124038405</v>
      </c>
      <c r="T248" s="7">
        <f t="shared" si="5"/>
        <v>1</v>
      </c>
      <c r="U248" s="7">
        <f t="shared" si="6"/>
        <v>0</v>
      </c>
      <c r="V248" s="7">
        <f t="shared" ref="V248:W248" si="499">IF(AVERAGE(T188:T247) &gt; 0.25, 1, 0)</f>
        <v>1</v>
      </c>
      <c r="W248" s="7">
        <f t="shared" si="499"/>
        <v>0</v>
      </c>
      <c r="X248" s="8">
        <v>1.0</v>
      </c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ht="22.5" customHeight="1">
      <c r="A249" s="6">
        <v>1448.0</v>
      </c>
      <c r="B249" s="6">
        <v>52463.0</v>
      </c>
      <c r="C249" s="6">
        <v>2.37</v>
      </c>
      <c r="D249" s="6">
        <v>-0.5</v>
      </c>
      <c r="E249" s="6">
        <v>10.53</v>
      </c>
      <c r="F249" s="6">
        <v>-0.14</v>
      </c>
      <c r="G249" s="6">
        <v>-0.03</v>
      </c>
      <c r="H249" s="6">
        <v>0.0</v>
      </c>
      <c r="I249" s="6">
        <v>33.33</v>
      </c>
      <c r="J249" s="7">
        <f t="shared" ref="J249:O249" si="500">abs(C249-C248)/200</f>
        <v>0.00005</v>
      </c>
      <c r="K249" s="7">
        <f t="shared" si="500"/>
        <v>0.00085</v>
      </c>
      <c r="L249" s="7">
        <f t="shared" si="500"/>
        <v>0.0002</v>
      </c>
      <c r="M249" s="7">
        <f t="shared" si="500"/>
        <v>0.00035</v>
      </c>
      <c r="N249" s="7">
        <f t="shared" si="500"/>
        <v>0.0002</v>
      </c>
      <c r="O249" s="7">
        <f t="shared" si="500"/>
        <v>0.0002</v>
      </c>
      <c r="P249" s="7">
        <f t="shared" si="9"/>
        <v>0.06193782659</v>
      </c>
      <c r="Q249" s="7">
        <f t="shared" si="10"/>
        <v>0.03193988066</v>
      </c>
      <c r="R249" s="7">
        <f t="shared" si="3"/>
        <v>1.004989588</v>
      </c>
      <c r="S249" s="7">
        <f t="shared" si="4"/>
        <v>0.1431782106</v>
      </c>
      <c r="T249" s="7">
        <f t="shared" si="5"/>
        <v>1</v>
      </c>
      <c r="U249" s="7">
        <f t="shared" si="6"/>
        <v>1</v>
      </c>
      <c r="V249" s="7">
        <f t="shared" ref="V249:W249" si="501">IF(AVERAGE(T189:T248) &gt; 0.25, 1, 0)</f>
        <v>1</v>
      </c>
      <c r="W249" s="7">
        <f t="shared" si="501"/>
        <v>0</v>
      </c>
      <c r="X249" s="8">
        <v>1.0</v>
      </c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ht="22.5" customHeight="1">
      <c r="A250" s="6">
        <v>1449.0</v>
      </c>
      <c r="B250" s="6">
        <v>52667.0</v>
      </c>
      <c r="C250" s="6">
        <v>2.43</v>
      </c>
      <c r="D250" s="6">
        <v>-0.66</v>
      </c>
      <c r="E250" s="6">
        <v>10.48</v>
      </c>
      <c r="F250" s="6">
        <v>-0.1</v>
      </c>
      <c r="G250" s="6">
        <v>-0.01</v>
      </c>
      <c r="H250" s="6">
        <v>0.06</v>
      </c>
      <c r="I250" s="6">
        <v>33.34</v>
      </c>
      <c r="J250" s="7">
        <f t="shared" ref="J250:O250" si="502">abs(C250-C249)/200</f>
        <v>0.0003</v>
      </c>
      <c r="K250" s="7">
        <f t="shared" si="502"/>
        <v>0.0008</v>
      </c>
      <c r="L250" s="7">
        <f t="shared" si="502"/>
        <v>0.00025</v>
      </c>
      <c r="M250" s="7">
        <f t="shared" si="502"/>
        <v>0.0002</v>
      </c>
      <c r="N250" s="7">
        <f t="shared" si="502"/>
        <v>0.0001</v>
      </c>
      <c r="O250" s="7">
        <f t="shared" si="502"/>
        <v>0.0003</v>
      </c>
      <c r="P250" s="7">
        <f t="shared" si="9"/>
        <v>0.02613121153</v>
      </c>
      <c r="Q250" s="7">
        <f t="shared" si="10"/>
        <v>0.02672906059</v>
      </c>
      <c r="R250" s="7">
        <f t="shared" si="3"/>
        <v>0.9782605276</v>
      </c>
      <c r="S250" s="7">
        <f t="shared" si="4"/>
        <v>0.1170469991</v>
      </c>
      <c r="T250" s="7">
        <f t="shared" si="5"/>
        <v>1</v>
      </c>
      <c r="U250" s="7">
        <f t="shared" si="6"/>
        <v>0</v>
      </c>
      <c r="V250" s="7">
        <f t="shared" ref="V250:W250" si="503">IF(AVERAGE(T190:T249) &gt; 0.25, 1, 0)</f>
        <v>1</v>
      </c>
      <c r="W250" s="7">
        <f t="shared" si="503"/>
        <v>0</v>
      </c>
      <c r="X250" s="8">
        <v>1.0</v>
      </c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ht="22.5" customHeight="1">
      <c r="A251" s="6">
        <v>1450.0</v>
      </c>
      <c r="B251" s="6">
        <v>52871.0</v>
      </c>
      <c r="C251" s="6">
        <v>2.36</v>
      </c>
      <c r="D251" s="6">
        <v>-0.61</v>
      </c>
      <c r="E251" s="6">
        <v>10.51</v>
      </c>
      <c r="F251" s="6">
        <v>-0.1</v>
      </c>
      <c r="G251" s="6">
        <v>-0.01</v>
      </c>
      <c r="H251" s="6">
        <v>-0.05</v>
      </c>
      <c r="I251" s="6">
        <v>33.33</v>
      </c>
      <c r="J251" s="7">
        <f t="shared" ref="J251:O251" si="504">abs(C251-C250)/200</f>
        <v>0.00035</v>
      </c>
      <c r="K251" s="7">
        <f t="shared" si="504"/>
        <v>0.00025</v>
      </c>
      <c r="L251" s="7">
        <f t="shared" si="504"/>
        <v>0.00015</v>
      </c>
      <c r="M251" s="7">
        <f t="shared" si="504"/>
        <v>0</v>
      </c>
      <c r="N251" s="7">
        <f t="shared" si="504"/>
        <v>0</v>
      </c>
      <c r="O251" s="7">
        <f t="shared" si="504"/>
        <v>0.00055</v>
      </c>
      <c r="P251" s="7">
        <f t="shared" si="9"/>
        <v>0.004797277504</v>
      </c>
      <c r="Q251" s="7">
        <f t="shared" si="10"/>
        <v>0.01070605872</v>
      </c>
      <c r="R251" s="7">
        <f t="shared" si="3"/>
        <v>0.9889665863</v>
      </c>
      <c r="S251" s="7">
        <f t="shared" si="4"/>
        <v>0.1122497216</v>
      </c>
      <c r="T251" s="7">
        <f t="shared" si="5"/>
        <v>1</v>
      </c>
      <c r="U251" s="7">
        <f t="shared" si="6"/>
        <v>1</v>
      </c>
      <c r="V251" s="7">
        <f t="shared" ref="V251:W251" si="505">IF(AVERAGE(T191:T250) &gt; 0.25, 1, 0)</f>
        <v>1</v>
      </c>
      <c r="W251" s="7">
        <f t="shared" si="505"/>
        <v>0</v>
      </c>
      <c r="X251" s="8">
        <v>1.0</v>
      </c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ht="22.5" customHeight="1">
      <c r="A252" s="6">
        <v>1451.0</v>
      </c>
      <c r="B252" s="6">
        <v>53075.0</v>
      </c>
      <c r="C252" s="6">
        <v>2.32</v>
      </c>
      <c r="D252" s="6">
        <v>-0.31</v>
      </c>
      <c r="E252" s="6">
        <v>10.56</v>
      </c>
      <c r="F252" s="6">
        <v>-0.27</v>
      </c>
      <c r="G252" s="6">
        <v>0.05</v>
      </c>
      <c r="H252" s="6">
        <v>-0.02</v>
      </c>
      <c r="I252" s="6">
        <v>33.33</v>
      </c>
      <c r="J252" s="7">
        <f t="shared" ref="J252:O252" si="506">abs(C252-C251)/200</f>
        <v>0.0002</v>
      </c>
      <c r="K252" s="7">
        <f t="shared" si="506"/>
        <v>0.0015</v>
      </c>
      <c r="L252" s="7">
        <f t="shared" si="506"/>
        <v>0.00025</v>
      </c>
      <c r="M252" s="7">
        <f t="shared" si="506"/>
        <v>0.00085</v>
      </c>
      <c r="N252" s="7">
        <f t="shared" si="506"/>
        <v>0.0003</v>
      </c>
      <c r="O252" s="7">
        <f t="shared" si="506"/>
        <v>0.00015</v>
      </c>
      <c r="P252" s="7">
        <f t="shared" si="9"/>
        <v>0.1630682764</v>
      </c>
      <c r="Q252" s="7">
        <f t="shared" si="10"/>
        <v>0.02732205631</v>
      </c>
      <c r="R252" s="7">
        <f t="shared" si="3"/>
        <v>1.016288643</v>
      </c>
      <c r="S252" s="7">
        <f t="shared" si="4"/>
        <v>0.275317998</v>
      </c>
      <c r="T252" s="7">
        <f t="shared" si="5"/>
        <v>1</v>
      </c>
      <c r="U252" s="7">
        <f t="shared" si="6"/>
        <v>1</v>
      </c>
      <c r="V252" s="7">
        <f t="shared" ref="V252:W252" si="507">IF(AVERAGE(T192:T251) &gt; 0.25, 1, 0)</f>
        <v>1</v>
      </c>
      <c r="W252" s="7">
        <f t="shared" si="507"/>
        <v>0</v>
      </c>
      <c r="X252" s="8">
        <v>1.0</v>
      </c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ht="22.5" customHeight="1">
      <c r="A253" s="6">
        <v>1452.0</v>
      </c>
      <c r="B253" s="6">
        <v>53279.0</v>
      </c>
      <c r="C253" s="6">
        <v>2.32</v>
      </c>
      <c r="D253" s="6">
        <v>-0.64</v>
      </c>
      <c r="E253" s="6">
        <v>10.5</v>
      </c>
      <c r="F253" s="6">
        <v>0.04</v>
      </c>
      <c r="G253" s="6">
        <v>-0.03</v>
      </c>
      <c r="H253" s="6">
        <v>-0.02</v>
      </c>
      <c r="I253" s="6">
        <v>33.33</v>
      </c>
      <c r="J253" s="7">
        <f t="shared" ref="J253:O253" si="508">abs(C253-C252)/200</f>
        <v>0</v>
      </c>
      <c r="K253" s="7">
        <f t="shared" si="508"/>
        <v>0.00165</v>
      </c>
      <c r="L253" s="7">
        <f t="shared" si="508"/>
        <v>0.0003</v>
      </c>
      <c r="M253" s="7">
        <f t="shared" si="508"/>
        <v>0.00155</v>
      </c>
      <c r="N253" s="7">
        <f t="shared" si="508"/>
        <v>0.0004</v>
      </c>
      <c r="O253" s="7">
        <f t="shared" si="508"/>
        <v>0</v>
      </c>
      <c r="P253" s="7">
        <f t="shared" si="9"/>
        <v>0.2214663499</v>
      </c>
      <c r="Q253" s="7">
        <f t="shared" si="10"/>
        <v>0.04400940374</v>
      </c>
      <c r="R253" s="7">
        <f t="shared" si="3"/>
        <v>0.9722792389</v>
      </c>
      <c r="S253" s="7">
        <f t="shared" si="4"/>
        <v>0.05385164807</v>
      </c>
      <c r="T253" s="7">
        <f t="shared" si="5"/>
        <v>1</v>
      </c>
      <c r="U253" s="7">
        <f t="shared" si="6"/>
        <v>1</v>
      </c>
      <c r="V253" s="7">
        <f t="shared" ref="V253:W253" si="509">IF(AVERAGE(T193:T252) &gt; 0.25, 1, 0)</f>
        <v>1</v>
      </c>
      <c r="W253" s="7">
        <f t="shared" si="509"/>
        <v>0</v>
      </c>
      <c r="X253" s="8">
        <v>1.0</v>
      </c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ht="22.5" customHeight="1">
      <c r="A254" s="6">
        <v>1453.0</v>
      </c>
      <c r="B254" s="6">
        <v>53483.0</v>
      </c>
      <c r="C254" s="6">
        <v>2.35</v>
      </c>
      <c r="D254" s="6">
        <v>-0.45</v>
      </c>
      <c r="E254" s="6">
        <v>10.52</v>
      </c>
      <c r="F254" s="6">
        <v>-0.09</v>
      </c>
      <c r="G254" s="6">
        <v>0.02</v>
      </c>
      <c r="H254" s="6">
        <v>-0.07</v>
      </c>
      <c r="I254" s="6">
        <v>33.33</v>
      </c>
      <c r="J254" s="7">
        <f t="shared" ref="J254:O254" si="510">abs(C254-C253)/200</f>
        <v>0.00015</v>
      </c>
      <c r="K254" s="7">
        <f t="shared" si="510"/>
        <v>0.00095</v>
      </c>
      <c r="L254" s="7">
        <f t="shared" si="510"/>
        <v>0.0001</v>
      </c>
      <c r="M254" s="7">
        <f t="shared" si="510"/>
        <v>0.00065</v>
      </c>
      <c r="N254" s="7">
        <f t="shared" si="510"/>
        <v>0.00025</v>
      </c>
      <c r="O254" s="7">
        <f t="shared" si="510"/>
        <v>0.00025</v>
      </c>
      <c r="P254" s="7">
        <f t="shared" si="9"/>
        <v>0.06190672096</v>
      </c>
      <c r="Q254" s="7">
        <f t="shared" si="10"/>
        <v>0.01639074404</v>
      </c>
      <c r="R254" s="7">
        <f t="shared" si="3"/>
        <v>0.9886699829</v>
      </c>
      <c r="S254" s="7">
        <f t="shared" si="4"/>
        <v>0.115758369</v>
      </c>
      <c r="T254" s="7">
        <f t="shared" si="5"/>
        <v>1</v>
      </c>
      <c r="U254" s="7">
        <f t="shared" si="6"/>
        <v>1</v>
      </c>
      <c r="V254" s="7">
        <f t="shared" ref="V254:W254" si="511">IF(AVERAGE(T194:T253) &gt; 0.25, 1, 0)</f>
        <v>1</v>
      </c>
      <c r="W254" s="7">
        <f t="shared" si="511"/>
        <v>0</v>
      </c>
      <c r="X254" s="8">
        <v>1.0</v>
      </c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ht="22.5" customHeight="1">
      <c r="A255" s="6">
        <v>1454.0</v>
      </c>
      <c r="B255" s="6">
        <v>53687.0</v>
      </c>
      <c r="C255" s="6">
        <v>2.35</v>
      </c>
      <c r="D255" s="6">
        <v>-0.45</v>
      </c>
      <c r="E255" s="6">
        <v>10.51</v>
      </c>
      <c r="F255" s="6">
        <v>-0.05</v>
      </c>
      <c r="G255" s="6">
        <v>0.01</v>
      </c>
      <c r="H255" s="6">
        <v>0.02</v>
      </c>
      <c r="I255" s="6">
        <v>33.33</v>
      </c>
      <c r="J255" s="7">
        <f t="shared" ref="J255:O255" si="512">abs(C255-C254)/200</f>
        <v>0</v>
      </c>
      <c r="K255" s="7">
        <f t="shared" si="512"/>
        <v>0</v>
      </c>
      <c r="L255" s="7">
        <f t="shared" si="512"/>
        <v>0.00005</v>
      </c>
      <c r="M255" s="7">
        <f t="shared" si="512"/>
        <v>0.0002</v>
      </c>
      <c r="N255" s="7">
        <f t="shared" si="512"/>
        <v>0.00005</v>
      </c>
      <c r="O255" s="7">
        <f t="shared" si="512"/>
        <v>0.00045</v>
      </c>
      <c r="P255" s="7">
        <f t="shared" si="9"/>
        <v>0.06098611328</v>
      </c>
      <c r="Q255" s="7">
        <f t="shared" si="10"/>
        <v>0.009750742089</v>
      </c>
      <c r="R255" s="7">
        <f t="shared" si="3"/>
        <v>0.9789192408</v>
      </c>
      <c r="S255" s="7">
        <f t="shared" si="4"/>
        <v>0.05477225575</v>
      </c>
      <c r="T255" s="7">
        <f t="shared" si="5"/>
        <v>0</v>
      </c>
      <c r="U255" s="7">
        <f t="shared" si="6"/>
        <v>1</v>
      </c>
      <c r="V255" s="7">
        <f t="shared" ref="V255:W255" si="513">IF(AVERAGE(T195:T254) &gt; 0.25, 1, 0)</f>
        <v>1</v>
      </c>
      <c r="W255" s="7">
        <f t="shared" si="513"/>
        <v>0</v>
      </c>
      <c r="X255" s="8">
        <v>1.0</v>
      </c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ht="22.5" customHeight="1">
      <c r="A256" s="6">
        <v>1455.0</v>
      </c>
      <c r="B256" s="6">
        <v>53891.0</v>
      </c>
      <c r="C256" s="6">
        <v>2.28</v>
      </c>
      <c r="D256" s="6">
        <v>-0.61</v>
      </c>
      <c r="E256" s="6">
        <v>10.54</v>
      </c>
      <c r="F256" s="6">
        <v>-0.09</v>
      </c>
      <c r="G256" s="6">
        <v>0.02</v>
      </c>
      <c r="H256" s="6">
        <v>0.03</v>
      </c>
      <c r="I256" s="6">
        <v>33.34</v>
      </c>
      <c r="J256" s="7">
        <f t="shared" ref="J256:O256" si="514">abs(C256-C255)/200</f>
        <v>0.00035</v>
      </c>
      <c r="K256" s="7">
        <f t="shared" si="514"/>
        <v>0.0008</v>
      </c>
      <c r="L256" s="7">
        <f t="shared" si="514"/>
        <v>0.00015</v>
      </c>
      <c r="M256" s="7">
        <f t="shared" si="514"/>
        <v>0.0002</v>
      </c>
      <c r="N256" s="7">
        <f t="shared" si="514"/>
        <v>0.00005</v>
      </c>
      <c r="O256" s="7">
        <f t="shared" si="514"/>
        <v>0.00005</v>
      </c>
      <c r="P256" s="7">
        <f t="shared" si="9"/>
        <v>0.0421813414</v>
      </c>
      <c r="Q256" s="7">
        <f t="shared" si="10"/>
        <v>0.02210385887</v>
      </c>
      <c r="R256" s="7">
        <f t="shared" si="3"/>
        <v>1.0010231</v>
      </c>
      <c r="S256" s="7">
        <f t="shared" si="4"/>
        <v>0.09695359715</v>
      </c>
      <c r="T256" s="7">
        <f t="shared" si="5"/>
        <v>1</v>
      </c>
      <c r="U256" s="7">
        <f t="shared" si="6"/>
        <v>0</v>
      </c>
      <c r="V256" s="7">
        <f t="shared" ref="V256:W256" si="515">IF(AVERAGE(T196:T255) &gt; 0.25, 1, 0)</f>
        <v>1</v>
      </c>
      <c r="W256" s="7">
        <f t="shared" si="515"/>
        <v>1</v>
      </c>
      <c r="X256" s="8">
        <v>1.0</v>
      </c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ht="22.5" customHeight="1">
      <c r="A257" s="6">
        <v>1456.0</v>
      </c>
      <c r="B257" s="6">
        <v>54095.0</v>
      </c>
      <c r="C257" s="6">
        <v>2.24</v>
      </c>
      <c r="D257" s="6">
        <v>-0.73</v>
      </c>
      <c r="E257" s="6">
        <v>10.62</v>
      </c>
      <c r="F257" s="6">
        <v>-0.09</v>
      </c>
      <c r="G257" s="6">
        <v>-0.03</v>
      </c>
      <c r="H257" s="6">
        <v>0.03</v>
      </c>
      <c r="I257" s="6">
        <v>33.33</v>
      </c>
      <c r="J257" s="7">
        <f t="shared" ref="J257:O257" si="516">abs(C257-C256)/200</f>
        <v>0.0002</v>
      </c>
      <c r="K257" s="7">
        <f t="shared" si="516"/>
        <v>0.0006</v>
      </c>
      <c r="L257" s="7">
        <f t="shared" si="516"/>
        <v>0.0004</v>
      </c>
      <c r="M257" s="7">
        <f t="shared" si="516"/>
        <v>0</v>
      </c>
      <c r="N257" s="7">
        <f t="shared" si="516"/>
        <v>0.00025</v>
      </c>
      <c r="O257" s="7">
        <f t="shared" si="516"/>
        <v>0</v>
      </c>
      <c r="P257" s="7">
        <f t="shared" si="9"/>
        <v>0.002545146562</v>
      </c>
      <c r="Q257" s="7">
        <f t="shared" si="10"/>
        <v>0.0771614915</v>
      </c>
      <c r="R257" s="7">
        <f t="shared" si="3"/>
        <v>1.078184591</v>
      </c>
      <c r="S257" s="7">
        <f t="shared" si="4"/>
        <v>0.09949874371</v>
      </c>
      <c r="T257" s="7">
        <f t="shared" si="5"/>
        <v>1</v>
      </c>
      <c r="U257" s="7">
        <f t="shared" si="6"/>
        <v>0</v>
      </c>
      <c r="V257" s="7">
        <f t="shared" ref="V257:W257" si="517">IF(AVERAGE(T197:T256) &gt; 0.25, 1, 0)</f>
        <v>1</v>
      </c>
      <c r="W257" s="7">
        <f t="shared" si="517"/>
        <v>1</v>
      </c>
      <c r="X257" s="8">
        <v>1.0</v>
      </c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ht="22.5" customHeight="1">
      <c r="A258" s="6">
        <v>1457.0</v>
      </c>
      <c r="B258" s="6">
        <v>54299.0</v>
      </c>
      <c r="C258" s="6">
        <v>2.49</v>
      </c>
      <c r="D258" s="6">
        <v>-0.91</v>
      </c>
      <c r="E258" s="6">
        <v>10.42</v>
      </c>
      <c r="F258" s="6">
        <v>-0.12</v>
      </c>
      <c r="G258" s="6">
        <v>-0.12</v>
      </c>
      <c r="H258" s="6">
        <v>0.2</v>
      </c>
      <c r="I258" s="6">
        <v>33.33</v>
      </c>
      <c r="J258" s="7">
        <f t="shared" ref="J258:O258" si="518">abs(C258-C257)/200</f>
        <v>0.00125</v>
      </c>
      <c r="K258" s="7">
        <f t="shared" si="518"/>
        <v>0.0009</v>
      </c>
      <c r="L258" s="7">
        <f t="shared" si="518"/>
        <v>0.001</v>
      </c>
      <c r="M258" s="7">
        <f t="shared" si="518"/>
        <v>0.00015</v>
      </c>
      <c r="N258" s="7">
        <f t="shared" si="518"/>
        <v>0.00045</v>
      </c>
      <c r="O258" s="7">
        <f t="shared" si="518"/>
        <v>0.00085</v>
      </c>
      <c r="P258" s="7">
        <f t="shared" si="9"/>
        <v>0.1627987973</v>
      </c>
      <c r="Q258" s="7">
        <f t="shared" si="10"/>
        <v>0.12622663</v>
      </c>
      <c r="R258" s="7">
        <f t="shared" si="3"/>
        <v>0.9519579612</v>
      </c>
      <c r="S258" s="7">
        <f t="shared" si="4"/>
        <v>0.262297541</v>
      </c>
      <c r="T258" s="7">
        <f t="shared" si="5"/>
        <v>1</v>
      </c>
      <c r="U258" s="7">
        <f t="shared" si="6"/>
        <v>1</v>
      </c>
      <c r="V258" s="7">
        <f t="shared" ref="V258:W258" si="519">IF(AVERAGE(T198:T257) &gt; 0.25, 1, 0)</f>
        <v>1</v>
      </c>
      <c r="W258" s="7">
        <f t="shared" si="519"/>
        <v>1</v>
      </c>
      <c r="X258" s="8">
        <v>1.0</v>
      </c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ht="22.5" customHeight="1">
      <c r="A259" s="6">
        <v>1458.0</v>
      </c>
      <c r="B259" s="6">
        <v>54503.0</v>
      </c>
      <c r="C259" s="6">
        <v>2.44</v>
      </c>
      <c r="D259" s="6">
        <v>-0.64</v>
      </c>
      <c r="E259" s="6">
        <v>10.49</v>
      </c>
      <c r="F259" s="6">
        <v>-0.12</v>
      </c>
      <c r="G259" s="6">
        <v>0.0</v>
      </c>
      <c r="H259" s="6">
        <v>-0.08</v>
      </c>
      <c r="I259" s="6">
        <v>33.35</v>
      </c>
      <c r="J259" s="7">
        <f t="shared" ref="J259:O259" si="520">abs(C259-C258)/200</f>
        <v>0.00025</v>
      </c>
      <c r="K259" s="7">
        <f t="shared" si="520"/>
        <v>0.00135</v>
      </c>
      <c r="L259" s="7">
        <f t="shared" si="520"/>
        <v>0.00035</v>
      </c>
      <c r="M259" s="7">
        <f t="shared" si="520"/>
        <v>0</v>
      </c>
      <c r="N259" s="7">
        <f t="shared" si="520"/>
        <v>0.0006</v>
      </c>
      <c r="O259" s="7">
        <f t="shared" si="520"/>
        <v>0.0014</v>
      </c>
      <c r="P259" s="7">
        <f t="shared" si="9"/>
        <v>0.11807549</v>
      </c>
      <c r="Q259" s="7">
        <f t="shared" si="10"/>
        <v>0.0370781403</v>
      </c>
      <c r="R259" s="7">
        <f t="shared" si="3"/>
        <v>0.9890361015</v>
      </c>
      <c r="S259" s="7">
        <f t="shared" si="4"/>
        <v>0.144222051</v>
      </c>
      <c r="T259" s="7">
        <f t="shared" si="5"/>
        <v>1</v>
      </c>
      <c r="U259" s="7">
        <f t="shared" si="6"/>
        <v>1</v>
      </c>
      <c r="V259" s="7">
        <f t="shared" ref="V259:W259" si="521">IF(AVERAGE(T199:T258) &gt; 0.25, 1, 0)</f>
        <v>1</v>
      </c>
      <c r="W259" s="7">
        <f t="shared" si="521"/>
        <v>1</v>
      </c>
      <c r="X259" s="8">
        <v>1.0</v>
      </c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ht="22.5" customHeight="1">
      <c r="A260" s="6">
        <v>1459.0</v>
      </c>
      <c r="B260" s="6">
        <v>54707.0</v>
      </c>
      <c r="C260" s="6">
        <v>2.58</v>
      </c>
      <c r="D260" s="6">
        <v>-0.59</v>
      </c>
      <c r="E260" s="6">
        <v>10.47</v>
      </c>
      <c r="F260" s="6">
        <v>-0.11</v>
      </c>
      <c r="G260" s="6">
        <v>-0.03</v>
      </c>
      <c r="H260" s="6">
        <v>-0.05</v>
      </c>
      <c r="I260" s="6">
        <v>33.34</v>
      </c>
      <c r="J260" s="7">
        <f t="shared" ref="J260:O260" si="522">abs(C260-C259)/200</f>
        <v>0.0007</v>
      </c>
      <c r="K260" s="7">
        <f t="shared" si="522"/>
        <v>0.00025</v>
      </c>
      <c r="L260" s="7">
        <f t="shared" si="522"/>
        <v>0.0001</v>
      </c>
      <c r="M260" s="7">
        <f t="shared" si="522"/>
        <v>0.00005</v>
      </c>
      <c r="N260" s="7">
        <f t="shared" si="522"/>
        <v>0.00015</v>
      </c>
      <c r="O260" s="7">
        <f t="shared" si="522"/>
        <v>0.00015</v>
      </c>
      <c r="P260" s="7">
        <f t="shared" si="9"/>
        <v>0.01972305504</v>
      </c>
      <c r="Q260" s="7">
        <f t="shared" si="10"/>
        <v>0.0102879514</v>
      </c>
      <c r="R260" s="7">
        <f t="shared" si="3"/>
        <v>0.9993240529</v>
      </c>
      <c r="S260" s="7">
        <f t="shared" si="4"/>
        <v>0.124498996</v>
      </c>
      <c r="T260" s="7">
        <f t="shared" si="5"/>
        <v>1</v>
      </c>
      <c r="U260" s="7">
        <f t="shared" si="6"/>
        <v>0</v>
      </c>
      <c r="V260" s="7">
        <f t="shared" ref="V260:W260" si="523">IF(AVERAGE(T200:T259) &gt; 0.25, 1, 0)</f>
        <v>1</v>
      </c>
      <c r="W260" s="7">
        <f t="shared" si="523"/>
        <v>1</v>
      </c>
      <c r="X260" s="8">
        <v>1.0</v>
      </c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ht="22.5" customHeight="1">
      <c r="A261" s="6">
        <v>1460.0</v>
      </c>
      <c r="B261" s="6">
        <v>54911.0</v>
      </c>
      <c r="C261" s="6">
        <v>2.29</v>
      </c>
      <c r="D261" s="6">
        <v>0.0</v>
      </c>
      <c r="E261" s="6">
        <v>10.6</v>
      </c>
      <c r="F261" s="6">
        <v>-0.13</v>
      </c>
      <c r="G261" s="6">
        <v>0.0</v>
      </c>
      <c r="H261" s="6">
        <v>-0.03</v>
      </c>
      <c r="I261" s="6">
        <v>33.35</v>
      </c>
      <c r="J261" s="7">
        <f t="shared" ref="J261:O261" si="524">abs(C261-C260)/200</f>
        <v>0.00145</v>
      </c>
      <c r="K261" s="7">
        <f t="shared" si="524"/>
        <v>0.00295</v>
      </c>
      <c r="L261" s="7">
        <f t="shared" si="524"/>
        <v>0.00065</v>
      </c>
      <c r="M261" s="7">
        <f t="shared" si="524"/>
        <v>0.0001</v>
      </c>
      <c r="N261" s="7">
        <f t="shared" si="524"/>
        <v>0.00015</v>
      </c>
      <c r="O261" s="7">
        <f t="shared" si="524"/>
        <v>0.0001</v>
      </c>
      <c r="P261" s="7">
        <f t="shared" si="9"/>
        <v>0.008917644661</v>
      </c>
      <c r="Q261" s="7">
        <f t="shared" si="10"/>
        <v>0.04521835328</v>
      </c>
      <c r="R261" s="7">
        <f t="shared" si="3"/>
        <v>1.044542406</v>
      </c>
      <c r="S261" s="7">
        <f t="shared" si="4"/>
        <v>0.1334166406</v>
      </c>
      <c r="T261" s="7">
        <f t="shared" si="5"/>
        <v>1</v>
      </c>
      <c r="U261" s="7">
        <f t="shared" si="6"/>
        <v>0</v>
      </c>
      <c r="V261" s="7">
        <f t="shared" ref="V261:W261" si="525">IF(AVERAGE(T201:T260) &gt; 0.25, 1, 0)</f>
        <v>1</v>
      </c>
      <c r="W261" s="7">
        <f t="shared" si="525"/>
        <v>1</v>
      </c>
      <c r="X261" s="8">
        <v>1.0</v>
      </c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ht="22.5" customHeight="1">
      <c r="A262" s="6">
        <v>1461.0</v>
      </c>
      <c r="B262" s="6">
        <v>55115.0</v>
      </c>
      <c r="C262" s="6">
        <v>2.52</v>
      </c>
      <c r="D262" s="6">
        <v>-0.37</v>
      </c>
      <c r="E262" s="6">
        <v>10.48</v>
      </c>
      <c r="F262" s="6">
        <v>-0.03</v>
      </c>
      <c r="G262" s="6">
        <v>0.03</v>
      </c>
      <c r="H262" s="6">
        <v>-0.05</v>
      </c>
      <c r="I262" s="6">
        <v>33.33</v>
      </c>
      <c r="J262" s="7">
        <f t="shared" ref="J262:O262" si="526">abs(C262-C261)/200</f>
        <v>0.00115</v>
      </c>
      <c r="K262" s="7">
        <f t="shared" si="526"/>
        <v>0.00185</v>
      </c>
      <c r="L262" s="7">
        <f t="shared" si="526"/>
        <v>0.0006</v>
      </c>
      <c r="M262" s="7">
        <f t="shared" si="526"/>
        <v>0.0005</v>
      </c>
      <c r="N262" s="7">
        <f t="shared" si="526"/>
        <v>0.00015</v>
      </c>
      <c r="O262" s="7">
        <f t="shared" si="526"/>
        <v>0.0001</v>
      </c>
      <c r="P262" s="7">
        <f t="shared" si="9"/>
        <v>0.0678422554</v>
      </c>
      <c r="Q262" s="7">
        <f t="shared" si="10"/>
        <v>0.05947402441</v>
      </c>
      <c r="R262" s="7">
        <f t="shared" si="3"/>
        <v>0.9850683818</v>
      </c>
      <c r="S262" s="7">
        <f t="shared" si="4"/>
        <v>0.06557438524</v>
      </c>
      <c r="T262" s="7">
        <f t="shared" si="5"/>
        <v>1</v>
      </c>
      <c r="U262" s="7">
        <f t="shared" si="6"/>
        <v>1</v>
      </c>
      <c r="V262" s="7">
        <f t="shared" ref="V262:W262" si="527">IF(AVERAGE(T202:T261) &gt; 0.25, 1, 0)</f>
        <v>1</v>
      </c>
      <c r="W262" s="7">
        <f t="shared" si="527"/>
        <v>1</v>
      </c>
      <c r="X262" s="8">
        <v>1.0</v>
      </c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ht="22.5" customHeight="1">
      <c r="A263" s="6">
        <v>1462.0</v>
      </c>
      <c r="B263" s="6">
        <v>55319.0</v>
      </c>
      <c r="C263" s="6">
        <v>2.41</v>
      </c>
      <c r="D263" s="6">
        <v>-0.52</v>
      </c>
      <c r="E263" s="6">
        <v>10.27</v>
      </c>
      <c r="F263" s="6">
        <v>-0.08</v>
      </c>
      <c r="G263" s="6">
        <v>-0.14</v>
      </c>
      <c r="H263" s="6">
        <v>0.28</v>
      </c>
      <c r="I263" s="6">
        <v>33.34</v>
      </c>
      <c r="J263" s="7">
        <f t="shared" ref="J263:O263" si="528">abs(C263-C262)/200</f>
        <v>0.00055</v>
      </c>
      <c r="K263" s="7">
        <f t="shared" si="528"/>
        <v>0.00075</v>
      </c>
      <c r="L263" s="7">
        <f t="shared" si="528"/>
        <v>0.00105</v>
      </c>
      <c r="M263" s="7">
        <f t="shared" si="528"/>
        <v>0.00025</v>
      </c>
      <c r="N263" s="7">
        <f t="shared" si="528"/>
        <v>0.00085</v>
      </c>
      <c r="O263" s="7">
        <f t="shared" si="528"/>
        <v>0.00165</v>
      </c>
      <c r="P263" s="7">
        <f t="shared" si="9"/>
        <v>0.2575355032</v>
      </c>
      <c r="Q263" s="7">
        <f t="shared" si="10"/>
        <v>0.2232787607</v>
      </c>
      <c r="R263" s="7">
        <f t="shared" si="3"/>
        <v>0.7617896211</v>
      </c>
      <c r="S263" s="7">
        <f t="shared" si="4"/>
        <v>0.3231098884</v>
      </c>
      <c r="T263" s="7">
        <f t="shared" si="5"/>
        <v>1</v>
      </c>
      <c r="U263" s="7">
        <f t="shared" si="6"/>
        <v>1</v>
      </c>
      <c r="V263" s="7">
        <f t="shared" ref="V263:W263" si="529">IF(AVERAGE(T203:T262) &gt; 0.25, 1, 0)</f>
        <v>1</v>
      </c>
      <c r="W263" s="7">
        <f t="shared" si="529"/>
        <v>1</v>
      </c>
      <c r="X263" s="8">
        <v>1.0</v>
      </c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ht="22.5" customHeight="1">
      <c r="A264" s="6">
        <v>1463.0</v>
      </c>
      <c r="B264" s="6">
        <v>55523.0</v>
      </c>
      <c r="C264" s="6">
        <v>2.76</v>
      </c>
      <c r="D264" s="6">
        <v>-0.6</v>
      </c>
      <c r="E264" s="6">
        <v>10.64</v>
      </c>
      <c r="F264" s="6">
        <v>-0.02</v>
      </c>
      <c r="G264" s="6">
        <v>0.04</v>
      </c>
      <c r="H264" s="6">
        <v>0.11</v>
      </c>
      <c r="I264" s="6">
        <v>33.34</v>
      </c>
      <c r="J264" s="7">
        <f t="shared" ref="J264:O264" si="530">abs(C264-C263)/200</f>
        <v>0.00175</v>
      </c>
      <c r="K264" s="7">
        <f t="shared" si="530"/>
        <v>0.0004</v>
      </c>
      <c r="L264" s="7">
        <f t="shared" si="530"/>
        <v>0.00185</v>
      </c>
      <c r="M264" s="7">
        <f t="shared" si="530"/>
        <v>0.0003</v>
      </c>
      <c r="N264" s="7">
        <f t="shared" si="530"/>
        <v>0.0009</v>
      </c>
      <c r="O264" s="7">
        <f t="shared" si="530"/>
        <v>0.00085</v>
      </c>
      <c r="P264" s="7">
        <f t="shared" si="9"/>
        <v>0.2043664676</v>
      </c>
      <c r="Q264" s="7">
        <f t="shared" si="10"/>
        <v>0.4467161813</v>
      </c>
      <c r="R264" s="7">
        <f t="shared" si="3"/>
        <v>1.208505802</v>
      </c>
      <c r="S264" s="7">
        <f t="shared" si="4"/>
        <v>0.1187434209</v>
      </c>
      <c r="T264" s="7">
        <f t="shared" si="5"/>
        <v>1</v>
      </c>
      <c r="U264" s="7">
        <f t="shared" si="6"/>
        <v>1</v>
      </c>
      <c r="V264" s="7">
        <f t="shared" ref="V264:W264" si="531">IF(AVERAGE(T204:T263) &gt; 0.25, 1, 0)</f>
        <v>1</v>
      </c>
      <c r="W264" s="7">
        <f t="shared" si="531"/>
        <v>1</v>
      </c>
      <c r="X264" s="8">
        <v>1.0</v>
      </c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ht="22.5" customHeight="1">
      <c r="A265" s="6">
        <v>1464.0</v>
      </c>
      <c r="B265" s="6">
        <v>55727.0</v>
      </c>
      <c r="C265" s="6">
        <v>2.72</v>
      </c>
      <c r="D265" s="6">
        <v>-0.8</v>
      </c>
      <c r="E265" s="6">
        <v>10.47</v>
      </c>
      <c r="F265" s="6">
        <v>-0.07</v>
      </c>
      <c r="G265" s="6">
        <v>0.0</v>
      </c>
      <c r="H265" s="6">
        <v>0.06</v>
      </c>
      <c r="I265" s="6">
        <v>33.34</v>
      </c>
      <c r="J265" s="7">
        <f t="shared" ref="J265:O265" si="532">abs(C265-C264)/200</f>
        <v>0.0002</v>
      </c>
      <c r="K265" s="7">
        <f t="shared" si="532"/>
        <v>0.001</v>
      </c>
      <c r="L265" s="7">
        <f t="shared" si="532"/>
        <v>0.00085</v>
      </c>
      <c r="M265" s="7">
        <f t="shared" si="532"/>
        <v>0.00025</v>
      </c>
      <c r="N265" s="7">
        <f t="shared" si="532"/>
        <v>0.0002</v>
      </c>
      <c r="O265" s="7">
        <f t="shared" si="532"/>
        <v>0.00025</v>
      </c>
      <c r="P265" s="7">
        <f t="shared" si="9"/>
        <v>0.0265479763</v>
      </c>
      <c r="Q265" s="7">
        <f t="shared" si="10"/>
        <v>0.1614186357</v>
      </c>
      <c r="R265" s="7">
        <f t="shared" si="3"/>
        <v>1.047087167</v>
      </c>
      <c r="S265" s="7">
        <f t="shared" si="4"/>
        <v>0.09219544457</v>
      </c>
      <c r="T265" s="7">
        <f t="shared" si="5"/>
        <v>1</v>
      </c>
      <c r="U265" s="7">
        <f t="shared" si="6"/>
        <v>0</v>
      </c>
      <c r="V265" s="7">
        <f t="shared" ref="V265:W265" si="533">IF(AVERAGE(T205:T264) &gt; 0.25, 1, 0)</f>
        <v>1</v>
      </c>
      <c r="W265" s="7">
        <f t="shared" si="533"/>
        <v>1</v>
      </c>
      <c r="X265" s="8">
        <v>1.0</v>
      </c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ht="22.5" customHeight="1">
      <c r="A266" s="6">
        <v>1465.0</v>
      </c>
      <c r="B266" s="6">
        <v>55931.0</v>
      </c>
      <c r="C266" s="6">
        <v>2.49</v>
      </c>
      <c r="D266" s="6">
        <v>-0.65</v>
      </c>
      <c r="E266" s="6">
        <v>10.47</v>
      </c>
      <c r="F266" s="6">
        <v>-0.13</v>
      </c>
      <c r="G266" s="6">
        <v>-0.02</v>
      </c>
      <c r="H266" s="6">
        <v>0.0</v>
      </c>
      <c r="I266" s="6">
        <v>33.34</v>
      </c>
      <c r="J266" s="7">
        <f t="shared" ref="J266:O266" si="534">abs(C266-C265)/200</f>
        <v>0.00115</v>
      </c>
      <c r="K266" s="7">
        <f t="shared" si="534"/>
        <v>0.00075</v>
      </c>
      <c r="L266" s="7">
        <f t="shared" si="534"/>
        <v>0</v>
      </c>
      <c r="M266" s="7">
        <f t="shared" si="534"/>
        <v>0.0003</v>
      </c>
      <c r="N266" s="7">
        <f t="shared" si="534"/>
        <v>0.0001</v>
      </c>
      <c r="O266" s="7">
        <f t="shared" si="534"/>
        <v>0.0003</v>
      </c>
      <c r="P266" s="7">
        <f t="shared" si="9"/>
        <v>0.03933401981</v>
      </c>
      <c r="Q266" s="7">
        <f t="shared" si="10"/>
        <v>0.06545927468</v>
      </c>
      <c r="R266" s="7">
        <f t="shared" si="3"/>
        <v>0.9816278919</v>
      </c>
      <c r="S266" s="7">
        <f t="shared" si="4"/>
        <v>0.1315294644</v>
      </c>
      <c r="T266" s="7">
        <f t="shared" si="5"/>
        <v>1</v>
      </c>
      <c r="U266" s="7">
        <f t="shared" si="6"/>
        <v>0</v>
      </c>
      <c r="V266" s="7">
        <f t="shared" ref="V266:W266" si="535">IF(AVERAGE(T206:T265) &gt; 0.25, 1, 0)</f>
        <v>1</v>
      </c>
      <c r="W266" s="7">
        <f t="shared" si="535"/>
        <v>1</v>
      </c>
      <c r="X266" s="8">
        <v>1.0</v>
      </c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ht="22.5" customHeight="1">
      <c r="A267" s="6">
        <v>1466.0</v>
      </c>
      <c r="B267" s="6">
        <v>56135.0</v>
      </c>
      <c r="C267" s="6">
        <v>2.51</v>
      </c>
      <c r="D267" s="6">
        <v>-0.79</v>
      </c>
      <c r="E267" s="6">
        <v>10.49</v>
      </c>
      <c r="F267" s="6">
        <v>-0.09</v>
      </c>
      <c r="G267" s="6">
        <v>0.0</v>
      </c>
      <c r="H267" s="6">
        <v>-0.08</v>
      </c>
      <c r="I267" s="6">
        <v>33.34</v>
      </c>
      <c r="J267" s="7">
        <f t="shared" ref="J267:O267" si="536">abs(C267-C266)/200</f>
        <v>0.0001</v>
      </c>
      <c r="K267" s="7">
        <f t="shared" si="536"/>
        <v>0.0007</v>
      </c>
      <c r="L267" s="7">
        <f t="shared" si="536"/>
        <v>0.0001</v>
      </c>
      <c r="M267" s="7">
        <f t="shared" si="536"/>
        <v>0.0002</v>
      </c>
      <c r="N267" s="7">
        <f t="shared" si="536"/>
        <v>0.0001</v>
      </c>
      <c r="O267" s="7">
        <f t="shared" si="536"/>
        <v>0.0004</v>
      </c>
      <c r="P267" s="7">
        <f t="shared" si="9"/>
        <v>0.01111351859</v>
      </c>
      <c r="Q267" s="7">
        <f t="shared" si="10"/>
        <v>0.03337557548</v>
      </c>
      <c r="R267" s="7">
        <f t="shared" si="3"/>
        <v>1.015003467</v>
      </c>
      <c r="S267" s="7">
        <f t="shared" si="4"/>
        <v>0.1204159458</v>
      </c>
      <c r="T267" s="7">
        <f t="shared" si="5"/>
        <v>1</v>
      </c>
      <c r="U267" s="7">
        <f t="shared" si="6"/>
        <v>1</v>
      </c>
      <c r="V267" s="7">
        <f t="shared" ref="V267:W267" si="537">IF(AVERAGE(T207:T266) &gt; 0.25, 1, 0)</f>
        <v>1</v>
      </c>
      <c r="W267" s="7">
        <f t="shared" si="537"/>
        <v>1</v>
      </c>
      <c r="X267" s="8">
        <v>1.0</v>
      </c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ht="22.5" customHeight="1">
      <c r="A268" s="6">
        <v>1467.0</v>
      </c>
      <c r="B268" s="6">
        <v>56339.0</v>
      </c>
      <c r="C268" s="6">
        <v>2.63</v>
      </c>
      <c r="D268" s="6">
        <v>-0.58</v>
      </c>
      <c r="E268" s="6">
        <v>10.4</v>
      </c>
      <c r="F268" s="6">
        <v>-0.11</v>
      </c>
      <c r="G268" s="6">
        <v>-0.06</v>
      </c>
      <c r="H268" s="6">
        <v>-0.09</v>
      </c>
      <c r="I268" s="6">
        <v>33.35</v>
      </c>
      <c r="J268" s="7">
        <f t="shared" ref="J268:O268" si="538">abs(C268-C267)/200</f>
        <v>0.0006</v>
      </c>
      <c r="K268" s="7">
        <f t="shared" si="538"/>
        <v>0.00105</v>
      </c>
      <c r="L268" s="7">
        <f t="shared" si="538"/>
        <v>0.00045</v>
      </c>
      <c r="M268" s="7">
        <f t="shared" si="538"/>
        <v>0.0001</v>
      </c>
      <c r="N268" s="7">
        <f t="shared" si="538"/>
        <v>0.0003</v>
      </c>
      <c r="O268" s="7">
        <f t="shared" si="538"/>
        <v>0.00005</v>
      </c>
      <c r="P268" s="7">
        <f t="shared" si="9"/>
        <v>0.03385654042</v>
      </c>
      <c r="Q268" s="7">
        <f t="shared" si="10"/>
        <v>0.0719452436</v>
      </c>
      <c r="R268" s="7">
        <f t="shared" si="3"/>
        <v>0.9430582238</v>
      </c>
      <c r="S268" s="7">
        <f t="shared" si="4"/>
        <v>0.1542724862</v>
      </c>
      <c r="T268" s="7">
        <f t="shared" si="5"/>
        <v>1</v>
      </c>
      <c r="U268" s="7">
        <f t="shared" si="6"/>
        <v>0</v>
      </c>
      <c r="V268" s="7">
        <f t="shared" ref="V268:W268" si="539">IF(AVERAGE(T208:T267) &gt; 0.25, 1, 0)</f>
        <v>1</v>
      </c>
      <c r="W268" s="7">
        <f t="shared" si="539"/>
        <v>1</v>
      </c>
      <c r="X268" s="8">
        <v>1.0</v>
      </c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ht="22.5" customHeight="1">
      <c r="A269" s="6">
        <v>1468.0</v>
      </c>
      <c r="B269" s="6">
        <v>56543.0</v>
      </c>
      <c r="C269" s="6">
        <v>2.64</v>
      </c>
      <c r="D269" s="6">
        <v>-0.37</v>
      </c>
      <c r="E269" s="6">
        <v>10.49</v>
      </c>
      <c r="F269" s="6">
        <v>-0.12</v>
      </c>
      <c r="G269" s="6">
        <v>-0.06</v>
      </c>
      <c r="H269" s="6">
        <v>-0.03</v>
      </c>
      <c r="I269" s="6">
        <v>33.34</v>
      </c>
      <c r="J269" s="7">
        <f t="shared" ref="J269:O269" si="540">abs(C269-C268)/200</f>
        <v>0.00005</v>
      </c>
      <c r="K269" s="7">
        <f t="shared" si="540"/>
        <v>0.00105</v>
      </c>
      <c r="L269" s="7">
        <f t="shared" si="540"/>
        <v>0.00045</v>
      </c>
      <c r="M269" s="7">
        <f t="shared" si="540"/>
        <v>0.00005</v>
      </c>
      <c r="N269" s="7">
        <f t="shared" si="540"/>
        <v>0</v>
      </c>
      <c r="O269" s="7">
        <f t="shared" si="540"/>
        <v>0.0003</v>
      </c>
      <c r="P269" s="7">
        <f t="shared" si="9"/>
        <v>0.01679521536</v>
      </c>
      <c r="Q269" s="7">
        <f t="shared" si="10"/>
        <v>0.08037006856</v>
      </c>
      <c r="R269" s="7">
        <f t="shared" si="3"/>
        <v>1.023428292</v>
      </c>
      <c r="S269" s="7">
        <f t="shared" si="4"/>
        <v>0.1374772708</v>
      </c>
      <c r="T269" s="7">
        <f t="shared" si="5"/>
        <v>1</v>
      </c>
      <c r="U269" s="7">
        <f t="shared" si="6"/>
        <v>0</v>
      </c>
      <c r="V269" s="7">
        <f t="shared" ref="V269:W269" si="541">IF(AVERAGE(T209:T268) &gt; 0.25, 1, 0)</f>
        <v>1</v>
      </c>
      <c r="W269" s="7">
        <f t="shared" si="541"/>
        <v>1</v>
      </c>
      <c r="X269" s="8">
        <v>1.0</v>
      </c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ht="22.5" customHeight="1">
      <c r="A270" s="6">
        <v>1469.0</v>
      </c>
      <c r="B270" s="6">
        <v>56747.0</v>
      </c>
      <c r="C270" s="6">
        <v>2.79</v>
      </c>
      <c r="D270" s="6">
        <v>-0.45</v>
      </c>
      <c r="E270" s="6">
        <v>10.32</v>
      </c>
      <c r="F270" s="6">
        <v>-0.17</v>
      </c>
      <c r="G270" s="6">
        <v>-0.09</v>
      </c>
      <c r="H270" s="6">
        <v>-0.05</v>
      </c>
      <c r="I270" s="6">
        <v>33.34</v>
      </c>
      <c r="J270" s="7">
        <f t="shared" ref="J270:O270" si="542">abs(C270-C269)/200</f>
        <v>0.00075</v>
      </c>
      <c r="K270" s="7">
        <f t="shared" si="542"/>
        <v>0.0004</v>
      </c>
      <c r="L270" s="7">
        <f t="shared" si="542"/>
        <v>0.00085</v>
      </c>
      <c r="M270" s="7">
        <f t="shared" si="542"/>
        <v>0.00025</v>
      </c>
      <c r="N270" s="7">
        <f t="shared" si="542"/>
        <v>0.00015</v>
      </c>
      <c r="O270" s="7">
        <f t="shared" si="542"/>
        <v>0.0001</v>
      </c>
      <c r="P270" s="7">
        <f t="shared" si="9"/>
        <v>0.06126879829</v>
      </c>
      <c r="Q270" s="7">
        <f t="shared" si="10"/>
        <v>0.1234750214</v>
      </c>
      <c r="R270" s="7">
        <f t="shared" si="3"/>
        <v>0.8999532709</v>
      </c>
      <c r="S270" s="7">
        <f t="shared" si="4"/>
        <v>0.1987460691</v>
      </c>
      <c r="T270" s="7">
        <f t="shared" si="5"/>
        <v>1</v>
      </c>
      <c r="U270" s="7">
        <f t="shared" si="6"/>
        <v>0</v>
      </c>
      <c r="V270" s="7">
        <f t="shared" ref="V270:W270" si="543">IF(AVERAGE(T210:T269) &gt; 0.25, 1, 0)</f>
        <v>1</v>
      </c>
      <c r="W270" s="7">
        <f t="shared" si="543"/>
        <v>1</v>
      </c>
      <c r="X270" s="8">
        <v>1.0</v>
      </c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ht="22.5" customHeight="1">
      <c r="A271" s="6">
        <v>1470.0</v>
      </c>
      <c r="B271" s="6">
        <v>56951.0</v>
      </c>
      <c r="C271" s="6">
        <v>2.59</v>
      </c>
      <c r="D271" s="6">
        <v>-0.11</v>
      </c>
      <c r="E271" s="6">
        <v>10.54</v>
      </c>
      <c r="F271" s="6">
        <v>-0.03</v>
      </c>
      <c r="G271" s="6">
        <v>0.07</v>
      </c>
      <c r="H271" s="6">
        <v>0.05</v>
      </c>
      <c r="I271" s="6">
        <v>33.34</v>
      </c>
      <c r="J271" s="7">
        <f t="shared" ref="J271:O271" si="544">abs(C271-C270)/200</f>
        <v>0.001</v>
      </c>
      <c r="K271" s="7">
        <f t="shared" si="544"/>
        <v>0.0017</v>
      </c>
      <c r="L271" s="7">
        <f t="shared" si="544"/>
        <v>0.0011</v>
      </c>
      <c r="M271" s="7">
        <f t="shared" si="544"/>
        <v>0.0007</v>
      </c>
      <c r="N271" s="7">
        <f t="shared" si="544"/>
        <v>0.0008</v>
      </c>
      <c r="O271" s="7">
        <f t="shared" si="544"/>
        <v>0.0005</v>
      </c>
      <c r="P271" s="7">
        <f t="shared" si="9"/>
        <v>0.1076417334</v>
      </c>
      <c r="Q271" s="7">
        <f t="shared" si="10"/>
        <v>0.1541611563</v>
      </c>
      <c r="R271" s="7">
        <f t="shared" si="3"/>
        <v>1.054114427</v>
      </c>
      <c r="S271" s="7">
        <f t="shared" si="4"/>
        <v>0.09110433579</v>
      </c>
      <c r="T271" s="7">
        <f t="shared" si="5"/>
        <v>1</v>
      </c>
      <c r="U271" s="7">
        <f t="shared" si="6"/>
        <v>1</v>
      </c>
      <c r="V271" s="7">
        <f t="shared" ref="V271:W271" si="545">IF(AVERAGE(T211:T270) &gt; 0.25, 1, 0)</f>
        <v>1</v>
      </c>
      <c r="W271" s="7">
        <f t="shared" si="545"/>
        <v>1</v>
      </c>
      <c r="X271" s="8">
        <v>1.0</v>
      </c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ht="22.5" customHeight="1">
      <c r="A272" s="6">
        <v>1471.0</v>
      </c>
      <c r="B272" s="6">
        <v>57155.0</v>
      </c>
      <c r="C272" s="6">
        <v>2.45</v>
      </c>
      <c r="D272" s="6">
        <v>-0.54</v>
      </c>
      <c r="E272" s="6">
        <v>10.39</v>
      </c>
      <c r="F272" s="6">
        <v>-0.1</v>
      </c>
      <c r="G272" s="6">
        <v>0.02</v>
      </c>
      <c r="H272" s="6">
        <v>0.22</v>
      </c>
      <c r="I272" s="6">
        <v>33.34</v>
      </c>
      <c r="J272" s="7">
        <f t="shared" ref="J272:O272" si="546">abs(C272-C271)/200</f>
        <v>0.0007</v>
      </c>
      <c r="K272" s="7">
        <f t="shared" si="546"/>
        <v>0.00215</v>
      </c>
      <c r="L272" s="7">
        <f t="shared" si="546"/>
        <v>0.00075</v>
      </c>
      <c r="M272" s="7">
        <f t="shared" si="546"/>
        <v>0.00035</v>
      </c>
      <c r="N272" s="7">
        <f t="shared" si="546"/>
        <v>0.00025</v>
      </c>
      <c r="O272" s="7">
        <f t="shared" si="546"/>
        <v>0.00085</v>
      </c>
      <c r="P272" s="7">
        <f t="shared" si="9"/>
        <v>0.1513827773</v>
      </c>
      <c r="Q272" s="7">
        <f t="shared" si="10"/>
        <v>0.165513022</v>
      </c>
      <c r="R272" s="7">
        <f t="shared" si="3"/>
        <v>0.8886014052</v>
      </c>
      <c r="S272" s="7">
        <f t="shared" si="4"/>
        <v>0.2424871131</v>
      </c>
      <c r="T272" s="7">
        <f t="shared" si="5"/>
        <v>1</v>
      </c>
      <c r="U272" s="7">
        <f t="shared" si="6"/>
        <v>1</v>
      </c>
      <c r="V272" s="7">
        <f t="shared" ref="V272:W272" si="547">IF(AVERAGE(T212:T271) &gt; 0.25, 1, 0)</f>
        <v>1</v>
      </c>
      <c r="W272" s="7">
        <f t="shared" si="547"/>
        <v>1</v>
      </c>
      <c r="X272" s="8">
        <v>1.0</v>
      </c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ht="22.5" customHeight="1">
      <c r="A273" s="6">
        <v>1472.0</v>
      </c>
      <c r="B273" s="6">
        <v>57359.0</v>
      </c>
      <c r="C273" s="6">
        <v>2.68</v>
      </c>
      <c r="D273" s="6">
        <v>-0.83</v>
      </c>
      <c r="E273" s="6">
        <v>10.46</v>
      </c>
      <c r="F273" s="6">
        <v>-0.04</v>
      </c>
      <c r="G273" s="6">
        <v>0.04</v>
      </c>
      <c r="H273" s="6">
        <v>0.11</v>
      </c>
      <c r="I273" s="6">
        <v>33.34</v>
      </c>
      <c r="J273" s="7">
        <f t="shared" ref="J273:O273" si="548">abs(C273-C272)/200</f>
        <v>0.00115</v>
      </c>
      <c r="K273" s="7">
        <f t="shared" si="548"/>
        <v>0.00145</v>
      </c>
      <c r="L273" s="7">
        <f t="shared" si="548"/>
        <v>0.00035</v>
      </c>
      <c r="M273" s="7">
        <f t="shared" si="548"/>
        <v>0.0003</v>
      </c>
      <c r="N273" s="7">
        <f t="shared" si="548"/>
        <v>0.0001</v>
      </c>
      <c r="O273" s="7">
        <f t="shared" si="548"/>
        <v>0.00055</v>
      </c>
      <c r="P273" s="7">
        <f t="shared" si="9"/>
        <v>0.1187939443</v>
      </c>
      <c r="Q273" s="7">
        <f t="shared" si="10"/>
        <v>0.1411215829</v>
      </c>
      <c r="R273" s="7">
        <f t="shared" si="3"/>
        <v>1.029722988</v>
      </c>
      <c r="S273" s="7">
        <f t="shared" si="4"/>
        <v>0.1236931688</v>
      </c>
      <c r="T273" s="7">
        <f t="shared" si="5"/>
        <v>1</v>
      </c>
      <c r="U273" s="7">
        <f t="shared" si="6"/>
        <v>1</v>
      </c>
      <c r="V273" s="7">
        <f t="shared" ref="V273:W273" si="549">IF(AVERAGE(T213:T272) &gt; 0.25, 1, 0)</f>
        <v>1</v>
      </c>
      <c r="W273" s="7">
        <f t="shared" si="549"/>
        <v>1</v>
      </c>
      <c r="X273" s="8">
        <v>1.0</v>
      </c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ht="22.5" customHeight="1">
      <c r="A274" s="6">
        <v>1473.0</v>
      </c>
      <c r="B274" s="6">
        <v>57563.0</v>
      </c>
      <c r="C274" s="6">
        <v>3.22</v>
      </c>
      <c r="D274" s="6">
        <v>-1.29</v>
      </c>
      <c r="E274" s="6">
        <v>10.22</v>
      </c>
      <c r="F274" s="6">
        <v>-0.01</v>
      </c>
      <c r="G274" s="6">
        <v>0.06</v>
      </c>
      <c r="H274" s="6">
        <v>0.05</v>
      </c>
      <c r="I274" s="6">
        <v>33.34</v>
      </c>
      <c r="J274" s="7">
        <f t="shared" ref="J274:O274" si="550">abs(C274-C273)/200</f>
        <v>0.0027</v>
      </c>
      <c r="K274" s="7">
        <f t="shared" si="550"/>
        <v>0.0023</v>
      </c>
      <c r="L274" s="7">
        <f t="shared" si="550"/>
        <v>0.0012</v>
      </c>
      <c r="M274" s="7">
        <f t="shared" si="550"/>
        <v>0.00015</v>
      </c>
      <c r="N274" s="7">
        <f t="shared" si="550"/>
        <v>0.0001</v>
      </c>
      <c r="O274" s="7">
        <f t="shared" si="550"/>
        <v>0.0003</v>
      </c>
      <c r="P274" s="7">
        <f t="shared" si="9"/>
        <v>0.04495309003</v>
      </c>
      <c r="Q274" s="7">
        <f t="shared" si="10"/>
        <v>0.03709124237</v>
      </c>
      <c r="R274" s="7">
        <f t="shared" si="3"/>
        <v>0.9926317458</v>
      </c>
      <c r="S274" s="7">
        <f t="shared" si="4"/>
        <v>0.07874007874</v>
      </c>
      <c r="T274" s="7">
        <f t="shared" si="5"/>
        <v>1</v>
      </c>
      <c r="U274" s="7">
        <f t="shared" si="6"/>
        <v>0</v>
      </c>
      <c r="V274" s="7">
        <f t="shared" ref="V274:W274" si="551">IF(AVERAGE(T214:T273) &gt; 0.25, 1, 0)</f>
        <v>1</v>
      </c>
      <c r="W274" s="7">
        <f t="shared" si="551"/>
        <v>1</v>
      </c>
      <c r="X274" s="8">
        <v>1.0</v>
      </c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ht="22.5" customHeight="1">
      <c r="A275" s="6">
        <v>1474.0</v>
      </c>
      <c r="B275" s="6">
        <v>57767.0</v>
      </c>
      <c r="C275" s="6">
        <v>2.46</v>
      </c>
      <c r="D275" s="6">
        <v>-0.89</v>
      </c>
      <c r="E275" s="6">
        <v>10.44</v>
      </c>
      <c r="F275" s="6">
        <v>-0.14</v>
      </c>
      <c r="G275" s="6">
        <v>-0.01</v>
      </c>
      <c r="H275" s="6">
        <v>0.01</v>
      </c>
      <c r="I275" s="6">
        <v>33.34</v>
      </c>
      <c r="J275" s="7">
        <f t="shared" ref="J275:O275" si="552">abs(C275-C274)/200</f>
        <v>0.0038</v>
      </c>
      <c r="K275" s="7">
        <f t="shared" si="552"/>
        <v>0.002</v>
      </c>
      <c r="L275" s="7">
        <f t="shared" si="552"/>
        <v>0.0011</v>
      </c>
      <c r="M275" s="7">
        <f t="shared" si="552"/>
        <v>0.00065</v>
      </c>
      <c r="N275" s="7">
        <f t="shared" si="552"/>
        <v>0.00035</v>
      </c>
      <c r="O275" s="7">
        <f t="shared" si="552"/>
        <v>0.0002</v>
      </c>
      <c r="P275" s="7">
        <f t="shared" si="9"/>
        <v>0.06197239405</v>
      </c>
      <c r="Q275" s="7">
        <f t="shared" si="10"/>
        <v>0.02985793974</v>
      </c>
      <c r="R275" s="7">
        <f t="shared" si="3"/>
        <v>0.962773806</v>
      </c>
      <c r="S275" s="7">
        <f t="shared" si="4"/>
        <v>0.1407124728</v>
      </c>
      <c r="T275" s="7">
        <f t="shared" si="5"/>
        <v>1</v>
      </c>
      <c r="U275" s="7">
        <f t="shared" si="6"/>
        <v>1</v>
      </c>
      <c r="V275" s="7">
        <f t="shared" ref="V275:W275" si="553">IF(AVERAGE(T215:T274) &gt; 0.25, 1, 0)</f>
        <v>1</v>
      </c>
      <c r="W275" s="7">
        <f t="shared" si="553"/>
        <v>1</v>
      </c>
      <c r="X275" s="8">
        <v>1.0</v>
      </c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ht="22.5" customHeight="1">
      <c r="A276" s="6">
        <v>1475.0</v>
      </c>
      <c r="B276" s="6">
        <v>57971.0</v>
      </c>
      <c r="C276" s="6">
        <v>2.48</v>
      </c>
      <c r="D276" s="6">
        <v>-0.69</v>
      </c>
      <c r="E276" s="6">
        <v>10.46</v>
      </c>
      <c r="F276" s="6">
        <v>-0.1</v>
      </c>
      <c r="G276" s="6">
        <v>-0.04</v>
      </c>
      <c r="H276" s="6">
        <v>-0.05</v>
      </c>
      <c r="I276" s="6">
        <v>33.34</v>
      </c>
      <c r="J276" s="7">
        <f t="shared" ref="J276:O276" si="554">abs(C276-C275)/200</f>
        <v>0.0001</v>
      </c>
      <c r="K276" s="7">
        <f t="shared" si="554"/>
        <v>0.001</v>
      </c>
      <c r="L276" s="7">
        <f t="shared" si="554"/>
        <v>0.0001</v>
      </c>
      <c r="M276" s="7">
        <f t="shared" si="554"/>
        <v>0.0002</v>
      </c>
      <c r="N276" s="7">
        <f t="shared" si="554"/>
        <v>0.00015</v>
      </c>
      <c r="O276" s="7">
        <f t="shared" si="554"/>
        <v>0.0003</v>
      </c>
      <c r="P276" s="7">
        <f t="shared" si="9"/>
        <v>0.02196905192</v>
      </c>
      <c r="Q276" s="7">
        <f t="shared" si="10"/>
        <v>0.009324411113</v>
      </c>
      <c r="R276" s="7">
        <f t="shared" si="3"/>
        <v>0.9720982172</v>
      </c>
      <c r="S276" s="7">
        <f t="shared" si="4"/>
        <v>0.1187434209</v>
      </c>
      <c r="T276" s="7">
        <f t="shared" si="5"/>
        <v>1</v>
      </c>
      <c r="U276" s="7">
        <f t="shared" si="6"/>
        <v>0</v>
      </c>
      <c r="V276" s="7">
        <f t="shared" ref="V276:W276" si="555">IF(AVERAGE(T216:T275) &gt; 0.25, 1, 0)</f>
        <v>1</v>
      </c>
      <c r="W276" s="7">
        <f t="shared" si="555"/>
        <v>1</v>
      </c>
      <c r="X276" s="8">
        <v>1.0</v>
      </c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ht="22.5" customHeight="1">
      <c r="A277" s="6">
        <v>1476.0</v>
      </c>
      <c r="B277" s="6">
        <v>58175.0</v>
      </c>
      <c r="C277" s="6">
        <v>2.56</v>
      </c>
      <c r="D277" s="6">
        <v>-0.54</v>
      </c>
      <c r="E277" s="6">
        <v>10.47</v>
      </c>
      <c r="F277" s="6">
        <v>-0.12</v>
      </c>
      <c r="G277" s="6">
        <v>-0.01</v>
      </c>
      <c r="H277" s="6">
        <v>-0.07</v>
      </c>
      <c r="I277" s="6">
        <v>33.34</v>
      </c>
      <c r="J277" s="7">
        <f t="shared" ref="J277:O277" si="556">abs(C277-C276)/200</f>
        <v>0.0004</v>
      </c>
      <c r="K277" s="7">
        <f t="shared" si="556"/>
        <v>0.00075</v>
      </c>
      <c r="L277" s="7">
        <f t="shared" si="556"/>
        <v>0.00005</v>
      </c>
      <c r="M277" s="7">
        <f t="shared" si="556"/>
        <v>0.0001</v>
      </c>
      <c r="N277" s="7">
        <f t="shared" si="556"/>
        <v>0.00015</v>
      </c>
      <c r="O277" s="7">
        <f t="shared" si="556"/>
        <v>0.0001</v>
      </c>
      <c r="P277" s="7">
        <f t="shared" si="9"/>
        <v>0.0205404619</v>
      </c>
      <c r="Q277" s="7">
        <f t="shared" si="10"/>
        <v>0.01984785388</v>
      </c>
      <c r="R277" s="7">
        <f t="shared" si="3"/>
        <v>0.991946071</v>
      </c>
      <c r="S277" s="7">
        <f t="shared" si="4"/>
        <v>0.1392838828</v>
      </c>
      <c r="T277" s="7">
        <f t="shared" si="5"/>
        <v>1</v>
      </c>
      <c r="U277" s="7">
        <f t="shared" si="6"/>
        <v>0</v>
      </c>
      <c r="V277" s="7">
        <f t="shared" ref="V277:W277" si="557">IF(AVERAGE(T217:T276) &gt; 0.25, 1, 0)</f>
        <v>1</v>
      </c>
      <c r="W277" s="7">
        <f t="shared" si="557"/>
        <v>1</v>
      </c>
      <c r="X277" s="8">
        <v>1.0</v>
      </c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ht="22.5" customHeight="1">
      <c r="A278" s="6">
        <v>1477.0</v>
      </c>
      <c r="B278" s="6">
        <v>58379.0</v>
      </c>
      <c r="C278" s="6">
        <v>2.52</v>
      </c>
      <c r="D278" s="6">
        <v>-0.44</v>
      </c>
      <c r="E278" s="6">
        <v>10.47</v>
      </c>
      <c r="F278" s="6">
        <v>-0.12</v>
      </c>
      <c r="G278" s="6">
        <v>-0.02</v>
      </c>
      <c r="H278" s="6">
        <v>-0.06</v>
      </c>
      <c r="I278" s="6">
        <v>33.35</v>
      </c>
      <c r="J278" s="7">
        <f t="shared" ref="J278:O278" si="558">abs(C278-C277)/200</f>
        <v>0.0002</v>
      </c>
      <c r="K278" s="7">
        <f t="shared" si="558"/>
        <v>0.0005</v>
      </c>
      <c r="L278" s="7">
        <f t="shared" si="558"/>
        <v>0</v>
      </c>
      <c r="M278" s="7">
        <f t="shared" si="558"/>
        <v>0</v>
      </c>
      <c r="N278" s="7">
        <f t="shared" si="558"/>
        <v>0.00005</v>
      </c>
      <c r="O278" s="7">
        <f t="shared" si="558"/>
        <v>0.00005</v>
      </c>
      <c r="P278" s="7">
        <f t="shared" si="9"/>
        <v>0.003637283109</v>
      </c>
      <c r="Q278" s="7">
        <f t="shared" si="10"/>
        <v>0.01396388511</v>
      </c>
      <c r="R278" s="7">
        <f t="shared" si="3"/>
        <v>0.9779821859</v>
      </c>
      <c r="S278" s="7">
        <f t="shared" si="4"/>
        <v>0.1356465997</v>
      </c>
      <c r="T278" s="7">
        <f t="shared" si="5"/>
        <v>1</v>
      </c>
      <c r="U278" s="7">
        <f t="shared" si="6"/>
        <v>0</v>
      </c>
      <c r="V278" s="7">
        <f t="shared" ref="V278:W278" si="559">IF(AVERAGE(T218:T277) &gt; 0.25, 1, 0)</f>
        <v>1</v>
      </c>
      <c r="W278" s="7">
        <f t="shared" si="559"/>
        <v>1</v>
      </c>
      <c r="X278" s="8">
        <v>1.0</v>
      </c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ht="22.5" customHeight="1">
      <c r="A279" s="6">
        <v>1478.0</v>
      </c>
      <c r="B279" s="6">
        <v>58583.0</v>
      </c>
      <c r="C279" s="6">
        <v>2.39</v>
      </c>
      <c r="D279" s="6">
        <v>-0.28</v>
      </c>
      <c r="E279" s="6">
        <v>10.51</v>
      </c>
      <c r="F279" s="6">
        <v>-0.13</v>
      </c>
      <c r="G279" s="6">
        <v>-0.03</v>
      </c>
      <c r="H279" s="6">
        <v>-0.09</v>
      </c>
      <c r="I279" s="6">
        <v>33.34</v>
      </c>
      <c r="J279" s="7">
        <f t="shared" ref="J279:O279" si="560">abs(C279-C278)/200</f>
        <v>0.00065</v>
      </c>
      <c r="K279" s="7">
        <f t="shared" si="560"/>
        <v>0.0008</v>
      </c>
      <c r="L279" s="7">
        <f t="shared" si="560"/>
        <v>0.0002</v>
      </c>
      <c r="M279" s="7">
        <f t="shared" si="560"/>
        <v>0.00005</v>
      </c>
      <c r="N279" s="7">
        <f t="shared" si="560"/>
        <v>0.00005</v>
      </c>
      <c r="O279" s="7">
        <f t="shared" si="560"/>
        <v>0.00015</v>
      </c>
      <c r="P279" s="7">
        <f t="shared" si="9"/>
        <v>0.02528816973</v>
      </c>
      <c r="Q279" s="7">
        <f t="shared" si="10"/>
        <v>0.003974964802</v>
      </c>
      <c r="R279" s="7">
        <f t="shared" si="3"/>
        <v>0.9819571507</v>
      </c>
      <c r="S279" s="7">
        <f t="shared" si="4"/>
        <v>0.1609347694</v>
      </c>
      <c r="T279" s="7">
        <f t="shared" si="5"/>
        <v>1</v>
      </c>
      <c r="U279" s="7">
        <f t="shared" si="6"/>
        <v>0</v>
      </c>
      <c r="V279" s="7">
        <f t="shared" ref="V279:W279" si="561">IF(AVERAGE(T219:T278) &gt; 0.25, 1, 0)</f>
        <v>1</v>
      </c>
      <c r="W279" s="7">
        <f t="shared" si="561"/>
        <v>1</v>
      </c>
      <c r="X279" s="8">
        <v>1.0</v>
      </c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ht="22.5" customHeight="1">
      <c r="A280" s="6">
        <v>1479.0</v>
      </c>
      <c r="B280" s="6">
        <v>58787.0</v>
      </c>
      <c r="C280" s="6">
        <v>2.55</v>
      </c>
      <c r="D280" s="6">
        <v>-0.5</v>
      </c>
      <c r="E280" s="6">
        <v>10.42</v>
      </c>
      <c r="F280" s="6">
        <v>-0.14</v>
      </c>
      <c r="G280" s="6">
        <v>0.05</v>
      </c>
      <c r="H280" s="6">
        <v>-0.11</v>
      </c>
      <c r="I280" s="6">
        <v>33.34</v>
      </c>
      <c r="J280" s="7">
        <f t="shared" ref="J280:O280" si="562">abs(C280-C279)/200</f>
        <v>0.0008</v>
      </c>
      <c r="K280" s="7">
        <f t="shared" si="562"/>
        <v>0.0011</v>
      </c>
      <c r="L280" s="7">
        <f t="shared" si="562"/>
        <v>0.00045</v>
      </c>
      <c r="M280" s="7">
        <f t="shared" si="562"/>
        <v>0.00005</v>
      </c>
      <c r="N280" s="7">
        <f t="shared" si="562"/>
        <v>0.0004</v>
      </c>
      <c r="O280" s="7">
        <f t="shared" si="562"/>
        <v>0.0001</v>
      </c>
      <c r="P280" s="7">
        <f t="shared" si="9"/>
        <v>0.02399765069</v>
      </c>
      <c r="Q280" s="7">
        <f t="shared" si="10"/>
        <v>0.04282776329</v>
      </c>
      <c r="R280" s="7">
        <f t="shared" si="3"/>
        <v>0.9391293874</v>
      </c>
      <c r="S280" s="7">
        <f t="shared" si="4"/>
        <v>0.1849324201</v>
      </c>
      <c r="T280" s="7">
        <f t="shared" si="5"/>
        <v>1</v>
      </c>
      <c r="U280" s="7">
        <f t="shared" si="6"/>
        <v>1</v>
      </c>
      <c r="V280" s="7">
        <f t="shared" ref="V280:W280" si="563">IF(AVERAGE(T220:T279) &gt; 0.25, 1, 0)</f>
        <v>1</v>
      </c>
      <c r="W280" s="7">
        <f t="shared" si="563"/>
        <v>1</v>
      </c>
      <c r="X280" s="8">
        <v>1.0</v>
      </c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ht="22.5" customHeight="1">
      <c r="A281" s="6">
        <v>1480.0</v>
      </c>
      <c r="B281" s="6">
        <v>58991.0</v>
      </c>
      <c r="C281" s="6">
        <v>2.41</v>
      </c>
      <c r="D281" s="6">
        <v>-0.63</v>
      </c>
      <c r="E281" s="6">
        <v>10.48</v>
      </c>
      <c r="F281" s="6">
        <v>-0.07</v>
      </c>
      <c r="G281" s="6">
        <v>0.02</v>
      </c>
      <c r="H281" s="6">
        <v>0.08</v>
      </c>
      <c r="I281" s="6">
        <v>33.35</v>
      </c>
      <c r="J281" s="7">
        <f t="shared" ref="J281:O281" si="564">abs(C281-C280)/200</f>
        <v>0.0007</v>
      </c>
      <c r="K281" s="7">
        <f t="shared" si="564"/>
        <v>0.00065</v>
      </c>
      <c r="L281" s="7">
        <f t="shared" si="564"/>
        <v>0.0003</v>
      </c>
      <c r="M281" s="7">
        <f t="shared" si="564"/>
        <v>0.00035</v>
      </c>
      <c r="N281" s="7">
        <f t="shared" si="564"/>
        <v>0.00015</v>
      </c>
      <c r="O281" s="7">
        <f t="shared" si="564"/>
        <v>0.00095</v>
      </c>
      <c r="P281" s="7">
        <f t="shared" si="9"/>
        <v>0.07676588183</v>
      </c>
      <c r="Q281" s="7">
        <f t="shared" si="10"/>
        <v>0.03284350522</v>
      </c>
      <c r="R281" s="7">
        <f t="shared" si="3"/>
        <v>0.9719728927</v>
      </c>
      <c r="S281" s="7">
        <f t="shared" si="4"/>
        <v>0.1081665383</v>
      </c>
      <c r="T281" s="7">
        <f t="shared" si="5"/>
        <v>1</v>
      </c>
      <c r="U281" s="7">
        <f t="shared" si="6"/>
        <v>1</v>
      </c>
      <c r="V281" s="7">
        <f t="shared" ref="V281:W281" si="565">IF(AVERAGE(T221:T280) &gt; 0.25, 1, 0)</f>
        <v>1</v>
      </c>
      <c r="W281" s="7">
        <f t="shared" si="565"/>
        <v>1</v>
      </c>
      <c r="X281" s="8">
        <v>1.0</v>
      </c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ht="22.5" customHeight="1">
      <c r="A282" s="6">
        <v>1481.0</v>
      </c>
      <c r="B282" s="6">
        <v>59195.0</v>
      </c>
      <c r="C282" s="6">
        <v>2.37</v>
      </c>
      <c r="D282" s="6">
        <v>-0.68</v>
      </c>
      <c r="E282" s="6">
        <v>10.52</v>
      </c>
      <c r="F282" s="6">
        <v>-0.09</v>
      </c>
      <c r="G282" s="6">
        <v>0.02</v>
      </c>
      <c r="H282" s="6">
        <v>0.1</v>
      </c>
      <c r="I282" s="6">
        <v>33.34</v>
      </c>
      <c r="J282" s="7">
        <f t="shared" ref="J282:O282" si="566">abs(C282-C281)/200</f>
        <v>0.0002</v>
      </c>
      <c r="K282" s="7">
        <f t="shared" si="566"/>
        <v>0.00025</v>
      </c>
      <c r="L282" s="7">
        <f t="shared" si="566"/>
        <v>0.0002</v>
      </c>
      <c r="M282" s="7">
        <f t="shared" si="566"/>
        <v>0.0001</v>
      </c>
      <c r="N282" s="7">
        <f t="shared" si="566"/>
        <v>0</v>
      </c>
      <c r="O282" s="7">
        <f t="shared" si="566"/>
        <v>0.0001</v>
      </c>
      <c r="P282" s="7">
        <f t="shared" si="9"/>
        <v>0.02784816682</v>
      </c>
      <c r="Q282" s="7">
        <f t="shared" si="10"/>
        <v>0.03310461748</v>
      </c>
      <c r="R282" s="7">
        <f t="shared" si="3"/>
        <v>1.00507751</v>
      </c>
      <c r="S282" s="7">
        <f t="shared" si="4"/>
        <v>0.1360147051</v>
      </c>
      <c r="T282" s="7">
        <f t="shared" si="5"/>
        <v>0</v>
      </c>
      <c r="U282" s="7">
        <f t="shared" si="6"/>
        <v>0</v>
      </c>
      <c r="V282" s="7">
        <f t="shared" ref="V282:W282" si="567">IF(AVERAGE(T222:T281) &gt; 0.25, 1, 0)</f>
        <v>1</v>
      </c>
      <c r="W282" s="7">
        <f t="shared" si="567"/>
        <v>1</v>
      </c>
      <c r="X282" s="8">
        <v>1.0</v>
      </c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ht="22.5" customHeight="1">
      <c r="A283" s="6">
        <v>1482.0</v>
      </c>
      <c r="B283" s="6">
        <v>59399.0</v>
      </c>
      <c r="C283" s="6">
        <v>2.43</v>
      </c>
      <c r="D283" s="6">
        <v>-0.77</v>
      </c>
      <c r="E283" s="6">
        <v>10.47</v>
      </c>
      <c r="F283" s="6">
        <v>-0.05</v>
      </c>
      <c r="G283" s="6">
        <v>0.04</v>
      </c>
      <c r="H283" s="6">
        <v>-0.01</v>
      </c>
      <c r="I283" s="6">
        <v>33.35</v>
      </c>
      <c r="J283" s="7">
        <f t="shared" ref="J283:O283" si="568">abs(C283-C282)/200</f>
        <v>0.0003</v>
      </c>
      <c r="K283" s="7">
        <f t="shared" si="568"/>
        <v>0.00045</v>
      </c>
      <c r="L283" s="7">
        <f t="shared" si="568"/>
        <v>0.00025</v>
      </c>
      <c r="M283" s="7">
        <f t="shared" si="568"/>
        <v>0.0002</v>
      </c>
      <c r="N283" s="7">
        <f t="shared" si="568"/>
        <v>0.0001</v>
      </c>
      <c r="O283" s="7">
        <f t="shared" si="568"/>
        <v>0.00055</v>
      </c>
      <c r="P283" s="7">
        <f t="shared" si="9"/>
        <v>0.0712072981</v>
      </c>
      <c r="Q283" s="7">
        <f t="shared" si="10"/>
        <v>0.02923879568</v>
      </c>
      <c r="R283" s="7">
        <f t="shared" si="3"/>
        <v>0.9758387145</v>
      </c>
      <c r="S283" s="7">
        <f t="shared" si="4"/>
        <v>0.06480740698</v>
      </c>
      <c r="T283" s="7">
        <f t="shared" si="5"/>
        <v>1</v>
      </c>
      <c r="U283" s="7">
        <f t="shared" si="6"/>
        <v>1</v>
      </c>
      <c r="V283" s="7">
        <f t="shared" ref="V283:W283" si="569">IF(AVERAGE(T223:T282) &gt; 0.25, 1, 0)</f>
        <v>1</v>
      </c>
      <c r="W283" s="7">
        <f t="shared" si="569"/>
        <v>1</v>
      </c>
      <c r="X283" s="8">
        <v>1.0</v>
      </c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ht="22.5" customHeight="1">
      <c r="A284" s="6">
        <v>1483.0</v>
      </c>
      <c r="B284" s="6">
        <v>59603.0</v>
      </c>
      <c r="C284" s="6">
        <v>2.7</v>
      </c>
      <c r="D284" s="6">
        <v>-1.01</v>
      </c>
      <c r="E284" s="6">
        <v>10.48</v>
      </c>
      <c r="F284" s="6">
        <v>-0.03</v>
      </c>
      <c r="G284" s="6">
        <v>0.03</v>
      </c>
      <c r="H284" s="6">
        <v>0.06</v>
      </c>
      <c r="I284" s="6">
        <v>33.35</v>
      </c>
      <c r="J284" s="7">
        <f t="shared" ref="J284:O284" si="570">abs(C284-C283)/200</f>
        <v>0.00135</v>
      </c>
      <c r="K284" s="7">
        <f t="shared" si="570"/>
        <v>0.0012</v>
      </c>
      <c r="L284" s="7">
        <f t="shared" si="570"/>
        <v>0.00005</v>
      </c>
      <c r="M284" s="7">
        <f t="shared" si="570"/>
        <v>0.0001</v>
      </c>
      <c r="N284" s="7">
        <f t="shared" si="570"/>
        <v>0.00005</v>
      </c>
      <c r="O284" s="7">
        <f t="shared" si="570"/>
        <v>0.00035</v>
      </c>
      <c r="P284" s="7">
        <f t="shared" si="9"/>
        <v>0.008677285299</v>
      </c>
      <c r="Q284" s="7">
        <f t="shared" si="10"/>
        <v>0.09340688954</v>
      </c>
      <c r="R284" s="7">
        <f t="shared" si="3"/>
        <v>1.069245604</v>
      </c>
      <c r="S284" s="7">
        <f t="shared" si="4"/>
        <v>0.07348469228</v>
      </c>
      <c r="T284" s="7">
        <f t="shared" si="5"/>
        <v>1</v>
      </c>
      <c r="U284" s="7">
        <f t="shared" si="6"/>
        <v>1</v>
      </c>
      <c r="V284" s="7">
        <f t="shared" ref="V284:W284" si="571">IF(AVERAGE(T224:T283) &gt; 0.25, 1, 0)</f>
        <v>1</v>
      </c>
      <c r="W284" s="7">
        <f t="shared" si="571"/>
        <v>1</v>
      </c>
      <c r="X284" s="8">
        <v>1.0</v>
      </c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ht="22.5" customHeight="1">
      <c r="A285" s="6">
        <v>1484.0</v>
      </c>
      <c r="B285" s="6">
        <v>59807.0</v>
      </c>
      <c r="C285" s="6">
        <v>2.37</v>
      </c>
      <c r="D285" s="6">
        <v>-0.98</v>
      </c>
      <c r="E285" s="6">
        <v>10.43</v>
      </c>
      <c r="F285" s="6">
        <v>-0.13</v>
      </c>
      <c r="G285" s="6">
        <v>0.0</v>
      </c>
      <c r="H285" s="6">
        <v>0.03</v>
      </c>
      <c r="I285" s="6">
        <v>33.35</v>
      </c>
      <c r="J285" s="7">
        <f t="shared" ref="J285:O285" si="572">abs(C285-C284)/200</f>
        <v>0.00165</v>
      </c>
      <c r="K285" s="7">
        <f t="shared" si="572"/>
        <v>0.00015</v>
      </c>
      <c r="L285" s="7">
        <f t="shared" si="572"/>
        <v>0.00025</v>
      </c>
      <c r="M285" s="7">
        <f t="shared" si="572"/>
        <v>0.0005</v>
      </c>
      <c r="N285" s="7">
        <f t="shared" si="572"/>
        <v>0.00015</v>
      </c>
      <c r="O285" s="7">
        <f t="shared" si="572"/>
        <v>0.00015</v>
      </c>
      <c r="P285" s="7">
        <f t="shared" si="9"/>
        <v>0.05993194836</v>
      </c>
      <c r="Q285" s="7">
        <f t="shared" si="10"/>
        <v>0.1285659235</v>
      </c>
      <c r="R285" s="7">
        <f t="shared" si="3"/>
        <v>0.9406796805</v>
      </c>
      <c r="S285" s="7">
        <f t="shared" si="4"/>
        <v>0.1334166406</v>
      </c>
      <c r="T285" s="7">
        <f t="shared" si="5"/>
        <v>1</v>
      </c>
      <c r="U285" s="7">
        <f t="shared" si="6"/>
        <v>1</v>
      </c>
      <c r="V285" s="7">
        <f t="shared" ref="V285:W285" si="573">IF(AVERAGE(T225:T284) &gt; 0.25, 1, 0)</f>
        <v>1</v>
      </c>
      <c r="W285" s="7">
        <f t="shared" si="573"/>
        <v>1</v>
      </c>
      <c r="X285" s="8">
        <v>1.0</v>
      </c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ht="22.5" customHeight="1">
      <c r="A286" s="6">
        <v>1485.0</v>
      </c>
      <c r="B286" s="6">
        <v>60011.0</v>
      </c>
      <c r="C286" s="6">
        <v>2.37</v>
      </c>
      <c r="D286" s="6">
        <v>-0.73</v>
      </c>
      <c r="E286" s="6">
        <v>10.55</v>
      </c>
      <c r="F286" s="6">
        <v>-0.07</v>
      </c>
      <c r="G286" s="6">
        <v>-0.01</v>
      </c>
      <c r="H286" s="6">
        <v>0.02</v>
      </c>
      <c r="I286" s="6">
        <v>33.35</v>
      </c>
      <c r="J286" s="7">
        <f t="shared" ref="J286:O286" si="574">abs(C286-C285)/200</f>
        <v>0</v>
      </c>
      <c r="K286" s="7">
        <f t="shared" si="574"/>
        <v>0.00125</v>
      </c>
      <c r="L286" s="7">
        <f t="shared" si="574"/>
        <v>0.0006</v>
      </c>
      <c r="M286" s="7">
        <f t="shared" si="574"/>
        <v>0.0003</v>
      </c>
      <c r="N286" s="7">
        <f t="shared" si="574"/>
        <v>0.00005</v>
      </c>
      <c r="O286" s="7">
        <f t="shared" si="574"/>
        <v>0.00005</v>
      </c>
      <c r="P286" s="7">
        <f t="shared" si="9"/>
        <v>0.05993194836</v>
      </c>
      <c r="Q286" s="7">
        <f t="shared" si="10"/>
        <v>0.09686155352</v>
      </c>
      <c r="R286" s="7">
        <f t="shared" si="3"/>
        <v>1.037541234</v>
      </c>
      <c r="S286" s="7">
        <f t="shared" si="4"/>
        <v>0.07348469228</v>
      </c>
      <c r="T286" s="7">
        <f t="shared" si="5"/>
        <v>1</v>
      </c>
      <c r="U286" s="7">
        <f t="shared" si="6"/>
        <v>0</v>
      </c>
      <c r="V286" s="7">
        <f t="shared" ref="V286:W286" si="575">IF(AVERAGE(T226:T285) &gt; 0.25, 1, 0)</f>
        <v>1</v>
      </c>
      <c r="W286" s="7">
        <f t="shared" si="575"/>
        <v>1</v>
      </c>
      <c r="X286" s="8">
        <v>1.0</v>
      </c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ht="22.5" customHeight="1">
      <c r="A287" s="6">
        <v>1486.0</v>
      </c>
      <c r="B287" s="6">
        <v>60215.0</v>
      </c>
      <c r="C287" s="6">
        <v>2.28</v>
      </c>
      <c r="D287" s="6">
        <v>-0.58</v>
      </c>
      <c r="E287" s="6">
        <v>10.51</v>
      </c>
      <c r="F287" s="6">
        <v>-0.1</v>
      </c>
      <c r="G287" s="6">
        <v>-0.04</v>
      </c>
      <c r="H287" s="6">
        <v>0.0</v>
      </c>
      <c r="I287" s="6">
        <v>33.35</v>
      </c>
      <c r="J287" s="7">
        <f t="shared" ref="J287:O287" si="576">abs(C287-C286)/200</f>
        <v>0.00045</v>
      </c>
      <c r="K287" s="7">
        <f t="shared" si="576"/>
        <v>0.00075</v>
      </c>
      <c r="L287" s="7">
        <f t="shared" si="576"/>
        <v>0.0002</v>
      </c>
      <c r="M287" s="7">
        <f t="shared" si="576"/>
        <v>0.00015</v>
      </c>
      <c r="N287" s="7">
        <f t="shared" si="576"/>
        <v>0.00015</v>
      </c>
      <c r="O287" s="7">
        <f t="shared" si="576"/>
        <v>0.0001</v>
      </c>
      <c r="P287" s="7">
        <f t="shared" si="9"/>
        <v>0.03421860386</v>
      </c>
      <c r="Q287" s="7">
        <f t="shared" si="10"/>
        <v>0.06744838395</v>
      </c>
      <c r="R287" s="7">
        <f t="shared" si="3"/>
        <v>0.9700928501</v>
      </c>
      <c r="S287" s="7">
        <f t="shared" si="4"/>
        <v>0.1077032961</v>
      </c>
      <c r="T287" s="7">
        <f t="shared" si="5"/>
        <v>1</v>
      </c>
      <c r="U287" s="7">
        <f t="shared" si="6"/>
        <v>0</v>
      </c>
      <c r="V287" s="7">
        <f t="shared" ref="V287:W287" si="577">IF(AVERAGE(T227:T286) &gt; 0.25, 1, 0)</f>
        <v>1</v>
      </c>
      <c r="W287" s="7">
        <f t="shared" si="577"/>
        <v>1</v>
      </c>
      <c r="X287" s="8">
        <v>1.0</v>
      </c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ht="22.5" customHeight="1">
      <c r="A288" s="6">
        <v>1487.0</v>
      </c>
      <c r="B288" s="6">
        <v>60419.0</v>
      </c>
      <c r="C288" s="6">
        <v>2.35</v>
      </c>
      <c r="D288" s="6">
        <v>-0.64</v>
      </c>
      <c r="E288" s="6">
        <v>10.49</v>
      </c>
      <c r="F288" s="6">
        <v>-0.14</v>
      </c>
      <c r="G288" s="6">
        <v>-0.01</v>
      </c>
      <c r="H288" s="6">
        <v>-0.08</v>
      </c>
      <c r="I288" s="6">
        <v>33.35</v>
      </c>
      <c r="J288" s="7">
        <f t="shared" ref="J288:O288" si="578">abs(C288-C287)/200</f>
        <v>0.00035</v>
      </c>
      <c r="K288" s="7">
        <f t="shared" si="578"/>
        <v>0.0003</v>
      </c>
      <c r="L288" s="7">
        <f t="shared" si="578"/>
        <v>0.0001</v>
      </c>
      <c r="M288" s="7">
        <f t="shared" si="578"/>
        <v>0.0002</v>
      </c>
      <c r="N288" s="7">
        <f t="shared" si="578"/>
        <v>0.00015</v>
      </c>
      <c r="O288" s="7">
        <f t="shared" si="578"/>
        <v>0.0004</v>
      </c>
      <c r="P288" s="7">
        <f t="shared" si="9"/>
        <v>0.05385164807</v>
      </c>
      <c r="Q288" s="7">
        <f t="shared" si="10"/>
        <v>0.001053895775</v>
      </c>
      <c r="R288" s="7">
        <f t="shared" si="3"/>
        <v>0.9690389543</v>
      </c>
      <c r="S288" s="7">
        <f t="shared" si="4"/>
        <v>0.1615549442</v>
      </c>
      <c r="T288" s="7">
        <f t="shared" si="5"/>
        <v>1</v>
      </c>
      <c r="U288" s="7">
        <f t="shared" si="6"/>
        <v>1</v>
      </c>
      <c r="V288" s="7">
        <f t="shared" ref="V288:W288" si="579">IF(AVERAGE(T228:T287) &gt; 0.25, 1, 0)</f>
        <v>1</v>
      </c>
      <c r="W288" s="7">
        <f t="shared" si="579"/>
        <v>1</v>
      </c>
      <c r="X288" s="8">
        <v>1.0</v>
      </c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ht="22.5" customHeight="1">
      <c r="A289" s="6">
        <v>1488.0</v>
      </c>
      <c r="B289" s="6">
        <v>60623.0</v>
      </c>
      <c r="C289" s="6">
        <v>2.45</v>
      </c>
      <c r="D289" s="6">
        <v>-0.59</v>
      </c>
      <c r="E289" s="6">
        <v>10.5</v>
      </c>
      <c r="F289" s="6">
        <v>-0.2</v>
      </c>
      <c r="G289" s="6">
        <v>0.06</v>
      </c>
      <c r="H289" s="6">
        <v>-0.39</v>
      </c>
      <c r="I289" s="6">
        <v>33.36</v>
      </c>
      <c r="J289" s="7">
        <f t="shared" ref="J289:O289" si="580">abs(C289-C288)/200</f>
        <v>0.0005</v>
      </c>
      <c r="K289" s="7">
        <f t="shared" si="580"/>
        <v>0.00025</v>
      </c>
      <c r="L289" s="7">
        <f t="shared" si="580"/>
        <v>0.00005</v>
      </c>
      <c r="M289" s="7">
        <f t="shared" si="580"/>
        <v>0.0003</v>
      </c>
      <c r="N289" s="7">
        <f t="shared" si="580"/>
        <v>0.00035</v>
      </c>
      <c r="O289" s="7">
        <f t="shared" si="580"/>
        <v>0.00155</v>
      </c>
      <c r="P289" s="7">
        <f t="shared" si="9"/>
        <v>0.280824983</v>
      </c>
      <c r="Q289" s="7">
        <f t="shared" si="10"/>
        <v>0.02913681753</v>
      </c>
      <c r="R289" s="7">
        <f t="shared" si="3"/>
        <v>0.9981757719</v>
      </c>
      <c r="S289" s="7">
        <f t="shared" si="4"/>
        <v>0.4423799272</v>
      </c>
      <c r="T289" s="7">
        <f t="shared" si="5"/>
        <v>1</v>
      </c>
      <c r="U289" s="7">
        <f t="shared" si="6"/>
        <v>1</v>
      </c>
      <c r="V289" s="7">
        <f t="shared" ref="V289:W289" si="581">IF(AVERAGE(T229:T288) &gt; 0.25, 1, 0)</f>
        <v>1</v>
      </c>
      <c r="W289" s="7">
        <f t="shared" si="581"/>
        <v>1</v>
      </c>
      <c r="X289" s="8">
        <v>1.0</v>
      </c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ht="22.5" customHeight="1">
      <c r="A290" s="6">
        <v>1489.0</v>
      </c>
      <c r="B290" s="6">
        <v>60827.0</v>
      </c>
      <c r="C290" s="6">
        <v>2.62</v>
      </c>
      <c r="D290" s="6">
        <v>-0.69</v>
      </c>
      <c r="E290" s="6">
        <v>10.42</v>
      </c>
      <c r="F290" s="6">
        <v>-0.11</v>
      </c>
      <c r="G290" s="6">
        <v>0.02</v>
      </c>
      <c r="H290" s="6">
        <v>-0.17</v>
      </c>
      <c r="I290" s="6">
        <v>33.36</v>
      </c>
      <c r="J290" s="7">
        <f t="shared" ref="J290:O290" si="582">abs(C290-C289)/200</f>
        <v>0.00085</v>
      </c>
      <c r="K290" s="7">
        <f t="shared" si="582"/>
        <v>0.0005</v>
      </c>
      <c r="L290" s="7">
        <f t="shared" si="582"/>
        <v>0.0004</v>
      </c>
      <c r="M290" s="7">
        <f t="shared" si="582"/>
        <v>0.00045</v>
      </c>
      <c r="N290" s="7">
        <f t="shared" si="582"/>
        <v>0.0002</v>
      </c>
      <c r="O290" s="7">
        <f t="shared" si="582"/>
        <v>0.0011</v>
      </c>
      <c r="P290" s="7">
        <f t="shared" si="9"/>
        <v>0.2389100277</v>
      </c>
      <c r="Q290" s="7">
        <f t="shared" si="10"/>
        <v>0.03170466941</v>
      </c>
      <c r="R290" s="7">
        <f t="shared" si="3"/>
        <v>0.9664711025</v>
      </c>
      <c r="S290" s="7">
        <f t="shared" si="4"/>
        <v>0.2034698995</v>
      </c>
      <c r="T290" s="7">
        <f t="shared" si="5"/>
        <v>1</v>
      </c>
      <c r="U290" s="7">
        <f t="shared" si="6"/>
        <v>1</v>
      </c>
      <c r="V290" s="7">
        <f t="shared" ref="V290:W290" si="583">IF(AVERAGE(T230:T289) &gt; 0.25, 1, 0)</f>
        <v>1</v>
      </c>
      <c r="W290" s="7">
        <f t="shared" si="583"/>
        <v>1</v>
      </c>
      <c r="X290" s="8">
        <v>1.0</v>
      </c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ht="22.5" customHeight="1">
      <c r="A291" s="6">
        <v>1490.0</v>
      </c>
      <c r="B291" s="6">
        <v>61031.0</v>
      </c>
      <c r="C291" s="6">
        <v>2.48</v>
      </c>
      <c r="D291" s="6">
        <v>-0.54</v>
      </c>
      <c r="E291" s="6">
        <v>10.49</v>
      </c>
      <c r="F291" s="6">
        <v>-0.11</v>
      </c>
      <c r="G291" s="6">
        <v>-0.01</v>
      </c>
      <c r="H291" s="6">
        <v>-0.26</v>
      </c>
      <c r="I291" s="6">
        <v>33.36</v>
      </c>
      <c r="J291" s="7">
        <f t="shared" ref="J291:O291" si="584">abs(C291-C290)/200</f>
        <v>0.0007</v>
      </c>
      <c r="K291" s="7">
        <f t="shared" si="584"/>
        <v>0.00075</v>
      </c>
      <c r="L291" s="7">
        <f t="shared" si="584"/>
        <v>0.00035</v>
      </c>
      <c r="M291" s="7">
        <f t="shared" si="584"/>
        <v>0</v>
      </c>
      <c r="N291" s="7">
        <f t="shared" si="584"/>
        <v>0.00015</v>
      </c>
      <c r="O291" s="7">
        <f t="shared" si="584"/>
        <v>0.00045</v>
      </c>
      <c r="P291" s="7">
        <f t="shared" si="9"/>
        <v>0.07901903834</v>
      </c>
      <c r="Q291" s="7">
        <f t="shared" si="10"/>
        <v>0.02621623666</v>
      </c>
      <c r="R291" s="7">
        <f t="shared" si="3"/>
        <v>0.9926873391</v>
      </c>
      <c r="S291" s="7">
        <f t="shared" si="4"/>
        <v>0.2824889378</v>
      </c>
      <c r="T291" s="7">
        <f t="shared" si="5"/>
        <v>1</v>
      </c>
      <c r="U291" s="7">
        <f t="shared" si="6"/>
        <v>1</v>
      </c>
      <c r="V291" s="7">
        <f t="shared" ref="V291:W291" si="585">IF(AVERAGE(T231:T290) &gt; 0.25, 1, 0)</f>
        <v>1</v>
      </c>
      <c r="W291" s="7">
        <f t="shared" si="585"/>
        <v>1</v>
      </c>
      <c r="X291" s="8">
        <v>1.0</v>
      </c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ht="22.5" customHeight="1">
      <c r="A292" s="6">
        <v>1491.0</v>
      </c>
      <c r="B292" s="6">
        <v>61235.0</v>
      </c>
      <c r="C292" s="6">
        <v>2.43</v>
      </c>
      <c r="D292" s="6">
        <v>-0.38</v>
      </c>
      <c r="E292" s="6">
        <v>10.46</v>
      </c>
      <c r="F292" s="6">
        <v>-0.14</v>
      </c>
      <c r="G292" s="6">
        <v>-0.01</v>
      </c>
      <c r="H292" s="6">
        <v>-0.27</v>
      </c>
      <c r="I292" s="6">
        <v>33.36</v>
      </c>
      <c r="J292" s="7">
        <f t="shared" ref="J292:O292" si="586">abs(C292-C291)/200</f>
        <v>0.00025</v>
      </c>
      <c r="K292" s="7">
        <f t="shared" si="586"/>
        <v>0.0008</v>
      </c>
      <c r="L292" s="7">
        <f t="shared" si="586"/>
        <v>0.00015</v>
      </c>
      <c r="M292" s="7">
        <f t="shared" si="586"/>
        <v>0.00015</v>
      </c>
      <c r="N292" s="7">
        <f t="shared" si="586"/>
        <v>0</v>
      </c>
      <c r="O292" s="7">
        <f t="shared" si="586"/>
        <v>0.00005</v>
      </c>
      <c r="P292" s="7">
        <f t="shared" si="9"/>
        <v>0.02181354326</v>
      </c>
      <c r="Q292" s="7">
        <f t="shared" si="10"/>
        <v>0.04741395963</v>
      </c>
      <c r="R292" s="7">
        <f t="shared" si="3"/>
        <v>0.9452733795</v>
      </c>
      <c r="S292" s="7">
        <f t="shared" si="4"/>
        <v>0.3043024811</v>
      </c>
      <c r="T292" s="7">
        <f t="shared" si="5"/>
        <v>1</v>
      </c>
      <c r="U292" s="7">
        <f t="shared" si="6"/>
        <v>0</v>
      </c>
      <c r="V292" s="7">
        <f t="shared" ref="V292:W292" si="587">IF(AVERAGE(T232:T291) &gt; 0.25, 1, 0)</f>
        <v>1</v>
      </c>
      <c r="W292" s="7">
        <f t="shared" si="587"/>
        <v>1</v>
      </c>
      <c r="X292" s="8">
        <v>1.0</v>
      </c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ht="22.5" customHeight="1">
      <c r="A293" s="6">
        <v>1492.0</v>
      </c>
      <c r="B293" s="6">
        <v>61439.0</v>
      </c>
      <c r="C293" s="6">
        <v>2.41</v>
      </c>
      <c r="D293" s="6">
        <v>-0.34</v>
      </c>
      <c r="E293" s="6">
        <v>10.52</v>
      </c>
      <c r="F293" s="6">
        <v>-0.09</v>
      </c>
      <c r="G293" s="6">
        <v>-0.01</v>
      </c>
      <c r="H293" s="6">
        <v>-0.13</v>
      </c>
      <c r="I293" s="6">
        <v>33.36</v>
      </c>
      <c r="J293" s="7">
        <f t="shared" ref="J293:O293" si="588">abs(C293-C292)/200</f>
        <v>0.0001</v>
      </c>
      <c r="K293" s="7">
        <f t="shared" si="588"/>
        <v>0.0002</v>
      </c>
      <c r="L293" s="7">
        <f t="shared" si="588"/>
        <v>0.0003</v>
      </c>
      <c r="M293" s="7">
        <f t="shared" si="588"/>
        <v>0.00025</v>
      </c>
      <c r="N293" s="7">
        <f t="shared" si="588"/>
        <v>0</v>
      </c>
      <c r="O293" s="7">
        <f t="shared" si="588"/>
        <v>0.0007</v>
      </c>
      <c r="P293" s="7">
        <f t="shared" si="9"/>
        <v>0.1458726859</v>
      </c>
      <c r="Q293" s="7">
        <f t="shared" si="10"/>
        <v>0.05260141141</v>
      </c>
      <c r="R293" s="7">
        <f t="shared" si="3"/>
        <v>0.9978747909</v>
      </c>
      <c r="S293" s="7">
        <f t="shared" si="4"/>
        <v>0.1584297952</v>
      </c>
      <c r="T293" s="7">
        <f t="shared" si="5"/>
        <v>0</v>
      </c>
      <c r="U293" s="7">
        <f t="shared" si="6"/>
        <v>1</v>
      </c>
      <c r="V293" s="7">
        <f t="shared" ref="V293:W293" si="589">IF(AVERAGE(T233:T292) &gt; 0.25, 1, 0)</f>
        <v>1</v>
      </c>
      <c r="W293" s="7">
        <f t="shared" si="589"/>
        <v>1</v>
      </c>
      <c r="X293" s="8">
        <v>1.0</v>
      </c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ht="22.5" customHeight="1">
      <c r="A294" s="6">
        <v>1493.0</v>
      </c>
      <c r="B294" s="6">
        <v>61643.0</v>
      </c>
      <c r="C294" s="6">
        <v>2.56</v>
      </c>
      <c r="D294" s="6">
        <v>-0.23</v>
      </c>
      <c r="E294" s="6">
        <v>10.48</v>
      </c>
      <c r="F294" s="6">
        <v>-0.04</v>
      </c>
      <c r="G294" s="6">
        <v>0.02</v>
      </c>
      <c r="H294" s="6">
        <v>-0.19</v>
      </c>
      <c r="I294" s="6">
        <v>33.35</v>
      </c>
      <c r="J294" s="7">
        <f t="shared" ref="J294:O294" si="590">abs(C294-C293)/200</f>
        <v>0.00075</v>
      </c>
      <c r="K294" s="7">
        <f t="shared" si="590"/>
        <v>0.00055</v>
      </c>
      <c r="L294" s="7">
        <f t="shared" si="590"/>
        <v>0.0002</v>
      </c>
      <c r="M294" s="7">
        <f t="shared" si="590"/>
        <v>0.00025</v>
      </c>
      <c r="N294" s="7">
        <f t="shared" si="590"/>
        <v>0.00015</v>
      </c>
      <c r="O294" s="7">
        <f t="shared" si="590"/>
        <v>0.0003</v>
      </c>
      <c r="P294" s="7">
        <f t="shared" si="9"/>
        <v>0.03676241778</v>
      </c>
      <c r="Q294" s="7">
        <f t="shared" si="10"/>
        <v>0.007281665406</v>
      </c>
      <c r="R294" s="7">
        <f t="shared" si="3"/>
        <v>0.9905931255</v>
      </c>
      <c r="S294" s="7">
        <f t="shared" si="4"/>
        <v>0.195192213</v>
      </c>
      <c r="T294" s="7">
        <f t="shared" si="5"/>
        <v>1</v>
      </c>
      <c r="U294" s="7">
        <f t="shared" si="6"/>
        <v>0</v>
      </c>
      <c r="V294" s="7">
        <f t="shared" ref="V294:W294" si="591">IF(AVERAGE(T234:T293) &gt; 0.25, 1, 0)</f>
        <v>1</v>
      </c>
      <c r="W294" s="7">
        <f t="shared" si="591"/>
        <v>1</v>
      </c>
      <c r="X294" s="8">
        <v>1.0</v>
      </c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ht="22.5" customHeight="1">
      <c r="A295" s="6">
        <v>1494.0</v>
      </c>
      <c r="B295" s="6">
        <v>61847.0</v>
      </c>
      <c r="C295" s="6">
        <v>2.58</v>
      </c>
      <c r="D295" s="6">
        <v>-0.17</v>
      </c>
      <c r="E295" s="6">
        <v>10.43</v>
      </c>
      <c r="F295" s="6">
        <v>-0.15</v>
      </c>
      <c r="G295" s="6">
        <v>-0.02</v>
      </c>
      <c r="H295" s="6">
        <v>-0.11</v>
      </c>
      <c r="I295" s="6">
        <v>33.35</v>
      </c>
      <c r="J295" s="7">
        <f t="shared" ref="J295:O295" si="592">abs(C295-C294)/200</f>
        <v>0.0001</v>
      </c>
      <c r="K295" s="7">
        <f t="shared" si="592"/>
        <v>0.0003</v>
      </c>
      <c r="L295" s="7">
        <f t="shared" si="592"/>
        <v>0.00025</v>
      </c>
      <c r="M295" s="7">
        <f t="shared" si="592"/>
        <v>0.00055</v>
      </c>
      <c r="N295" s="7">
        <f t="shared" si="592"/>
        <v>0.0002</v>
      </c>
      <c r="O295" s="7">
        <f t="shared" si="592"/>
        <v>0.0004</v>
      </c>
      <c r="P295" s="7">
        <f t="shared" si="9"/>
        <v>0.008109343621</v>
      </c>
      <c r="Q295" s="7">
        <f t="shared" si="10"/>
        <v>0.04488700631</v>
      </c>
      <c r="R295" s="7">
        <f t="shared" si="3"/>
        <v>0.9457061192</v>
      </c>
      <c r="S295" s="7">
        <f t="shared" si="4"/>
        <v>0.1870828693</v>
      </c>
      <c r="T295" s="7">
        <f t="shared" si="5"/>
        <v>0</v>
      </c>
      <c r="U295" s="7">
        <f t="shared" si="6"/>
        <v>1</v>
      </c>
      <c r="V295" s="7">
        <f t="shared" ref="V295:W295" si="593">IF(AVERAGE(T235:T294) &gt; 0.25, 1, 0)</f>
        <v>1</v>
      </c>
      <c r="W295" s="7">
        <f t="shared" si="593"/>
        <v>1</v>
      </c>
      <c r="X295" s="8">
        <v>1.0</v>
      </c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ht="22.5" customHeight="1">
      <c r="A296" s="6">
        <v>1495.0</v>
      </c>
      <c r="B296" s="6">
        <v>62051.0</v>
      </c>
      <c r="C296" s="6">
        <v>2.51</v>
      </c>
      <c r="D296" s="6">
        <v>-0.58</v>
      </c>
      <c r="E296" s="6">
        <v>10.45</v>
      </c>
      <c r="F296" s="6">
        <v>-0.17</v>
      </c>
      <c r="G296" s="6">
        <v>-0.03</v>
      </c>
      <c r="H296" s="6">
        <v>-0.04</v>
      </c>
      <c r="I296" s="6">
        <v>33.36</v>
      </c>
      <c r="J296" s="7">
        <f t="shared" ref="J296:O296" si="594">abs(C296-C295)/200</f>
        <v>0.00035</v>
      </c>
      <c r="K296" s="7">
        <f t="shared" si="594"/>
        <v>0.00205</v>
      </c>
      <c r="L296" s="7">
        <f t="shared" si="594"/>
        <v>0.0001</v>
      </c>
      <c r="M296" s="7">
        <f t="shared" si="594"/>
        <v>0.0001</v>
      </c>
      <c r="N296" s="7">
        <f t="shared" si="594"/>
        <v>0.00005</v>
      </c>
      <c r="O296" s="7">
        <f t="shared" si="594"/>
        <v>0.00035</v>
      </c>
      <c r="P296" s="7">
        <f t="shared" si="9"/>
        <v>0.009882417872</v>
      </c>
      <c r="Q296" s="7">
        <f t="shared" si="10"/>
        <v>0.01714666248</v>
      </c>
      <c r="R296" s="7">
        <f t="shared" si="3"/>
        <v>0.9628527817</v>
      </c>
      <c r="S296" s="7">
        <f t="shared" si="4"/>
        <v>0.1772004515</v>
      </c>
      <c r="T296" s="7">
        <f t="shared" si="5"/>
        <v>1</v>
      </c>
      <c r="U296" s="7">
        <f t="shared" si="6"/>
        <v>1</v>
      </c>
      <c r="V296" s="7">
        <f t="shared" ref="V296:W296" si="595">IF(AVERAGE(T236:T295) &gt; 0.25, 1, 0)</f>
        <v>1</v>
      </c>
      <c r="W296" s="7">
        <f t="shared" si="595"/>
        <v>1</v>
      </c>
      <c r="X296" s="8">
        <v>1.0</v>
      </c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ht="22.5" customHeight="1">
      <c r="A297" s="6">
        <v>1496.0</v>
      </c>
      <c r="B297" s="6">
        <v>62255.0</v>
      </c>
      <c r="C297" s="6">
        <v>2.74</v>
      </c>
      <c r="D297" s="6">
        <v>-0.39</v>
      </c>
      <c r="E297" s="6">
        <v>10.45</v>
      </c>
      <c r="F297" s="6">
        <v>-0.15</v>
      </c>
      <c r="G297" s="6">
        <v>0.13</v>
      </c>
      <c r="H297" s="6">
        <v>-0.14</v>
      </c>
      <c r="I297" s="6">
        <v>33.35</v>
      </c>
      <c r="J297" s="7">
        <f t="shared" ref="J297:O297" si="596">abs(C297-C296)/200</f>
        <v>0.00115</v>
      </c>
      <c r="K297" s="7">
        <f t="shared" si="596"/>
        <v>0.00095</v>
      </c>
      <c r="L297" s="7">
        <f t="shared" si="596"/>
        <v>0</v>
      </c>
      <c r="M297" s="7">
        <f t="shared" si="596"/>
        <v>0.0001</v>
      </c>
      <c r="N297" s="7">
        <f t="shared" si="596"/>
        <v>0.0008</v>
      </c>
      <c r="O297" s="7">
        <f t="shared" si="596"/>
        <v>0.0005</v>
      </c>
      <c r="P297" s="7">
        <f t="shared" si="9"/>
        <v>0.06569870456</v>
      </c>
      <c r="Q297" s="7">
        <f t="shared" si="10"/>
        <v>0.0474293608</v>
      </c>
      <c r="R297" s="7">
        <f t="shared" si="3"/>
        <v>1.010282142</v>
      </c>
      <c r="S297" s="7">
        <f t="shared" si="4"/>
        <v>0.242899156</v>
      </c>
      <c r="T297" s="7">
        <f t="shared" si="5"/>
        <v>1</v>
      </c>
      <c r="U297" s="7">
        <f t="shared" si="6"/>
        <v>1</v>
      </c>
      <c r="V297" s="7">
        <f t="shared" ref="V297:W297" si="597">IF(AVERAGE(T237:T296) &gt; 0.25, 1, 0)</f>
        <v>1</v>
      </c>
      <c r="W297" s="7">
        <f t="shared" si="597"/>
        <v>1</v>
      </c>
      <c r="X297" s="8">
        <v>1.0</v>
      </c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ht="22.5" customHeight="1">
      <c r="A298" s="6">
        <v>1497.0</v>
      </c>
      <c r="B298" s="6">
        <v>62459.0</v>
      </c>
      <c r="C298" s="6">
        <v>2.73</v>
      </c>
      <c r="D298" s="6">
        <v>-0.45</v>
      </c>
      <c r="E298" s="6">
        <v>10.42</v>
      </c>
      <c r="F298" s="6">
        <v>-0.12</v>
      </c>
      <c r="G298" s="6">
        <v>0.0</v>
      </c>
      <c r="H298" s="6">
        <v>-0.15</v>
      </c>
      <c r="I298" s="6">
        <v>33.34</v>
      </c>
      <c r="J298" s="7">
        <f t="shared" ref="J298:O298" si="598">abs(C298-C297)/200</f>
        <v>0.00005</v>
      </c>
      <c r="K298" s="7">
        <f t="shared" si="598"/>
        <v>0.0003</v>
      </c>
      <c r="L298" s="7">
        <f t="shared" si="598"/>
        <v>0.00015</v>
      </c>
      <c r="M298" s="7">
        <f t="shared" si="598"/>
        <v>0.00015</v>
      </c>
      <c r="N298" s="7">
        <f t="shared" si="598"/>
        <v>0.00065</v>
      </c>
      <c r="O298" s="7">
        <f t="shared" si="598"/>
        <v>0.00005</v>
      </c>
      <c r="P298" s="7">
        <f t="shared" si="9"/>
        <v>0.05080542891</v>
      </c>
      <c r="Q298" s="7">
        <f t="shared" si="10"/>
        <v>0.02919685388</v>
      </c>
      <c r="R298" s="7">
        <f t="shared" si="3"/>
        <v>0.9810852886</v>
      </c>
      <c r="S298" s="7">
        <f t="shared" si="4"/>
        <v>0.1920937271</v>
      </c>
      <c r="T298" s="7">
        <f t="shared" si="5"/>
        <v>0</v>
      </c>
      <c r="U298" s="7">
        <f t="shared" si="6"/>
        <v>1</v>
      </c>
      <c r="V298" s="7">
        <f t="shared" ref="V298:W298" si="599">IF(AVERAGE(T238:T297) &gt; 0.25, 1, 0)</f>
        <v>1</v>
      </c>
      <c r="W298" s="7">
        <f t="shared" si="599"/>
        <v>1</v>
      </c>
      <c r="X298" s="8">
        <v>1.0</v>
      </c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ht="22.5" customHeight="1">
      <c r="A299" s="6">
        <v>1498.0</v>
      </c>
      <c r="B299" s="6">
        <v>62663.0</v>
      </c>
      <c r="C299" s="6">
        <v>2.31</v>
      </c>
      <c r="D299" s="6">
        <v>-0.38</v>
      </c>
      <c r="E299" s="6">
        <v>10.49</v>
      </c>
      <c r="F299" s="6">
        <v>-0.16</v>
      </c>
      <c r="G299" s="6">
        <v>0.02</v>
      </c>
      <c r="H299" s="6">
        <v>-0.14</v>
      </c>
      <c r="I299" s="6">
        <v>33.34</v>
      </c>
      <c r="J299" s="7">
        <f t="shared" ref="J299:O299" si="600">abs(C299-C298)/200</f>
        <v>0.0021</v>
      </c>
      <c r="K299" s="7">
        <f t="shared" si="600"/>
        <v>0.00035</v>
      </c>
      <c r="L299" s="7">
        <f t="shared" si="600"/>
        <v>0.00035</v>
      </c>
      <c r="M299" s="7">
        <f t="shared" si="600"/>
        <v>0.0002</v>
      </c>
      <c r="N299" s="7">
        <f t="shared" si="600"/>
        <v>0.0001</v>
      </c>
      <c r="O299" s="7">
        <f t="shared" si="600"/>
        <v>0.00005</v>
      </c>
      <c r="P299" s="7">
        <f t="shared" si="9"/>
        <v>0.02144783792</v>
      </c>
      <c r="Q299" s="7">
        <f t="shared" si="10"/>
        <v>0.03303430249</v>
      </c>
      <c r="R299" s="7">
        <f t="shared" si="3"/>
        <v>0.9480509861</v>
      </c>
      <c r="S299" s="7">
        <f t="shared" si="4"/>
        <v>0.213541565</v>
      </c>
      <c r="T299" s="7">
        <f t="shared" si="5"/>
        <v>1</v>
      </c>
      <c r="U299" s="7">
        <f t="shared" si="6"/>
        <v>0</v>
      </c>
      <c r="V299" s="7">
        <f t="shared" ref="V299:W299" si="601">IF(AVERAGE(T239:T298) &gt; 0.25, 1, 0)</f>
        <v>1</v>
      </c>
      <c r="W299" s="7">
        <f t="shared" si="601"/>
        <v>1</v>
      </c>
      <c r="X299" s="8">
        <v>1.0</v>
      </c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ht="22.5" customHeight="1">
      <c r="A300" s="6">
        <v>1499.0</v>
      </c>
      <c r="B300" s="6">
        <v>62867.0</v>
      </c>
      <c r="C300" s="6">
        <v>2.05</v>
      </c>
      <c r="D300" s="6">
        <v>-0.36</v>
      </c>
      <c r="E300" s="6">
        <v>10.54</v>
      </c>
      <c r="F300" s="6">
        <v>-0.11</v>
      </c>
      <c r="G300" s="6">
        <v>0.0</v>
      </c>
      <c r="H300" s="6">
        <v>-0.07</v>
      </c>
      <c r="I300" s="6">
        <v>33.34</v>
      </c>
      <c r="J300" s="7">
        <f t="shared" ref="J300:O300" si="602">abs(C300-C299)/200</f>
        <v>0.0013</v>
      </c>
      <c r="K300" s="7">
        <f t="shared" si="602"/>
        <v>0.0001</v>
      </c>
      <c r="L300" s="7">
        <f t="shared" si="602"/>
        <v>0.00025</v>
      </c>
      <c r="M300" s="7">
        <f t="shared" si="602"/>
        <v>0.00025</v>
      </c>
      <c r="N300" s="7">
        <f t="shared" si="602"/>
        <v>0.0001</v>
      </c>
      <c r="O300" s="7">
        <f t="shared" si="602"/>
        <v>0.00035</v>
      </c>
      <c r="P300" s="7">
        <f t="shared" si="9"/>
        <v>0.08315751694</v>
      </c>
      <c r="Q300" s="7">
        <f t="shared" si="10"/>
        <v>0.004508739718</v>
      </c>
      <c r="R300" s="7">
        <f t="shared" si="3"/>
        <v>0.9435422464</v>
      </c>
      <c r="S300" s="7">
        <f t="shared" si="4"/>
        <v>0.1303840481</v>
      </c>
      <c r="T300" s="7">
        <f t="shared" si="5"/>
        <v>1</v>
      </c>
      <c r="U300" s="7">
        <f t="shared" si="6"/>
        <v>1</v>
      </c>
      <c r="V300" s="7">
        <f t="shared" ref="V300:W300" si="603">IF(AVERAGE(T240:T299) &gt; 0.25, 1, 0)</f>
        <v>1</v>
      </c>
      <c r="W300" s="7">
        <f t="shared" si="603"/>
        <v>1</v>
      </c>
      <c r="X300" s="8">
        <v>1.0</v>
      </c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ht="22.5" customHeight="1">
      <c r="A301" s="6">
        <v>1500.0</v>
      </c>
      <c r="B301" s="6">
        <v>63071.0</v>
      </c>
      <c r="C301" s="6">
        <v>2.41</v>
      </c>
      <c r="D301" s="6">
        <v>-0.38</v>
      </c>
      <c r="E301" s="6">
        <v>10.48</v>
      </c>
      <c r="F301" s="6">
        <v>-0.09</v>
      </c>
      <c r="G301" s="6">
        <v>0.0</v>
      </c>
      <c r="H301" s="6">
        <v>-0.02</v>
      </c>
      <c r="I301" s="6">
        <v>33.34</v>
      </c>
      <c r="J301" s="7">
        <f t="shared" ref="J301:O301" si="604">abs(C301-C300)/200</f>
        <v>0.0018</v>
      </c>
      <c r="K301" s="7">
        <f t="shared" si="604"/>
        <v>0.0001</v>
      </c>
      <c r="L301" s="7">
        <f t="shared" si="604"/>
        <v>0.0003</v>
      </c>
      <c r="M301" s="7">
        <f t="shared" si="604"/>
        <v>0.0001</v>
      </c>
      <c r="N301" s="7">
        <f t="shared" si="604"/>
        <v>0</v>
      </c>
      <c r="O301" s="7">
        <f t="shared" si="604"/>
        <v>0.00025</v>
      </c>
      <c r="P301" s="7">
        <f t="shared" si="9"/>
        <v>0.03818860353</v>
      </c>
      <c r="Q301" s="7">
        <f t="shared" si="10"/>
        <v>0.01670403332</v>
      </c>
      <c r="R301" s="7">
        <f t="shared" si="3"/>
        <v>0.9602462797</v>
      </c>
      <c r="S301" s="7">
        <f t="shared" si="4"/>
        <v>0.09219544457</v>
      </c>
      <c r="T301" s="7">
        <f t="shared" si="5"/>
        <v>1</v>
      </c>
      <c r="U301" s="7">
        <f t="shared" si="6"/>
        <v>0</v>
      </c>
      <c r="V301" s="7">
        <f t="shared" ref="V301:W301" si="605">IF(AVERAGE(T241:T300) &gt; 0.25, 1, 0)</f>
        <v>1</v>
      </c>
      <c r="W301" s="7">
        <f t="shared" si="605"/>
        <v>1</v>
      </c>
      <c r="X301" s="8">
        <v>1.0</v>
      </c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ht="22.5" customHeight="1">
      <c r="A302" s="6"/>
      <c r="B302" s="6" t="s">
        <v>41</v>
      </c>
      <c r="C302" s="6">
        <f t="shared" ref="C302:S302" si="606">AVERAGE(C2:C301)</f>
        <v>2.3591</v>
      </c>
      <c r="D302" s="6">
        <f t="shared" si="606"/>
        <v>-0.3194333333</v>
      </c>
      <c r="E302" s="6">
        <f t="shared" si="606"/>
        <v>10.51446667</v>
      </c>
      <c r="F302" s="6">
        <f t="shared" si="606"/>
        <v>-0.098</v>
      </c>
      <c r="G302" s="6">
        <f t="shared" si="606"/>
        <v>-0.002433333333</v>
      </c>
      <c r="H302" s="6">
        <f t="shared" si="606"/>
        <v>-0.0073</v>
      </c>
      <c r="I302" s="6">
        <f t="shared" si="606"/>
        <v>33.30483333</v>
      </c>
      <c r="J302" s="6">
        <f t="shared" si="606"/>
        <v>0.0007728333333</v>
      </c>
      <c r="K302" s="6">
        <f t="shared" si="606"/>
        <v>0.0009846666667</v>
      </c>
      <c r="L302" s="6">
        <f t="shared" si="606"/>
        <v>0.0003931666667</v>
      </c>
      <c r="M302" s="6">
        <f t="shared" si="606"/>
        <v>0.0001901666667</v>
      </c>
      <c r="N302" s="6">
        <f t="shared" si="606"/>
        <v>0.0002613333333</v>
      </c>
      <c r="O302" s="6">
        <f t="shared" si="606"/>
        <v>0.0006506666667</v>
      </c>
      <c r="P302" s="6">
        <f t="shared" si="606"/>
        <v>0.1096476835</v>
      </c>
      <c r="Q302" s="6">
        <f t="shared" si="606"/>
        <v>0.07202108794</v>
      </c>
      <c r="R302" s="6">
        <f t="shared" si="606"/>
        <v>0.9920930409</v>
      </c>
      <c r="S302" s="6">
        <f t="shared" si="606"/>
        <v>0.1895118671</v>
      </c>
      <c r="T302" s="7">
        <f t="shared" si="5"/>
        <v>1</v>
      </c>
      <c r="U302" s="7">
        <f t="shared" si="6"/>
        <v>1</v>
      </c>
      <c r="V302" s="7">
        <f t="shared" ref="V302:W302" si="607">IF(AVERAGE(T242:T301) &gt; 0.25, 1, 0)</f>
        <v>1</v>
      </c>
      <c r="W302" s="7">
        <f t="shared" si="607"/>
        <v>1</v>
      </c>
      <c r="X302" s="8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ht="22.5" customHeight="1">
      <c r="A303" s="6"/>
      <c r="B303" s="6" t="s">
        <v>42</v>
      </c>
      <c r="C303" s="6">
        <f t="shared" ref="C303:S303" si="608">stdev(C2:C301)</f>
        <v>0.3369639035</v>
      </c>
      <c r="D303" s="6">
        <f t="shared" si="608"/>
        <v>0.3670109021</v>
      </c>
      <c r="E303" s="6">
        <f t="shared" si="608"/>
        <v>0.1172884086</v>
      </c>
      <c r="F303" s="6">
        <f t="shared" si="608"/>
        <v>0.06223270602</v>
      </c>
      <c r="G303" s="6">
        <f t="shared" si="608"/>
        <v>0.08860727804</v>
      </c>
      <c r="H303" s="6">
        <f t="shared" si="608"/>
        <v>0.2927833961</v>
      </c>
      <c r="I303" s="6">
        <f t="shared" si="608"/>
        <v>0.03965114036</v>
      </c>
      <c r="J303" s="6">
        <f t="shared" si="608"/>
        <v>0.001511401586</v>
      </c>
      <c r="K303" s="6">
        <f t="shared" si="608"/>
        <v>0.001642668384</v>
      </c>
      <c r="L303" s="6">
        <f t="shared" si="608"/>
        <v>0.0006853666149</v>
      </c>
      <c r="M303" s="6">
        <f t="shared" si="608"/>
        <v>0.0002903894955</v>
      </c>
      <c r="N303" s="6">
        <f t="shared" si="608"/>
        <v>0.0006139854635</v>
      </c>
      <c r="O303" s="6">
        <f t="shared" si="608"/>
        <v>0.001427822988</v>
      </c>
      <c r="P303" s="6">
        <f t="shared" si="608"/>
        <v>0.2792550837</v>
      </c>
      <c r="Q303" s="6">
        <f t="shared" si="608"/>
        <v>0.1530051307</v>
      </c>
      <c r="R303" s="6">
        <f t="shared" si="608"/>
        <v>0.1153116909</v>
      </c>
      <c r="S303" s="6">
        <f t="shared" si="608"/>
        <v>0.2666588495</v>
      </c>
      <c r="T303" s="7">
        <f t="shared" si="5"/>
        <v>1</v>
      </c>
      <c r="U303" s="7">
        <f t="shared" si="6"/>
        <v>1</v>
      </c>
      <c r="V303" s="7">
        <f t="shared" ref="V303:W303" si="609">IF(AVERAGE(T243:T302) &gt; 0.25, 1, 0)</f>
        <v>1</v>
      </c>
      <c r="W303" s="7">
        <f t="shared" si="609"/>
        <v>1</v>
      </c>
      <c r="X303" s="8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ht="22.5" customHeight="1">
      <c r="A304" s="6"/>
      <c r="B304" s="6" t="s">
        <v>43</v>
      </c>
      <c r="C304" s="6">
        <f t="shared" ref="C304:S304" si="610">COUNT(C2:C301)</f>
        <v>300</v>
      </c>
      <c r="D304" s="6">
        <f t="shared" si="610"/>
        <v>300</v>
      </c>
      <c r="E304" s="6">
        <f t="shared" si="610"/>
        <v>300</v>
      </c>
      <c r="F304" s="6">
        <f t="shared" si="610"/>
        <v>300</v>
      </c>
      <c r="G304" s="6">
        <f t="shared" si="610"/>
        <v>300</v>
      </c>
      <c r="H304" s="6">
        <f t="shared" si="610"/>
        <v>300</v>
      </c>
      <c r="I304" s="6">
        <f t="shared" si="610"/>
        <v>300</v>
      </c>
      <c r="J304" s="6">
        <f t="shared" si="610"/>
        <v>300</v>
      </c>
      <c r="K304" s="6">
        <f t="shared" si="610"/>
        <v>300</v>
      </c>
      <c r="L304" s="6">
        <f t="shared" si="610"/>
        <v>300</v>
      </c>
      <c r="M304" s="6">
        <f t="shared" si="610"/>
        <v>300</v>
      </c>
      <c r="N304" s="6">
        <f t="shared" si="610"/>
        <v>300</v>
      </c>
      <c r="O304" s="6">
        <f t="shared" si="610"/>
        <v>300</v>
      </c>
      <c r="P304" s="6">
        <f t="shared" si="610"/>
        <v>300</v>
      </c>
      <c r="Q304" s="6">
        <f t="shared" si="610"/>
        <v>300</v>
      </c>
      <c r="R304" s="6">
        <f t="shared" si="610"/>
        <v>300</v>
      </c>
      <c r="S304" s="6">
        <f t="shared" si="610"/>
        <v>300</v>
      </c>
      <c r="T304" s="7">
        <f t="shared" si="5"/>
        <v>1</v>
      </c>
      <c r="U304" s="7">
        <f t="shared" si="6"/>
        <v>1</v>
      </c>
      <c r="V304" s="7">
        <f t="shared" ref="V304:W304" si="611">IF(AVERAGE(T244:T303) &gt; 0.25, 1, 0)</f>
        <v>1</v>
      </c>
      <c r="W304" s="7">
        <f t="shared" si="611"/>
        <v>1</v>
      </c>
      <c r="X304" s="8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ht="22.5" customHeight="1">
      <c r="A305" s="6"/>
      <c r="B305" s="6" t="s">
        <v>44</v>
      </c>
      <c r="C305" s="6">
        <f t="shared" ref="C305:S305" si="612">MIN(C2:C301)</f>
        <v>-0.47</v>
      </c>
      <c r="D305" s="6">
        <f t="shared" si="612"/>
        <v>-1.29</v>
      </c>
      <c r="E305" s="6">
        <f t="shared" si="612"/>
        <v>10.06</v>
      </c>
      <c r="F305" s="6">
        <f t="shared" si="612"/>
        <v>-0.47</v>
      </c>
      <c r="G305" s="6">
        <f t="shared" si="612"/>
        <v>-1.15</v>
      </c>
      <c r="H305" s="6">
        <f t="shared" si="612"/>
        <v>-1.75</v>
      </c>
      <c r="I305" s="6">
        <f t="shared" si="612"/>
        <v>33.19</v>
      </c>
      <c r="J305" s="6">
        <f t="shared" si="612"/>
        <v>0</v>
      </c>
      <c r="K305" s="6">
        <f t="shared" si="612"/>
        <v>0</v>
      </c>
      <c r="L305" s="6">
        <f t="shared" si="612"/>
        <v>0</v>
      </c>
      <c r="M305" s="6">
        <f t="shared" si="612"/>
        <v>0</v>
      </c>
      <c r="N305" s="6">
        <f t="shared" si="612"/>
        <v>0</v>
      </c>
      <c r="O305" s="6">
        <f t="shared" si="612"/>
        <v>0</v>
      </c>
      <c r="P305" s="6">
        <f t="shared" si="612"/>
        <v>0</v>
      </c>
      <c r="Q305" s="6">
        <f t="shared" si="612"/>
        <v>0</v>
      </c>
      <c r="R305" s="6">
        <f t="shared" si="612"/>
        <v>0.6110374123</v>
      </c>
      <c r="S305" s="6">
        <f t="shared" si="612"/>
        <v>0.04358898944</v>
      </c>
      <c r="T305" s="7">
        <f t="shared" si="5"/>
        <v>0</v>
      </c>
      <c r="U305" s="7">
        <f t="shared" si="6"/>
        <v>0</v>
      </c>
      <c r="V305" s="7">
        <f t="shared" ref="V305:W305" si="613">IF(AVERAGE(T245:T304) &gt; 0.25, 1, 0)</f>
        <v>1</v>
      </c>
      <c r="W305" s="7">
        <f t="shared" si="613"/>
        <v>1</v>
      </c>
      <c r="X305" s="8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ht="22.5" customHeight="1">
      <c r="A306" s="6"/>
      <c r="B306" s="6" t="s">
        <v>45</v>
      </c>
      <c r="C306" s="6">
        <f t="shared" ref="C306:S306" si="614">MAX(C2:C301)</f>
        <v>3.63</v>
      </c>
      <c r="D306" s="6">
        <f t="shared" si="614"/>
        <v>3.38</v>
      </c>
      <c r="E306" s="6">
        <f t="shared" si="614"/>
        <v>11.47</v>
      </c>
      <c r="F306" s="6">
        <f t="shared" si="614"/>
        <v>0.36</v>
      </c>
      <c r="G306" s="6">
        <f t="shared" si="614"/>
        <v>0.45</v>
      </c>
      <c r="H306" s="6">
        <f t="shared" si="614"/>
        <v>2.64</v>
      </c>
      <c r="I306" s="6">
        <f t="shared" si="614"/>
        <v>33.36</v>
      </c>
      <c r="J306" s="6">
        <f t="shared" si="614"/>
        <v>0.01425</v>
      </c>
      <c r="K306" s="6">
        <f t="shared" si="614"/>
        <v>0.01765</v>
      </c>
      <c r="L306" s="6">
        <f t="shared" si="614"/>
        <v>0.00535</v>
      </c>
      <c r="M306" s="6">
        <f t="shared" si="614"/>
        <v>0.0023</v>
      </c>
      <c r="N306" s="6">
        <f t="shared" si="614"/>
        <v>0.00735</v>
      </c>
      <c r="O306" s="6">
        <f t="shared" si="614"/>
        <v>0.01305</v>
      </c>
      <c r="P306" s="6">
        <f t="shared" si="614"/>
        <v>2.559851747</v>
      </c>
      <c r="Q306" s="6">
        <f t="shared" si="614"/>
        <v>1.440681064</v>
      </c>
      <c r="R306" s="6">
        <f t="shared" si="614"/>
        <v>2.408067005</v>
      </c>
      <c r="S306" s="6">
        <f t="shared" si="614"/>
        <v>2.664732632</v>
      </c>
      <c r="T306" s="7">
        <f t="shared" si="5"/>
        <v>1</v>
      </c>
      <c r="U306" s="7">
        <f t="shared" si="6"/>
        <v>1</v>
      </c>
      <c r="V306" s="7">
        <f t="shared" ref="V306:W306" si="615">IF(AVERAGE(T246:T305) &gt; 0.25, 1, 0)</f>
        <v>1</v>
      </c>
      <c r="W306" s="7">
        <f t="shared" si="615"/>
        <v>1</v>
      </c>
      <c r="X306" s="8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ht="22.5" customHeight="1">
      <c r="A307" s="6"/>
      <c r="B307" s="9">
        <v>0.25</v>
      </c>
      <c r="C307" s="6">
        <f t="shared" ref="C307:S307" si="616">_xlfn.QUARTILE.INC(C2:C301,1)</f>
        <v>2.18</v>
      </c>
      <c r="D307" s="6">
        <f t="shared" si="616"/>
        <v>-0.54</v>
      </c>
      <c r="E307" s="6">
        <f t="shared" si="616"/>
        <v>10.47</v>
      </c>
      <c r="F307" s="6">
        <f t="shared" si="616"/>
        <v>-0.11</v>
      </c>
      <c r="G307" s="6">
        <f t="shared" si="616"/>
        <v>-0.02</v>
      </c>
      <c r="H307" s="6">
        <f t="shared" si="616"/>
        <v>-0.04</v>
      </c>
      <c r="I307" s="6">
        <f t="shared" si="616"/>
        <v>33.27</v>
      </c>
      <c r="J307" s="6">
        <f t="shared" si="616"/>
        <v>0.0001</v>
      </c>
      <c r="K307" s="6">
        <f t="shared" si="616"/>
        <v>0.0002</v>
      </c>
      <c r="L307" s="6">
        <f t="shared" si="616"/>
        <v>0.0001</v>
      </c>
      <c r="M307" s="6">
        <f t="shared" si="616"/>
        <v>0.00005</v>
      </c>
      <c r="N307" s="6">
        <f t="shared" si="616"/>
        <v>0.00005</v>
      </c>
      <c r="O307" s="6">
        <f t="shared" si="616"/>
        <v>0.00005</v>
      </c>
      <c r="P307" s="6">
        <f t="shared" si="616"/>
        <v>0.009248780164</v>
      </c>
      <c r="Q307" s="6">
        <f t="shared" si="616"/>
        <v>0.01085119376</v>
      </c>
      <c r="R307" s="6">
        <f t="shared" si="616"/>
        <v>0.9626216596</v>
      </c>
      <c r="S307" s="6">
        <f t="shared" si="616"/>
        <v>0.1004987562</v>
      </c>
      <c r="T307" s="7">
        <f t="shared" si="5"/>
        <v>0</v>
      </c>
      <c r="U307" s="7">
        <f t="shared" si="6"/>
        <v>0</v>
      </c>
      <c r="V307" s="7">
        <f t="shared" ref="V307:W307" si="617">IF(AVERAGE(T247:T306) &gt; 0.25, 1, 0)</f>
        <v>1</v>
      </c>
      <c r="W307" s="7">
        <f t="shared" si="617"/>
        <v>1</v>
      </c>
      <c r="X307" s="8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ht="22.5" customHeight="1">
      <c r="A308" s="6"/>
      <c r="B308" s="9">
        <v>0.5</v>
      </c>
      <c r="C308" s="6">
        <f t="shared" ref="C308:S308" si="618">_xlfn.QUARTILE.INC(C2:C301,2)</f>
        <v>2.35</v>
      </c>
      <c r="D308" s="6">
        <f t="shared" si="618"/>
        <v>-0.37</v>
      </c>
      <c r="E308" s="6">
        <f t="shared" si="618"/>
        <v>10.51</v>
      </c>
      <c r="F308" s="6">
        <f t="shared" si="618"/>
        <v>-0.1</v>
      </c>
      <c r="G308" s="6">
        <f t="shared" si="618"/>
        <v>0</v>
      </c>
      <c r="H308" s="6">
        <f t="shared" si="618"/>
        <v>-0.01</v>
      </c>
      <c r="I308" s="6">
        <f t="shared" si="618"/>
        <v>33.32</v>
      </c>
      <c r="J308" s="6">
        <f t="shared" si="618"/>
        <v>0.0003</v>
      </c>
      <c r="K308" s="6">
        <f t="shared" si="618"/>
        <v>0.0006</v>
      </c>
      <c r="L308" s="6">
        <f t="shared" si="618"/>
        <v>0.0002</v>
      </c>
      <c r="M308" s="6">
        <f t="shared" si="618"/>
        <v>0.0001</v>
      </c>
      <c r="N308" s="6">
        <f t="shared" si="618"/>
        <v>0.0001</v>
      </c>
      <c r="O308" s="6">
        <f t="shared" si="618"/>
        <v>0.0002</v>
      </c>
      <c r="P308" s="6">
        <f t="shared" si="618"/>
        <v>0.02674502364</v>
      </c>
      <c r="Q308" s="6">
        <f t="shared" si="618"/>
        <v>0.03207195072</v>
      </c>
      <c r="R308" s="6">
        <f t="shared" si="618"/>
        <v>0.9826596904</v>
      </c>
      <c r="S308" s="6">
        <f t="shared" si="618"/>
        <v>0.1144552314</v>
      </c>
      <c r="T308" s="7">
        <f t="shared" si="5"/>
        <v>1</v>
      </c>
      <c r="U308" s="7">
        <f t="shared" si="6"/>
        <v>0</v>
      </c>
      <c r="V308" s="7">
        <f t="shared" ref="V308:W308" si="619">IF(AVERAGE(T248:T307) &gt; 0.25, 1, 0)</f>
        <v>1</v>
      </c>
      <c r="W308" s="7">
        <f t="shared" si="619"/>
        <v>1</v>
      </c>
      <c r="X308" s="8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ht="22.5" customHeight="1">
      <c r="A309" s="6"/>
      <c r="B309" s="9">
        <v>0.7</v>
      </c>
      <c r="C309" s="6">
        <f t="shared" ref="C309:S309" si="620">_xlfn.QUARTILE.INC(C2:C301,3)</f>
        <v>2.5525</v>
      </c>
      <c r="D309" s="6">
        <f t="shared" si="620"/>
        <v>-0.15</v>
      </c>
      <c r="E309" s="6">
        <f t="shared" si="620"/>
        <v>10.55</v>
      </c>
      <c r="F309" s="6">
        <f t="shared" si="620"/>
        <v>-0.08</v>
      </c>
      <c r="G309" s="6">
        <f t="shared" si="620"/>
        <v>0.02</v>
      </c>
      <c r="H309" s="6">
        <f t="shared" si="620"/>
        <v>0.02</v>
      </c>
      <c r="I309" s="6">
        <f t="shared" si="620"/>
        <v>33.34</v>
      </c>
      <c r="J309" s="6">
        <f t="shared" si="620"/>
        <v>0.0008</v>
      </c>
      <c r="K309" s="6">
        <f t="shared" si="620"/>
        <v>0.0011625</v>
      </c>
      <c r="L309" s="6">
        <f t="shared" si="620"/>
        <v>0.0004</v>
      </c>
      <c r="M309" s="6">
        <f t="shared" si="620"/>
        <v>0.0002</v>
      </c>
      <c r="N309" s="6">
        <f t="shared" si="620"/>
        <v>0.00025</v>
      </c>
      <c r="O309" s="6">
        <f t="shared" si="620"/>
        <v>0.0006</v>
      </c>
      <c r="P309" s="6">
        <f t="shared" si="620"/>
        <v>0.07363869411</v>
      </c>
      <c r="Q309" s="6">
        <f t="shared" si="620"/>
        <v>0.06576235305</v>
      </c>
      <c r="R309" s="6">
        <f t="shared" si="620"/>
        <v>1.005168902</v>
      </c>
      <c r="S309" s="6">
        <f t="shared" si="620"/>
        <v>0.1650656556</v>
      </c>
      <c r="T309" s="7">
        <f t="shared" si="5"/>
        <v>1</v>
      </c>
      <c r="U309" s="7">
        <f t="shared" si="6"/>
        <v>1</v>
      </c>
      <c r="V309" s="7">
        <f t="shared" ref="V309:W309" si="621">IF(AVERAGE(T249:T308) &gt; 0.25, 1, 0)</f>
        <v>1</v>
      </c>
      <c r="W309" s="7">
        <f t="shared" si="621"/>
        <v>1</v>
      </c>
      <c r="X309" s="8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0" max="12" width="15.5"/>
    <col customWidth="1" min="13" max="13" width="17.63"/>
    <col customWidth="1" min="14" max="19" width="15.5"/>
    <col customWidth="1" min="20" max="20" width="33.88"/>
    <col customWidth="1" min="21" max="21" width="26.13"/>
    <col customWidth="1" min="22" max="37" width="15.5"/>
  </cols>
  <sheetData>
    <row r="1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2" t="s">
        <v>19</v>
      </c>
      <c r="U1" s="2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ht="22.5" customHeight="1">
      <c r="A2" s="6">
        <v>901.0</v>
      </c>
      <c r="B2" s="6">
        <v>443.0</v>
      </c>
      <c r="C2" s="10">
        <v>1.74</v>
      </c>
      <c r="D2" s="10">
        <v>-0.45</v>
      </c>
      <c r="E2" s="10">
        <v>10.67</v>
      </c>
      <c r="F2" s="10">
        <v>-0.11</v>
      </c>
      <c r="G2" s="10">
        <v>-0.21</v>
      </c>
      <c r="H2" s="10">
        <v>-0.04</v>
      </c>
      <c r="I2" s="10">
        <v>33.14</v>
      </c>
      <c r="J2" s="10">
        <v>0.0</v>
      </c>
      <c r="K2" s="11">
        <v>0.0</v>
      </c>
      <c r="L2" s="12">
        <v>0.0</v>
      </c>
      <c r="M2" s="12">
        <v>0.0</v>
      </c>
      <c r="N2" s="12">
        <v>0.0</v>
      </c>
      <c r="O2" s="12">
        <v>0.0</v>
      </c>
      <c r="P2" s="6">
        <v>0.0</v>
      </c>
      <c r="Q2" s="6">
        <v>0.0</v>
      </c>
      <c r="R2" s="7">
        <f t="shared" ref="R2:R301" si="3">((C2*C2)+(D2*D2)+(E2*E2))^0.5 - 9.8</f>
        <v>1.020304986</v>
      </c>
      <c r="S2" s="7">
        <f t="shared" ref="S2:S301" si="4">((F2*F2)+(G2*G2)+(H2*H2))^0.5</f>
        <v>0.2404163056</v>
      </c>
      <c r="T2" s="7">
        <f t="shared" ref="T2:T309" si="5">IF(OR(J2&gt;0.0003, K2&gt;0.0003, L2&gt;0.0003), 1, 0)</f>
        <v>0</v>
      </c>
      <c r="U2" s="7">
        <f t="shared" ref="U2:U309" si="6">IF(OR(M2&gt;0.0003, N2&gt;0.0003, O2&gt;0.0003), 1, 0)</f>
        <v>0</v>
      </c>
      <c r="V2" s="7" t="str">
        <f t="shared" ref="V2:W2" si="1">IF(AVERAGE(#REF!) &gt; 0.25, 1, 0)</f>
        <v>#REF!</v>
      </c>
      <c r="W2" s="7" t="str">
        <f t="shared" si="1"/>
        <v>#REF!</v>
      </c>
      <c r="X2" s="8">
        <v>0.0</v>
      </c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ht="22.5" customHeight="1">
      <c r="A3" s="6">
        <v>902.0</v>
      </c>
      <c r="B3" s="6">
        <v>647.0</v>
      </c>
      <c r="C3" s="10">
        <v>3.32</v>
      </c>
      <c r="D3" s="10">
        <v>1.7</v>
      </c>
      <c r="E3" s="10">
        <v>11.54</v>
      </c>
      <c r="F3" s="10">
        <v>2.46</v>
      </c>
      <c r="G3" s="10">
        <v>-1.52</v>
      </c>
      <c r="H3" s="10">
        <v>0.75</v>
      </c>
      <c r="I3" s="10">
        <v>33.15</v>
      </c>
      <c r="J3" s="10">
        <f t="shared" ref="J3:O3" si="2">abs(C3-C2)/200</f>
        <v>0.0079</v>
      </c>
      <c r="K3" s="11">
        <f t="shared" si="2"/>
        <v>0.01075</v>
      </c>
      <c r="L3" s="12">
        <f t="shared" si="2"/>
        <v>0.00435</v>
      </c>
      <c r="M3" s="12">
        <f t="shared" si="2"/>
        <v>0.01285</v>
      </c>
      <c r="N3" s="12">
        <f t="shared" si="2"/>
        <v>0.00655</v>
      </c>
      <c r="O3" s="12">
        <f t="shared" si="2"/>
        <v>0.00395</v>
      </c>
      <c r="P3" s="7">
        <f t="shared" ref="P3:P301" si="9">abs(S3 - S2)</f>
        <v>2.74697386</v>
      </c>
      <c r="Q3" s="7">
        <f t="shared" ref="Q3:Q301" si="10">abs(R3-R2)</f>
        <v>1.307514273</v>
      </c>
      <c r="R3" s="7">
        <f t="shared" si="3"/>
        <v>2.32781926</v>
      </c>
      <c r="S3" s="7">
        <f t="shared" si="4"/>
        <v>2.987390165</v>
      </c>
      <c r="T3" s="7">
        <f t="shared" si="5"/>
        <v>1</v>
      </c>
      <c r="U3" s="7">
        <f t="shared" si="6"/>
        <v>1</v>
      </c>
      <c r="V3" s="7">
        <f t="shared" ref="V3:W3" si="7">IF(AVERAGE(T2) &gt; 0.25, 1, 0)</f>
        <v>0</v>
      </c>
      <c r="W3" s="7">
        <f t="shared" si="7"/>
        <v>0</v>
      </c>
      <c r="X3" s="8">
        <v>0.0</v>
      </c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ht="22.5" customHeight="1">
      <c r="A4" s="6">
        <v>903.0</v>
      </c>
      <c r="B4" s="6">
        <v>851.0</v>
      </c>
      <c r="C4" s="10">
        <v>4.3</v>
      </c>
      <c r="D4" s="10">
        <v>4.86</v>
      </c>
      <c r="E4" s="10">
        <v>7.69</v>
      </c>
      <c r="F4" s="10">
        <v>2.26</v>
      </c>
      <c r="G4" s="10">
        <v>0.63</v>
      </c>
      <c r="H4" s="10">
        <v>-1.34</v>
      </c>
      <c r="I4" s="10">
        <v>33.17</v>
      </c>
      <c r="J4" s="10">
        <f t="shared" ref="J4:O4" si="8">abs(C4-C3)/200</f>
        <v>0.0049</v>
      </c>
      <c r="K4" s="11">
        <f t="shared" si="8"/>
        <v>0.0158</v>
      </c>
      <c r="L4" s="12">
        <f t="shared" si="8"/>
        <v>0.01925</v>
      </c>
      <c r="M4" s="12">
        <f t="shared" si="8"/>
        <v>0.001</v>
      </c>
      <c r="N4" s="12">
        <f t="shared" si="8"/>
        <v>0.01075</v>
      </c>
      <c r="O4" s="12">
        <f t="shared" si="8"/>
        <v>0.01045</v>
      </c>
      <c r="P4" s="7">
        <f t="shared" si="9"/>
        <v>0.2855204424</v>
      </c>
      <c r="Q4" s="7">
        <f t="shared" si="10"/>
        <v>2.065727032</v>
      </c>
      <c r="R4" s="7">
        <f t="shared" si="3"/>
        <v>0.2620922278</v>
      </c>
      <c r="S4" s="7">
        <f t="shared" si="4"/>
        <v>2.701869723</v>
      </c>
      <c r="T4" s="7">
        <f t="shared" si="5"/>
        <v>1</v>
      </c>
      <c r="U4" s="7">
        <f t="shared" si="6"/>
        <v>1</v>
      </c>
      <c r="V4" s="7">
        <f t="shared" ref="V4:W4" si="11">IF(AVERAGE(T2:T3) &gt; 0.25, 1, 0)</f>
        <v>1</v>
      </c>
      <c r="W4" s="7">
        <f t="shared" si="11"/>
        <v>1</v>
      </c>
      <c r="X4" s="8">
        <v>0.0</v>
      </c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ht="22.5" customHeight="1">
      <c r="A5" s="6">
        <v>904.0</v>
      </c>
      <c r="B5" s="6">
        <v>1055.0</v>
      </c>
      <c r="C5" s="10">
        <v>2.13</v>
      </c>
      <c r="D5" s="10">
        <v>8.5</v>
      </c>
      <c r="E5" s="10">
        <v>4.13</v>
      </c>
      <c r="F5" s="10">
        <v>1.95</v>
      </c>
      <c r="G5" s="10">
        <v>0.24</v>
      </c>
      <c r="H5" s="10">
        <v>-0.68</v>
      </c>
      <c r="I5" s="10">
        <v>33.17</v>
      </c>
      <c r="J5" s="10">
        <f t="shared" ref="J5:O5" si="12">abs(C5-C4)/200</f>
        <v>0.01085</v>
      </c>
      <c r="K5" s="11">
        <f t="shared" si="12"/>
        <v>0.0182</v>
      </c>
      <c r="L5" s="12">
        <f t="shared" si="12"/>
        <v>0.0178</v>
      </c>
      <c r="M5" s="12">
        <f t="shared" si="12"/>
        <v>0.00155</v>
      </c>
      <c r="N5" s="12">
        <f t="shared" si="12"/>
        <v>0.00195</v>
      </c>
      <c r="O5" s="12">
        <f t="shared" si="12"/>
        <v>0.0033</v>
      </c>
      <c r="P5" s="7">
        <f t="shared" si="9"/>
        <v>0.6228074344</v>
      </c>
      <c r="Q5" s="7">
        <f t="shared" si="10"/>
        <v>0.3747912621</v>
      </c>
      <c r="R5" s="7">
        <f t="shared" si="3"/>
        <v>-0.1126990343</v>
      </c>
      <c r="S5" s="7">
        <f t="shared" si="4"/>
        <v>2.079062289</v>
      </c>
      <c r="T5" s="7">
        <f t="shared" si="5"/>
        <v>1</v>
      </c>
      <c r="U5" s="7">
        <f t="shared" si="6"/>
        <v>1</v>
      </c>
      <c r="V5" s="7">
        <f t="shared" ref="V5:W5" si="13">IF(AVERAGE(T2:T4) &gt; 0.25, 1, 0)</f>
        <v>1</v>
      </c>
      <c r="W5" s="7">
        <f t="shared" si="13"/>
        <v>1</v>
      </c>
      <c r="X5" s="8">
        <v>0.0</v>
      </c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ht="22.5" customHeight="1">
      <c r="A6" s="6">
        <v>905.0</v>
      </c>
      <c r="B6" s="6">
        <v>1259.0</v>
      </c>
      <c r="C6" s="10">
        <v>0.03</v>
      </c>
      <c r="D6" s="10">
        <v>8.87</v>
      </c>
      <c r="E6" s="10">
        <v>1.1</v>
      </c>
      <c r="F6" s="10">
        <v>1.76</v>
      </c>
      <c r="G6" s="10">
        <v>0.33</v>
      </c>
      <c r="H6" s="10">
        <v>-0.46</v>
      </c>
      <c r="I6" s="10">
        <v>33.17</v>
      </c>
      <c r="J6" s="10">
        <f t="shared" ref="J6:O6" si="14">abs(C6-C5)/200</f>
        <v>0.0105</v>
      </c>
      <c r="K6" s="11">
        <f t="shared" si="14"/>
        <v>0.00185</v>
      </c>
      <c r="L6" s="12">
        <f t="shared" si="14"/>
        <v>0.01515</v>
      </c>
      <c r="M6" s="12">
        <f t="shared" si="14"/>
        <v>0.00095</v>
      </c>
      <c r="N6" s="12">
        <f t="shared" si="14"/>
        <v>0.00045</v>
      </c>
      <c r="O6" s="12">
        <f t="shared" si="14"/>
        <v>0.0011</v>
      </c>
      <c r="P6" s="7">
        <f t="shared" si="9"/>
        <v>0.2302518603</v>
      </c>
      <c r="Q6" s="7">
        <f t="shared" si="10"/>
        <v>0.7493034271</v>
      </c>
      <c r="R6" s="7">
        <f t="shared" si="3"/>
        <v>-0.8620024614</v>
      </c>
      <c r="S6" s="7">
        <f t="shared" si="4"/>
        <v>1.848810428</v>
      </c>
      <c r="T6" s="7">
        <f t="shared" si="5"/>
        <v>1</v>
      </c>
      <c r="U6" s="7">
        <f t="shared" si="6"/>
        <v>1</v>
      </c>
      <c r="V6" s="7">
        <f t="shared" ref="V6:W6" si="15">IF(AVERAGE(T2:T5) &gt; 0.25, 1, 0)</f>
        <v>1</v>
      </c>
      <c r="W6" s="7">
        <f t="shared" si="15"/>
        <v>1</v>
      </c>
      <c r="X6" s="8">
        <v>0.0</v>
      </c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ht="22.5" customHeight="1">
      <c r="A7" s="6">
        <v>906.0</v>
      </c>
      <c r="B7" s="6">
        <v>1463.0</v>
      </c>
      <c r="C7" s="10">
        <v>-0.64</v>
      </c>
      <c r="D7" s="10">
        <v>9.59</v>
      </c>
      <c r="E7" s="10">
        <v>-0.56</v>
      </c>
      <c r="F7" s="10">
        <v>-1.13</v>
      </c>
      <c r="G7" s="10">
        <v>0.12</v>
      </c>
      <c r="H7" s="10">
        <v>-0.64</v>
      </c>
      <c r="I7" s="10">
        <v>33.19</v>
      </c>
      <c r="J7" s="10">
        <f t="shared" ref="J7:O7" si="16">abs(C7-C6)/200</f>
        <v>0.00335</v>
      </c>
      <c r="K7" s="11">
        <f t="shared" si="16"/>
        <v>0.0036</v>
      </c>
      <c r="L7" s="12">
        <f t="shared" si="16"/>
        <v>0.0083</v>
      </c>
      <c r="M7" s="12">
        <f t="shared" si="16"/>
        <v>0.01445</v>
      </c>
      <c r="N7" s="12">
        <f t="shared" si="16"/>
        <v>0.00105</v>
      </c>
      <c r="O7" s="12">
        <f t="shared" si="16"/>
        <v>0.0009</v>
      </c>
      <c r="P7" s="7">
        <f t="shared" si="9"/>
        <v>0.5446248587</v>
      </c>
      <c r="Q7" s="7">
        <f t="shared" si="10"/>
        <v>0.689634569</v>
      </c>
      <c r="R7" s="7">
        <f t="shared" si="3"/>
        <v>-0.1723678924</v>
      </c>
      <c r="S7" s="7">
        <f t="shared" si="4"/>
        <v>1.30418557</v>
      </c>
      <c r="T7" s="7">
        <f t="shared" si="5"/>
        <v>1</v>
      </c>
      <c r="U7" s="7">
        <f t="shared" si="6"/>
        <v>1</v>
      </c>
      <c r="V7" s="7">
        <f t="shared" ref="V7:W7" si="17">IF(AVERAGE(T2:T6) &gt; 0.25, 1, 0)</f>
        <v>1</v>
      </c>
      <c r="W7" s="7">
        <f t="shared" si="17"/>
        <v>1</v>
      </c>
      <c r="X7" s="8">
        <v>0.0</v>
      </c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ht="22.5" customHeight="1">
      <c r="A8" s="6">
        <v>907.0</v>
      </c>
      <c r="B8" s="6">
        <v>1667.0</v>
      </c>
      <c r="C8" s="10">
        <v>3.25</v>
      </c>
      <c r="D8" s="10">
        <v>8.14</v>
      </c>
      <c r="E8" s="10">
        <v>2.19</v>
      </c>
      <c r="F8" s="10">
        <v>0.2</v>
      </c>
      <c r="G8" s="10">
        <v>0.35</v>
      </c>
      <c r="H8" s="10">
        <v>0.71</v>
      </c>
      <c r="I8" s="10">
        <v>33.18</v>
      </c>
      <c r="J8" s="10">
        <f t="shared" ref="J8:O8" si="18">abs(C8-C7)/200</f>
        <v>0.01945</v>
      </c>
      <c r="K8" s="11">
        <f t="shared" si="18"/>
        <v>0.00725</v>
      </c>
      <c r="L8" s="12">
        <f t="shared" si="18"/>
        <v>0.01375</v>
      </c>
      <c r="M8" s="12">
        <f t="shared" si="18"/>
        <v>0.00665</v>
      </c>
      <c r="N8" s="12">
        <f t="shared" si="18"/>
        <v>0.00115</v>
      </c>
      <c r="O8" s="12">
        <f t="shared" si="18"/>
        <v>0.00675</v>
      </c>
      <c r="P8" s="7">
        <f t="shared" si="9"/>
        <v>0.4877298145</v>
      </c>
      <c r="Q8" s="7">
        <f t="shared" si="10"/>
        <v>0.5933529444</v>
      </c>
      <c r="R8" s="7">
        <f t="shared" si="3"/>
        <v>-0.7657208367</v>
      </c>
      <c r="S8" s="7">
        <f t="shared" si="4"/>
        <v>0.8164557551</v>
      </c>
      <c r="T8" s="7">
        <f t="shared" si="5"/>
        <v>1</v>
      </c>
      <c r="U8" s="7">
        <f t="shared" si="6"/>
        <v>1</v>
      </c>
      <c r="V8" s="7">
        <f t="shared" ref="V8:W8" si="19">IF(AVERAGE(T2:T7) &gt; 0.25, 1, 0)</f>
        <v>1</v>
      </c>
      <c r="W8" s="7">
        <f t="shared" si="19"/>
        <v>1</v>
      </c>
      <c r="X8" s="8">
        <v>0.0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ht="22.5" customHeight="1">
      <c r="A9" s="6">
        <v>908.0</v>
      </c>
      <c r="B9" s="6">
        <v>1871.0</v>
      </c>
      <c r="C9" s="10">
        <v>1.54</v>
      </c>
      <c r="D9" s="10">
        <v>9.13</v>
      </c>
      <c r="E9" s="10">
        <v>0.31</v>
      </c>
      <c r="F9" s="10">
        <v>-0.31</v>
      </c>
      <c r="G9" s="10">
        <v>0.0</v>
      </c>
      <c r="H9" s="10">
        <v>0.17</v>
      </c>
      <c r="I9" s="10">
        <v>33.19</v>
      </c>
      <c r="J9" s="10">
        <f t="shared" ref="J9:O9" si="20">abs(C9-C8)/200</f>
        <v>0.00855</v>
      </c>
      <c r="K9" s="11">
        <f t="shared" si="20"/>
        <v>0.00495</v>
      </c>
      <c r="L9" s="12">
        <f t="shared" si="20"/>
        <v>0.0094</v>
      </c>
      <c r="M9" s="12">
        <f t="shared" si="20"/>
        <v>0.00255</v>
      </c>
      <c r="N9" s="12">
        <f t="shared" si="20"/>
        <v>0.00175</v>
      </c>
      <c r="O9" s="12">
        <f t="shared" si="20"/>
        <v>0.0027</v>
      </c>
      <c r="P9" s="7">
        <f t="shared" si="9"/>
        <v>0.4629023645</v>
      </c>
      <c r="Q9" s="7">
        <f t="shared" si="10"/>
        <v>0.2298775711</v>
      </c>
      <c r="R9" s="7">
        <f t="shared" si="3"/>
        <v>-0.5358432656</v>
      </c>
      <c r="S9" s="7">
        <f t="shared" si="4"/>
        <v>0.3535533906</v>
      </c>
      <c r="T9" s="7">
        <f t="shared" si="5"/>
        <v>1</v>
      </c>
      <c r="U9" s="7">
        <f t="shared" si="6"/>
        <v>1</v>
      </c>
      <c r="V9" s="7">
        <f t="shared" ref="V9:W9" si="21">IF(AVERAGE(T2:T8) &gt; 0.25, 1, 0)</f>
        <v>1</v>
      </c>
      <c r="W9" s="7">
        <f t="shared" si="21"/>
        <v>1</v>
      </c>
      <c r="X9" s="8">
        <v>0.0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ht="22.5" customHeight="1">
      <c r="A10" s="6">
        <v>909.0</v>
      </c>
      <c r="B10" s="6">
        <v>2075.0</v>
      </c>
      <c r="C10" s="10">
        <v>0.46</v>
      </c>
      <c r="D10" s="10">
        <v>9.78</v>
      </c>
      <c r="E10" s="10">
        <v>1.13</v>
      </c>
      <c r="F10" s="10">
        <v>-0.05</v>
      </c>
      <c r="G10" s="10">
        <v>-0.01</v>
      </c>
      <c r="H10" s="10">
        <v>-0.1</v>
      </c>
      <c r="I10" s="10">
        <v>33.21</v>
      </c>
      <c r="J10" s="10">
        <f t="shared" ref="J10:O10" si="22">abs(C10-C9)/200</f>
        <v>0.0054</v>
      </c>
      <c r="K10" s="11">
        <f t="shared" si="22"/>
        <v>0.00325</v>
      </c>
      <c r="L10" s="12">
        <f t="shared" si="22"/>
        <v>0.0041</v>
      </c>
      <c r="M10" s="12">
        <f t="shared" si="22"/>
        <v>0.0013</v>
      </c>
      <c r="N10" s="12">
        <f t="shared" si="22"/>
        <v>0.00005</v>
      </c>
      <c r="O10" s="12">
        <f t="shared" si="22"/>
        <v>0.00135</v>
      </c>
      <c r="P10" s="7">
        <f t="shared" si="9"/>
        <v>0.241303669</v>
      </c>
      <c r="Q10" s="7">
        <f t="shared" si="10"/>
        <v>0.5916486614</v>
      </c>
      <c r="R10" s="7">
        <f t="shared" si="3"/>
        <v>0.05580539581</v>
      </c>
      <c r="S10" s="7">
        <f t="shared" si="4"/>
        <v>0.1122497216</v>
      </c>
      <c r="T10" s="7">
        <f t="shared" si="5"/>
        <v>1</v>
      </c>
      <c r="U10" s="7">
        <f t="shared" si="6"/>
        <v>1</v>
      </c>
      <c r="V10" s="7">
        <f t="shared" ref="V10:W10" si="23">IF(AVERAGE(T2:T9) &gt; 0.25, 1, 0)</f>
        <v>1</v>
      </c>
      <c r="W10" s="7">
        <f t="shared" si="23"/>
        <v>1</v>
      </c>
      <c r="X10" s="8">
        <v>0.0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ht="22.5" customHeight="1">
      <c r="A11" s="6">
        <v>910.0</v>
      </c>
      <c r="B11" s="6">
        <v>3707.0</v>
      </c>
      <c r="C11" s="10">
        <v>0.38</v>
      </c>
      <c r="D11" s="10">
        <v>9.83</v>
      </c>
      <c r="E11" s="10">
        <v>0.77</v>
      </c>
      <c r="F11" s="10">
        <v>-0.15</v>
      </c>
      <c r="G11" s="10">
        <v>0.0</v>
      </c>
      <c r="H11" s="10">
        <v>-0.02</v>
      </c>
      <c r="I11" s="10">
        <v>33.22</v>
      </c>
      <c r="J11" s="10">
        <f t="shared" ref="J11:O11" si="24">abs(C11-C10)/200</f>
        <v>0.0004</v>
      </c>
      <c r="K11" s="11">
        <f t="shared" si="24"/>
        <v>0.00025</v>
      </c>
      <c r="L11" s="12">
        <f t="shared" si="24"/>
        <v>0.0018</v>
      </c>
      <c r="M11" s="12">
        <f t="shared" si="24"/>
        <v>0.0005</v>
      </c>
      <c r="N11" s="12">
        <f t="shared" si="24"/>
        <v>0.00005</v>
      </c>
      <c r="O11" s="12">
        <f t="shared" si="24"/>
        <v>0.0004</v>
      </c>
      <c r="P11" s="7">
        <f t="shared" si="9"/>
        <v>0.0390777379</v>
      </c>
      <c r="Q11" s="7">
        <f t="shared" si="10"/>
        <v>0.01162588087</v>
      </c>
      <c r="R11" s="7">
        <f t="shared" si="3"/>
        <v>0.06743127668</v>
      </c>
      <c r="S11" s="7">
        <f t="shared" si="4"/>
        <v>0.1513274595</v>
      </c>
      <c r="T11" s="7">
        <f t="shared" si="5"/>
        <v>1</v>
      </c>
      <c r="U11" s="7">
        <f t="shared" si="6"/>
        <v>1</v>
      </c>
      <c r="V11" s="7">
        <f t="shared" ref="V11:W11" si="25">IF(AVERAGE(T2:T10) &gt; 0.25, 1, 0)</f>
        <v>1</v>
      </c>
      <c r="W11" s="7">
        <f t="shared" si="25"/>
        <v>1</v>
      </c>
      <c r="X11" s="8">
        <v>0.0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ht="22.5" customHeight="1">
      <c r="A12" s="6">
        <v>911.0</v>
      </c>
      <c r="B12" s="6">
        <v>3911.0</v>
      </c>
      <c r="C12" s="10">
        <v>0.12</v>
      </c>
      <c r="D12" s="10">
        <v>9.83</v>
      </c>
      <c r="E12" s="10">
        <v>1.01</v>
      </c>
      <c r="F12" s="10">
        <v>0.15</v>
      </c>
      <c r="G12" s="10">
        <v>0.01</v>
      </c>
      <c r="H12" s="10">
        <v>0.01</v>
      </c>
      <c r="I12" s="10">
        <v>33.22</v>
      </c>
      <c r="J12" s="10">
        <f t="shared" ref="J12:O12" si="26">abs(C12-C11)/200</f>
        <v>0.0013</v>
      </c>
      <c r="K12" s="11">
        <f t="shared" si="26"/>
        <v>0</v>
      </c>
      <c r="L12" s="12">
        <f t="shared" si="26"/>
        <v>0.0012</v>
      </c>
      <c r="M12" s="12">
        <f t="shared" si="26"/>
        <v>0.0015</v>
      </c>
      <c r="N12" s="12">
        <f t="shared" si="26"/>
        <v>0.00005</v>
      </c>
      <c r="O12" s="12">
        <f t="shared" si="26"/>
        <v>0.00015</v>
      </c>
      <c r="P12" s="7">
        <f t="shared" si="9"/>
        <v>0.000662267771</v>
      </c>
      <c r="Q12" s="7">
        <f t="shared" si="10"/>
        <v>0.01504816929</v>
      </c>
      <c r="R12" s="7">
        <f t="shared" si="3"/>
        <v>0.08247944597</v>
      </c>
      <c r="S12" s="7">
        <f t="shared" si="4"/>
        <v>0.1506651917</v>
      </c>
      <c r="T12" s="7">
        <f t="shared" si="5"/>
        <v>1</v>
      </c>
      <c r="U12" s="7">
        <f t="shared" si="6"/>
        <v>1</v>
      </c>
      <c r="V12" s="7">
        <f t="shared" ref="V12:W12" si="27">IF(AVERAGE(T2:T11) &gt; 0.25, 1, 0)</f>
        <v>1</v>
      </c>
      <c r="W12" s="7">
        <f t="shared" si="27"/>
        <v>1</v>
      </c>
      <c r="X12" s="8">
        <v>0.0</v>
      </c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ht="22.5" customHeight="1">
      <c r="A13" s="6">
        <v>912.0</v>
      </c>
      <c r="B13" s="6">
        <v>4115.0</v>
      </c>
      <c r="C13" s="10">
        <v>0.45</v>
      </c>
      <c r="D13" s="10">
        <v>9.77</v>
      </c>
      <c r="E13" s="10">
        <v>0.66</v>
      </c>
      <c r="F13" s="10">
        <v>0.33</v>
      </c>
      <c r="G13" s="10">
        <v>0.01</v>
      </c>
      <c r="H13" s="10">
        <v>-0.02</v>
      </c>
      <c r="I13" s="10">
        <v>33.24</v>
      </c>
      <c r="J13" s="10">
        <f t="shared" ref="J13:O13" si="28">abs(C13-C12)/200</f>
        <v>0.00165</v>
      </c>
      <c r="K13" s="11">
        <f t="shared" si="28"/>
        <v>0.0003</v>
      </c>
      <c r="L13" s="12">
        <f t="shared" si="28"/>
        <v>0.00175</v>
      </c>
      <c r="M13" s="12">
        <f t="shared" si="28"/>
        <v>0.0009</v>
      </c>
      <c r="N13" s="12">
        <f t="shared" si="28"/>
        <v>0</v>
      </c>
      <c r="O13" s="12">
        <f t="shared" si="28"/>
        <v>0.00015</v>
      </c>
      <c r="P13" s="7">
        <f t="shared" si="9"/>
        <v>0.1800915164</v>
      </c>
      <c r="Q13" s="7">
        <f t="shared" si="10"/>
        <v>0.0798777505</v>
      </c>
      <c r="R13" s="7">
        <f t="shared" si="3"/>
        <v>0.002601695468</v>
      </c>
      <c r="S13" s="7">
        <f t="shared" si="4"/>
        <v>0.3307567082</v>
      </c>
      <c r="T13" s="7">
        <f t="shared" si="5"/>
        <v>1</v>
      </c>
      <c r="U13" s="7">
        <f t="shared" si="6"/>
        <v>1</v>
      </c>
      <c r="V13" s="7">
        <f t="shared" ref="V13:W13" si="29">IF(AVERAGE(T2:T12) &gt; 0.25, 1, 0)</f>
        <v>1</v>
      </c>
      <c r="W13" s="7">
        <f t="shared" si="29"/>
        <v>1</v>
      </c>
      <c r="X13" s="8">
        <v>0.0</v>
      </c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ht="22.5" customHeight="1">
      <c r="A14" s="6">
        <v>913.0</v>
      </c>
      <c r="B14" s="6">
        <v>4319.0</v>
      </c>
      <c r="C14" s="10">
        <v>0.13</v>
      </c>
      <c r="D14" s="10">
        <v>9.77</v>
      </c>
      <c r="E14" s="10">
        <v>-0.93</v>
      </c>
      <c r="F14" s="10">
        <v>-0.03</v>
      </c>
      <c r="G14" s="10">
        <v>-0.01</v>
      </c>
      <c r="H14" s="10">
        <v>-0.06</v>
      </c>
      <c r="I14" s="10">
        <v>33.23</v>
      </c>
      <c r="J14" s="10">
        <f t="shared" ref="J14:O14" si="30">abs(C14-C13)/200</f>
        <v>0.0016</v>
      </c>
      <c r="K14" s="11">
        <f t="shared" si="30"/>
        <v>0</v>
      </c>
      <c r="L14" s="12">
        <f t="shared" si="30"/>
        <v>0.00795</v>
      </c>
      <c r="M14" s="12">
        <f t="shared" si="30"/>
        <v>0.0018</v>
      </c>
      <c r="N14" s="12">
        <f t="shared" si="30"/>
        <v>0.0001</v>
      </c>
      <c r="O14" s="12">
        <f t="shared" si="30"/>
        <v>0.0002</v>
      </c>
      <c r="P14" s="7">
        <f t="shared" si="9"/>
        <v>0.2629334083</v>
      </c>
      <c r="Q14" s="7">
        <f t="shared" si="10"/>
        <v>0.01242250216</v>
      </c>
      <c r="R14" s="7">
        <f t="shared" si="3"/>
        <v>0.01502419763</v>
      </c>
      <c r="S14" s="7">
        <f t="shared" si="4"/>
        <v>0.06782329983</v>
      </c>
      <c r="T14" s="7">
        <f t="shared" si="5"/>
        <v>1</v>
      </c>
      <c r="U14" s="7">
        <f t="shared" si="6"/>
        <v>1</v>
      </c>
      <c r="V14" s="7">
        <f t="shared" ref="V14:W14" si="31">IF(AVERAGE(T2:T13) &gt; 0.25, 1, 0)</f>
        <v>1</v>
      </c>
      <c r="W14" s="7">
        <f t="shared" si="31"/>
        <v>1</v>
      </c>
      <c r="X14" s="8">
        <v>0.0</v>
      </c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ht="22.5" customHeight="1">
      <c r="A15" s="6">
        <v>914.0</v>
      </c>
      <c r="B15" s="6">
        <v>4523.0</v>
      </c>
      <c r="C15" s="10">
        <v>0.07</v>
      </c>
      <c r="D15" s="10">
        <v>9.84</v>
      </c>
      <c r="E15" s="10">
        <v>-0.58</v>
      </c>
      <c r="F15" s="10">
        <v>-0.52</v>
      </c>
      <c r="G15" s="10">
        <v>-0.02</v>
      </c>
      <c r="H15" s="10">
        <v>-0.07</v>
      </c>
      <c r="I15" s="10">
        <v>33.22</v>
      </c>
      <c r="J15" s="10">
        <f t="shared" ref="J15:O15" si="32">abs(C15-C14)/200</f>
        <v>0.0003</v>
      </c>
      <c r="K15" s="11">
        <f t="shared" si="32"/>
        <v>0.00035</v>
      </c>
      <c r="L15" s="12">
        <f t="shared" si="32"/>
        <v>0.00175</v>
      </c>
      <c r="M15" s="12">
        <f t="shared" si="32"/>
        <v>0.00245</v>
      </c>
      <c r="N15" s="12">
        <f t="shared" si="32"/>
        <v>0.00005</v>
      </c>
      <c r="O15" s="12">
        <f t="shared" si="32"/>
        <v>0.00005</v>
      </c>
      <c r="P15" s="7">
        <f t="shared" si="9"/>
        <v>0.4572481239</v>
      </c>
      <c r="Q15" s="7">
        <f t="shared" si="10"/>
        <v>0.04230302632</v>
      </c>
      <c r="R15" s="7">
        <f t="shared" si="3"/>
        <v>0.05732722395</v>
      </c>
      <c r="S15" s="7">
        <f t="shared" si="4"/>
        <v>0.5250714237</v>
      </c>
      <c r="T15" s="7">
        <f t="shared" si="5"/>
        <v>1</v>
      </c>
      <c r="U15" s="7">
        <f t="shared" si="6"/>
        <v>1</v>
      </c>
      <c r="V15" s="7">
        <f t="shared" ref="V15:W15" si="33">IF(AVERAGE(T2:T14) &gt; 0.25, 1, 0)</f>
        <v>1</v>
      </c>
      <c r="W15" s="7">
        <f t="shared" si="33"/>
        <v>1</v>
      </c>
      <c r="X15" s="8">
        <v>0.0</v>
      </c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ht="22.5" customHeight="1">
      <c r="A16" s="6">
        <v>915.0</v>
      </c>
      <c r="B16" s="6">
        <v>4727.0</v>
      </c>
      <c r="C16" s="10">
        <v>-0.48</v>
      </c>
      <c r="D16" s="10">
        <v>10.15</v>
      </c>
      <c r="E16" s="10">
        <v>2.75</v>
      </c>
      <c r="F16" s="10">
        <v>-0.62</v>
      </c>
      <c r="G16" s="10">
        <v>-0.01</v>
      </c>
      <c r="H16" s="10">
        <v>0.56</v>
      </c>
      <c r="I16" s="10">
        <v>33.22</v>
      </c>
      <c r="J16" s="10">
        <f t="shared" ref="J16:O16" si="34">abs(C16-C15)/200</f>
        <v>0.00275</v>
      </c>
      <c r="K16" s="11">
        <f t="shared" si="34"/>
        <v>0.00155</v>
      </c>
      <c r="L16" s="12">
        <f t="shared" si="34"/>
        <v>0.01665</v>
      </c>
      <c r="M16" s="12">
        <f t="shared" si="34"/>
        <v>0.0005</v>
      </c>
      <c r="N16" s="12">
        <f t="shared" si="34"/>
        <v>0.00005</v>
      </c>
      <c r="O16" s="12">
        <f t="shared" si="34"/>
        <v>0.00315</v>
      </c>
      <c r="P16" s="7">
        <f t="shared" si="9"/>
        <v>0.3104523641</v>
      </c>
      <c r="Q16" s="7">
        <f t="shared" si="10"/>
        <v>0.6695621552</v>
      </c>
      <c r="R16" s="7">
        <f t="shared" si="3"/>
        <v>0.7268893791</v>
      </c>
      <c r="S16" s="7">
        <f t="shared" si="4"/>
        <v>0.8355237878</v>
      </c>
      <c r="T16" s="7">
        <f t="shared" si="5"/>
        <v>1</v>
      </c>
      <c r="U16" s="7">
        <f t="shared" si="6"/>
        <v>1</v>
      </c>
      <c r="V16" s="7">
        <f t="shared" ref="V16:W16" si="35">IF(AVERAGE(T2:T15) &gt; 0.25, 1, 0)</f>
        <v>1</v>
      </c>
      <c r="W16" s="7">
        <f t="shared" si="35"/>
        <v>1</v>
      </c>
      <c r="X16" s="8">
        <v>0.0</v>
      </c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ht="22.5" customHeight="1">
      <c r="A17" s="6">
        <v>916.0</v>
      </c>
      <c r="B17" s="6">
        <v>4931.0</v>
      </c>
      <c r="C17" s="10">
        <v>0.78</v>
      </c>
      <c r="D17" s="10">
        <v>9.4</v>
      </c>
      <c r="E17" s="10">
        <v>2.21</v>
      </c>
      <c r="F17" s="10">
        <v>-0.17</v>
      </c>
      <c r="G17" s="10">
        <v>0.03</v>
      </c>
      <c r="H17" s="10">
        <v>-0.31</v>
      </c>
      <c r="I17" s="10">
        <v>33.21</v>
      </c>
      <c r="J17" s="10">
        <f t="shared" ref="J17:O17" si="36">abs(C17-C16)/200</f>
        <v>0.0063</v>
      </c>
      <c r="K17" s="11">
        <f t="shared" si="36"/>
        <v>0.00375</v>
      </c>
      <c r="L17" s="12">
        <f t="shared" si="36"/>
        <v>0.0027</v>
      </c>
      <c r="M17" s="12">
        <f t="shared" si="36"/>
        <v>0.00225</v>
      </c>
      <c r="N17" s="12">
        <f t="shared" si="36"/>
        <v>0.0002</v>
      </c>
      <c r="O17" s="12">
        <f t="shared" si="36"/>
        <v>0.00435</v>
      </c>
      <c r="P17" s="7">
        <f t="shared" si="9"/>
        <v>0.4806998878</v>
      </c>
      <c r="Q17" s="7">
        <f t="shared" si="10"/>
        <v>0.8391393823</v>
      </c>
      <c r="R17" s="7">
        <f t="shared" si="3"/>
        <v>-0.1122500032</v>
      </c>
      <c r="S17" s="7">
        <f t="shared" si="4"/>
        <v>0.3548239</v>
      </c>
      <c r="T17" s="7">
        <f t="shared" si="5"/>
        <v>1</v>
      </c>
      <c r="U17" s="7">
        <f t="shared" si="6"/>
        <v>1</v>
      </c>
      <c r="V17" s="7">
        <f t="shared" ref="V17:W17" si="37">IF(AVERAGE(T2:T16) &gt; 0.25, 1, 0)</f>
        <v>1</v>
      </c>
      <c r="W17" s="7">
        <f t="shared" si="37"/>
        <v>1</v>
      </c>
      <c r="X17" s="8">
        <v>0.0</v>
      </c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ht="22.5" customHeight="1">
      <c r="A18" s="6">
        <v>917.0</v>
      </c>
      <c r="B18" s="6">
        <v>5135.0</v>
      </c>
      <c r="C18" s="10">
        <v>-0.23</v>
      </c>
      <c r="D18" s="10">
        <v>10.09</v>
      </c>
      <c r="E18" s="10">
        <v>1.66</v>
      </c>
      <c r="F18" s="10">
        <v>0.26</v>
      </c>
      <c r="G18" s="10">
        <v>-0.01</v>
      </c>
      <c r="H18" s="10">
        <v>0.35</v>
      </c>
      <c r="I18" s="10">
        <v>33.22</v>
      </c>
      <c r="J18" s="10">
        <f t="shared" ref="J18:O18" si="38">abs(C18-C17)/200</f>
        <v>0.00505</v>
      </c>
      <c r="K18" s="11">
        <f t="shared" si="38"/>
        <v>0.00345</v>
      </c>
      <c r="L18" s="12">
        <f t="shared" si="38"/>
        <v>0.00275</v>
      </c>
      <c r="M18" s="12">
        <f t="shared" si="38"/>
        <v>0.00215</v>
      </c>
      <c r="N18" s="12">
        <f t="shared" si="38"/>
        <v>0.0002</v>
      </c>
      <c r="O18" s="12">
        <f t="shared" si="38"/>
        <v>0.0033</v>
      </c>
      <c r="P18" s="7">
        <f t="shared" si="9"/>
        <v>0.08129534976</v>
      </c>
      <c r="Q18" s="7">
        <f t="shared" si="10"/>
        <v>0.5404756558</v>
      </c>
      <c r="R18" s="7">
        <f t="shared" si="3"/>
        <v>0.4282256526</v>
      </c>
      <c r="S18" s="7">
        <f t="shared" si="4"/>
        <v>0.4361192497</v>
      </c>
      <c r="T18" s="7">
        <f t="shared" si="5"/>
        <v>1</v>
      </c>
      <c r="U18" s="7">
        <f t="shared" si="6"/>
        <v>1</v>
      </c>
      <c r="V18" s="7">
        <f t="shared" ref="V18:W18" si="39">IF(AVERAGE(T2:T17) &gt; 0.25, 1, 0)</f>
        <v>1</v>
      </c>
      <c r="W18" s="7">
        <f t="shared" si="39"/>
        <v>1</v>
      </c>
      <c r="X18" s="8">
        <v>0.0</v>
      </c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ht="22.5" customHeight="1">
      <c r="A19" s="6">
        <v>918.0</v>
      </c>
      <c r="B19" s="6">
        <v>5339.0</v>
      </c>
      <c r="C19" s="10">
        <v>-0.27</v>
      </c>
      <c r="D19" s="10">
        <v>9.86</v>
      </c>
      <c r="E19" s="10">
        <v>1.53</v>
      </c>
      <c r="F19" s="10">
        <v>-0.2</v>
      </c>
      <c r="G19" s="10">
        <v>0.0</v>
      </c>
      <c r="H19" s="10">
        <v>0.05</v>
      </c>
      <c r="I19" s="10">
        <v>33.22</v>
      </c>
      <c r="J19" s="10">
        <f t="shared" ref="J19:O19" si="40">abs(C19-C18)/200</f>
        <v>0.0002</v>
      </c>
      <c r="K19" s="11">
        <f t="shared" si="40"/>
        <v>0.00115</v>
      </c>
      <c r="L19" s="12">
        <f t="shared" si="40"/>
        <v>0.00065</v>
      </c>
      <c r="M19" s="12">
        <f t="shared" si="40"/>
        <v>0.0023</v>
      </c>
      <c r="N19" s="12">
        <f t="shared" si="40"/>
        <v>0.00005</v>
      </c>
      <c r="O19" s="12">
        <f t="shared" si="40"/>
        <v>0.0015</v>
      </c>
      <c r="P19" s="7">
        <f t="shared" si="9"/>
        <v>0.2299639685</v>
      </c>
      <c r="Q19" s="7">
        <f t="shared" si="10"/>
        <v>0.2465724829</v>
      </c>
      <c r="R19" s="7">
        <f t="shared" si="3"/>
        <v>0.1816531697</v>
      </c>
      <c r="S19" s="7">
        <f t="shared" si="4"/>
        <v>0.2061552813</v>
      </c>
      <c r="T19" s="7">
        <f t="shared" si="5"/>
        <v>1</v>
      </c>
      <c r="U19" s="7">
        <f t="shared" si="6"/>
        <v>1</v>
      </c>
      <c r="V19" s="7">
        <f t="shared" ref="V19:W19" si="41">IF(AVERAGE(T2:T18) &gt; 0.25, 1, 0)</f>
        <v>1</v>
      </c>
      <c r="W19" s="7">
        <f t="shared" si="41"/>
        <v>1</v>
      </c>
      <c r="X19" s="8">
        <v>0.0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ht="22.5" customHeight="1">
      <c r="A20" s="6">
        <v>919.0</v>
      </c>
      <c r="B20" s="6">
        <v>5543.0</v>
      </c>
      <c r="C20" s="10">
        <v>-0.06</v>
      </c>
      <c r="D20" s="10">
        <v>9.78</v>
      </c>
      <c r="E20" s="10">
        <v>1.87</v>
      </c>
      <c r="F20" s="10">
        <v>0.14</v>
      </c>
      <c r="G20" s="10">
        <v>-0.01</v>
      </c>
      <c r="H20" s="10">
        <v>0.06</v>
      </c>
      <c r="I20" s="10">
        <v>33.2</v>
      </c>
      <c r="J20" s="10">
        <f t="shared" ref="J20:O20" si="42">abs(C20-C19)/200</f>
        <v>0.00105</v>
      </c>
      <c r="K20" s="11">
        <f t="shared" si="42"/>
        <v>0.0004</v>
      </c>
      <c r="L20" s="12">
        <f t="shared" si="42"/>
        <v>0.0017</v>
      </c>
      <c r="M20" s="12">
        <f t="shared" si="42"/>
        <v>0.0017</v>
      </c>
      <c r="N20" s="12">
        <f t="shared" si="42"/>
        <v>0.00005</v>
      </c>
      <c r="O20" s="12">
        <f t="shared" si="42"/>
        <v>0.00005</v>
      </c>
      <c r="P20" s="7">
        <f t="shared" si="9"/>
        <v>0.05351190606</v>
      </c>
      <c r="Q20" s="7">
        <f t="shared" si="10"/>
        <v>0.02429910347</v>
      </c>
      <c r="R20" s="7">
        <f t="shared" si="3"/>
        <v>0.1573540662</v>
      </c>
      <c r="S20" s="7">
        <f t="shared" si="4"/>
        <v>0.1526433752</v>
      </c>
      <c r="T20" s="7">
        <f t="shared" si="5"/>
        <v>1</v>
      </c>
      <c r="U20" s="7">
        <f t="shared" si="6"/>
        <v>1</v>
      </c>
      <c r="V20" s="7">
        <f t="shared" ref="V20:W20" si="43">IF(AVERAGE(T2:T19) &gt; 0.25, 1, 0)</f>
        <v>1</v>
      </c>
      <c r="W20" s="7">
        <f t="shared" si="43"/>
        <v>1</v>
      </c>
      <c r="X20" s="8">
        <v>0.0</v>
      </c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ht="22.5" customHeight="1">
      <c r="A21" s="6">
        <v>920.0</v>
      </c>
      <c r="B21" s="6">
        <v>5747.0</v>
      </c>
      <c r="C21" s="10">
        <v>0.25</v>
      </c>
      <c r="D21" s="10">
        <v>9.73</v>
      </c>
      <c r="E21" s="10">
        <v>0.75</v>
      </c>
      <c r="F21" s="10">
        <v>-0.02</v>
      </c>
      <c r="G21" s="10">
        <v>-0.01</v>
      </c>
      <c r="H21" s="10">
        <v>-0.35</v>
      </c>
      <c r="I21" s="10">
        <v>33.21</v>
      </c>
      <c r="J21" s="10">
        <f t="shared" ref="J21:O21" si="44">abs(C21-C20)/200</f>
        <v>0.00155</v>
      </c>
      <c r="K21" s="11">
        <f t="shared" si="44"/>
        <v>0.00025</v>
      </c>
      <c r="L21" s="12">
        <f t="shared" si="44"/>
        <v>0.0056</v>
      </c>
      <c r="M21" s="12">
        <f t="shared" si="44"/>
        <v>0.0008</v>
      </c>
      <c r="N21" s="12">
        <f t="shared" si="44"/>
        <v>0</v>
      </c>
      <c r="O21" s="12">
        <f t="shared" si="44"/>
        <v>0.00205</v>
      </c>
      <c r="P21" s="7">
        <f t="shared" si="9"/>
        <v>0.1980701831</v>
      </c>
      <c r="Q21" s="7">
        <f t="shared" si="10"/>
        <v>0.1952897353</v>
      </c>
      <c r="R21" s="7">
        <f t="shared" si="3"/>
        <v>-0.03793566913</v>
      </c>
      <c r="S21" s="7">
        <f t="shared" si="4"/>
        <v>0.3507135583</v>
      </c>
      <c r="T21" s="7">
        <f t="shared" si="5"/>
        <v>1</v>
      </c>
      <c r="U21" s="7">
        <f t="shared" si="6"/>
        <v>1</v>
      </c>
      <c r="V21" s="7">
        <f t="shared" ref="V21:W21" si="45">IF(AVERAGE(T2:T20) &gt; 0.25, 1, 0)</f>
        <v>1</v>
      </c>
      <c r="W21" s="7">
        <f t="shared" si="45"/>
        <v>1</v>
      </c>
      <c r="X21" s="8">
        <v>0.0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ht="22.5" customHeight="1">
      <c r="A22" s="6">
        <v>921.0</v>
      </c>
      <c r="B22" s="6">
        <v>5951.0</v>
      </c>
      <c r="C22" s="10">
        <v>-0.04</v>
      </c>
      <c r="D22" s="10">
        <v>9.84</v>
      </c>
      <c r="E22" s="10">
        <v>1.38</v>
      </c>
      <c r="F22" s="10">
        <v>0.05</v>
      </c>
      <c r="G22" s="10">
        <v>0.0</v>
      </c>
      <c r="H22" s="10">
        <v>0.1</v>
      </c>
      <c r="I22" s="10">
        <v>33.22</v>
      </c>
      <c r="J22" s="10">
        <f t="shared" ref="J22:O22" si="46">abs(C22-C21)/200</f>
        <v>0.00145</v>
      </c>
      <c r="K22" s="11">
        <f t="shared" si="46"/>
        <v>0.00055</v>
      </c>
      <c r="L22" s="12">
        <f t="shared" si="46"/>
        <v>0.00315</v>
      </c>
      <c r="M22" s="12">
        <f t="shared" si="46"/>
        <v>0.00035</v>
      </c>
      <c r="N22" s="12">
        <f t="shared" si="46"/>
        <v>0.00005</v>
      </c>
      <c r="O22" s="12">
        <f t="shared" si="46"/>
        <v>0.00225</v>
      </c>
      <c r="P22" s="7">
        <f t="shared" si="9"/>
        <v>0.2389101595</v>
      </c>
      <c r="Q22" s="7">
        <f t="shared" si="10"/>
        <v>0.1743132787</v>
      </c>
      <c r="R22" s="7">
        <f t="shared" si="3"/>
        <v>0.1363776096</v>
      </c>
      <c r="S22" s="7">
        <f t="shared" si="4"/>
        <v>0.1118033989</v>
      </c>
      <c r="T22" s="7">
        <f t="shared" si="5"/>
        <v>1</v>
      </c>
      <c r="U22" s="7">
        <f t="shared" si="6"/>
        <v>1</v>
      </c>
      <c r="V22" s="7">
        <f t="shared" ref="V22:W22" si="47">IF(AVERAGE(T2:T21) &gt; 0.25, 1, 0)</f>
        <v>1</v>
      </c>
      <c r="W22" s="7">
        <f t="shared" si="47"/>
        <v>1</v>
      </c>
      <c r="X22" s="8">
        <v>0.0</v>
      </c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ht="22.5" customHeight="1">
      <c r="A23" s="6">
        <v>922.0</v>
      </c>
      <c r="B23" s="6">
        <v>6155.0</v>
      </c>
      <c r="C23" s="10">
        <v>-0.06</v>
      </c>
      <c r="D23" s="10">
        <v>9.88</v>
      </c>
      <c r="E23" s="10">
        <v>0.81</v>
      </c>
      <c r="F23" s="10">
        <v>-0.1</v>
      </c>
      <c r="G23" s="10">
        <v>0.0</v>
      </c>
      <c r="H23" s="10">
        <v>0.02</v>
      </c>
      <c r="I23" s="10">
        <v>33.21</v>
      </c>
      <c r="J23" s="10">
        <f t="shared" ref="J23:O23" si="48">abs(C23-C22)/200</f>
        <v>0.0001</v>
      </c>
      <c r="K23" s="11">
        <f t="shared" si="48"/>
        <v>0.0002</v>
      </c>
      <c r="L23" s="12">
        <f t="shared" si="48"/>
        <v>0.00285</v>
      </c>
      <c r="M23" s="12">
        <f t="shared" si="48"/>
        <v>0.00075</v>
      </c>
      <c r="N23" s="12">
        <f t="shared" si="48"/>
        <v>0</v>
      </c>
      <c r="O23" s="12">
        <f t="shared" si="48"/>
        <v>0.0004</v>
      </c>
      <c r="P23" s="7">
        <f t="shared" si="9"/>
        <v>0.009823008603</v>
      </c>
      <c r="Q23" s="7">
        <f t="shared" si="10"/>
        <v>0.02304819913</v>
      </c>
      <c r="R23" s="7">
        <f t="shared" si="3"/>
        <v>0.1133294104</v>
      </c>
      <c r="S23" s="7">
        <f t="shared" si="4"/>
        <v>0.1019803903</v>
      </c>
      <c r="T23" s="7">
        <f t="shared" si="5"/>
        <v>1</v>
      </c>
      <c r="U23" s="7">
        <f t="shared" si="6"/>
        <v>1</v>
      </c>
      <c r="V23" s="7">
        <f t="shared" ref="V23:W23" si="49">IF(AVERAGE(T2:T22) &gt; 0.25, 1, 0)</f>
        <v>1</v>
      </c>
      <c r="W23" s="7">
        <f t="shared" si="49"/>
        <v>1</v>
      </c>
      <c r="X23" s="8">
        <v>0.0</v>
      </c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ht="22.5" customHeight="1">
      <c r="A24" s="6">
        <v>923.0</v>
      </c>
      <c r="B24" s="6">
        <v>6359.0</v>
      </c>
      <c r="C24" s="10">
        <v>0.09</v>
      </c>
      <c r="D24" s="10">
        <v>9.8</v>
      </c>
      <c r="E24" s="10">
        <v>0.55</v>
      </c>
      <c r="F24" s="10">
        <v>-0.22</v>
      </c>
      <c r="G24" s="10">
        <v>-0.01</v>
      </c>
      <c r="H24" s="10">
        <v>-0.15</v>
      </c>
      <c r="I24" s="10">
        <v>33.21</v>
      </c>
      <c r="J24" s="10">
        <f t="shared" ref="J24:O24" si="50">abs(C24-C23)/200</f>
        <v>0.00075</v>
      </c>
      <c r="K24" s="11">
        <f t="shared" si="50"/>
        <v>0.0004</v>
      </c>
      <c r="L24" s="12">
        <f t="shared" si="50"/>
        <v>0.0013</v>
      </c>
      <c r="M24" s="12">
        <f t="shared" si="50"/>
        <v>0.0006</v>
      </c>
      <c r="N24" s="12">
        <f t="shared" si="50"/>
        <v>0.00005</v>
      </c>
      <c r="O24" s="12">
        <f t="shared" si="50"/>
        <v>0.00085</v>
      </c>
      <c r="P24" s="7">
        <f t="shared" si="9"/>
        <v>0.1644778616</v>
      </c>
      <c r="Q24" s="7">
        <f t="shared" si="10"/>
        <v>0.09749526352</v>
      </c>
      <c r="R24" s="7">
        <f t="shared" si="3"/>
        <v>0.01583414693</v>
      </c>
      <c r="S24" s="7">
        <f t="shared" si="4"/>
        <v>0.2664582519</v>
      </c>
      <c r="T24" s="7">
        <f t="shared" si="5"/>
        <v>1</v>
      </c>
      <c r="U24" s="7">
        <f t="shared" si="6"/>
        <v>1</v>
      </c>
      <c r="V24" s="7">
        <f t="shared" ref="V24:W24" si="51">IF(AVERAGE(T2:T23) &gt; 0.25, 1, 0)</f>
        <v>1</v>
      </c>
      <c r="W24" s="7">
        <f t="shared" si="51"/>
        <v>1</v>
      </c>
      <c r="X24" s="8">
        <v>0.0</v>
      </c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ht="22.5" customHeight="1">
      <c r="A25" s="6">
        <v>924.0</v>
      </c>
      <c r="B25" s="6">
        <v>6563.0</v>
      </c>
      <c r="C25" s="10">
        <v>0.14</v>
      </c>
      <c r="D25" s="10">
        <v>9.93</v>
      </c>
      <c r="E25" s="10">
        <v>1.12</v>
      </c>
      <c r="F25" s="10">
        <v>-0.13</v>
      </c>
      <c r="G25" s="10">
        <v>0.0</v>
      </c>
      <c r="H25" s="10">
        <v>0.04</v>
      </c>
      <c r="I25" s="10">
        <v>33.21</v>
      </c>
      <c r="J25" s="10">
        <f t="shared" ref="J25:O25" si="52">abs(C25-C24)/200</f>
        <v>0.00025</v>
      </c>
      <c r="K25" s="11">
        <f t="shared" si="52"/>
        <v>0.00065</v>
      </c>
      <c r="L25" s="12">
        <f t="shared" si="52"/>
        <v>0.00285</v>
      </c>
      <c r="M25" s="12">
        <f t="shared" si="52"/>
        <v>0.00045</v>
      </c>
      <c r="N25" s="12">
        <f t="shared" si="52"/>
        <v>0.00005</v>
      </c>
      <c r="O25" s="12">
        <f t="shared" si="52"/>
        <v>0.00095</v>
      </c>
      <c r="P25" s="7">
        <f t="shared" si="9"/>
        <v>0.1304435468</v>
      </c>
      <c r="Q25" s="7">
        <f t="shared" si="10"/>
        <v>0.1781090188</v>
      </c>
      <c r="R25" s="7">
        <f t="shared" si="3"/>
        <v>0.1939431657</v>
      </c>
      <c r="S25" s="7">
        <f t="shared" si="4"/>
        <v>0.1360147051</v>
      </c>
      <c r="T25" s="7">
        <f t="shared" si="5"/>
        <v>1</v>
      </c>
      <c r="U25" s="7">
        <f t="shared" si="6"/>
        <v>1</v>
      </c>
      <c r="V25" s="7">
        <f t="shared" ref="V25:W25" si="53">IF(AVERAGE(T2:T24) &gt; 0.25, 1, 0)</f>
        <v>1</v>
      </c>
      <c r="W25" s="7">
        <f t="shared" si="53"/>
        <v>1</v>
      </c>
      <c r="X25" s="8">
        <v>0.0</v>
      </c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ht="22.5" customHeight="1">
      <c r="A26" s="6">
        <v>925.0</v>
      </c>
      <c r="B26" s="6">
        <v>6767.0</v>
      </c>
      <c r="C26" s="10">
        <v>0.06</v>
      </c>
      <c r="D26" s="10">
        <v>9.78</v>
      </c>
      <c r="E26" s="10">
        <v>1.37</v>
      </c>
      <c r="F26" s="10">
        <v>-0.17</v>
      </c>
      <c r="G26" s="10">
        <v>-0.01</v>
      </c>
      <c r="H26" s="10">
        <v>-0.11</v>
      </c>
      <c r="I26" s="10">
        <v>33.21</v>
      </c>
      <c r="J26" s="10">
        <f t="shared" ref="J26:O26" si="54">abs(C26-C25)/200</f>
        <v>0.0004</v>
      </c>
      <c r="K26" s="11">
        <f t="shared" si="54"/>
        <v>0.00075</v>
      </c>
      <c r="L26" s="12">
        <f t="shared" si="54"/>
        <v>0.00125</v>
      </c>
      <c r="M26" s="12">
        <f t="shared" si="54"/>
        <v>0.0002</v>
      </c>
      <c r="N26" s="12">
        <f t="shared" si="54"/>
        <v>0.00005</v>
      </c>
      <c r="O26" s="12">
        <f t="shared" si="54"/>
        <v>0.00075</v>
      </c>
      <c r="P26" s="7">
        <f t="shared" si="9"/>
        <v>0.06671664424</v>
      </c>
      <c r="Q26" s="7">
        <f t="shared" si="10"/>
        <v>0.1182710367</v>
      </c>
      <c r="R26" s="7">
        <f t="shared" si="3"/>
        <v>0.07567212902</v>
      </c>
      <c r="S26" s="7">
        <f t="shared" si="4"/>
        <v>0.2027313493</v>
      </c>
      <c r="T26" s="7">
        <f t="shared" si="5"/>
        <v>1</v>
      </c>
      <c r="U26" s="7">
        <f t="shared" si="6"/>
        <v>1</v>
      </c>
      <c r="V26" s="7">
        <f t="shared" ref="V26:W26" si="55">IF(AVERAGE(T2:T25) &gt; 0.25, 1, 0)</f>
        <v>1</v>
      </c>
      <c r="W26" s="7">
        <f t="shared" si="55"/>
        <v>1</v>
      </c>
      <c r="X26" s="8">
        <v>0.0</v>
      </c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ht="22.5" customHeight="1">
      <c r="A27" s="6">
        <v>926.0</v>
      </c>
      <c r="B27" s="6">
        <v>6971.0</v>
      </c>
      <c r="C27" s="10">
        <v>0.52</v>
      </c>
      <c r="D27" s="10">
        <v>9.62</v>
      </c>
      <c r="E27" s="10">
        <v>2.15</v>
      </c>
      <c r="F27" s="10">
        <v>-1.0</v>
      </c>
      <c r="G27" s="10">
        <v>-0.01</v>
      </c>
      <c r="H27" s="10">
        <v>0.45</v>
      </c>
      <c r="I27" s="10">
        <v>33.22</v>
      </c>
      <c r="J27" s="10">
        <f t="shared" ref="J27:O27" si="56">abs(C27-C26)/200</f>
        <v>0.0023</v>
      </c>
      <c r="K27" s="11">
        <f t="shared" si="56"/>
        <v>0.0008</v>
      </c>
      <c r="L27" s="12">
        <f t="shared" si="56"/>
        <v>0.0039</v>
      </c>
      <c r="M27" s="12">
        <f t="shared" si="56"/>
        <v>0.00415</v>
      </c>
      <c r="N27" s="12">
        <f t="shared" si="56"/>
        <v>0</v>
      </c>
      <c r="O27" s="12">
        <f t="shared" si="56"/>
        <v>0.0028</v>
      </c>
      <c r="P27" s="7">
        <f t="shared" si="9"/>
        <v>0.8938998558</v>
      </c>
      <c r="Q27" s="7">
        <f t="shared" si="10"/>
        <v>0.004638748472</v>
      </c>
      <c r="R27" s="7">
        <f t="shared" si="3"/>
        <v>0.07103338055</v>
      </c>
      <c r="S27" s="7">
        <f t="shared" si="4"/>
        <v>1.096631205</v>
      </c>
      <c r="T27" s="7">
        <f t="shared" si="5"/>
        <v>1</v>
      </c>
      <c r="U27" s="7">
        <f t="shared" si="6"/>
        <v>1</v>
      </c>
      <c r="V27" s="7">
        <f t="shared" ref="V27:W27" si="57">IF(AVERAGE(T2:T26) &gt; 0.25, 1, 0)</f>
        <v>1</v>
      </c>
      <c r="W27" s="7">
        <f t="shared" si="57"/>
        <v>1</v>
      </c>
      <c r="X27" s="8">
        <v>0.0</v>
      </c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ht="22.5" customHeight="1">
      <c r="A28" s="6">
        <v>927.0</v>
      </c>
      <c r="B28" s="6">
        <v>7175.0</v>
      </c>
      <c r="C28" s="10">
        <v>-1.02</v>
      </c>
      <c r="D28" s="10">
        <v>9.45</v>
      </c>
      <c r="E28" s="10">
        <v>3.19</v>
      </c>
      <c r="F28" s="10">
        <v>-0.43</v>
      </c>
      <c r="G28" s="10">
        <v>0.03</v>
      </c>
      <c r="H28" s="10">
        <v>0.13</v>
      </c>
      <c r="I28" s="10">
        <v>33.21</v>
      </c>
      <c r="J28" s="10">
        <f t="shared" ref="J28:O28" si="58">abs(C28-C27)/200</f>
        <v>0.0077</v>
      </c>
      <c r="K28" s="11">
        <f t="shared" si="58"/>
        <v>0.00085</v>
      </c>
      <c r="L28" s="12">
        <f t="shared" si="58"/>
        <v>0.0052</v>
      </c>
      <c r="M28" s="12">
        <f t="shared" si="58"/>
        <v>0.00285</v>
      </c>
      <c r="N28" s="12">
        <f t="shared" si="58"/>
        <v>0.0002</v>
      </c>
      <c r="O28" s="12">
        <f t="shared" si="58"/>
        <v>0.0016</v>
      </c>
      <c r="P28" s="7">
        <f t="shared" si="9"/>
        <v>0.6464090377</v>
      </c>
      <c r="Q28" s="7">
        <f t="shared" si="10"/>
        <v>0.1548830364</v>
      </c>
      <c r="R28" s="7">
        <f t="shared" si="3"/>
        <v>0.225916417</v>
      </c>
      <c r="S28" s="7">
        <f t="shared" si="4"/>
        <v>0.4502221674</v>
      </c>
      <c r="T28" s="7">
        <f t="shared" si="5"/>
        <v>1</v>
      </c>
      <c r="U28" s="7">
        <f t="shared" si="6"/>
        <v>1</v>
      </c>
      <c r="V28" s="7">
        <f t="shared" ref="V28:W28" si="59">IF(AVERAGE(T2:T27) &gt; 0.25, 1, 0)</f>
        <v>1</v>
      </c>
      <c r="W28" s="7">
        <f t="shared" si="59"/>
        <v>1</v>
      </c>
      <c r="X28" s="8">
        <v>0.0</v>
      </c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ht="22.5" customHeight="1">
      <c r="A29" s="6">
        <v>928.0</v>
      </c>
      <c r="B29" s="6">
        <v>7379.0</v>
      </c>
      <c r="C29" s="10">
        <v>-0.16</v>
      </c>
      <c r="D29" s="10">
        <v>10.03</v>
      </c>
      <c r="E29" s="10">
        <v>2.25</v>
      </c>
      <c r="F29" s="10">
        <v>0.15</v>
      </c>
      <c r="G29" s="10">
        <v>0.0</v>
      </c>
      <c r="H29" s="10">
        <v>-0.1</v>
      </c>
      <c r="I29" s="10">
        <v>33.22</v>
      </c>
      <c r="J29" s="10">
        <f t="shared" ref="J29:O29" si="60">abs(C29-C28)/200</f>
        <v>0.0043</v>
      </c>
      <c r="K29" s="11">
        <f t="shared" si="60"/>
        <v>0.0029</v>
      </c>
      <c r="L29" s="12">
        <f t="shared" si="60"/>
        <v>0.0047</v>
      </c>
      <c r="M29" s="12">
        <f t="shared" si="60"/>
        <v>0.0029</v>
      </c>
      <c r="N29" s="12">
        <f t="shared" si="60"/>
        <v>0.00015</v>
      </c>
      <c r="O29" s="12">
        <f t="shared" si="60"/>
        <v>0.00115</v>
      </c>
      <c r="P29" s="7">
        <f t="shared" si="9"/>
        <v>0.2699446036</v>
      </c>
      <c r="Q29" s="7">
        <f t="shared" si="10"/>
        <v>0.2545991343</v>
      </c>
      <c r="R29" s="7">
        <f t="shared" si="3"/>
        <v>0.4805155513</v>
      </c>
      <c r="S29" s="7">
        <f t="shared" si="4"/>
        <v>0.1802775638</v>
      </c>
      <c r="T29" s="7">
        <f t="shared" si="5"/>
        <v>1</v>
      </c>
      <c r="U29" s="7">
        <f t="shared" si="6"/>
        <v>1</v>
      </c>
      <c r="V29" s="7">
        <f t="shared" ref="V29:W29" si="61">IF(AVERAGE(T2:T28) &gt; 0.25, 1, 0)</f>
        <v>1</v>
      </c>
      <c r="W29" s="7">
        <f t="shared" si="61"/>
        <v>1</v>
      </c>
      <c r="X29" s="8">
        <v>0.0</v>
      </c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ht="22.5" customHeight="1">
      <c r="A30" s="6">
        <v>929.0</v>
      </c>
      <c r="B30" s="6">
        <v>7583.0</v>
      </c>
      <c r="C30" s="10">
        <v>0.23</v>
      </c>
      <c r="D30" s="10">
        <v>9.75</v>
      </c>
      <c r="E30" s="10">
        <v>2.52</v>
      </c>
      <c r="F30" s="10">
        <v>-0.15</v>
      </c>
      <c r="G30" s="10">
        <v>-0.01</v>
      </c>
      <c r="H30" s="10">
        <v>0.15</v>
      </c>
      <c r="I30" s="10">
        <v>33.23</v>
      </c>
      <c r="J30" s="10">
        <f t="shared" ref="J30:O30" si="62">abs(C30-C29)/200</f>
        <v>0.00195</v>
      </c>
      <c r="K30" s="11">
        <f t="shared" si="62"/>
        <v>0.0014</v>
      </c>
      <c r="L30" s="12">
        <f t="shared" si="62"/>
        <v>0.00135</v>
      </c>
      <c r="M30" s="12">
        <f t="shared" si="62"/>
        <v>0.0015</v>
      </c>
      <c r="N30" s="12">
        <f t="shared" si="62"/>
        <v>0.00005</v>
      </c>
      <c r="O30" s="12">
        <f t="shared" si="62"/>
        <v>0.00125</v>
      </c>
      <c r="P30" s="7">
        <f t="shared" si="9"/>
        <v>0.03209004204</v>
      </c>
      <c r="Q30" s="7">
        <f t="shared" si="10"/>
        <v>0.207492172</v>
      </c>
      <c r="R30" s="7">
        <f t="shared" si="3"/>
        <v>0.2730233793</v>
      </c>
      <c r="S30" s="7">
        <f t="shared" si="4"/>
        <v>0.2123676058</v>
      </c>
      <c r="T30" s="7">
        <f t="shared" si="5"/>
        <v>1</v>
      </c>
      <c r="U30" s="7">
        <f t="shared" si="6"/>
        <v>1</v>
      </c>
      <c r="V30" s="7">
        <f t="shared" ref="V30:W30" si="63">IF(AVERAGE(T2:T29) &gt; 0.25, 1, 0)</f>
        <v>1</v>
      </c>
      <c r="W30" s="7">
        <f t="shared" si="63"/>
        <v>1</v>
      </c>
      <c r="X30" s="8">
        <v>0.0</v>
      </c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ht="22.5" customHeight="1">
      <c r="A31" s="6">
        <v>930.0</v>
      </c>
      <c r="B31" s="6">
        <v>7787.0</v>
      </c>
      <c r="C31" s="10">
        <v>0.41</v>
      </c>
      <c r="D31" s="10">
        <v>9.69</v>
      </c>
      <c r="E31" s="10">
        <v>2.35</v>
      </c>
      <c r="F31" s="10">
        <v>-0.1</v>
      </c>
      <c r="G31" s="10">
        <v>0.0</v>
      </c>
      <c r="H31" s="10">
        <v>-0.04</v>
      </c>
      <c r="I31" s="10">
        <v>33.23</v>
      </c>
      <c r="J31" s="10">
        <f t="shared" ref="J31:O31" si="64">abs(C31-C30)/200</f>
        <v>0.0009</v>
      </c>
      <c r="K31" s="11">
        <f t="shared" si="64"/>
        <v>0.0003</v>
      </c>
      <c r="L31" s="12">
        <f t="shared" si="64"/>
        <v>0.00085</v>
      </c>
      <c r="M31" s="12">
        <f t="shared" si="64"/>
        <v>0.00025</v>
      </c>
      <c r="N31" s="12">
        <f t="shared" si="64"/>
        <v>0.00005</v>
      </c>
      <c r="O31" s="12">
        <f t="shared" si="64"/>
        <v>0.00095</v>
      </c>
      <c r="P31" s="7">
        <f t="shared" si="9"/>
        <v>0.1046643097</v>
      </c>
      <c r="Q31" s="7">
        <f t="shared" si="10"/>
        <v>0.09370977565</v>
      </c>
      <c r="R31" s="7">
        <f t="shared" si="3"/>
        <v>0.1793136037</v>
      </c>
      <c r="S31" s="7">
        <f t="shared" si="4"/>
        <v>0.1077032961</v>
      </c>
      <c r="T31" s="7">
        <f t="shared" si="5"/>
        <v>1</v>
      </c>
      <c r="U31" s="7">
        <f t="shared" si="6"/>
        <v>1</v>
      </c>
      <c r="V31" s="7">
        <f t="shared" ref="V31:W31" si="65">IF(AVERAGE(T2:T30) &gt; 0.25, 1, 0)</f>
        <v>1</v>
      </c>
      <c r="W31" s="7">
        <f t="shared" si="65"/>
        <v>1</v>
      </c>
      <c r="X31" s="8">
        <v>0.0</v>
      </c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ht="22.5" customHeight="1">
      <c r="A32" s="6">
        <v>931.0</v>
      </c>
      <c r="B32" s="6">
        <v>7991.0</v>
      </c>
      <c r="C32" s="10">
        <v>0.53</v>
      </c>
      <c r="D32" s="10">
        <v>9.67</v>
      </c>
      <c r="E32" s="10">
        <v>2.43</v>
      </c>
      <c r="F32" s="10">
        <v>-0.09</v>
      </c>
      <c r="G32" s="10">
        <v>-0.01</v>
      </c>
      <c r="H32" s="10">
        <v>0.02</v>
      </c>
      <c r="I32" s="10">
        <v>33.23</v>
      </c>
      <c r="J32" s="10">
        <f t="shared" ref="J32:O32" si="66">abs(C32-C31)/200</f>
        <v>0.0006</v>
      </c>
      <c r="K32" s="11">
        <f t="shared" si="66"/>
        <v>0.0001</v>
      </c>
      <c r="L32" s="12">
        <f t="shared" si="66"/>
        <v>0.0004</v>
      </c>
      <c r="M32" s="12">
        <f t="shared" si="66"/>
        <v>0.00005</v>
      </c>
      <c r="N32" s="12">
        <f t="shared" si="66"/>
        <v>0.00005</v>
      </c>
      <c r="O32" s="12">
        <f t="shared" si="66"/>
        <v>0.0003</v>
      </c>
      <c r="P32" s="7">
        <f t="shared" si="9"/>
        <v>0.01496711119</v>
      </c>
      <c r="Q32" s="7">
        <f t="shared" si="10"/>
        <v>0.005409727519</v>
      </c>
      <c r="R32" s="7">
        <f t="shared" si="3"/>
        <v>0.1847233312</v>
      </c>
      <c r="S32" s="7">
        <f t="shared" si="4"/>
        <v>0.09273618495</v>
      </c>
      <c r="T32" s="7">
        <f t="shared" si="5"/>
        <v>1</v>
      </c>
      <c r="U32" s="7">
        <f t="shared" si="6"/>
        <v>0</v>
      </c>
      <c r="V32" s="7">
        <f t="shared" ref="V32:W32" si="67">IF(AVERAGE(T2:T31) &gt; 0.25, 1, 0)</f>
        <v>1</v>
      </c>
      <c r="W32" s="7">
        <f t="shared" si="67"/>
        <v>1</v>
      </c>
      <c r="X32" s="8">
        <v>0.0</v>
      </c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ht="22.5" customHeight="1">
      <c r="A33" s="6">
        <v>932.0</v>
      </c>
      <c r="B33" s="6">
        <v>8195.0</v>
      </c>
      <c r="C33" s="10">
        <v>0.5</v>
      </c>
      <c r="D33" s="10">
        <v>9.68</v>
      </c>
      <c r="E33" s="10">
        <v>2.35</v>
      </c>
      <c r="F33" s="10">
        <v>-0.08</v>
      </c>
      <c r="G33" s="10">
        <v>-0.01</v>
      </c>
      <c r="H33" s="10">
        <v>0.01</v>
      </c>
      <c r="I33" s="10">
        <v>33.23</v>
      </c>
      <c r="J33" s="10">
        <f t="shared" ref="J33:O33" si="68">abs(C33-C32)/200</f>
        <v>0.00015</v>
      </c>
      <c r="K33" s="11">
        <f t="shared" si="68"/>
        <v>0.00005</v>
      </c>
      <c r="L33" s="12">
        <f t="shared" si="68"/>
        <v>0.0004</v>
      </c>
      <c r="M33" s="12">
        <f t="shared" si="68"/>
        <v>0.00005</v>
      </c>
      <c r="N33" s="12">
        <f t="shared" si="68"/>
        <v>0</v>
      </c>
      <c r="O33" s="12">
        <f t="shared" si="68"/>
        <v>0.00005</v>
      </c>
      <c r="P33" s="7">
        <f t="shared" si="9"/>
        <v>0.01149580091</v>
      </c>
      <c r="Q33" s="7">
        <f t="shared" si="10"/>
        <v>0.01101288821</v>
      </c>
      <c r="R33" s="7">
        <f t="shared" si="3"/>
        <v>0.173710443</v>
      </c>
      <c r="S33" s="7">
        <f t="shared" si="4"/>
        <v>0.08124038405</v>
      </c>
      <c r="T33" s="7">
        <f t="shared" si="5"/>
        <v>1</v>
      </c>
      <c r="U33" s="7">
        <f t="shared" si="6"/>
        <v>0</v>
      </c>
      <c r="V33" s="7">
        <f t="shared" ref="V33:W33" si="69">IF(AVERAGE(T2:T32) &gt; 0.25, 1, 0)</f>
        <v>1</v>
      </c>
      <c r="W33" s="7">
        <f t="shared" si="69"/>
        <v>1</v>
      </c>
      <c r="X33" s="8">
        <v>0.0</v>
      </c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ht="22.5" customHeight="1">
      <c r="A34" s="6">
        <v>933.0</v>
      </c>
      <c r="B34" s="6">
        <v>8399.0</v>
      </c>
      <c r="C34" s="10">
        <v>0.51</v>
      </c>
      <c r="D34" s="10">
        <v>9.71</v>
      </c>
      <c r="E34" s="10">
        <v>2.32</v>
      </c>
      <c r="F34" s="10">
        <v>-0.1</v>
      </c>
      <c r="G34" s="10">
        <v>0.0</v>
      </c>
      <c r="H34" s="10">
        <v>-0.01</v>
      </c>
      <c r="I34" s="10">
        <v>33.24</v>
      </c>
      <c r="J34" s="10">
        <f t="shared" ref="J34:O34" si="70">abs(C34-C33)/200</f>
        <v>0.00005</v>
      </c>
      <c r="K34" s="11">
        <f t="shared" si="70"/>
        <v>0.00015</v>
      </c>
      <c r="L34" s="12">
        <f t="shared" si="70"/>
        <v>0.00015</v>
      </c>
      <c r="M34" s="12">
        <f t="shared" si="70"/>
        <v>0.0001</v>
      </c>
      <c r="N34" s="12">
        <f t="shared" si="70"/>
        <v>0.00005</v>
      </c>
      <c r="O34" s="12">
        <f t="shared" si="70"/>
        <v>0.0001</v>
      </c>
      <c r="P34" s="7">
        <f t="shared" si="9"/>
        <v>0.01925837216</v>
      </c>
      <c r="Q34" s="7">
        <f t="shared" si="10"/>
        <v>0.02261888335</v>
      </c>
      <c r="R34" s="7">
        <f t="shared" si="3"/>
        <v>0.1963293263</v>
      </c>
      <c r="S34" s="7">
        <f t="shared" si="4"/>
        <v>0.1004987562</v>
      </c>
      <c r="T34" s="7">
        <f t="shared" si="5"/>
        <v>0</v>
      </c>
      <c r="U34" s="7">
        <f t="shared" si="6"/>
        <v>0</v>
      </c>
      <c r="V34" s="7">
        <f t="shared" ref="V34:W34" si="71">IF(AVERAGE(T2:T33) &gt; 0.25, 1, 0)</f>
        <v>1</v>
      </c>
      <c r="W34" s="7">
        <f t="shared" si="71"/>
        <v>1</v>
      </c>
      <c r="X34" s="8">
        <v>0.0</v>
      </c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ht="22.5" customHeight="1">
      <c r="A35" s="6">
        <v>934.0</v>
      </c>
      <c r="B35" s="6">
        <v>8603.0</v>
      </c>
      <c r="C35" s="10">
        <v>0.45</v>
      </c>
      <c r="D35" s="10">
        <v>9.73</v>
      </c>
      <c r="E35" s="10">
        <v>2.4</v>
      </c>
      <c r="F35" s="10">
        <v>-0.1</v>
      </c>
      <c r="G35" s="10">
        <v>0.0</v>
      </c>
      <c r="H35" s="10">
        <v>0.0</v>
      </c>
      <c r="I35" s="10">
        <v>33.23</v>
      </c>
      <c r="J35" s="10">
        <f t="shared" ref="J35:O35" si="72">abs(C35-C34)/200</f>
        <v>0.0003</v>
      </c>
      <c r="K35" s="11">
        <f t="shared" si="72"/>
        <v>0.0001</v>
      </c>
      <c r="L35" s="12">
        <f t="shared" si="72"/>
        <v>0.0004</v>
      </c>
      <c r="M35" s="12">
        <f t="shared" si="72"/>
        <v>0</v>
      </c>
      <c r="N35" s="12">
        <f t="shared" si="72"/>
        <v>0</v>
      </c>
      <c r="O35" s="12">
        <f t="shared" si="72"/>
        <v>0.00005</v>
      </c>
      <c r="P35" s="7">
        <f t="shared" si="9"/>
        <v>0.0004987562112</v>
      </c>
      <c r="Q35" s="7">
        <f t="shared" si="10"/>
        <v>0.03539036675</v>
      </c>
      <c r="R35" s="7">
        <f t="shared" si="3"/>
        <v>0.2317196931</v>
      </c>
      <c r="S35" s="7">
        <f t="shared" si="4"/>
        <v>0.1</v>
      </c>
      <c r="T35" s="7">
        <f t="shared" si="5"/>
        <v>1</v>
      </c>
      <c r="U35" s="7">
        <f t="shared" si="6"/>
        <v>0</v>
      </c>
      <c r="V35" s="7">
        <f t="shared" ref="V35:W35" si="73">IF(AVERAGE(T2:T34) &gt; 0.25, 1, 0)</f>
        <v>1</v>
      </c>
      <c r="W35" s="7">
        <f t="shared" si="73"/>
        <v>1</v>
      </c>
      <c r="X35" s="8">
        <v>0.0</v>
      </c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22.5" customHeight="1">
      <c r="A36" s="6">
        <v>935.0</v>
      </c>
      <c r="B36" s="6">
        <v>8807.0</v>
      </c>
      <c r="C36" s="10">
        <v>0.56</v>
      </c>
      <c r="D36" s="10">
        <v>9.71</v>
      </c>
      <c r="E36" s="10">
        <v>2.4</v>
      </c>
      <c r="F36" s="10">
        <v>-0.09</v>
      </c>
      <c r="G36" s="10">
        <v>0.0</v>
      </c>
      <c r="H36" s="10">
        <v>0.0</v>
      </c>
      <c r="I36" s="10">
        <v>33.24</v>
      </c>
      <c r="J36" s="10">
        <f t="shared" ref="J36:O36" si="74">abs(C36-C35)/200</f>
        <v>0.00055</v>
      </c>
      <c r="K36" s="11">
        <f t="shared" si="74"/>
        <v>0.0001</v>
      </c>
      <c r="L36" s="12">
        <f t="shared" si="74"/>
        <v>0</v>
      </c>
      <c r="M36" s="12">
        <f t="shared" si="74"/>
        <v>0.00005</v>
      </c>
      <c r="N36" s="12">
        <f t="shared" si="74"/>
        <v>0</v>
      </c>
      <c r="O36" s="12">
        <f t="shared" si="74"/>
        <v>0</v>
      </c>
      <c r="P36" s="7">
        <f t="shared" si="9"/>
        <v>0.01</v>
      </c>
      <c r="Q36" s="7">
        <f t="shared" si="10"/>
        <v>0.01385065817</v>
      </c>
      <c r="R36" s="7">
        <f t="shared" si="3"/>
        <v>0.2178690349</v>
      </c>
      <c r="S36" s="7">
        <f t="shared" si="4"/>
        <v>0.09</v>
      </c>
      <c r="T36" s="7">
        <f t="shared" si="5"/>
        <v>1</v>
      </c>
      <c r="U36" s="7">
        <f t="shared" si="6"/>
        <v>0</v>
      </c>
      <c r="V36" s="7">
        <f t="shared" ref="V36:W36" si="75">IF(AVERAGE(T2:T35) &gt; 0.25, 1, 0)</f>
        <v>1</v>
      </c>
      <c r="W36" s="7">
        <f t="shared" si="75"/>
        <v>1</v>
      </c>
      <c r="X36" s="8">
        <v>0.0</v>
      </c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22.5" customHeight="1">
      <c r="A37" s="6">
        <v>936.0</v>
      </c>
      <c r="B37" s="6">
        <v>9011.0</v>
      </c>
      <c r="C37" s="10">
        <v>0.58</v>
      </c>
      <c r="D37" s="10">
        <v>9.7</v>
      </c>
      <c r="E37" s="10">
        <v>2.37</v>
      </c>
      <c r="F37" s="10">
        <v>-0.1</v>
      </c>
      <c r="G37" s="10">
        <v>0.0</v>
      </c>
      <c r="H37" s="10">
        <v>-0.01</v>
      </c>
      <c r="I37" s="10">
        <v>33.23</v>
      </c>
      <c r="J37" s="10">
        <f t="shared" ref="J37:O37" si="76">abs(C37-C36)/200</f>
        <v>0.0001</v>
      </c>
      <c r="K37" s="11">
        <f t="shared" si="76"/>
        <v>0.00005</v>
      </c>
      <c r="L37" s="12">
        <f t="shared" si="76"/>
        <v>0.00015</v>
      </c>
      <c r="M37" s="12">
        <f t="shared" si="76"/>
        <v>0.00005</v>
      </c>
      <c r="N37" s="12">
        <f t="shared" si="76"/>
        <v>0</v>
      </c>
      <c r="O37" s="12">
        <f t="shared" si="76"/>
        <v>0.00005</v>
      </c>
      <c r="P37" s="7">
        <f t="shared" si="9"/>
        <v>0.01049875621</v>
      </c>
      <c r="Q37" s="7">
        <f t="shared" si="10"/>
        <v>0.01570426919</v>
      </c>
      <c r="R37" s="7">
        <f t="shared" si="3"/>
        <v>0.2021647657</v>
      </c>
      <c r="S37" s="7">
        <f t="shared" si="4"/>
        <v>0.1004987562</v>
      </c>
      <c r="T37" s="7">
        <f t="shared" si="5"/>
        <v>0</v>
      </c>
      <c r="U37" s="7">
        <f t="shared" si="6"/>
        <v>0</v>
      </c>
      <c r="V37" s="7">
        <f t="shared" ref="V37:W37" si="77">IF(AVERAGE(T2:T36) &gt; 0.25, 1, 0)</f>
        <v>1</v>
      </c>
      <c r="W37" s="7">
        <f t="shared" si="77"/>
        <v>1</v>
      </c>
      <c r="X37" s="8">
        <v>0.0</v>
      </c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22.5" customHeight="1">
      <c r="A38" s="6">
        <v>937.0</v>
      </c>
      <c r="B38" s="6">
        <v>9215.0</v>
      </c>
      <c r="C38" s="10">
        <v>0.6</v>
      </c>
      <c r="D38" s="10">
        <v>9.7</v>
      </c>
      <c r="E38" s="10">
        <v>2.39</v>
      </c>
      <c r="F38" s="10">
        <v>-0.1</v>
      </c>
      <c r="G38" s="10">
        <v>-0.01</v>
      </c>
      <c r="H38" s="10">
        <v>0.01</v>
      </c>
      <c r="I38" s="10">
        <v>33.24</v>
      </c>
      <c r="J38" s="10">
        <f t="shared" ref="J38:O38" si="78">abs(C38-C37)/200</f>
        <v>0.0001</v>
      </c>
      <c r="K38" s="11">
        <f t="shared" si="78"/>
        <v>0</v>
      </c>
      <c r="L38" s="12">
        <f t="shared" si="78"/>
        <v>0.0001</v>
      </c>
      <c r="M38" s="12">
        <f t="shared" si="78"/>
        <v>0</v>
      </c>
      <c r="N38" s="12">
        <f t="shared" si="78"/>
        <v>0.00005</v>
      </c>
      <c r="O38" s="12">
        <f t="shared" si="78"/>
        <v>0.0001</v>
      </c>
      <c r="P38" s="7">
        <f t="shared" si="9"/>
        <v>0.0004962931724</v>
      </c>
      <c r="Q38" s="7">
        <f t="shared" si="10"/>
        <v>0.005936952419</v>
      </c>
      <c r="R38" s="7">
        <f t="shared" si="3"/>
        <v>0.2081017181</v>
      </c>
      <c r="S38" s="7">
        <f t="shared" si="4"/>
        <v>0.1009950494</v>
      </c>
      <c r="T38" s="7">
        <f t="shared" si="5"/>
        <v>0</v>
      </c>
      <c r="U38" s="7">
        <f t="shared" si="6"/>
        <v>0</v>
      </c>
      <c r="V38" s="7">
        <f t="shared" ref="V38:W38" si="79">IF(AVERAGE(T2:T37) &gt; 0.25, 1, 0)</f>
        <v>1</v>
      </c>
      <c r="W38" s="7">
        <f t="shared" si="79"/>
        <v>1</v>
      </c>
      <c r="X38" s="8">
        <v>0.0</v>
      </c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22.5" customHeight="1">
      <c r="A39" s="6">
        <v>938.0</v>
      </c>
      <c r="B39" s="6">
        <v>9419.0</v>
      </c>
      <c r="C39" s="10">
        <v>0.63</v>
      </c>
      <c r="D39" s="10">
        <v>9.7</v>
      </c>
      <c r="E39" s="10">
        <v>2.33</v>
      </c>
      <c r="F39" s="10">
        <v>-0.08</v>
      </c>
      <c r="G39" s="10">
        <v>0.0</v>
      </c>
      <c r="H39" s="10">
        <v>-0.01</v>
      </c>
      <c r="I39" s="10">
        <v>33.25</v>
      </c>
      <c r="J39" s="10">
        <f t="shared" ref="J39:O39" si="80">abs(C39-C38)/200</f>
        <v>0.00015</v>
      </c>
      <c r="K39" s="11">
        <f t="shared" si="80"/>
        <v>0</v>
      </c>
      <c r="L39" s="12">
        <f t="shared" si="80"/>
        <v>0.0003</v>
      </c>
      <c r="M39" s="12">
        <f t="shared" si="80"/>
        <v>0.0001</v>
      </c>
      <c r="N39" s="12">
        <f t="shared" si="80"/>
        <v>0.00005</v>
      </c>
      <c r="O39" s="12">
        <f t="shared" si="80"/>
        <v>0.0001</v>
      </c>
      <c r="P39" s="7">
        <f t="shared" si="9"/>
        <v>0.0203724719</v>
      </c>
      <c r="Q39" s="7">
        <f t="shared" si="10"/>
        <v>0.01231260469</v>
      </c>
      <c r="R39" s="7">
        <f t="shared" si="3"/>
        <v>0.1957891134</v>
      </c>
      <c r="S39" s="7">
        <f t="shared" si="4"/>
        <v>0.08062257748</v>
      </c>
      <c r="T39" s="7">
        <f t="shared" si="5"/>
        <v>0</v>
      </c>
      <c r="U39" s="7">
        <f t="shared" si="6"/>
        <v>0</v>
      </c>
      <c r="V39" s="7">
        <f t="shared" ref="V39:W39" si="81">IF(AVERAGE(T2:T38) &gt; 0.25, 1, 0)</f>
        <v>1</v>
      </c>
      <c r="W39" s="7">
        <f t="shared" si="81"/>
        <v>1</v>
      </c>
      <c r="X39" s="8">
        <v>0.0</v>
      </c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22.5" customHeight="1">
      <c r="A40" s="6">
        <v>939.0</v>
      </c>
      <c r="B40" s="6">
        <v>9623.0</v>
      </c>
      <c r="C40" s="10">
        <v>0.62</v>
      </c>
      <c r="D40" s="10">
        <v>9.7</v>
      </c>
      <c r="E40" s="10">
        <v>2.34</v>
      </c>
      <c r="F40" s="10">
        <v>-0.12</v>
      </c>
      <c r="G40" s="10">
        <v>0.0</v>
      </c>
      <c r="H40" s="10">
        <v>-0.01</v>
      </c>
      <c r="I40" s="10">
        <v>33.24</v>
      </c>
      <c r="J40" s="10">
        <f t="shared" ref="J40:O40" si="82">abs(C40-C39)/200</f>
        <v>0.00005</v>
      </c>
      <c r="K40" s="11">
        <f t="shared" si="82"/>
        <v>0</v>
      </c>
      <c r="L40" s="12">
        <f t="shared" si="82"/>
        <v>0.00005</v>
      </c>
      <c r="M40" s="12">
        <f t="shared" si="82"/>
        <v>0.0002</v>
      </c>
      <c r="N40" s="12">
        <f t="shared" si="82"/>
        <v>0</v>
      </c>
      <c r="O40" s="12">
        <f t="shared" si="82"/>
        <v>0</v>
      </c>
      <c r="P40" s="7">
        <f t="shared" si="9"/>
        <v>0.0397933683</v>
      </c>
      <c r="Q40" s="7">
        <f t="shared" si="10"/>
        <v>0.001710574</v>
      </c>
      <c r="R40" s="7">
        <f t="shared" si="3"/>
        <v>0.1974996874</v>
      </c>
      <c r="S40" s="7">
        <f t="shared" si="4"/>
        <v>0.1204159458</v>
      </c>
      <c r="T40" s="7">
        <f t="shared" si="5"/>
        <v>0</v>
      </c>
      <c r="U40" s="7">
        <f t="shared" si="6"/>
        <v>0</v>
      </c>
      <c r="V40" s="7">
        <f t="shared" ref="V40:W40" si="83">IF(AVERAGE(T2:T39) &gt; 0.25, 1, 0)</f>
        <v>1</v>
      </c>
      <c r="W40" s="7">
        <f t="shared" si="83"/>
        <v>1</v>
      </c>
      <c r="X40" s="8">
        <v>0.0</v>
      </c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22.5" customHeight="1">
      <c r="A41" s="6">
        <v>940.0</v>
      </c>
      <c r="B41" s="6">
        <v>9827.0</v>
      </c>
      <c r="C41" s="10">
        <v>0.62</v>
      </c>
      <c r="D41" s="10">
        <v>9.7</v>
      </c>
      <c r="E41" s="10">
        <v>2.47</v>
      </c>
      <c r="F41" s="10">
        <v>-0.1</v>
      </c>
      <c r="G41" s="10">
        <v>0.0</v>
      </c>
      <c r="H41" s="10">
        <v>0.0</v>
      </c>
      <c r="I41" s="10">
        <v>33.24</v>
      </c>
      <c r="J41" s="10">
        <f t="shared" ref="J41:O41" si="84">abs(C41-C40)/200</f>
        <v>0</v>
      </c>
      <c r="K41" s="11">
        <f t="shared" si="84"/>
        <v>0</v>
      </c>
      <c r="L41" s="12">
        <f t="shared" si="84"/>
        <v>0.00065</v>
      </c>
      <c r="M41" s="12">
        <f t="shared" si="84"/>
        <v>0.0001</v>
      </c>
      <c r="N41" s="12">
        <f t="shared" si="84"/>
        <v>0</v>
      </c>
      <c r="O41" s="12">
        <f t="shared" si="84"/>
        <v>0.00005</v>
      </c>
      <c r="P41" s="7">
        <f t="shared" si="9"/>
        <v>0.02041594579</v>
      </c>
      <c r="Q41" s="7">
        <f t="shared" si="10"/>
        <v>0.0312240599</v>
      </c>
      <c r="R41" s="7">
        <f t="shared" si="3"/>
        <v>0.2287237473</v>
      </c>
      <c r="S41" s="7">
        <f t="shared" si="4"/>
        <v>0.1</v>
      </c>
      <c r="T41" s="7">
        <f t="shared" si="5"/>
        <v>1</v>
      </c>
      <c r="U41" s="7">
        <f t="shared" si="6"/>
        <v>0</v>
      </c>
      <c r="V41" s="7">
        <f t="shared" ref="V41:W41" si="85">IF(AVERAGE(T2:T40) &gt; 0.25, 1, 0)</f>
        <v>1</v>
      </c>
      <c r="W41" s="7">
        <f t="shared" si="85"/>
        <v>1</v>
      </c>
      <c r="X41" s="8">
        <v>0.0</v>
      </c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22.5" customHeight="1">
      <c r="A42" s="6">
        <v>941.0</v>
      </c>
      <c r="B42" s="6">
        <v>10031.0</v>
      </c>
      <c r="C42" s="10">
        <v>0.57</v>
      </c>
      <c r="D42" s="10">
        <v>9.71</v>
      </c>
      <c r="E42" s="10">
        <v>2.43</v>
      </c>
      <c r="F42" s="10">
        <v>-0.11</v>
      </c>
      <c r="G42" s="10">
        <v>0.0</v>
      </c>
      <c r="H42" s="10">
        <v>-0.05</v>
      </c>
      <c r="I42" s="10">
        <v>33.24</v>
      </c>
      <c r="J42" s="10">
        <f t="shared" ref="J42:O42" si="86">abs(C42-C41)/200</f>
        <v>0.00025</v>
      </c>
      <c r="K42" s="11">
        <f t="shared" si="86"/>
        <v>0.00005</v>
      </c>
      <c r="L42" s="12">
        <f t="shared" si="86"/>
        <v>0.0002</v>
      </c>
      <c r="M42" s="12">
        <f t="shared" si="86"/>
        <v>0.00005</v>
      </c>
      <c r="N42" s="12">
        <f t="shared" si="86"/>
        <v>0</v>
      </c>
      <c r="O42" s="12">
        <f t="shared" si="86"/>
        <v>0.00025</v>
      </c>
      <c r="P42" s="7">
        <f t="shared" si="9"/>
        <v>0.02083045974</v>
      </c>
      <c r="Q42" s="7">
        <f t="shared" si="10"/>
        <v>0.003061674416</v>
      </c>
      <c r="R42" s="7">
        <f t="shared" si="3"/>
        <v>0.2256620729</v>
      </c>
      <c r="S42" s="7">
        <f t="shared" si="4"/>
        <v>0.1208304597</v>
      </c>
      <c r="T42" s="7">
        <f t="shared" si="5"/>
        <v>0</v>
      </c>
      <c r="U42" s="7">
        <f t="shared" si="6"/>
        <v>0</v>
      </c>
      <c r="V42" s="7">
        <f t="shared" ref="V42:W42" si="87">IF(AVERAGE(T2:T41) &gt; 0.25, 1, 0)</f>
        <v>1</v>
      </c>
      <c r="W42" s="7">
        <f t="shared" si="87"/>
        <v>1</v>
      </c>
      <c r="X42" s="8">
        <v>0.0</v>
      </c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22.5" customHeight="1">
      <c r="A43" s="6">
        <v>942.0</v>
      </c>
      <c r="B43" s="6">
        <v>10235.0</v>
      </c>
      <c r="C43" s="10">
        <v>0.53</v>
      </c>
      <c r="D43" s="10">
        <v>9.7</v>
      </c>
      <c r="E43" s="10">
        <v>2.42</v>
      </c>
      <c r="F43" s="10">
        <v>-0.09</v>
      </c>
      <c r="G43" s="10">
        <v>0.0</v>
      </c>
      <c r="H43" s="10">
        <v>-0.04</v>
      </c>
      <c r="I43" s="10">
        <v>33.25</v>
      </c>
      <c r="J43" s="10">
        <f t="shared" ref="J43:O43" si="88">abs(C43-C42)/200</f>
        <v>0.0002</v>
      </c>
      <c r="K43" s="11">
        <f t="shared" si="88"/>
        <v>0.00005</v>
      </c>
      <c r="L43" s="12">
        <f t="shared" si="88"/>
        <v>0.00005</v>
      </c>
      <c r="M43" s="12">
        <f t="shared" si="88"/>
        <v>0.0001</v>
      </c>
      <c r="N43" s="12">
        <f t="shared" si="88"/>
        <v>0</v>
      </c>
      <c r="O43" s="12">
        <f t="shared" si="88"/>
        <v>0.00005</v>
      </c>
      <c r="P43" s="7">
        <f t="shared" si="9"/>
        <v>0.02234188172</v>
      </c>
      <c r="Q43" s="7">
        <f t="shared" si="10"/>
        <v>0.01430352373</v>
      </c>
      <c r="R43" s="7">
        <f t="shared" si="3"/>
        <v>0.2113585492</v>
      </c>
      <c r="S43" s="7">
        <f t="shared" si="4"/>
        <v>0.09848857802</v>
      </c>
      <c r="T43" s="7">
        <f t="shared" si="5"/>
        <v>0</v>
      </c>
      <c r="U43" s="7">
        <f t="shared" si="6"/>
        <v>0</v>
      </c>
      <c r="V43" s="7">
        <f t="shared" ref="V43:W43" si="89">IF(AVERAGE(T2:T42) &gt; 0.25, 1, 0)</f>
        <v>1</v>
      </c>
      <c r="W43" s="7">
        <f t="shared" si="89"/>
        <v>1</v>
      </c>
      <c r="X43" s="8">
        <v>0.0</v>
      </c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22.5" customHeight="1">
      <c r="A44" s="6">
        <v>943.0</v>
      </c>
      <c r="B44" s="6">
        <v>10439.0</v>
      </c>
      <c r="C44" s="10">
        <v>0.53</v>
      </c>
      <c r="D44" s="10">
        <v>9.7</v>
      </c>
      <c r="E44" s="10">
        <v>2.49</v>
      </c>
      <c r="F44" s="10">
        <v>-0.09</v>
      </c>
      <c r="G44" s="10">
        <v>-0.01</v>
      </c>
      <c r="H44" s="10">
        <v>0.01</v>
      </c>
      <c r="I44" s="10">
        <v>33.25</v>
      </c>
      <c r="J44" s="10">
        <f t="shared" ref="J44:O44" si="90">abs(C44-C43)/200</f>
        <v>0</v>
      </c>
      <c r="K44" s="11">
        <f t="shared" si="90"/>
        <v>0</v>
      </c>
      <c r="L44" s="12">
        <f t="shared" si="90"/>
        <v>0.00035</v>
      </c>
      <c r="M44" s="12">
        <f t="shared" si="90"/>
        <v>0</v>
      </c>
      <c r="N44" s="12">
        <f t="shared" si="90"/>
        <v>0.00005</v>
      </c>
      <c r="O44" s="12">
        <f t="shared" si="90"/>
        <v>0.00025</v>
      </c>
      <c r="P44" s="7">
        <f t="shared" si="9"/>
        <v>0.007384242227</v>
      </c>
      <c r="Q44" s="7">
        <f t="shared" si="10"/>
        <v>0.01715081165</v>
      </c>
      <c r="R44" s="7">
        <f t="shared" si="3"/>
        <v>0.2285093608</v>
      </c>
      <c r="S44" s="7">
        <f t="shared" si="4"/>
        <v>0.09110433579</v>
      </c>
      <c r="T44" s="7">
        <f t="shared" si="5"/>
        <v>1</v>
      </c>
      <c r="U44" s="7">
        <f t="shared" si="6"/>
        <v>0</v>
      </c>
      <c r="V44" s="7">
        <f t="shared" ref="V44:W44" si="91">IF(AVERAGE(T2:T43) &gt; 0.25, 1, 0)</f>
        <v>1</v>
      </c>
      <c r="W44" s="7">
        <f t="shared" si="91"/>
        <v>1</v>
      </c>
      <c r="X44" s="8">
        <v>0.0</v>
      </c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22.5" customHeight="1">
      <c r="A45" s="6">
        <v>944.0</v>
      </c>
      <c r="B45" s="6">
        <v>10643.0</v>
      </c>
      <c r="C45" s="10">
        <v>0.57</v>
      </c>
      <c r="D45" s="10">
        <v>9.71</v>
      </c>
      <c r="E45" s="10">
        <v>2.44</v>
      </c>
      <c r="F45" s="10">
        <v>-0.11</v>
      </c>
      <c r="G45" s="10">
        <v>0.0</v>
      </c>
      <c r="H45" s="10">
        <v>-0.01</v>
      </c>
      <c r="I45" s="10">
        <v>33.25</v>
      </c>
      <c r="J45" s="10">
        <f t="shared" ref="J45:O45" si="92">abs(C45-C44)/200</f>
        <v>0.0002</v>
      </c>
      <c r="K45" s="11">
        <f t="shared" si="92"/>
        <v>0.00005</v>
      </c>
      <c r="L45" s="12">
        <f t="shared" si="92"/>
        <v>0.00025</v>
      </c>
      <c r="M45" s="12">
        <f t="shared" si="92"/>
        <v>0.0001</v>
      </c>
      <c r="N45" s="12">
        <f t="shared" si="92"/>
        <v>0.00005</v>
      </c>
      <c r="O45" s="12">
        <f t="shared" si="92"/>
        <v>0.0001</v>
      </c>
      <c r="P45" s="7">
        <f t="shared" si="9"/>
        <v>0.01934927438</v>
      </c>
      <c r="Q45" s="7">
        <f t="shared" si="10"/>
        <v>0.0004188147562</v>
      </c>
      <c r="R45" s="7">
        <f t="shared" si="3"/>
        <v>0.2280905461</v>
      </c>
      <c r="S45" s="7">
        <f t="shared" si="4"/>
        <v>0.1104536102</v>
      </c>
      <c r="T45" s="7">
        <f t="shared" si="5"/>
        <v>0</v>
      </c>
      <c r="U45" s="7">
        <f t="shared" si="6"/>
        <v>0</v>
      </c>
      <c r="V45" s="7">
        <f t="shared" ref="V45:W45" si="93">IF(AVERAGE(T2:T44) &gt; 0.25, 1, 0)</f>
        <v>1</v>
      </c>
      <c r="W45" s="7">
        <f t="shared" si="93"/>
        <v>1</v>
      </c>
      <c r="X45" s="8">
        <v>0.0</v>
      </c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22.5" customHeight="1">
      <c r="A46" s="6">
        <v>945.0</v>
      </c>
      <c r="B46" s="6">
        <v>10847.0</v>
      </c>
      <c r="C46" s="10">
        <v>0.56</v>
      </c>
      <c r="D46" s="10">
        <v>9.71</v>
      </c>
      <c r="E46" s="10">
        <v>2.44</v>
      </c>
      <c r="F46" s="10">
        <v>-0.1</v>
      </c>
      <c r="G46" s="10">
        <v>0.0</v>
      </c>
      <c r="H46" s="10">
        <v>0.0</v>
      </c>
      <c r="I46" s="10">
        <v>33.25</v>
      </c>
      <c r="J46" s="10">
        <f t="shared" ref="J46:O46" si="94">abs(C46-C45)/200</f>
        <v>0.00005</v>
      </c>
      <c r="K46" s="11">
        <f t="shared" si="94"/>
        <v>0</v>
      </c>
      <c r="L46" s="12">
        <f t="shared" si="94"/>
        <v>0</v>
      </c>
      <c r="M46" s="12">
        <f t="shared" si="94"/>
        <v>0.00005</v>
      </c>
      <c r="N46" s="12">
        <f t="shared" si="94"/>
        <v>0</v>
      </c>
      <c r="O46" s="12">
        <f t="shared" si="94"/>
        <v>0.00005</v>
      </c>
      <c r="P46" s="7">
        <f t="shared" si="9"/>
        <v>0.01045361017</v>
      </c>
      <c r="Q46" s="7">
        <f t="shared" si="10"/>
        <v>0.0005634331583</v>
      </c>
      <c r="R46" s="7">
        <f t="shared" si="3"/>
        <v>0.2275271129</v>
      </c>
      <c r="S46" s="7">
        <f t="shared" si="4"/>
        <v>0.1</v>
      </c>
      <c r="T46" s="7">
        <f t="shared" si="5"/>
        <v>0</v>
      </c>
      <c r="U46" s="7">
        <f t="shared" si="6"/>
        <v>0</v>
      </c>
      <c r="V46" s="7">
        <f t="shared" ref="V46:W46" si="95">IF(AVERAGE(T2:T45) &gt; 0.25, 1, 0)</f>
        <v>1</v>
      </c>
      <c r="W46" s="7">
        <f t="shared" si="95"/>
        <v>1</v>
      </c>
      <c r="X46" s="8">
        <v>0.0</v>
      </c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22.5" customHeight="1">
      <c r="A47" s="6">
        <v>946.0</v>
      </c>
      <c r="B47" s="6">
        <v>11051.0</v>
      </c>
      <c r="C47" s="10">
        <v>0.59</v>
      </c>
      <c r="D47" s="10">
        <v>9.69</v>
      </c>
      <c r="E47" s="10">
        <v>2.44</v>
      </c>
      <c r="F47" s="10">
        <v>-0.09</v>
      </c>
      <c r="G47" s="10">
        <v>0.0</v>
      </c>
      <c r="H47" s="10">
        <v>-0.01</v>
      </c>
      <c r="I47" s="10">
        <v>33.25</v>
      </c>
      <c r="J47" s="10">
        <f t="shared" ref="J47:O47" si="96">abs(C47-C46)/200</f>
        <v>0.00015</v>
      </c>
      <c r="K47" s="11">
        <f t="shared" si="96"/>
        <v>0.0001</v>
      </c>
      <c r="L47" s="12">
        <f t="shared" si="96"/>
        <v>0</v>
      </c>
      <c r="M47" s="12">
        <f t="shared" si="96"/>
        <v>0.00005</v>
      </c>
      <c r="N47" s="12">
        <f t="shared" si="96"/>
        <v>0</v>
      </c>
      <c r="O47" s="12">
        <f t="shared" si="96"/>
        <v>0.00005</v>
      </c>
      <c r="P47" s="7">
        <f t="shared" si="9"/>
        <v>0.009446148619</v>
      </c>
      <c r="Q47" s="7">
        <f t="shared" si="10"/>
        <v>0.01764199868</v>
      </c>
      <c r="R47" s="7">
        <f t="shared" si="3"/>
        <v>0.2098851142</v>
      </c>
      <c r="S47" s="7">
        <f t="shared" si="4"/>
        <v>0.09055385138</v>
      </c>
      <c r="T47" s="7">
        <f t="shared" si="5"/>
        <v>0</v>
      </c>
      <c r="U47" s="7">
        <f t="shared" si="6"/>
        <v>0</v>
      </c>
      <c r="V47" s="7">
        <f t="shared" ref="V47:W47" si="97">IF(AVERAGE(T2:T46) &gt; 0.25, 1, 0)</f>
        <v>1</v>
      </c>
      <c r="W47" s="7">
        <f t="shared" si="97"/>
        <v>1</v>
      </c>
      <c r="X47" s="8">
        <v>0.0</v>
      </c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22.5" customHeight="1">
      <c r="A48" s="6">
        <v>947.0</v>
      </c>
      <c r="B48" s="6">
        <v>11255.0</v>
      </c>
      <c r="C48" s="10">
        <v>0.57</v>
      </c>
      <c r="D48" s="10">
        <v>9.71</v>
      </c>
      <c r="E48" s="10">
        <v>2.44</v>
      </c>
      <c r="F48" s="10">
        <v>-0.1</v>
      </c>
      <c r="G48" s="10">
        <v>0.0</v>
      </c>
      <c r="H48" s="10">
        <v>-0.01</v>
      </c>
      <c r="I48" s="10">
        <v>33.24</v>
      </c>
      <c r="J48" s="10">
        <f t="shared" ref="J48:O48" si="98">abs(C48-C47)/200</f>
        <v>0.0001</v>
      </c>
      <c r="K48" s="11">
        <f t="shared" si="98"/>
        <v>0.0001</v>
      </c>
      <c r="L48" s="12">
        <f t="shared" si="98"/>
        <v>0</v>
      </c>
      <c r="M48" s="12">
        <f t="shared" si="98"/>
        <v>0.00005</v>
      </c>
      <c r="N48" s="12">
        <f t="shared" si="98"/>
        <v>0</v>
      </c>
      <c r="O48" s="12">
        <f t="shared" si="98"/>
        <v>0</v>
      </c>
      <c r="P48" s="7">
        <f t="shared" si="9"/>
        <v>0.00994490483</v>
      </c>
      <c r="Q48" s="7">
        <f t="shared" si="10"/>
        <v>0.01820543184</v>
      </c>
      <c r="R48" s="7">
        <f t="shared" si="3"/>
        <v>0.2280905461</v>
      </c>
      <c r="S48" s="7">
        <f t="shared" si="4"/>
        <v>0.1004987562</v>
      </c>
      <c r="T48" s="7">
        <f t="shared" si="5"/>
        <v>0</v>
      </c>
      <c r="U48" s="7">
        <f t="shared" si="6"/>
        <v>0</v>
      </c>
      <c r="V48" s="7">
        <f t="shared" ref="V48:W48" si="99">IF(AVERAGE(T2:T47) &gt; 0.25, 1, 0)</f>
        <v>1</v>
      </c>
      <c r="W48" s="7">
        <f t="shared" si="99"/>
        <v>1</v>
      </c>
      <c r="X48" s="8">
        <v>0.0</v>
      </c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22.5" customHeight="1">
      <c r="A49" s="6">
        <v>948.0</v>
      </c>
      <c r="B49" s="6">
        <v>11459.0</v>
      </c>
      <c r="C49" s="10">
        <v>0.59</v>
      </c>
      <c r="D49" s="10">
        <v>9.7</v>
      </c>
      <c r="E49" s="10">
        <v>2.43</v>
      </c>
      <c r="F49" s="10">
        <v>-0.1</v>
      </c>
      <c r="G49" s="10">
        <v>0.0</v>
      </c>
      <c r="H49" s="10">
        <v>-0.01</v>
      </c>
      <c r="I49" s="10">
        <v>33.25</v>
      </c>
      <c r="J49" s="10">
        <f t="shared" ref="J49:O49" si="100">abs(C49-C48)/200</f>
        <v>0.0001</v>
      </c>
      <c r="K49" s="11">
        <f t="shared" si="100"/>
        <v>0.00005</v>
      </c>
      <c r="L49" s="12">
        <f t="shared" si="100"/>
        <v>0.00005</v>
      </c>
      <c r="M49" s="12">
        <f t="shared" si="100"/>
        <v>0</v>
      </c>
      <c r="N49" s="12">
        <f t="shared" si="100"/>
        <v>0</v>
      </c>
      <c r="O49" s="12">
        <f t="shared" si="100"/>
        <v>0</v>
      </c>
      <c r="P49" s="7">
        <f t="shared" si="9"/>
        <v>0</v>
      </c>
      <c r="Q49" s="7">
        <f t="shared" si="10"/>
        <v>0.01095522702</v>
      </c>
      <c r="R49" s="7">
        <f t="shared" si="3"/>
        <v>0.217135319</v>
      </c>
      <c r="S49" s="7">
        <f t="shared" si="4"/>
        <v>0.1004987562</v>
      </c>
      <c r="T49" s="7">
        <f t="shared" si="5"/>
        <v>0</v>
      </c>
      <c r="U49" s="7">
        <f t="shared" si="6"/>
        <v>0</v>
      </c>
      <c r="V49" s="7">
        <f t="shared" ref="V49:W49" si="101">IF(AVERAGE(T2:T48) &gt; 0.25, 1, 0)</f>
        <v>1</v>
      </c>
      <c r="W49" s="7">
        <f t="shared" si="101"/>
        <v>1</v>
      </c>
      <c r="X49" s="8">
        <v>0.0</v>
      </c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22.5" customHeight="1">
      <c r="A50" s="6">
        <v>949.0</v>
      </c>
      <c r="B50" s="6">
        <v>11663.0</v>
      </c>
      <c r="C50" s="10">
        <v>0.58</v>
      </c>
      <c r="D50" s="10">
        <v>9.7</v>
      </c>
      <c r="E50" s="10">
        <v>2.44</v>
      </c>
      <c r="F50" s="10">
        <v>-0.1</v>
      </c>
      <c r="G50" s="10">
        <v>0.0</v>
      </c>
      <c r="H50" s="10">
        <v>-0.01</v>
      </c>
      <c r="I50" s="10">
        <v>33.25</v>
      </c>
      <c r="J50" s="10">
        <f t="shared" ref="J50:O50" si="102">abs(C50-C49)/200</f>
        <v>0.00005</v>
      </c>
      <c r="K50" s="11">
        <f t="shared" si="102"/>
        <v>0</v>
      </c>
      <c r="L50" s="12">
        <f t="shared" si="102"/>
        <v>0.00005</v>
      </c>
      <c r="M50" s="12">
        <f t="shared" si="102"/>
        <v>0</v>
      </c>
      <c r="N50" s="12">
        <f t="shared" si="102"/>
        <v>0</v>
      </c>
      <c r="O50" s="12">
        <f t="shared" si="102"/>
        <v>0</v>
      </c>
      <c r="P50" s="7">
        <f t="shared" si="9"/>
        <v>0</v>
      </c>
      <c r="Q50" s="7">
        <f t="shared" si="10"/>
        <v>0.001846665172</v>
      </c>
      <c r="R50" s="7">
        <f t="shared" si="3"/>
        <v>0.2189819842</v>
      </c>
      <c r="S50" s="7">
        <f t="shared" si="4"/>
        <v>0.1004987562</v>
      </c>
      <c r="T50" s="7">
        <f t="shared" si="5"/>
        <v>0</v>
      </c>
      <c r="U50" s="7">
        <f t="shared" si="6"/>
        <v>0</v>
      </c>
      <c r="V50" s="7">
        <f t="shared" ref="V50:W50" si="103">IF(AVERAGE(T2:T49) &gt; 0.25, 1, 0)</f>
        <v>1</v>
      </c>
      <c r="W50" s="7">
        <f t="shared" si="103"/>
        <v>1</v>
      </c>
      <c r="X50" s="8">
        <v>0.0</v>
      </c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22.5" customHeight="1">
      <c r="A51" s="6">
        <v>950.0</v>
      </c>
      <c r="B51" s="6">
        <v>11867.0</v>
      </c>
      <c r="C51" s="10">
        <v>0.62</v>
      </c>
      <c r="D51" s="10">
        <v>9.69</v>
      </c>
      <c r="E51" s="10">
        <v>2.44</v>
      </c>
      <c r="F51" s="10">
        <v>-0.1</v>
      </c>
      <c r="G51" s="10">
        <v>0.0</v>
      </c>
      <c r="H51" s="10">
        <v>-0.01</v>
      </c>
      <c r="I51" s="10">
        <v>33.24</v>
      </c>
      <c r="J51" s="10">
        <f t="shared" ref="J51:O51" si="104">abs(C51-C50)/200</f>
        <v>0.0002</v>
      </c>
      <c r="K51" s="11">
        <f t="shared" si="104"/>
        <v>0.00005</v>
      </c>
      <c r="L51" s="12">
        <f t="shared" si="104"/>
        <v>0</v>
      </c>
      <c r="M51" s="12">
        <f t="shared" si="104"/>
        <v>0</v>
      </c>
      <c r="N51" s="12">
        <f t="shared" si="104"/>
        <v>0</v>
      </c>
      <c r="O51" s="12">
        <f t="shared" si="104"/>
        <v>0</v>
      </c>
      <c r="P51" s="7">
        <f t="shared" si="9"/>
        <v>0</v>
      </c>
      <c r="Q51" s="7">
        <f t="shared" si="10"/>
        <v>0.007283826558</v>
      </c>
      <c r="R51" s="7">
        <f t="shared" si="3"/>
        <v>0.2116981577</v>
      </c>
      <c r="S51" s="7">
        <f t="shared" si="4"/>
        <v>0.1004987562</v>
      </c>
      <c r="T51" s="7">
        <f t="shared" si="5"/>
        <v>0</v>
      </c>
      <c r="U51" s="7">
        <f t="shared" si="6"/>
        <v>0</v>
      </c>
      <c r="V51" s="7">
        <f t="shared" ref="V51:W51" si="105">IF(AVERAGE(T2:T50) &gt; 0.25, 1, 0)</f>
        <v>1</v>
      </c>
      <c r="W51" s="7">
        <f t="shared" si="105"/>
        <v>1</v>
      </c>
      <c r="X51" s="8">
        <v>0.0</v>
      </c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22.5" customHeight="1">
      <c r="A52" s="6">
        <v>951.0</v>
      </c>
      <c r="B52" s="6">
        <v>12071.0</v>
      </c>
      <c r="C52" s="10">
        <v>0.6</v>
      </c>
      <c r="D52" s="10">
        <v>9.71</v>
      </c>
      <c r="E52" s="10">
        <v>2.44</v>
      </c>
      <c r="F52" s="10">
        <v>-0.08</v>
      </c>
      <c r="G52" s="10">
        <v>0.0</v>
      </c>
      <c r="H52" s="10">
        <v>0.0</v>
      </c>
      <c r="I52" s="10">
        <v>33.24</v>
      </c>
      <c r="J52" s="10">
        <f t="shared" ref="J52:O52" si="106">abs(C52-C51)/200</f>
        <v>0.0001</v>
      </c>
      <c r="K52" s="11">
        <f t="shared" si="106"/>
        <v>0.0001</v>
      </c>
      <c r="L52" s="12">
        <f t="shared" si="106"/>
        <v>0</v>
      </c>
      <c r="M52" s="12">
        <f t="shared" si="106"/>
        <v>0.0001</v>
      </c>
      <c r="N52" s="12">
        <f t="shared" si="106"/>
        <v>0</v>
      </c>
      <c r="O52" s="12">
        <f t="shared" si="106"/>
        <v>0.00005</v>
      </c>
      <c r="P52" s="7">
        <f t="shared" si="9"/>
        <v>0.02049875621</v>
      </c>
      <c r="Q52" s="7">
        <f t="shared" si="10"/>
        <v>0.01814231964</v>
      </c>
      <c r="R52" s="7">
        <f t="shared" si="3"/>
        <v>0.2298404773</v>
      </c>
      <c r="S52" s="7">
        <f t="shared" si="4"/>
        <v>0.08</v>
      </c>
      <c r="T52" s="7">
        <f t="shared" si="5"/>
        <v>0</v>
      </c>
      <c r="U52" s="7">
        <f t="shared" si="6"/>
        <v>0</v>
      </c>
      <c r="V52" s="7">
        <f t="shared" ref="V52:W52" si="107">IF(AVERAGE(T2:T51) &gt; 0.25, 1, 0)</f>
        <v>1</v>
      </c>
      <c r="W52" s="7">
        <f t="shared" si="107"/>
        <v>1</v>
      </c>
      <c r="X52" s="8">
        <v>0.0</v>
      </c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22.5" customHeight="1">
      <c r="A53" s="6">
        <v>952.0</v>
      </c>
      <c r="B53" s="6">
        <v>12275.0</v>
      </c>
      <c r="C53" s="10">
        <v>0.61</v>
      </c>
      <c r="D53" s="10">
        <v>9.72</v>
      </c>
      <c r="E53" s="10">
        <v>2.44</v>
      </c>
      <c r="F53" s="10">
        <v>-0.09</v>
      </c>
      <c r="G53" s="10">
        <v>0.0</v>
      </c>
      <c r="H53" s="10">
        <v>0.0</v>
      </c>
      <c r="I53" s="10">
        <v>33.25</v>
      </c>
      <c r="J53" s="10">
        <f t="shared" ref="J53:O53" si="108">abs(C53-C52)/200</f>
        <v>0.00005</v>
      </c>
      <c r="K53" s="11">
        <f t="shared" si="108"/>
        <v>0.00005</v>
      </c>
      <c r="L53" s="12">
        <f t="shared" si="108"/>
        <v>0</v>
      </c>
      <c r="M53" s="12">
        <f t="shared" si="108"/>
        <v>0.00005</v>
      </c>
      <c r="N53" s="12">
        <f t="shared" si="108"/>
        <v>0</v>
      </c>
      <c r="O53" s="12">
        <f t="shared" si="108"/>
        <v>0</v>
      </c>
      <c r="P53" s="7">
        <f t="shared" si="9"/>
        <v>0.01</v>
      </c>
      <c r="Q53" s="7">
        <f t="shared" si="10"/>
        <v>0.01028402392</v>
      </c>
      <c r="R53" s="7">
        <f t="shared" si="3"/>
        <v>0.2401245012</v>
      </c>
      <c r="S53" s="7">
        <f t="shared" si="4"/>
        <v>0.09</v>
      </c>
      <c r="T53" s="7">
        <f t="shared" si="5"/>
        <v>0</v>
      </c>
      <c r="U53" s="7">
        <f t="shared" si="6"/>
        <v>0</v>
      </c>
      <c r="V53" s="7">
        <f t="shared" ref="V53:W53" si="109">IF(AVERAGE(T2:T52) &gt; 0.25, 1, 0)</f>
        <v>1</v>
      </c>
      <c r="W53" s="7">
        <f t="shared" si="109"/>
        <v>1</v>
      </c>
      <c r="X53" s="8">
        <v>0.0</v>
      </c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22.5" customHeight="1">
      <c r="A54" s="6">
        <v>953.0</v>
      </c>
      <c r="B54" s="6">
        <v>12479.0</v>
      </c>
      <c r="C54" s="10">
        <v>0.65</v>
      </c>
      <c r="D54" s="10">
        <v>9.7</v>
      </c>
      <c r="E54" s="10">
        <v>2.42</v>
      </c>
      <c r="F54" s="10">
        <v>-0.1</v>
      </c>
      <c r="G54" s="10">
        <v>0.0</v>
      </c>
      <c r="H54" s="10">
        <v>-0.01</v>
      </c>
      <c r="I54" s="10">
        <v>33.25</v>
      </c>
      <c r="J54" s="10">
        <f t="shared" ref="J54:O54" si="110">abs(C54-C53)/200</f>
        <v>0.0002</v>
      </c>
      <c r="K54" s="11">
        <f t="shared" si="110"/>
        <v>0.0001</v>
      </c>
      <c r="L54" s="12">
        <f t="shared" si="110"/>
        <v>0.0001</v>
      </c>
      <c r="M54" s="12">
        <f t="shared" si="110"/>
        <v>0.00005</v>
      </c>
      <c r="N54" s="12">
        <f t="shared" si="110"/>
        <v>0</v>
      </c>
      <c r="O54" s="12">
        <f t="shared" si="110"/>
        <v>0.00005</v>
      </c>
      <c r="P54" s="7">
        <f t="shared" si="9"/>
        <v>0.01049875621</v>
      </c>
      <c r="Q54" s="7">
        <f t="shared" si="10"/>
        <v>0.02169648082</v>
      </c>
      <c r="R54" s="7">
        <f t="shared" si="3"/>
        <v>0.2184280204</v>
      </c>
      <c r="S54" s="7">
        <f t="shared" si="4"/>
        <v>0.1004987562</v>
      </c>
      <c r="T54" s="7">
        <f t="shared" si="5"/>
        <v>0</v>
      </c>
      <c r="U54" s="7">
        <f t="shared" si="6"/>
        <v>0</v>
      </c>
      <c r="V54" s="7">
        <f t="shared" ref="V54:W54" si="111">IF(AVERAGE(T2:T53) &gt; 0.25, 1, 0)</f>
        <v>1</v>
      </c>
      <c r="W54" s="7">
        <f t="shared" si="111"/>
        <v>1</v>
      </c>
      <c r="X54" s="8">
        <v>0.0</v>
      </c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22.5" customHeight="1">
      <c r="A55" s="6">
        <v>954.0</v>
      </c>
      <c r="B55" s="6">
        <v>12683.0</v>
      </c>
      <c r="C55" s="10">
        <v>0.6</v>
      </c>
      <c r="D55" s="10">
        <v>9.73</v>
      </c>
      <c r="E55" s="10">
        <v>2.42</v>
      </c>
      <c r="F55" s="10">
        <v>-0.08</v>
      </c>
      <c r="G55" s="10">
        <v>0.0</v>
      </c>
      <c r="H55" s="10">
        <v>0.01</v>
      </c>
      <c r="I55" s="10">
        <v>33.24</v>
      </c>
      <c r="J55" s="10">
        <f t="shared" ref="J55:O55" si="112">abs(C55-C54)/200</f>
        <v>0.00025</v>
      </c>
      <c r="K55" s="11">
        <f t="shared" si="112"/>
        <v>0.00015</v>
      </c>
      <c r="L55" s="12">
        <f t="shared" si="112"/>
        <v>0</v>
      </c>
      <c r="M55" s="12">
        <f t="shared" si="112"/>
        <v>0.0001</v>
      </c>
      <c r="N55" s="12">
        <f t="shared" si="112"/>
        <v>0</v>
      </c>
      <c r="O55" s="12">
        <f t="shared" si="112"/>
        <v>0.0001</v>
      </c>
      <c r="P55" s="7">
        <f t="shared" si="9"/>
        <v>0.01987617873</v>
      </c>
      <c r="Q55" s="7">
        <f t="shared" si="10"/>
        <v>0.02593855992</v>
      </c>
      <c r="R55" s="7">
        <f t="shared" si="3"/>
        <v>0.2443665803</v>
      </c>
      <c r="S55" s="7">
        <f t="shared" si="4"/>
        <v>0.08062257748</v>
      </c>
      <c r="T55" s="7">
        <f t="shared" si="5"/>
        <v>0</v>
      </c>
      <c r="U55" s="7">
        <f t="shared" si="6"/>
        <v>0</v>
      </c>
      <c r="V55" s="7">
        <f t="shared" ref="V55:W55" si="113">IF(AVERAGE(T2:T54) &gt; 0.25, 1, 0)</f>
        <v>1</v>
      </c>
      <c r="W55" s="7">
        <f t="shared" si="113"/>
        <v>1</v>
      </c>
      <c r="X55" s="8">
        <v>0.0</v>
      </c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22.5" customHeight="1">
      <c r="A56" s="6">
        <v>955.0</v>
      </c>
      <c r="B56" s="6">
        <v>12887.0</v>
      </c>
      <c r="C56" s="10">
        <v>0.68</v>
      </c>
      <c r="D56" s="10">
        <v>9.7</v>
      </c>
      <c r="E56" s="10">
        <v>2.4</v>
      </c>
      <c r="F56" s="10">
        <v>-0.1</v>
      </c>
      <c r="G56" s="10">
        <v>0.0</v>
      </c>
      <c r="H56" s="10">
        <v>-0.01</v>
      </c>
      <c r="I56" s="10">
        <v>33.25</v>
      </c>
      <c r="J56" s="10">
        <f t="shared" ref="J56:O56" si="114">abs(C56-C55)/200</f>
        <v>0.0004</v>
      </c>
      <c r="K56" s="11">
        <f t="shared" si="114"/>
        <v>0.00015</v>
      </c>
      <c r="L56" s="12">
        <f t="shared" si="114"/>
        <v>0.0001</v>
      </c>
      <c r="M56" s="12">
        <f t="shared" si="114"/>
        <v>0.0001</v>
      </c>
      <c r="N56" s="12">
        <f t="shared" si="114"/>
        <v>0</v>
      </c>
      <c r="O56" s="12">
        <f t="shared" si="114"/>
        <v>0.0001</v>
      </c>
      <c r="P56" s="7">
        <f t="shared" si="9"/>
        <v>0.01987617873</v>
      </c>
      <c r="Q56" s="7">
        <f t="shared" si="10"/>
        <v>0.02875876053</v>
      </c>
      <c r="R56" s="7">
        <f t="shared" si="3"/>
        <v>0.2156078198</v>
      </c>
      <c r="S56" s="7">
        <f t="shared" si="4"/>
        <v>0.1004987562</v>
      </c>
      <c r="T56" s="7">
        <f t="shared" si="5"/>
        <v>1</v>
      </c>
      <c r="U56" s="7">
        <f t="shared" si="6"/>
        <v>0</v>
      </c>
      <c r="V56" s="7">
        <f t="shared" ref="V56:W56" si="115">IF(AVERAGE(T2:T55) &gt; 0.25, 1, 0)</f>
        <v>1</v>
      </c>
      <c r="W56" s="7">
        <f t="shared" si="115"/>
        <v>1</v>
      </c>
      <c r="X56" s="8">
        <v>0.0</v>
      </c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22.5" customHeight="1">
      <c r="A57" s="6">
        <v>956.0</v>
      </c>
      <c r="B57" s="6">
        <v>13091.0</v>
      </c>
      <c r="C57" s="10">
        <v>0.71</v>
      </c>
      <c r="D57" s="10">
        <v>9.68</v>
      </c>
      <c r="E57" s="10">
        <v>2.38</v>
      </c>
      <c r="F57" s="10">
        <v>-0.1</v>
      </c>
      <c r="G57" s="10">
        <v>0.0</v>
      </c>
      <c r="H57" s="10">
        <v>-0.01</v>
      </c>
      <c r="I57" s="10">
        <v>33.26</v>
      </c>
      <c r="J57" s="10">
        <f t="shared" ref="J57:O57" si="116">abs(C57-C56)/200</f>
        <v>0.00015</v>
      </c>
      <c r="K57" s="11">
        <f t="shared" si="116"/>
        <v>0.0001</v>
      </c>
      <c r="L57" s="12">
        <f t="shared" si="116"/>
        <v>0.0001</v>
      </c>
      <c r="M57" s="12">
        <f t="shared" si="116"/>
        <v>0</v>
      </c>
      <c r="N57" s="12">
        <f t="shared" si="116"/>
        <v>0</v>
      </c>
      <c r="O57" s="12">
        <f t="shared" si="116"/>
        <v>0</v>
      </c>
      <c r="P57" s="7">
        <f t="shared" si="9"/>
        <v>0</v>
      </c>
      <c r="Q57" s="7">
        <f t="shared" si="10"/>
        <v>0.0220649045</v>
      </c>
      <c r="R57" s="7">
        <f t="shared" si="3"/>
        <v>0.1935429153</v>
      </c>
      <c r="S57" s="7">
        <f t="shared" si="4"/>
        <v>0.1004987562</v>
      </c>
      <c r="T57" s="7">
        <f t="shared" si="5"/>
        <v>0</v>
      </c>
      <c r="U57" s="7">
        <f t="shared" si="6"/>
        <v>0</v>
      </c>
      <c r="V57" s="7">
        <f t="shared" ref="V57:W57" si="117">IF(AVERAGE(T2:T56) &gt; 0.25, 1, 0)</f>
        <v>1</v>
      </c>
      <c r="W57" s="7">
        <f t="shared" si="117"/>
        <v>1</v>
      </c>
      <c r="X57" s="8">
        <v>0.0</v>
      </c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22.5" customHeight="1">
      <c r="A58" s="6">
        <v>957.0</v>
      </c>
      <c r="B58" s="6">
        <v>13295.0</v>
      </c>
      <c r="C58" s="10">
        <v>0.68</v>
      </c>
      <c r="D58" s="10">
        <v>9.69</v>
      </c>
      <c r="E58" s="10">
        <v>2.41</v>
      </c>
      <c r="F58" s="10">
        <v>-0.1</v>
      </c>
      <c r="G58" s="10">
        <v>0.0</v>
      </c>
      <c r="H58" s="10">
        <v>-0.01</v>
      </c>
      <c r="I58" s="10">
        <v>33.25</v>
      </c>
      <c r="J58" s="10">
        <f t="shared" ref="J58:O58" si="118">abs(C58-C57)/200</f>
        <v>0.00015</v>
      </c>
      <c r="K58" s="11">
        <f t="shared" si="118"/>
        <v>0.00005</v>
      </c>
      <c r="L58" s="12">
        <f t="shared" si="118"/>
        <v>0.00015</v>
      </c>
      <c r="M58" s="12">
        <f t="shared" si="118"/>
        <v>0</v>
      </c>
      <c r="N58" s="12">
        <f t="shared" si="118"/>
        <v>0</v>
      </c>
      <c r="O58" s="12">
        <f t="shared" si="118"/>
        <v>0</v>
      </c>
      <c r="P58" s="7">
        <f t="shared" si="9"/>
        <v>0</v>
      </c>
      <c r="Q58" s="7">
        <f t="shared" si="10"/>
        <v>0.01478361814</v>
      </c>
      <c r="R58" s="7">
        <f t="shared" si="3"/>
        <v>0.2083265334</v>
      </c>
      <c r="S58" s="7">
        <f t="shared" si="4"/>
        <v>0.1004987562</v>
      </c>
      <c r="T58" s="7">
        <f t="shared" si="5"/>
        <v>0</v>
      </c>
      <c r="U58" s="7">
        <f t="shared" si="6"/>
        <v>0</v>
      </c>
      <c r="V58" s="7">
        <f t="shared" ref="V58:W58" si="119">IF(AVERAGE(T2:T57) &gt; 0.25, 1, 0)</f>
        <v>1</v>
      </c>
      <c r="W58" s="7">
        <f t="shared" si="119"/>
        <v>1</v>
      </c>
      <c r="X58" s="8">
        <v>0.0</v>
      </c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22.5" customHeight="1">
      <c r="A59" s="6">
        <v>958.0</v>
      </c>
      <c r="B59" s="6">
        <v>13499.0</v>
      </c>
      <c r="C59" s="10">
        <v>0.68</v>
      </c>
      <c r="D59" s="10">
        <v>9.7</v>
      </c>
      <c r="E59" s="10">
        <v>2.42</v>
      </c>
      <c r="F59" s="10">
        <v>-0.1</v>
      </c>
      <c r="G59" s="10">
        <v>0.0</v>
      </c>
      <c r="H59" s="10">
        <v>-0.01</v>
      </c>
      <c r="I59" s="10">
        <v>33.25</v>
      </c>
      <c r="J59" s="10">
        <f t="shared" ref="J59:O59" si="120">abs(C59-C58)/200</f>
        <v>0</v>
      </c>
      <c r="K59" s="11">
        <f t="shared" si="120"/>
        <v>0.00005</v>
      </c>
      <c r="L59" s="12">
        <f t="shared" si="120"/>
        <v>0.00005</v>
      </c>
      <c r="M59" s="12">
        <f t="shared" si="120"/>
        <v>0</v>
      </c>
      <c r="N59" s="12">
        <f t="shared" si="120"/>
        <v>0</v>
      </c>
      <c r="O59" s="12">
        <f t="shared" si="120"/>
        <v>0</v>
      </c>
      <c r="P59" s="7">
        <f t="shared" si="9"/>
        <v>0</v>
      </c>
      <c r="Q59" s="7">
        <f t="shared" si="10"/>
        <v>0.01209261947</v>
      </c>
      <c r="R59" s="7">
        <f t="shared" si="3"/>
        <v>0.2204191529</v>
      </c>
      <c r="S59" s="7">
        <f t="shared" si="4"/>
        <v>0.1004987562</v>
      </c>
      <c r="T59" s="7">
        <f t="shared" si="5"/>
        <v>0</v>
      </c>
      <c r="U59" s="7">
        <f t="shared" si="6"/>
        <v>0</v>
      </c>
      <c r="V59" s="7">
        <f t="shared" ref="V59:W59" si="121">IF(AVERAGE(T2:T58) &gt; 0.25, 1, 0)</f>
        <v>1</v>
      </c>
      <c r="W59" s="7">
        <f t="shared" si="121"/>
        <v>1</v>
      </c>
      <c r="X59" s="8">
        <v>0.0</v>
      </c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22.5" customHeight="1">
      <c r="A60" s="6">
        <v>959.0</v>
      </c>
      <c r="B60" s="6">
        <v>13703.0</v>
      </c>
      <c r="C60" s="10">
        <v>0.68</v>
      </c>
      <c r="D60" s="10">
        <v>9.67</v>
      </c>
      <c r="E60" s="10">
        <v>2.37</v>
      </c>
      <c r="F60" s="10">
        <v>-0.09</v>
      </c>
      <c r="G60" s="10">
        <v>0.0</v>
      </c>
      <c r="H60" s="10">
        <v>-0.04</v>
      </c>
      <c r="I60" s="10">
        <v>33.26</v>
      </c>
      <c r="J60" s="10">
        <f t="shared" ref="J60:O60" si="122">abs(C60-C59)/200</f>
        <v>0</v>
      </c>
      <c r="K60" s="11">
        <f t="shared" si="122"/>
        <v>0.00015</v>
      </c>
      <c r="L60" s="12">
        <f t="shared" si="122"/>
        <v>0.00025</v>
      </c>
      <c r="M60" s="12">
        <f t="shared" si="122"/>
        <v>0.00005</v>
      </c>
      <c r="N60" s="12">
        <f t="shared" si="122"/>
        <v>0</v>
      </c>
      <c r="O60" s="12">
        <f t="shared" si="122"/>
        <v>0.00015</v>
      </c>
      <c r="P60" s="7">
        <f t="shared" si="9"/>
        <v>0.002010178193</v>
      </c>
      <c r="Q60" s="7">
        <f t="shared" si="10"/>
        <v>0.04103039407</v>
      </c>
      <c r="R60" s="7">
        <f t="shared" si="3"/>
        <v>0.1793887588</v>
      </c>
      <c r="S60" s="7">
        <f t="shared" si="4"/>
        <v>0.09848857802</v>
      </c>
      <c r="T60" s="7">
        <f t="shared" si="5"/>
        <v>0</v>
      </c>
      <c r="U60" s="7">
        <f t="shared" si="6"/>
        <v>0</v>
      </c>
      <c r="V60" s="7">
        <f t="shared" ref="V60:W60" si="123">IF(AVERAGE(T2:T59) &gt; 0.25, 1, 0)</f>
        <v>1</v>
      </c>
      <c r="W60" s="7">
        <f t="shared" si="123"/>
        <v>1</v>
      </c>
      <c r="X60" s="8">
        <v>0.0</v>
      </c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22.5" customHeight="1">
      <c r="A61" s="6">
        <v>960.0</v>
      </c>
      <c r="B61" s="6">
        <v>13907.0</v>
      </c>
      <c r="C61" s="10">
        <v>0.71</v>
      </c>
      <c r="D61" s="10">
        <v>9.67</v>
      </c>
      <c r="E61" s="10">
        <v>2.42</v>
      </c>
      <c r="F61" s="10">
        <v>-0.11</v>
      </c>
      <c r="G61" s="10">
        <v>0.0</v>
      </c>
      <c r="H61" s="10">
        <v>-0.02</v>
      </c>
      <c r="I61" s="10">
        <v>33.24</v>
      </c>
      <c r="J61" s="10">
        <f t="shared" ref="J61:O61" si="124">abs(C61-C60)/200</f>
        <v>0.00015</v>
      </c>
      <c r="K61" s="11">
        <f t="shared" si="124"/>
        <v>0</v>
      </c>
      <c r="L61" s="12">
        <f t="shared" si="124"/>
        <v>0.00025</v>
      </c>
      <c r="M61" s="12">
        <f t="shared" si="124"/>
        <v>0.0001</v>
      </c>
      <c r="N61" s="12">
        <f t="shared" si="124"/>
        <v>0</v>
      </c>
      <c r="O61" s="12">
        <f t="shared" si="124"/>
        <v>0.0001</v>
      </c>
      <c r="P61" s="7">
        <f t="shared" si="9"/>
        <v>0.01331482086</v>
      </c>
      <c r="Q61" s="7">
        <f t="shared" si="10"/>
        <v>0.01407910772</v>
      </c>
      <c r="R61" s="7">
        <f t="shared" si="3"/>
        <v>0.1934678666</v>
      </c>
      <c r="S61" s="7">
        <f t="shared" si="4"/>
        <v>0.1118033989</v>
      </c>
      <c r="T61" s="7">
        <f t="shared" si="5"/>
        <v>0</v>
      </c>
      <c r="U61" s="7">
        <f t="shared" si="6"/>
        <v>0</v>
      </c>
      <c r="V61" s="7">
        <f t="shared" ref="V61:W61" si="125">IF(AVERAGE(T2:T60) &gt; 0.25, 1, 0)</f>
        <v>1</v>
      </c>
      <c r="W61" s="7">
        <f t="shared" si="125"/>
        <v>1</v>
      </c>
      <c r="X61" s="8">
        <v>0.0</v>
      </c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22.5" customHeight="1">
      <c r="A62" s="6">
        <v>961.0</v>
      </c>
      <c r="B62" s="6">
        <v>14111.0</v>
      </c>
      <c r="C62" s="10">
        <v>0.55</v>
      </c>
      <c r="D62" s="10">
        <v>9.74</v>
      </c>
      <c r="E62" s="10">
        <v>2.42</v>
      </c>
      <c r="F62" s="10">
        <v>-0.1</v>
      </c>
      <c r="G62" s="10">
        <v>0.0</v>
      </c>
      <c r="H62" s="10">
        <v>0.02</v>
      </c>
      <c r="I62" s="10">
        <v>33.26</v>
      </c>
      <c r="J62" s="10">
        <f t="shared" ref="J62:O62" si="126">abs(C62-C61)/200</f>
        <v>0.0008</v>
      </c>
      <c r="K62" s="11">
        <f t="shared" si="126"/>
        <v>0.00035</v>
      </c>
      <c r="L62" s="12">
        <f t="shared" si="126"/>
        <v>0</v>
      </c>
      <c r="M62" s="12">
        <f t="shared" si="126"/>
        <v>0.00005</v>
      </c>
      <c r="N62" s="12">
        <f t="shared" si="126"/>
        <v>0</v>
      </c>
      <c r="O62" s="12">
        <f t="shared" si="126"/>
        <v>0.0002</v>
      </c>
      <c r="P62" s="7">
        <f t="shared" si="9"/>
        <v>0.009823008603</v>
      </c>
      <c r="Q62" s="7">
        <f t="shared" si="10"/>
        <v>0.05772609237</v>
      </c>
      <c r="R62" s="7">
        <f t="shared" si="3"/>
        <v>0.2511939589</v>
      </c>
      <c r="S62" s="7">
        <f t="shared" si="4"/>
        <v>0.1019803903</v>
      </c>
      <c r="T62" s="7">
        <f t="shared" si="5"/>
        <v>1</v>
      </c>
      <c r="U62" s="7">
        <f t="shared" si="6"/>
        <v>0</v>
      </c>
      <c r="V62" s="7">
        <f t="shared" ref="V62:W62" si="127">IF(AVERAGE(T2:T61) &gt; 0.25, 1, 0)</f>
        <v>1</v>
      </c>
      <c r="W62" s="7">
        <f t="shared" si="127"/>
        <v>1</v>
      </c>
      <c r="X62" s="8">
        <v>0.0</v>
      </c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22.5" customHeight="1">
      <c r="A63" s="6">
        <v>962.0</v>
      </c>
      <c r="B63" s="6">
        <v>14315.0</v>
      </c>
      <c r="C63" s="10">
        <v>0.59</v>
      </c>
      <c r="D63" s="10">
        <v>9.74</v>
      </c>
      <c r="E63" s="10">
        <v>2.4</v>
      </c>
      <c r="F63" s="10">
        <v>-0.06</v>
      </c>
      <c r="G63" s="10">
        <v>0.0</v>
      </c>
      <c r="H63" s="10">
        <v>-0.01</v>
      </c>
      <c r="I63" s="10">
        <v>33.27</v>
      </c>
      <c r="J63" s="10">
        <f t="shared" ref="J63:O63" si="128">abs(C63-C62)/200</f>
        <v>0.0002</v>
      </c>
      <c r="K63" s="11">
        <f t="shared" si="128"/>
        <v>0</v>
      </c>
      <c r="L63" s="12">
        <f t="shared" si="128"/>
        <v>0.0001</v>
      </c>
      <c r="M63" s="12">
        <f t="shared" si="128"/>
        <v>0.0002</v>
      </c>
      <c r="N63" s="12">
        <f t="shared" si="128"/>
        <v>0</v>
      </c>
      <c r="O63" s="12">
        <f t="shared" si="128"/>
        <v>0.00015</v>
      </c>
      <c r="P63" s="7">
        <f t="shared" si="9"/>
        <v>0.04115276497</v>
      </c>
      <c r="Q63" s="7">
        <f t="shared" si="10"/>
        <v>0.00252738072</v>
      </c>
      <c r="R63" s="7">
        <f t="shared" si="3"/>
        <v>0.2486665782</v>
      </c>
      <c r="S63" s="7">
        <f t="shared" si="4"/>
        <v>0.0608276253</v>
      </c>
      <c r="T63" s="7">
        <f t="shared" si="5"/>
        <v>0</v>
      </c>
      <c r="U63" s="7">
        <f t="shared" si="6"/>
        <v>0</v>
      </c>
      <c r="V63" s="7">
        <f t="shared" ref="V63:W63" si="129">IF(AVERAGE(T3:T62) &gt; 0.25, 1, 0)</f>
        <v>1</v>
      </c>
      <c r="W63" s="7">
        <f t="shared" si="129"/>
        <v>1</v>
      </c>
      <c r="X63" s="8">
        <v>0.0</v>
      </c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22.5" customHeight="1">
      <c r="A64" s="6">
        <v>963.0</v>
      </c>
      <c r="B64" s="6">
        <v>14519.0</v>
      </c>
      <c r="C64" s="10">
        <v>0.73</v>
      </c>
      <c r="D64" s="10">
        <v>9.69</v>
      </c>
      <c r="E64" s="10">
        <v>2.34</v>
      </c>
      <c r="F64" s="10">
        <v>-0.09</v>
      </c>
      <c r="G64" s="10">
        <v>0.0</v>
      </c>
      <c r="H64" s="10">
        <v>0.0</v>
      </c>
      <c r="I64" s="10">
        <v>33.26</v>
      </c>
      <c r="J64" s="10">
        <f t="shared" ref="J64:O64" si="130">abs(C64-C63)/200</f>
        <v>0.0007</v>
      </c>
      <c r="K64" s="11">
        <f t="shared" si="130"/>
        <v>0.00025</v>
      </c>
      <c r="L64" s="12">
        <f t="shared" si="130"/>
        <v>0.0003</v>
      </c>
      <c r="M64" s="12">
        <f t="shared" si="130"/>
        <v>0.00015</v>
      </c>
      <c r="N64" s="12">
        <f t="shared" si="130"/>
        <v>0</v>
      </c>
      <c r="O64" s="12">
        <f t="shared" si="130"/>
        <v>0.00005</v>
      </c>
      <c r="P64" s="7">
        <f t="shared" si="9"/>
        <v>0.0291723747</v>
      </c>
      <c r="Q64" s="7">
        <f t="shared" si="10"/>
        <v>0.0534377164</v>
      </c>
      <c r="R64" s="7">
        <f t="shared" si="3"/>
        <v>0.1952288618</v>
      </c>
      <c r="S64" s="7">
        <f t="shared" si="4"/>
        <v>0.09</v>
      </c>
      <c r="T64" s="7">
        <f t="shared" si="5"/>
        <v>1</v>
      </c>
      <c r="U64" s="7">
        <f t="shared" si="6"/>
        <v>0</v>
      </c>
      <c r="V64" s="7">
        <f t="shared" ref="V64:W64" si="131">IF(AVERAGE(T4:T63) &gt; 0.25, 1, 0)</f>
        <v>1</v>
      </c>
      <c r="W64" s="7">
        <f t="shared" si="131"/>
        <v>1</v>
      </c>
      <c r="X64" s="8">
        <v>0.0</v>
      </c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22.5" customHeight="1">
      <c r="A65" s="6">
        <v>964.0</v>
      </c>
      <c r="B65" s="6">
        <v>14723.0</v>
      </c>
      <c r="C65" s="10">
        <v>0.7</v>
      </c>
      <c r="D65" s="10">
        <v>9.7</v>
      </c>
      <c r="E65" s="10">
        <v>2.33</v>
      </c>
      <c r="F65" s="10">
        <v>-0.1</v>
      </c>
      <c r="G65" s="10">
        <v>0.0</v>
      </c>
      <c r="H65" s="10">
        <v>-0.01</v>
      </c>
      <c r="I65" s="10">
        <v>33.26</v>
      </c>
      <c r="J65" s="10">
        <f t="shared" ref="J65:O65" si="132">abs(C65-C64)/200</f>
        <v>0.00015</v>
      </c>
      <c r="K65" s="11">
        <f t="shared" si="132"/>
        <v>0.00005</v>
      </c>
      <c r="L65" s="12">
        <f t="shared" si="132"/>
        <v>0.00005</v>
      </c>
      <c r="M65" s="12">
        <f t="shared" si="132"/>
        <v>0.00005</v>
      </c>
      <c r="N65" s="12">
        <f t="shared" si="132"/>
        <v>0</v>
      </c>
      <c r="O65" s="12">
        <f t="shared" si="132"/>
        <v>0.00005</v>
      </c>
      <c r="P65" s="7">
        <f t="shared" si="9"/>
        <v>0.01049875621</v>
      </c>
      <c r="Q65" s="7">
        <f t="shared" si="10"/>
        <v>0.005216128287</v>
      </c>
      <c r="R65" s="7">
        <f t="shared" si="3"/>
        <v>0.2004449901</v>
      </c>
      <c r="S65" s="7">
        <f t="shared" si="4"/>
        <v>0.1004987562</v>
      </c>
      <c r="T65" s="7">
        <f t="shared" si="5"/>
        <v>0</v>
      </c>
      <c r="U65" s="7">
        <f t="shared" si="6"/>
        <v>0</v>
      </c>
      <c r="V65" s="7">
        <f t="shared" ref="V65:W65" si="133">IF(AVERAGE(T5:T64) &gt; 0.25, 1, 0)</f>
        <v>1</v>
      </c>
      <c r="W65" s="7">
        <f t="shared" si="133"/>
        <v>1</v>
      </c>
      <c r="X65" s="8">
        <v>0.0</v>
      </c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22.5" customHeight="1">
      <c r="A66" s="6">
        <v>965.0</v>
      </c>
      <c r="B66" s="6">
        <v>14927.0</v>
      </c>
      <c r="C66" s="10">
        <v>0.71</v>
      </c>
      <c r="D66" s="10">
        <v>9.7</v>
      </c>
      <c r="E66" s="10">
        <v>2.35</v>
      </c>
      <c r="F66" s="10">
        <v>-0.11</v>
      </c>
      <c r="G66" s="10">
        <v>0.0</v>
      </c>
      <c r="H66" s="10">
        <v>-0.01</v>
      </c>
      <c r="I66" s="10">
        <v>33.27</v>
      </c>
      <c r="J66" s="10">
        <f t="shared" ref="J66:O66" si="134">abs(C66-C65)/200</f>
        <v>0.00005</v>
      </c>
      <c r="K66" s="11">
        <f t="shared" si="134"/>
        <v>0</v>
      </c>
      <c r="L66" s="12">
        <f t="shared" si="134"/>
        <v>0.0001</v>
      </c>
      <c r="M66" s="12">
        <f t="shared" si="134"/>
        <v>0.00005</v>
      </c>
      <c r="N66" s="12">
        <f t="shared" si="134"/>
        <v>0</v>
      </c>
      <c r="O66" s="12">
        <f t="shared" si="134"/>
        <v>0</v>
      </c>
      <c r="P66" s="7">
        <f t="shared" si="9"/>
        <v>0.009954853961</v>
      </c>
      <c r="Q66" s="7">
        <f t="shared" si="10"/>
        <v>0.005383311446</v>
      </c>
      <c r="R66" s="7">
        <f t="shared" si="3"/>
        <v>0.2058283015</v>
      </c>
      <c r="S66" s="7">
        <f t="shared" si="4"/>
        <v>0.1104536102</v>
      </c>
      <c r="T66" s="7">
        <f t="shared" si="5"/>
        <v>0</v>
      </c>
      <c r="U66" s="7">
        <f t="shared" si="6"/>
        <v>0</v>
      </c>
      <c r="V66" s="7">
        <f t="shared" ref="V66:W66" si="135">IF(AVERAGE(T6:T65) &gt; 0.25, 1, 0)</f>
        <v>1</v>
      </c>
      <c r="W66" s="7">
        <f t="shared" si="135"/>
        <v>1</v>
      </c>
      <c r="X66" s="8">
        <v>0.0</v>
      </c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22.5" customHeight="1">
      <c r="A67" s="6">
        <v>966.0</v>
      </c>
      <c r="B67" s="6">
        <v>15131.0</v>
      </c>
      <c r="C67" s="10">
        <v>0.64</v>
      </c>
      <c r="D67" s="10">
        <v>9.72</v>
      </c>
      <c r="E67" s="10">
        <v>2.32</v>
      </c>
      <c r="F67" s="10">
        <v>-0.12</v>
      </c>
      <c r="G67" s="10">
        <v>0.0</v>
      </c>
      <c r="H67" s="10">
        <v>-0.02</v>
      </c>
      <c r="I67" s="10">
        <v>33.26</v>
      </c>
      <c r="J67" s="10">
        <f t="shared" ref="J67:O67" si="136">abs(C67-C66)/200</f>
        <v>0.00035</v>
      </c>
      <c r="K67" s="11">
        <f t="shared" si="136"/>
        <v>0.0001</v>
      </c>
      <c r="L67" s="12">
        <f t="shared" si="136"/>
        <v>0.00015</v>
      </c>
      <c r="M67" s="12">
        <f t="shared" si="136"/>
        <v>0.00005</v>
      </c>
      <c r="N67" s="12">
        <f t="shared" si="136"/>
        <v>0</v>
      </c>
      <c r="O67" s="12">
        <f t="shared" si="136"/>
        <v>0.00005</v>
      </c>
      <c r="P67" s="7">
        <f t="shared" si="9"/>
        <v>0.01120164043</v>
      </c>
      <c r="Q67" s="7">
        <f t="shared" si="10"/>
        <v>0.007682571271</v>
      </c>
      <c r="R67" s="7">
        <f t="shared" si="3"/>
        <v>0.2135108728</v>
      </c>
      <c r="S67" s="7">
        <f t="shared" si="4"/>
        <v>0.1216552506</v>
      </c>
      <c r="T67" s="7">
        <f t="shared" si="5"/>
        <v>1</v>
      </c>
      <c r="U67" s="7">
        <f t="shared" si="6"/>
        <v>0</v>
      </c>
      <c r="V67" s="7">
        <f t="shared" ref="V67:W67" si="137">IF(AVERAGE(T7:T66) &gt; 0.25, 1, 0)</f>
        <v>1</v>
      </c>
      <c r="W67" s="7">
        <f t="shared" si="137"/>
        <v>1</v>
      </c>
      <c r="X67" s="8">
        <v>0.0</v>
      </c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22.5" customHeight="1">
      <c r="A68" s="6">
        <v>967.0</v>
      </c>
      <c r="B68" s="6">
        <v>15335.0</v>
      </c>
      <c r="C68" s="10">
        <v>0.67</v>
      </c>
      <c r="D68" s="10">
        <v>9.7</v>
      </c>
      <c r="E68" s="10">
        <v>2.35</v>
      </c>
      <c r="F68" s="10">
        <v>-0.06</v>
      </c>
      <c r="G68" s="10">
        <v>0.0</v>
      </c>
      <c r="H68" s="10">
        <v>-0.01</v>
      </c>
      <c r="I68" s="10">
        <v>33.26</v>
      </c>
      <c r="J68" s="10">
        <f t="shared" ref="J68:O68" si="138">abs(C68-C67)/200</f>
        <v>0.00015</v>
      </c>
      <c r="K68" s="11">
        <f t="shared" si="138"/>
        <v>0.0001</v>
      </c>
      <c r="L68" s="12">
        <f t="shared" si="138"/>
        <v>0.00015</v>
      </c>
      <c r="M68" s="12">
        <f t="shared" si="138"/>
        <v>0.0003</v>
      </c>
      <c r="N68" s="12">
        <f t="shared" si="138"/>
        <v>0</v>
      </c>
      <c r="O68" s="12">
        <f t="shared" si="138"/>
        <v>0.00005</v>
      </c>
      <c r="P68" s="7">
        <f t="shared" si="9"/>
        <v>0.0608276253</v>
      </c>
      <c r="Q68" s="7">
        <f t="shared" si="10"/>
        <v>0.01044134392</v>
      </c>
      <c r="R68" s="7">
        <f t="shared" si="3"/>
        <v>0.2030695289</v>
      </c>
      <c r="S68" s="7">
        <f t="shared" si="4"/>
        <v>0.0608276253</v>
      </c>
      <c r="T68" s="7">
        <f t="shared" si="5"/>
        <v>0</v>
      </c>
      <c r="U68" s="7">
        <f t="shared" si="6"/>
        <v>0</v>
      </c>
      <c r="V68" s="7">
        <f t="shared" ref="V68:W68" si="139">IF(AVERAGE(T8:T67) &gt; 0.25, 1, 0)</f>
        <v>1</v>
      </c>
      <c r="W68" s="7">
        <f t="shared" si="139"/>
        <v>1</v>
      </c>
      <c r="X68" s="8">
        <v>0.0</v>
      </c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22.5" customHeight="1">
      <c r="A69" s="6">
        <v>968.0</v>
      </c>
      <c r="B69" s="6">
        <v>15539.0</v>
      </c>
      <c r="C69" s="10">
        <v>0.67</v>
      </c>
      <c r="D69" s="10">
        <v>9.73</v>
      </c>
      <c r="E69" s="10">
        <v>2.35</v>
      </c>
      <c r="F69" s="10">
        <v>-0.1</v>
      </c>
      <c r="G69" s="10">
        <v>0.0</v>
      </c>
      <c r="H69" s="10">
        <v>-0.01</v>
      </c>
      <c r="I69" s="10">
        <v>33.26</v>
      </c>
      <c r="J69" s="10">
        <f t="shared" ref="J69:O69" si="140">abs(C69-C68)/200</f>
        <v>0</v>
      </c>
      <c r="K69" s="11">
        <f t="shared" si="140"/>
        <v>0.00015</v>
      </c>
      <c r="L69" s="12">
        <f t="shared" si="140"/>
        <v>0</v>
      </c>
      <c r="M69" s="12">
        <f t="shared" si="140"/>
        <v>0.0002</v>
      </c>
      <c r="N69" s="12">
        <f t="shared" si="140"/>
        <v>0</v>
      </c>
      <c r="O69" s="12">
        <f t="shared" si="140"/>
        <v>0</v>
      </c>
      <c r="P69" s="7">
        <f t="shared" si="9"/>
        <v>0.03967113091</v>
      </c>
      <c r="Q69" s="7">
        <f t="shared" si="10"/>
        <v>0.02909374728</v>
      </c>
      <c r="R69" s="7">
        <f t="shared" si="3"/>
        <v>0.2321632762</v>
      </c>
      <c r="S69" s="7">
        <f t="shared" si="4"/>
        <v>0.1004987562</v>
      </c>
      <c r="T69" s="7">
        <f t="shared" si="5"/>
        <v>0</v>
      </c>
      <c r="U69" s="7">
        <f t="shared" si="6"/>
        <v>0</v>
      </c>
      <c r="V69" s="7">
        <f t="shared" ref="V69:W69" si="141">IF(AVERAGE(T9:T68) &gt; 0.25, 1, 0)</f>
        <v>1</v>
      </c>
      <c r="W69" s="7">
        <f t="shared" si="141"/>
        <v>1</v>
      </c>
      <c r="X69" s="8">
        <v>0.0</v>
      </c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22.5" customHeight="1">
      <c r="A70" s="6">
        <v>969.0</v>
      </c>
      <c r="B70" s="6">
        <v>15743.0</v>
      </c>
      <c r="C70" s="10">
        <v>0.67</v>
      </c>
      <c r="D70" s="10">
        <v>9.71</v>
      </c>
      <c r="E70" s="10">
        <v>2.26</v>
      </c>
      <c r="F70" s="10">
        <v>-0.09</v>
      </c>
      <c r="G70" s="10">
        <v>0.0</v>
      </c>
      <c r="H70" s="10">
        <v>-0.02</v>
      </c>
      <c r="I70" s="10">
        <v>33.26</v>
      </c>
      <c r="J70" s="10">
        <f t="shared" ref="J70:O70" si="142">abs(C70-C69)/200</f>
        <v>0</v>
      </c>
      <c r="K70" s="11">
        <f t="shared" si="142"/>
        <v>0.0001</v>
      </c>
      <c r="L70" s="12">
        <f t="shared" si="142"/>
        <v>0.00045</v>
      </c>
      <c r="M70" s="12">
        <f t="shared" si="142"/>
        <v>0.00005</v>
      </c>
      <c r="N70" s="12">
        <f t="shared" si="142"/>
        <v>0</v>
      </c>
      <c r="O70" s="12">
        <f t="shared" si="142"/>
        <v>0.00005</v>
      </c>
      <c r="P70" s="7">
        <f t="shared" si="9"/>
        <v>0.008303311638</v>
      </c>
      <c r="Q70" s="7">
        <f t="shared" si="10"/>
        <v>0.04013645476</v>
      </c>
      <c r="R70" s="7">
        <f t="shared" si="3"/>
        <v>0.1920268214</v>
      </c>
      <c r="S70" s="7">
        <f t="shared" si="4"/>
        <v>0.09219544457</v>
      </c>
      <c r="T70" s="7">
        <f t="shared" si="5"/>
        <v>1</v>
      </c>
      <c r="U70" s="7">
        <f t="shared" si="6"/>
        <v>0</v>
      </c>
      <c r="V70" s="7">
        <f t="shared" ref="V70:W70" si="143">IF(AVERAGE(T10:T69) &gt; 0.25, 1, 0)</f>
        <v>1</v>
      </c>
      <c r="W70" s="7">
        <f t="shared" si="143"/>
        <v>1</v>
      </c>
      <c r="X70" s="8">
        <v>0.0</v>
      </c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22.5" customHeight="1">
      <c r="A71" s="6">
        <v>970.0</v>
      </c>
      <c r="B71" s="6">
        <v>15947.0</v>
      </c>
      <c r="C71" s="10">
        <v>0.68</v>
      </c>
      <c r="D71" s="10">
        <v>9.7</v>
      </c>
      <c r="E71" s="10">
        <v>2.3</v>
      </c>
      <c r="F71" s="10">
        <v>-0.08</v>
      </c>
      <c r="G71" s="10">
        <v>0.0</v>
      </c>
      <c r="H71" s="10">
        <v>0.0</v>
      </c>
      <c r="I71" s="10">
        <v>33.26</v>
      </c>
      <c r="J71" s="10">
        <f t="shared" ref="J71:O71" si="144">abs(C71-C70)/200</f>
        <v>0.00005</v>
      </c>
      <c r="K71" s="11">
        <f t="shared" si="144"/>
        <v>0.00005</v>
      </c>
      <c r="L71" s="12">
        <f t="shared" si="144"/>
        <v>0.0002</v>
      </c>
      <c r="M71" s="12">
        <f t="shared" si="144"/>
        <v>0.00005</v>
      </c>
      <c r="N71" s="12">
        <f t="shared" si="144"/>
        <v>0</v>
      </c>
      <c r="O71" s="12">
        <f t="shared" si="144"/>
        <v>0.0001</v>
      </c>
      <c r="P71" s="7">
        <f t="shared" si="9"/>
        <v>0.01219544457</v>
      </c>
      <c r="Q71" s="7">
        <f t="shared" si="10"/>
        <v>0.0000900714099</v>
      </c>
      <c r="R71" s="7">
        <f t="shared" si="3"/>
        <v>0.1921168928</v>
      </c>
      <c r="S71" s="7">
        <f t="shared" si="4"/>
        <v>0.08</v>
      </c>
      <c r="T71" s="7">
        <f t="shared" si="5"/>
        <v>0</v>
      </c>
      <c r="U71" s="7">
        <f t="shared" si="6"/>
        <v>0</v>
      </c>
      <c r="V71" s="7">
        <f t="shared" ref="V71:W71" si="145">IF(AVERAGE(T11:T70) &gt; 0.25, 1, 0)</f>
        <v>1</v>
      </c>
      <c r="W71" s="7">
        <f t="shared" si="145"/>
        <v>1</v>
      </c>
      <c r="X71" s="8">
        <v>0.0</v>
      </c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22.5" customHeight="1">
      <c r="A72" s="6">
        <v>971.0</v>
      </c>
      <c r="B72" s="6">
        <v>16151.0</v>
      </c>
      <c r="C72" s="10">
        <v>0.67</v>
      </c>
      <c r="D72" s="10">
        <v>9.73</v>
      </c>
      <c r="E72" s="10">
        <v>2.27</v>
      </c>
      <c r="F72" s="10">
        <v>-0.09</v>
      </c>
      <c r="G72" s="10">
        <v>0.0</v>
      </c>
      <c r="H72" s="10">
        <v>0.0</v>
      </c>
      <c r="I72" s="10">
        <v>33.26</v>
      </c>
      <c r="J72" s="10">
        <f t="shared" ref="J72:O72" si="146">abs(C72-C71)/200</f>
        <v>0.00005</v>
      </c>
      <c r="K72" s="11">
        <f t="shared" si="146"/>
        <v>0.00015</v>
      </c>
      <c r="L72" s="12">
        <f t="shared" si="146"/>
        <v>0.00015</v>
      </c>
      <c r="M72" s="12">
        <f t="shared" si="146"/>
        <v>0.00005</v>
      </c>
      <c r="N72" s="12">
        <f t="shared" si="146"/>
        <v>0</v>
      </c>
      <c r="O72" s="12">
        <f t="shared" si="146"/>
        <v>0</v>
      </c>
      <c r="P72" s="7">
        <f t="shared" si="9"/>
        <v>0.01</v>
      </c>
      <c r="Q72" s="7">
        <f t="shared" si="10"/>
        <v>0.02160868759</v>
      </c>
      <c r="R72" s="7">
        <f t="shared" si="3"/>
        <v>0.2137255804</v>
      </c>
      <c r="S72" s="7">
        <f t="shared" si="4"/>
        <v>0.09</v>
      </c>
      <c r="T72" s="7">
        <f t="shared" si="5"/>
        <v>0</v>
      </c>
      <c r="U72" s="7">
        <f t="shared" si="6"/>
        <v>0</v>
      </c>
      <c r="V72" s="7">
        <f t="shared" ref="V72:W72" si="147">IF(AVERAGE(T12:T71) &gt; 0.25, 1, 0)</f>
        <v>1</v>
      </c>
      <c r="W72" s="7">
        <f t="shared" si="147"/>
        <v>1</v>
      </c>
      <c r="X72" s="8">
        <v>0.0</v>
      </c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22.5" customHeight="1">
      <c r="A73" s="6">
        <v>972.0</v>
      </c>
      <c r="B73" s="6">
        <v>16355.0</v>
      </c>
      <c r="C73" s="10">
        <v>0.73</v>
      </c>
      <c r="D73" s="10">
        <v>9.72</v>
      </c>
      <c r="E73" s="10">
        <v>2.27</v>
      </c>
      <c r="F73" s="10">
        <v>-0.12</v>
      </c>
      <c r="G73" s="10">
        <v>0.0</v>
      </c>
      <c r="H73" s="10">
        <v>-0.04</v>
      </c>
      <c r="I73" s="10">
        <v>33.27</v>
      </c>
      <c r="J73" s="10">
        <f t="shared" ref="J73:O73" si="148">abs(C73-C72)/200</f>
        <v>0.0003</v>
      </c>
      <c r="K73" s="11">
        <f t="shared" si="148"/>
        <v>0.00005</v>
      </c>
      <c r="L73" s="12">
        <f t="shared" si="148"/>
        <v>0</v>
      </c>
      <c r="M73" s="12">
        <f t="shared" si="148"/>
        <v>0.00015</v>
      </c>
      <c r="N73" s="12">
        <f t="shared" si="148"/>
        <v>0</v>
      </c>
      <c r="O73" s="12">
        <f t="shared" si="148"/>
        <v>0.0002</v>
      </c>
      <c r="P73" s="7">
        <f t="shared" si="9"/>
        <v>0.03649110641</v>
      </c>
      <c r="Q73" s="7">
        <f t="shared" si="10"/>
        <v>0.005518947863</v>
      </c>
      <c r="R73" s="7">
        <f t="shared" si="3"/>
        <v>0.2082066326</v>
      </c>
      <c r="S73" s="7">
        <f t="shared" si="4"/>
        <v>0.1264911064</v>
      </c>
      <c r="T73" s="7">
        <f t="shared" si="5"/>
        <v>0</v>
      </c>
      <c r="U73" s="7">
        <f t="shared" si="6"/>
        <v>0</v>
      </c>
      <c r="V73" s="7">
        <f t="shared" ref="V73:W73" si="149">IF(AVERAGE(T13:T72) &gt; 0.25, 1, 0)</f>
        <v>1</v>
      </c>
      <c r="W73" s="7">
        <f t="shared" si="149"/>
        <v>1</v>
      </c>
      <c r="X73" s="8">
        <v>0.0</v>
      </c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22.5" customHeight="1">
      <c r="A74" s="6">
        <v>973.0</v>
      </c>
      <c r="B74" s="6">
        <v>16559.0</v>
      </c>
      <c r="C74" s="10">
        <v>0.7</v>
      </c>
      <c r="D74" s="10">
        <v>9.71</v>
      </c>
      <c r="E74" s="10">
        <v>2.27</v>
      </c>
      <c r="F74" s="10">
        <v>-0.1</v>
      </c>
      <c r="G74" s="10">
        <v>0.0</v>
      </c>
      <c r="H74" s="10">
        <v>-0.02</v>
      </c>
      <c r="I74" s="10">
        <v>33.27</v>
      </c>
      <c r="J74" s="10">
        <f t="shared" ref="J74:O74" si="150">abs(C74-C73)/200</f>
        <v>0.00015</v>
      </c>
      <c r="K74" s="11">
        <f t="shared" si="150"/>
        <v>0.00005</v>
      </c>
      <c r="L74" s="12">
        <f t="shared" si="150"/>
        <v>0</v>
      </c>
      <c r="M74" s="12">
        <f t="shared" si="150"/>
        <v>0.0001</v>
      </c>
      <c r="N74" s="12">
        <f t="shared" si="150"/>
        <v>0</v>
      </c>
      <c r="O74" s="12">
        <f t="shared" si="150"/>
        <v>0.0001</v>
      </c>
      <c r="P74" s="7">
        <f t="shared" si="9"/>
        <v>0.02451071613</v>
      </c>
      <c r="Q74" s="7">
        <f t="shared" si="10"/>
        <v>0.01185729893</v>
      </c>
      <c r="R74" s="7">
        <f t="shared" si="3"/>
        <v>0.1963493336</v>
      </c>
      <c r="S74" s="7">
        <f t="shared" si="4"/>
        <v>0.1019803903</v>
      </c>
      <c r="T74" s="7">
        <f t="shared" si="5"/>
        <v>0</v>
      </c>
      <c r="U74" s="7">
        <f t="shared" si="6"/>
        <v>0</v>
      </c>
      <c r="V74" s="7">
        <f t="shared" ref="V74:W74" si="151">IF(AVERAGE(T14:T73) &gt; 0.25, 1, 0)</f>
        <v>1</v>
      </c>
      <c r="W74" s="7">
        <f t="shared" si="151"/>
        <v>1</v>
      </c>
      <c r="X74" s="8">
        <v>0.0</v>
      </c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22.5" customHeight="1">
      <c r="A75" s="6">
        <v>974.0</v>
      </c>
      <c r="B75" s="6">
        <v>16763.0</v>
      </c>
      <c r="C75" s="10">
        <v>0.74</v>
      </c>
      <c r="D75" s="10">
        <v>9.71</v>
      </c>
      <c r="E75" s="10">
        <v>2.26</v>
      </c>
      <c r="F75" s="10">
        <v>-0.08</v>
      </c>
      <c r="G75" s="10">
        <v>-0.01</v>
      </c>
      <c r="H75" s="10">
        <v>0.02</v>
      </c>
      <c r="I75" s="10">
        <v>33.27</v>
      </c>
      <c r="J75" s="10">
        <f t="shared" ref="J75:O75" si="152">abs(C75-C74)/200</f>
        <v>0.0002</v>
      </c>
      <c r="K75" s="11">
        <f t="shared" si="152"/>
        <v>0</v>
      </c>
      <c r="L75" s="12">
        <f t="shared" si="152"/>
        <v>0.00005</v>
      </c>
      <c r="M75" s="12">
        <f t="shared" si="152"/>
        <v>0.0001</v>
      </c>
      <c r="N75" s="12">
        <f t="shared" si="152"/>
        <v>0.00005</v>
      </c>
      <c r="O75" s="12">
        <f t="shared" si="152"/>
        <v>0.0002</v>
      </c>
      <c r="P75" s="7">
        <f t="shared" si="9"/>
        <v>0.01891415164</v>
      </c>
      <c r="Q75" s="7">
        <f t="shared" si="10"/>
        <v>0.0006152056672</v>
      </c>
      <c r="R75" s="7">
        <f t="shared" si="3"/>
        <v>0.1969645393</v>
      </c>
      <c r="S75" s="7">
        <f t="shared" si="4"/>
        <v>0.08306623863</v>
      </c>
      <c r="T75" s="7">
        <f t="shared" si="5"/>
        <v>0</v>
      </c>
      <c r="U75" s="7">
        <f t="shared" si="6"/>
        <v>0</v>
      </c>
      <c r="V75" s="7">
        <f t="shared" ref="V75:W75" si="153">IF(AVERAGE(T15:T74) &gt; 0.25, 1, 0)</f>
        <v>1</v>
      </c>
      <c r="W75" s="7">
        <f t="shared" si="153"/>
        <v>1</v>
      </c>
      <c r="X75" s="8">
        <v>0.0</v>
      </c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22.5" customHeight="1">
      <c r="A76" s="6">
        <v>975.0</v>
      </c>
      <c r="B76" s="6">
        <v>16967.0</v>
      </c>
      <c r="C76" s="10">
        <v>0.7</v>
      </c>
      <c r="D76" s="10">
        <v>9.74</v>
      </c>
      <c r="E76" s="10">
        <v>2.29</v>
      </c>
      <c r="F76" s="10">
        <v>-0.09</v>
      </c>
      <c r="G76" s="10">
        <v>0.0</v>
      </c>
      <c r="H76" s="10">
        <v>-0.02</v>
      </c>
      <c r="I76" s="10">
        <v>33.27</v>
      </c>
      <c r="J76" s="10">
        <f t="shared" ref="J76:O76" si="154">abs(C76-C75)/200</f>
        <v>0.0002</v>
      </c>
      <c r="K76" s="11">
        <f t="shared" si="154"/>
        <v>0.00015</v>
      </c>
      <c r="L76" s="12">
        <f t="shared" si="154"/>
        <v>0.00015</v>
      </c>
      <c r="M76" s="12">
        <f t="shared" si="154"/>
        <v>0.00005</v>
      </c>
      <c r="N76" s="12">
        <f t="shared" si="154"/>
        <v>0.00005</v>
      </c>
      <c r="O76" s="12">
        <f t="shared" si="154"/>
        <v>0.0002</v>
      </c>
      <c r="P76" s="7">
        <f t="shared" si="9"/>
        <v>0.009129205944</v>
      </c>
      <c r="Q76" s="7">
        <f t="shared" si="10"/>
        <v>0.03307534098</v>
      </c>
      <c r="R76" s="7">
        <f t="shared" si="3"/>
        <v>0.2300398803</v>
      </c>
      <c r="S76" s="7">
        <f t="shared" si="4"/>
        <v>0.09219544457</v>
      </c>
      <c r="T76" s="7">
        <f t="shared" si="5"/>
        <v>0</v>
      </c>
      <c r="U76" s="7">
        <f t="shared" si="6"/>
        <v>0</v>
      </c>
      <c r="V76" s="7">
        <f t="shared" ref="V76:W76" si="155">IF(AVERAGE(T16:T75) &gt; 0.25, 1, 0)</f>
        <v>1</v>
      </c>
      <c r="W76" s="7">
        <f t="shared" si="155"/>
        <v>1</v>
      </c>
      <c r="X76" s="8">
        <v>0.0</v>
      </c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22.5" customHeight="1">
      <c r="A77" s="6">
        <v>976.0</v>
      </c>
      <c r="B77" s="6">
        <v>17171.0</v>
      </c>
      <c r="C77" s="10">
        <v>0.69</v>
      </c>
      <c r="D77" s="10">
        <v>9.74</v>
      </c>
      <c r="E77" s="10">
        <v>2.29</v>
      </c>
      <c r="F77" s="10">
        <v>-0.11</v>
      </c>
      <c r="G77" s="10">
        <v>0.0</v>
      </c>
      <c r="H77" s="10">
        <v>-0.02</v>
      </c>
      <c r="I77" s="10">
        <v>33.27</v>
      </c>
      <c r="J77" s="10">
        <f t="shared" ref="J77:O77" si="156">abs(C77-C76)/200</f>
        <v>0.00005</v>
      </c>
      <c r="K77" s="11">
        <f t="shared" si="156"/>
        <v>0</v>
      </c>
      <c r="L77" s="12">
        <f t="shared" si="156"/>
        <v>0</v>
      </c>
      <c r="M77" s="12">
        <f t="shared" si="156"/>
        <v>0.0001</v>
      </c>
      <c r="N77" s="12">
        <f t="shared" si="156"/>
        <v>0</v>
      </c>
      <c r="O77" s="12">
        <f t="shared" si="156"/>
        <v>0</v>
      </c>
      <c r="P77" s="7">
        <f t="shared" si="9"/>
        <v>0.0196079543</v>
      </c>
      <c r="Q77" s="7">
        <f t="shared" si="10"/>
        <v>0.0006929424177</v>
      </c>
      <c r="R77" s="7">
        <f t="shared" si="3"/>
        <v>0.2293469379</v>
      </c>
      <c r="S77" s="7">
        <f t="shared" si="4"/>
        <v>0.1118033989</v>
      </c>
      <c r="T77" s="7">
        <f t="shared" si="5"/>
        <v>0</v>
      </c>
      <c r="U77" s="7">
        <f t="shared" si="6"/>
        <v>0</v>
      </c>
      <c r="V77" s="7">
        <f t="shared" ref="V77:W77" si="157">IF(AVERAGE(T17:T76) &gt; 0.25, 1, 0)</f>
        <v>1</v>
      </c>
      <c r="W77" s="7">
        <f t="shared" si="157"/>
        <v>0</v>
      </c>
      <c r="X77" s="8">
        <v>0.0</v>
      </c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22.5" customHeight="1">
      <c r="A78" s="6">
        <v>977.0</v>
      </c>
      <c r="B78" s="6">
        <v>17375.0</v>
      </c>
      <c r="C78" s="10">
        <v>0.7</v>
      </c>
      <c r="D78" s="10">
        <v>9.73</v>
      </c>
      <c r="E78" s="10">
        <v>2.28</v>
      </c>
      <c r="F78" s="10">
        <v>-0.1</v>
      </c>
      <c r="G78" s="10">
        <v>0.0</v>
      </c>
      <c r="H78" s="10">
        <v>-0.02</v>
      </c>
      <c r="I78" s="10">
        <v>33.27</v>
      </c>
      <c r="J78" s="10">
        <f t="shared" ref="J78:O78" si="158">abs(C78-C77)/200</f>
        <v>0.00005</v>
      </c>
      <c r="K78" s="11">
        <f t="shared" si="158"/>
        <v>0.00005</v>
      </c>
      <c r="L78" s="12">
        <f t="shared" si="158"/>
        <v>0.00005</v>
      </c>
      <c r="M78" s="12">
        <f t="shared" si="158"/>
        <v>0.00005</v>
      </c>
      <c r="N78" s="12">
        <f t="shared" si="158"/>
        <v>0</v>
      </c>
      <c r="O78" s="12">
        <f t="shared" si="158"/>
        <v>0</v>
      </c>
      <c r="P78" s="7">
        <f t="shared" si="9"/>
        <v>0.009823008603</v>
      </c>
      <c r="Q78" s="7">
        <f t="shared" si="10"/>
        <v>0.01129822566</v>
      </c>
      <c r="R78" s="7">
        <f t="shared" si="3"/>
        <v>0.2180487122</v>
      </c>
      <c r="S78" s="7">
        <f t="shared" si="4"/>
        <v>0.1019803903</v>
      </c>
      <c r="T78" s="7">
        <f t="shared" si="5"/>
        <v>0</v>
      </c>
      <c r="U78" s="7">
        <f t="shared" si="6"/>
        <v>0</v>
      </c>
      <c r="V78" s="7">
        <f t="shared" ref="V78:W78" si="159">IF(AVERAGE(T18:T77) &gt; 0.25, 1, 0)</f>
        <v>1</v>
      </c>
      <c r="W78" s="7">
        <f t="shared" si="159"/>
        <v>0</v>
      </c>
      <c r="X78" s="8">
        <v>0.0</v>
      </c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22.5" customHeight="1">
      <c r="A79" s="6">
        <v>978.0</v>
      </c>
      <c r="B79" s="6">
        <v>17579.0</v>
      </c>
      <c r="C79" s="10">
        <v>0.71</v>
      </c>
      <c r="D79" s="10">
        <v>9.72</v>
      </c>
      <c r="E79" s="10">
        <v>2.26</v>
      </c>
      <c r="F79" s="10">
        <v>-0.09</v>
      </c>
      <c r="G79" s="10">
        <v>0.0</v>
      </c>
      <c r="H79" s="10">
        <v>-0.01</v>
      </c>
      <c r="I79" s="10">
        <v>33.27</v>
      </c>
      <c r="J79" s="10">
        <f t="shared" ref="J79:O79" si="160">abs(C79-C78)/200</f>
        <v>0.00005</v>
      </c>
      <c r="K79" s="11">
        <f t="shared" si="160"/>
        <v>0.00005</v>
      </c>
      <c r="L79" s="12">
        <f t="shared" si="160"/>
        <v>0.0001</v>
      </c>
      <c r="M79" s="12">
        <f t="shared" si="160"/>
        <v>0.00005</v>
      </c>
      <c r="N79" s="12">
        <f t="shared" si="160"/>
        <v>0</v>
      </c>
      <c r="O79" s="12">
        <f t="shared" si="160"/>
        <v>0.00005</v>
      </c>
      <c r="P79" s="7">
        <f t="shared" si="9"/>
        <v>0.01142653889</v>
      </c>
      <c r="Q79" s="7">
        <f t="shared" si="10"/>
        <v>0.01354472649</v>
      </c>
      <c r="R79" s="7">
        <f t="shared" si="3"/>
        <v>0.2045039857</v>
      </c>
      <c r="S79" s="7">
        <f t="shared" si="4"/>
        <v>0.09055385138</v>
      </c>
      <c r="T79" s="7">
        <f t="shared" si="5"/>
        <v>0</v>
      </c>
      <c r="U79" s="7">
        <f t="shared" si="6"/>
        <v>0</v>
      </c>
      <c r="V79" s="7">
        <f t="shared" ref="V79:W79" si="161">IF(AVERAGE(T19:T78) &gt; 0.25, 1, 0)</f>
        <v>1</v>
      </c>
      <c r="W79" s="7">
        <f t="shared" si="161"/>
        <v>0</v>
      </c>
      <c r="X79" s="8">
        <v>0.0</v>
      </c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22.5" customHeight="1">
      <c r="A80" s="6">
        <v>979.0</v>
      </c>
      <c r="B80" s="6">
        <v>17783.0</v>
      </c>
      <c r="C80" s="10">
        <v>0.71</v>
      </c>
      <c r="D80" s="10">
        <v>9.72</v>
      </c>
      <c r="E80" s="10">
        <v>2.25</v>
      </c>
      <c r="F80" s="10">
        <v>-0.1</v>
      </c>
      <c r="G80" s="10">
        <v>0.0</v>
      </c>
      <c r="H80" s="10">
        <v>-0.01</v>
      </c>
      <c r="I80" s="10">
        <v>33.27</v>
      </c>
      <c r="J80" s="10">
        <f t="shared" ref="J80:O80" si="162">abs(C80-C79)/200</f>
        <v>0</v>
      </c>
      <c r="K80" s="11">
        <f t="shared" si="162"/>
        <v>0</v>
      </c>
      <c r="L80" s="12">
        <f t="shared" si="162"/>
        <v>0.00005</v>
      </c>
      <c r="M80" s="12">
        <f t="shared" si="162"/>
        <v>0.00005</v>
      </c>
      <c r="N80" s="12">
        <f t="shared" si="162"/>
        <v>0</v>
      </c>
      <c r="O80" s="12">
        <f t="shared" si="162"/>
        <v>0</v>
      </c>
      <c r="P80" s="7">
        <f t="shared" si="9"/>
        <v>0.00994490483</v>
      </c>
      <c r="Q80" s="7">
        <f t="shared" si="10"/>
        <v>0.002254238774</v>
      </c>
      <c r="R80" s="7">
        <f t="shared" si="3"/>
        <v>0.2022497469</v>
      </c>
      <c r="S80" s="7">
        <f t="shared" si="4"/>
        <v>0.1004987562</v>
      </c>
      <c r="T80" s="7">
        <f t="shared" si="5"/>
        <v>0</v>
      </c>
      <c r="U80" s="7">
        <f t="shared" si="6"/>
        <v>0</v>
      </c>
      <c r="V80" s="7">
        <f t="shared" ref="V80:W80" si="163">IF(AVERAGE(T20:T79) &gt; 0.25, 1, 0)</f>
        <v>1</v>
      </c>
      <c r="W80" s="7">
        <f t="shared" si="163"/>
        <v>0</v>
      </c>
      <c r="X80" s="8">
        <v>0.0</v>
      </c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22.5" customHeight="1">
      <c r="A81" s="6">
        <v>980.0</v>
      </c>
      <c r="B81" s="6">
        <v>17987.0</v>
      </c>
      <c r="C81" s="10">
        <v>0.72</v>
      </c>
      <c r="D81" s="10">
        <v>9.72</v>
      </c>
      <c r="E81" s="10">
        <v>2.27</v>
      </c>
      <c r="F81" s="10">
        <v>-0.1</v>
      </c>
      <c r="G81" s="10">
        <v>0.0</v>
      </c>
      <c r="H81" s="10">
        <v>-0.01</v>
      </c>
      <c r="I81" s="10">
        <v>33.28</v>
      </c>
      <c r="J81" s="10">
        <f t="shared" ref="J81:O81" si="164">abs(C81-C80)/200</f>
        <v>0.00005</v>
      </c>
      <c r="K81" s="11">
        <f t="shared" si="164"/>
        <v>0</v>
      </c>
      <c r="L81" s="12">
        <f t="shared" si="164"/>
        <v>0.0001</v>
      </c>
      <c r="M81" s="12">
        <f t="shared" si="164"/>
        <v>0</v>
      </c>
      <c r="N81" s="12">
        <f t="shared" si="164"/>
        <v>0</v>
      </c>
      <c r="O81" s="12">
        <f t="shared" si="164"/>
        <v>0</v>
      </c>
      <c r="P81" s="7">
        <f t="shared" si="9"/>
        <v>0</v>
      </c>
      <c r="Q81" s="7">
        <f t="shared" si="10"/>
        <v>0.005232453902</v>
      </c>
      <c r="R81" s="7">
        <f t="shared" si="3"/>
        <v>0.2074822008</v>
      </c>
      <c r="S81" s="7">
        <f t="shared" si="4"/>
        <v>0.1004987562</v>
      </c>
      <c r="T81" s="7">
        <f t="shared" si="5"/>
        <v>0</v>
      </c>
      <c r="U81" s="7">
        <f t="shared" si="6"/>
        <v>0</v>
      </c>
      <c r="V81" s="7">
        <f t="shared" ref="V81:W81" si="165">IF(AVERAGE(T21:T80) &gt; 0.25, 1, 0)</f>
        <v>1</v>
      </c>
      <c r="W81" s="7">
        <f t="shared" si="165"/>
        <v>0</v>
      </c>
      <c r="X81" s="8">
        <v>0.0</v>
      </c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22.5" customHeight="1">
      <c r="A82" s="6">
        <v>981.0</v>
      </c>
      <c r="B82" s="6">
        <v>18191.0</v>
      </c>
      <c r="C82" s="10">
        <v>0.71</v>
      </c>
      <c r="D82" s="10">
        <v>9.7</v>
      </c>
      <c r="E82" s="10">
        <v>2.27</v>
      </c>
      <c r="F82" s="10">
        <v>-0.11</v>
      </c>
      <c r="G82" s="10">
        <v>0.0</v>
      </c>
      <c r="H82" s="10">
        <v>-0.01</v>
      </c>
      <c r="I82" s="10">
        <v>33.28</v>
      </c>
      <c r="J82" s="10">
        <f t="shared" ref="J82:O82" si="166">abs(C82-C81)/200</f>
        <v>0.00005</v>
      </c>
      <c r="K82" s="11">
        <f t="shared" si="166"/>
        <v>0.0001</v>
      </c>
      <c r="L82" s="12">
        <f t="shared" si="166"/>
        <v>0</v>
      </c>
      <c r="M82" s="12">
        <f t="shared" si="166"/>
        <v>0.00005</v>
      </c>
      <c r="N82" s="12">
        <f t="shared" si="166"/>
        <v>0</v>
      </c>
      <c r="O82" s="12">
        <f t="shared" si="166"/>
        <v>0</v>
      </c>
      <c r="P82" s="7">
        <f t="shared" si="9"/>
        <v>0.009954853961</v>
      </c>
      <c r="Q82" s="7">
        <f t="shared" si="10"/>
        <v>0.0201402121</v>
      </c>
      <c r="R82" s="7">
        <f t="shared" si="3"/>
        <v>0.1873419887</v>
      </c>
      <c r="S82" s="7">
        <f t="shared" si="4"/>
        <v>0.1104536102</v>
      </c>
      <c r="T82" s="7">
        <f t="shared" si="5"/>
        <v>0</v>
      </c>
      <c r="U82" s="7">
        <f t="shared" si="6"/>
        <v>0</v>
      </c>
      <c r="V82" s="7">
        <f t="shared" ref="V82:W82" si="167">IF(AVERAGE(T22:T81) &gt; 0.25, 1, 0)</f>
        <v>1</v>
      </c>
      <c r="W82" s="7">
        <f t="shared" si="167"/>
        <v>0</v>
      </c>
      <c r="X82" s="8">
        <v>0.0</v>
      </c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ht="22.5" customHeight="1">
      <c r="A83" s="6">
        <v>982.0</v>
      </c>
      <c r="B83" s="6">
        <v>18395.0</v>
      </c>
      <c r="C83" s="10">
        <v>0.73</v>
      </c>
      <c r="D83" s="10">
        <v>9.72</v>
      </c>
      <c r="E83" s="10">
        <v>2.28</v>
      </c>
      <c r="F83" s="10">
        <v>-0.09</v>
      </c>
      <c r="G83" s="10">
        <v>0.0</v>
      </c>
      <c r="H83" s="10">
        <v>-0.01</v>
      </c>
      <c r="I83" s="10">
        <v>33.28</v>
      </c>
      <c r="J83" s="10">
        <f t="shared" ref="J83:O83" si="168">abs(C83-C82)/200</f>
        <v>0.0001</v>
      </c>
      <c r="K83" s="11">
        <f t="shared" si="168"/>
        <v>0.0001</v>
      </c>
      <c r="L83" s="12">
        <f t="shared" si="168"/>
        <v>0.00005</v>
      </c>
      <c r="M83" s="12">
        <f t="shared" si="168"/>
        <v>0.0001</v>
      </c>
      <c r="N83" s="12">
        <f t="shared" si="168"/>
        <v>0</v>
      </c>
      <c r="O83" s="12">
        <f t="shared" si="168"/>
        <v>0</v>
      </c>
      <c r="P83" s="7">
        <f t="shared" si="9"/>
        <v>0.01989975879</v>
      </c>
      <c r="Q83" s="7">
        <f t="shared" si="10"/>
        <v>0.02313752026</v>
      </c>
      <c r="R83" s="7">
        <f t="shared" si="3"/>
        <v>0.210479509</v>
      </c>
      <c r="S83" s="7">
        <f t="shared" si="4"/>
        <v>0.09055385138</v>
      </c>
      <c r="T83" s="7">
        <f t="shared" si="5"/>
        <v>0</v>
      </c>
      <c r="U83" s="7">
        <f t="shared" si="6"/>
        <v>0</v>
      </c>
      <c r="V83" s="7">
        <f t="shared" ref="V83:W83" si="169">IF(AVERAGE(T23:T82) &gt; 0.25, 1, 0)</f>
        <v>1</v>
      </c>
      <c r="W83" s="7">
        <f t="shared" si="169"/>
        <v>0</v>
      </c>
      <c r="X83" s="8">
        <v>0.0</v>
      </c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ht="22.5" customHeight="1">
      <c r="A84" s="6">
        <v>983.0</v>
      </c>
      <c r="B84" s="6">
        <v>18599.0</v>
      </c>
      <c r="C84" s="10">
        <v>0.73</v>
      </c>
      <c r="D84" s="10">
        <v>9.71</v>
      </c>
      <c r="E84" s="10">
        <v>2.28</v>
      </c>
      <c r="F84" s="10">
        <v>-0.1</v>
      </c>
      <c r="G84" s="10">
        <v>0.0</v>
      </c>
      <c r="H84" s="10">
        <v>-0.01</v>
      </c>
      <c r="I84" s="10">
        <v>33.28</v>
      </c>
      <c r="J84" s="10">
        <f t="shared" ref="J84:O84" si="170">abs(C84-C83)/200</f>
        <v>0</v>
      </c>
      <c r="K84" s="11">
        <f t="shared" si="170"/>
        <v>0.00005</v>
      </c>
      <c r="L84" s="12">
        <f t="shared" si="170"/>
        <v>0</v>
      </c>
      <c r="M84" s="12">
        <f t="shared" si="170"/>
        <v>0.00005</v>
      </c>
      <c r="N84" s="12">
        <f t="shared" si="170"/>
        <v>0</v>
      </c>
      <c r="O84" s="12">
        <f t="shared" si="170"/>
        <v>0</v>
      </c>
      <c r="P84" s="7">
        <f t="shared" si="9"/>
        <v>0.00994490483</v>
      </c>
      <c r="Q84" s="7">
        <f t="shared" si="10"/>
        <v>0.009709538637</v>
      </c>
      <c r="R84" s="7">
        <f t="shared" si="3"/>
        <v>0.2007699704</v>
      </c>
      <c r="S84" s="7">
        <f t="shared" si="4"/>
        <v>0.1004987562</v>
      </c>
      <c r="T84" s="7">
        <f t="shared" si="5"/>
        <v>0</v>
      </c>
      <c r="U84" s="7">
        <f t="shared" si="6"/>
        <v>0</v>
      </c>
      <c r="V84" s="7">
        <f t="shared" ref="V84:W84" si="171">IF(AVERAGE(T24:T83) &gt; 0.25, 1, 0)</f>
        <v>1</v>
      </c>
      <c r="W84" s="7">
        <f t="shared" si="171"/>
        <v>0</v>
      </c>
      <c r="X84" s="8">
        <v>0.0</v>
      </c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ht="22.5" customHeight="1">
      <c r="A85" s="6">
        <v>984.0</v>
      </c>
      <c r="B85" s="6">
        <v>18803.0</v>
      </c>
      <c r="C85" s="10">
        <v>0.72</v>
      </c>
      <c r="D85" s="10">
        <v>9.73</v>
      </c>
      <c r="E85" s="10">
        <v>2.27</v>
      </c>
      <c r="F85" s="10">
        <v>-0.09</v>
      </c>
      <c r="G85" s="10">
        <v>0.0</v>
      </c>
      <c r="H85" s="10">
        <v>-0.02</v>
      </c>
      <c r="I85" s="10">
        <v>33.27</v>
      </c>
      <c r="J85" s="10">
        <f t="shared" ref="J85:O85" si="172">abs(C85-C84)/200</f>
        <v>0.00005</v>
      </c>
      <c r="K85" s="11">
        <f t="shared" si="172"/>
        <v>0.0001</v>
      </c>
      <c r="L85" s="12">
        <f t="shared" si="172"/>
        <v>0.00005</v>
      </c>
      <c r="M85" s="12">
        <f t="shared" si="172"/>
        <v>0.00005</v>
      </c>
      <c r="N85" s="12">
        <f t="shared" si="172"/>
        <v>0</v>
      </c>
      <c r="O85" s="12">
        <f t="shared" si="172"/>
        <v>0.00005</v>
      </c>
      <c r="P85" s="7">
        <f t="shared" si="9"/>
        <v>0.008303311638</v>
      </c>
      <c r="Q85" s="7">
        <f t="shared" si="10"/>
        <v>0.01642524587</v>
      </c>
      <c r="R85" s="7">
        <f t="shared" si="3"/>
        <v>0.2171952162</v>
      </c>
      <c r="S85" s="7">
        <f t="shared" si="4"/>
        <v>0.09219544457</v>
      </c>
      <c r="T85" s="7">
        <f t="shared" si="5"/>
        <v>0</v>
      </c>
      <c r="U85" s="7">
        <f t="shared" si="6"/>
        <v>0</v>
      </c>
      <c r="V85" s="7">
        <f t="shared" ref="V85:W85" si="173">IF(AVERAGE(T25:T84) &gt; 0.25, 1, 0)</f>
        <v>1</v>
      </c>
      <c r="W85" s="7">
        <f t="shared" si="173"/>
        <v>0</v>
      </c>
      <c r="X85" s="8">
        <v>0.0</v>
      </c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ht="22.5" customHeight="1">
      <c r="A86" s="6">
        <v>985.0</v>
      </c>
      <c r="B86" s="6">
        <v>19007.0</v>
      </c>
      <c r="C86" s="10">
        <v>0.74</v>
      </c>
      <c r="D86" s="10">
        <v>9.72</v>
      </c>
      <c r="E86" s="10">
        <v>2.28</v>
      </c>
      <c r="F86" s="10">
        <v>-0.11</v>
      </c>
      <c r="G86" s="10">
        <v>0.0</v>
      </c>
      <c r="H86" s="10">
        <v>-0.02</v>
      </c>
      <c r="I86" s="10">
        <v>33.28</v>
      </c>
      <c r="J86" s="10">
        <f t="shared" ref="J86:O86" si="174">abs(C86-C85)/200</f>
        <v>0.0001</v>
      </c>
      <c r="K86" s="11">
        <f t="shared" si="174"/>
        <v>0.00005</v>
      </c>
      <c r="L86" s="12">
        <f t="shared" si="174"/>
        <v>0.00005</v>
      </c>
      <c r="M86" s="12">
        <f t="shared" si="174"/>
        <v>0.0001</v>
      </c>
      <c r="N86" s="12">
        <f t="shared" si="174"/>
        <v>0</v>
      </c>
      <c r="O86" s="12">
        <f t="shared" si="174"/>
        <v>0</v>
      </c>
      <c r="P86" s="7">
        <f t="shared" si="9"/>
        <v>0.0196079543</v>
      </c>
      <c r="Q86" s="7">
        <f t="shared" si="10"/>
        <v>0.005981503594</v>
      </c>
      <c r="R86" s="7">
        <f t="shared" si="3"/>
        <v>0.2112137126</v>
      </c>
      <c r="S86" s="7">
        <f t="shared" si="4"/>
        <v>0.1118033989</v>
      </c>
      <c r="T86" s="7">
        <f t="shared" si="5"/>
        <v>0</v>
      </c>
      <c r="U86" s="7">
        <f t="shared" si="6"/>
        <v>0</v>
      </c>
      <c r="V86" s="7">
        <f t="shared" ref="V86:W86" si="175">IF(AVERAGE(T26:T85) &gt; 0.25, 1, 0)</f>
        <v>1</v>
      </c>
      <c r="W86" s="7">
        <f t="shared" si="175"/>
        <v>0</v>
      </c>
      <c r="X86" s="8">
        <v>0.0</v>
      </c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ht="22.5" customHeight="1">
      <c r="A87" s="6">
        <v>986.0</v>
      </c>
      <c r="B87" s="6">
        <v>19211.0</v>
      </c>
      <c r="C87" s="10">
        <v>0.75</v>
      </c>
      <c r="D87" s="10">
        <v>9.73</v>
      </c>
      <c r="E87" s="10">
        <v>2.26</v>
      </c>
      <c r="F87" s="10">
        <v>-0.1</v>
      </c>
      <c r="G87" s="10">
        <v>0.0</v>
      </c>
      <c r="H87" s="10">
        <v>-0.02</v>
      </c>
      <c r="I87" s="10">
        <v>33.28</v>
      </c>
      <c r="J87" s="10">
        <f t="shared" ref="J87:O87" si="176">abs(C87-C86)/200</f>
        <v>0.00005</v>
      </c>
      <c r="K87" s="11">
        <f t="shared" si="176"/>
        <v>0.00005</v>
      </c>
      <c r="L87" s="12">
        <f t="shared" si="176"/>
        <v>0.0001</v>
      </c>
      <c r="M87" s="12">
        <f t="shared" si="176"/>
        <v>0.00005</v>
      </c>
      <c r="N87" s="12">
        <f t="shared" si="176"/>
        <v>0</v>
      </c>
      <c r="O87" s="12">
        <f t="shared" si="176"/>
        <v>0</v>
      </c>
      <c r="P87" s="7">
        <f t="shared" si="9"/>
        <v>0.009823008603</v>
      </c>
      <c r="Q87" s="7">
        <f t="shared" si="10"/>
        <v>0.00592160641</v>
      </c>
      <c r="R87" s="7">
        <f t="shared" si="3"/>
        <v>0.217135319</v>
      </c>
      <c r="S87" s="7">
        <f t="shared" si="4"/>
        <v>0.1019803903</v>
      </c>
      <c r="T87" s="7">
        <f t="shared" si="5"/>
        <v>0</v>
      </c>
      <c r="U87" s="7">
        <f t="shared" si="6"/>
        <v>0</v>
      </c>
      <c r="V87" s="7">
        <f t="shared" ref="V87:W87" si="177">IF(AVERAGE(T27:T86) &gt; 0.25, 1, 0)</f>
        <v>1</v>
      </c>
      <c r="W87" s="7">
        <f t="shared" si="177"/>
        <v>0</v>
      </c>
      <c r="X87" s="8">
        <v>0.0</v>
      </c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ht="22.5" customHeight="1">
      <c r="A88" s="6">
        <v>987.0</v>
      </c>
      <c r="B88" s="6">
        <v>19415.0</v>
      </c>
      <c r="C88" s="10">
        <v>0.73</v>
      </c>
      <c r="D88" s="10">
        <v>9.73</v>
      </c>
      <c r="E88" s="10">
        <v>2.28</v>
      </c>
      <c r="F88" s="10">
        <v>-0.09</v>
      </c>
      <c r="G88" s="10">
        <v>0.0</v>
      </c>
      <c r="H88" s="10">
        <v>-0.01</v>
      </c>
      <c r="I88" s="10">
        <v>33.28</v>
      </c>
      <c r="J88" s="10">
        <f t="shared" ref="J88:O88" si="178">abs(C88-C87)/200</f>
        <v>0.0001</v>
      </c>
      <c r="K88" s="11">
        <f t="shared" si="178"/>
        <v>0</v>
      </c>
      <c r="L88" s="12">
        <f t="shared" si="178"/>
        <v>0.0001</v>
      </c>
      <c r="M88" s="12">
        <f t="shared" si="178"/>
        <v>0.00005</v>
      </c>
      <c r="N88" s="12">
        <f t="shared" si="178"/>
        <v>0</v>
      </c>
      <c r="O88" s="12">
        <f t="shared" si="178"/>
        <v>0.00005</v>
      </c>
      <c r="P88" s="7">
        <f t="shared" si="9"/>
        <v>0.01142653889</v>
      </c>
      <c r="Q88" s="7">
        <f t="shared" si="10"/>
        <v>0.003054299922</v>
      </c>
      <c r="R88" s="7">
        <f t="shared" si="3"/>
        <v>0.220189619</v>
      </c>
      <c r="S88" s="7">
        <f t="shared" si="4"/>
        <v>0.09055385138</v>
      </c>
      <c r="T88" s="7">
        <f t="shared" si="5"/>
        <v>0</v>
      </c>
      <c r="U88" s="7">
        <f t="shared" si="6"/>
        <v>0</v>
      </c>
      <c r="V88" s="7">
        <f t="shared" ref="V88:W88" si="179">IF(AVERAGE(T28:T87) &gt; 0.25, 1, 0)</f>
        <v>0</v>
      </c>
      <c r="W88" s="7">
        <f t="shared" si="179"/>
        <v>0</v>
      </c>
      <c r="X88" s="8">
        <v>0.0</v>
      </c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ht="22.5" customHeight="1">
      <c r="A89" s="6">
        <v>988.0</v>
      </c>
      <c r="B89" s="6">
        <v>19619.0</v>
      </c>
      <c r="C89" s="10">
        <v>0.74</v>
      </c>
      <c r="D89" s="10">
        <v>9.73</v>
      </c>
      <c r="E89" s="10">
        <v>2.28</v>
      </c>
      <c r="F89" s="10">
        <v>-0.1</v>
      </c>
      <c r="G89" s="10">
        <v>0.0</v>
      </c>
      <c r="H89" s="10">
        <v>-0.01</v>
      </c>
      <c r="I89" s="10">
        <v>33.28</v>
      </c>
      <c r="J89" s="10">
        <f t="shared" ref="J89:O89" si="180">abs(C89-C88)/200</f>
        <v>0.00005</v>
      </c>
      <c r="K89" s="11">
        <f t="shared" si="180"/>
        <v>0</v>
      </c>
      <c r="L89" s="12">
        <f t="shared" si="180"/>
        <v>0</v>
      </c>
      <c r="M89" s="12">
        <f t="shared" si="180"/>
        <v>0.00005</v>
      </c>
      <c r="N89" s="12">
        <f t="shared" si="180"/>
        <v>0</v>
      </c>
      <c r="O89" s="12">
        <f t="shared" si="180"/>
        <v>0</v>
      </c>
      <c r="P89" s="7">
        <f t="shared" si="9"/>
        <v>0.00994490483</v>
      </c>
      <c r="Q89" s="7">
        <f t="shared" si="10"/>
        <v>0.0007334922066</v>
      </c>
      <c r="R89" s="7">
        <f t="shared" si="3"/>
        <v>0.2209231112</v>
      </c>
      <c r="S89" s="7">
        <f t="shared" si="4"/>
        <v>0.1004987562</v>
      </c>
      <c r="T89" s="7">
        <f t="shared" si="5"/>
        <v>0</v>
      </c>
      <c r="U89" s="7">
        <f t="shared" si="6"/>
        <v>0</v>
      </c>
      <c r="V89" s="7">
        <f t="shared" ref="V89:W89" si="181">IF(AVERAGE(T29:T88) &gt; 0.25, 1, 0)</f>
        <v>0</v>
      </c>
      <c r="W89" s="7">
        <f t="shared" si="181"/>
        <v>0</v>
      </c>
      <c r="X89" s="8">
        <v>0.0</v>
      </c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ht="22.5" customHeight="1">
      <c r="A90" s="6">
        <v>989.0</v>
      </c>
      <c r="B90" s="6">
        <v>19823.0</v>
      </c>
      <c r="C90" s="10">
        <v>0.75</v>
      </c>
      <c r="D90" s="10">
        <v>9.72</v>
      </c>
      <c r="E90" s="10">
        <v>2.27</v>
      </c>
      <c r="F90" s="10">
        <v>-0.1</v>
      </c>
      <c r="G90" s="10">
        <v>0.0</v>
      </c>
      <c r="H90" s="10">
        <v>-0.01</v>
      </c>
      <c r="I90" s="10">
        <v>33.29</v>
      </c>
      <c r="J90" s="10">
        <f t="shared" ref="J90:O90" si="182">abs(C90-C89)/200</f>
        <v>0.00005</v>
      </c>
      <c r="K90" s="11">
        <f t="shared" si="182"/>
        <v>0.00005</v>
      </c>
      <c r="L90" s="12">
        <f t="shared" si="182"/>
        <v>0.00005</v>
      </c>
      <c r="M90" s="12">
        <f t="shared" si="182"/>
        <v>0</v>
      </c>
      <c r="N90" s="12">
        <f t="shared" si="182"/>
        <v>0</v>
      </c>
      <c r="O90" s="12">
        <f t="shared" si="182"/>
        <v>0</v>
      </c>
      <c r="P90" s="7">
        <f t="shared" si="9"/>
        <v>0</v>
      </c>
      <c r="Q90" s="7">
        <f t="shared" si="10"/>
        <v>0.01123780143</v>
      </c>
      <c r="R90" s="7">
        <f t="shared" si="3"/>
        <v>0.2096853097</v>
      </c>
      <c r="S90" s="7">
        <f t="shared" si="4"/>
        <v>0.1004987562</v>
      </c>
      <c r="T90" s="7">
        <f t="shared" si="5"/>
        <v>0</v>
      </c>
      <c r="U90" s="7">
        <f t="shared" si="6"/>
        <v>0</v>
      </c>
      <c r="V90" s="7">
        <f t="shared" ref="V90:W90" si="183">IF(AVERAGE(T30:T89) &gt; 0.25, 1, 0)</f>
        <v>0</v>
      </c>
      <c r="W90" s="7">
        <f t="shared" si="183"/>
        <v>0</v>
      </c>
      <c r="X90" s="8">
        <v>0.0</v>
      </c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ht="22.5" customHeight="1">
      <c r="A91" s="6">
        <v>990.0</v>
      </c>
      <c r="B91" s="6">
        <v>20027.0</v>
      </c>
      <c r="C91" s="10">
        <v>0.75</v>
      </c>
      <c r="D91" s="10">
        <v>9.72</v>
      </c>
      <c r="E91" s="10">
        <v>2.25</v>
      </c>
      <c r="F91" s="10">
        <v>-0.09</v>
      </c>
      <c r="G91" s="10">
        <v>0.0</v>
      </c>
      <c r="H91" s="10">
        <v>0.0</v>
      </c>
      <c r="I91" s="10">
        <v>33.27</v>
      </c>
      <c r="J91" s="10">
        <f t="shared" ref="J91:O91" si="184">abs(C91-C90)/200</f>
        <v>0</v>
      </c>
      <c r="K91" s="11">
        <f t="shared" si="184"/>
        <v>0</v>
      </c>
      <c r="L91" s="12">
        <f t="shared" si="184"/>
        <v>0.0001</v>
      </c>
      <c r="M91" s="12">
        <f t="shared" si="184"/>
        <v>0.00005</v>
      </c>
      <c r="N91" s="12">
        <f t="shared" si="184"/>
        <v>0</v>
      </c>
      <c r="O91" s="12">
        <f t="shared" si="184"/>
        <v>0.00005</v>
      </c>
      <c r="P91" s="7">
        <f t="shared" si="9"/>
        <v>0.01049875621</v>
      </c>
      <c r="Q91" s="7">
        <f t="shared" si="10"/>
        <v>0.004516645493</v>
      </c>
      <c r="R91" s="7">
        <f t="shared" si="3"/>
        <v>0.2051686642</v>
      </c>
      <c r="S91" s="7">
        <f t="shared" si="4"/>
        <v>0.09</v>
      </c>
      <c r="T91" s="7">
        <f t="shared" si="5"/>
        <v>0</v>
      </c>
      <c r="U91" s="7">
        <f t="shared" si="6"/>
        <v>0</v>
      </c>
      <c r="V91" s="7">
        <f t="shared" ref="V91:W91" si="185">IF(AVERAGE(T31:T90) &gt; 0.25, 1, 0)</f>
        <v>0</v>
      </c>
      <c r="W91" s="7">
        <f t="shared" si="185"/>
        <v>0</v>
      </c>
      <c r="X91" s="8">
        <v>0.0</v>
      </c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ht="22.5" customHeight="1">
      <c r="A92" s="6">
        <v>991.0</v>
      </c>
      <c r="B92" s="6">
        <v>20231.0</v>
      </c>
      <c r="C92" s="10">
        <v>0.75</v>
      </c>
      <c r="D92" s="10">
        <v>9.73</v>
      </c>
      <c r="E92" s="10">
        <v>2.24</v>
      </c>
      <c r="F92" s="10">
        <v>-0.09</v>
      </c>
      <c r="G92" s="10">
        <v>0.0</v>
      </c>
      <c r="H92" s="10">
        <v>-0.01</v>
      </c>
      <c r="I92" s="10">
        <v>33.28</v>
      </c>
      <c r="J92" s="10">
        <f t="shared" ref="J92:O92" si="186">abs(C92-C91)/200</f>
        <v>0</v>
      </c>
      <c r="K92" s="11">
        <f t="shared" si="186"/>
        <v>0.00005</v>
      </c>
      <c r="L92" s="12">
        <f t="shared" si="186"/>
        <v>0.00005</v>
      </c>
      <c r="M92" s="12">
        <f t="shared" si="186"/>
        <v>0</v>
      </c>
      <c r="N92" s="12">
        <f t="shared" si="186"/>
        <v>0</v>
      </c>
      <c r="O92" s="12">
        <f t="shared" si="186"/>
        <v>0.00005</v>
      </c>
      <c r="P92" s="7">
        <f t="shared" si="9"/>
        <v>0.0005538513814</v>
      </c>
      <c r="Q92" s="7">
        <f t="shared" si="10"/>
        <v>0.007473344735</v>
      </c>
      <c r="R92" s="7">
        <f t="shared" si="3"/>
        <v>0.212642009</v>
      </c>
      <c r="S92" s="7">
        <f t="shared" si="4"/>
        <v>0.09055385138</v>
      </c>
      <c r="T92" s="7">
        <f t="shared" si="5"/>
        <v>0</v>
      </c>
      <c r="U92" s="7">
        <f t="shared" si="6"/>
        <v>0</v>
      </c>
      <c r="V92" s="7">
        <f t="shared" ref="V92:W92" si="187">IF(AVERAGE(T32:T91) &gt; 0.25, 1, 0)</f>
        <v>0</v>
      </c>
      <c r="W92" s="7">
        <f t="shared" si="187"/>
        <v>0</v>
      </c>
      <c r="X92" s="8">
        <v>0.0</v>
      </c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ht="22.5" customHeight="1">
      <c r="A93" s="6">
        <v>992.0</v>
      </c>
      <c r="B93" s="6">
        <v>20435.0</v>
      </c>
      <c r="C93" s="10">
        <v>0.77</v>
      </c>
      <c r="D93" s="10">
        <v>9.73</v>
      </c>
      <c r="E93" s="10">
        <v>2.26</v>
      </c>
      <c r="F93" s="10">
        <v>-0.09</v>
      </c>
      <c r="G93" s="10">
        <v>0.0</v>
      </c>
      <c r="H93" s="10">
        <v>0.0</v>
      </c>
      <c r="I93" s="10">
        <v>33.29</v>
      </c>
      <c r="J93" s="10">
        <f t="shared" ref="J93:O93" si="188">abs(C93-C92)/200</f>
        <v>0.0001</v>
      </c>
      <c r="K93" s="11">
        <f t="shared" si="188"/>
        <v>0</v>
      </c>
      <c r="L93" s="12">
        <f t="shared" si="188"/>
        <v>0.0001</v>
      </c>
      <c r="M93" s="12">
        <f t="shared" si="188"/>
        <v>0</v>
      </c>
      <c r="N93" s="12">
        <f t="shared" si="188"/>
        <v>0</v>
      </c>
      <c r="O93" s="12">
        <f t="shared" si="188"/>
        <v>0.00005</v>
      </c>
      <c r="P93" s="7">
        <f t="shared" si="9"/>
        <v>0.0005538513814</v>
      </c>
      <c r="Q93" s="7">
        <f t="shared" si="10"/>
        <v>0.006010595038</v>
      </c>
      <c r="R93" s="7">
        <f t="shared" si="3"/>
        <v>0.218652604</v>
      </c>
      <c r="S93" s="7">
        <f t="shared" si="4"/>
        <v>0.09</v>
      </c>
      <c r="T93" s="7">
        <f t="shared" si="5"/>
        <v>0</v>
      </c>
      <c r="U93" s="7">
        <f t="shared" si="6"/>
        <v>0</v>
      </c>
      <c r="V93" s="7">
        <f t="shared" ref="V93:W93" si="189">IF(AVERAGE(T33:T92) &gt; 0.25, 1, 0)</f>
        <v>0</v>
      </c>
      <c r="W93" s="7">
        <f t="shared" si="189"/>
        <v>0</v>
      </c>
      <c r="X93" s="8">
        <v>0.0</v>
      </c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ht="22.5" customHeight="1">
      <c r="A94" s="6">
        <v>993.0</v>
      </c>
      <c r="B94" s="6">
        <v>20639.0</v>
      </c>
      <c r="C94" s="10">
        <v>0.76</v>
      </c>
      <c r="D94" s="10">
        <v>9.73</v>
      </c>
      <c r="E94" s="10">
        <v>2.26</v>
      </c>
      <c r="F94" s="10">
        <v>-0.1</v>
      </c>
      <c r="G94" s="10">
        <v>0.0</v>
      </c>
      <c r="H94" s="10">
        <v>-0.01</v>
      </c>
      <c r="I94" s="10">
        <v>33.29</v>
      </c>
      <c r="J94" s="10">
        <f t="shared" ref="J94:O94" si="190">abs(C94-C93)/200</f>
        <v>0.00005</v>
      </c>
      <c r="K94" s="11">
        <f t="shared" si="190"/>
        <v>0</v>
      </c>
      <c r="L94" s="12">
        <f t="shared" si="190"/>
        <v>0</v>
      </c>
      <c r="M94" s="12">
        <f t="shared" si="190"/>
        <v>0.00005</v>
      </c>
      <c r="N94" s="12">
        <f t="shared" si="190"/>
        <v>0</v>
      </c>
      <c r="O94" s="12">
        <f t="shared" si="190"/>
        <v>0.00005</v>
      </c>
      <c r="P94" s="7">
        <f t="shared" si="9"/>
        <v>0.01049875621</v>
      </c>
      <c r="Q94" s="7">
        <f t="shared" si="10"/>
        <v>0.0007636048328</v>
      </c>
      <c r="R94" s="7">
        <f t="shared" si="3"/>
        <v>0.2178889992</v>
      </c>
      <c r="S94" s="7">
        <f t="shared" si="4"/>
        <v>0.1004987562</v>
      </c>
      <c r="T94" s="7">
        <f t="shared" si="5"/>
        <v>0</v>
      </c>
      <c r="U94" s="7">
        <f t="shared" si="6"/>
        <v>0</v>
      </c>
      <c r="V94" s="7">
        <f t="shared" ref="V94:W94" si="191">IF(AVERAGE(T34:T93) &gt; 0.25, 1, 0)</f>
        <v>0</v>
      </c>
      <c r="W94" s="7">
        <f t="shared" si="191"/>
        <v>0</v>
      </c>
      <c r="X94" s="8">
        <v>0.0</v>
      </c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ht="22.5" customHeight="1">
      <c r="A95" s="6">
        <v>994.0</v>
      </c>
      <c r="B95" s="6">
        <v>20843.0</v>
      </c>
      <c r="C95" s="10">
        <v>0.76</v>
      </c>
      <c r="D95" s="10">
        <v>9.73</v>
      </c>
      <c r="E95" s="10">
        <v>2.25</v>
      </c>
      <c r="F95" s="10">
        <v>-0.09</v>
      </c>
      <c r="G95" s="10">
        <v>0.0</v>
      </c>
      <c r="H95" s="10">
        <v>-0.01</v>
      </c>
      <c r="I95" s="10">
        <v>33.3</v>
      </c>
      <c r="J95" s="10">
        <f t="shared" ref="J95:O95" si="192">abs(C95-C94)/200</f>
        <v>0</v>
      </c>
      <c r="K95" s="11">
        <f t="shared" si="192"/>
        <v>0</v>
      </c>
      <c r="L95" s="12">
        <f t="shared" si="192"/>
        <v>0.00005</v>
      </c>
      <c r="M95" s="12">
        <f t="shared" si="192"/>
        <v>0.00005</v>
      </c>
      <c r="N95" s="12">
        <f t="shared" si="192"/>
        <v>0</v>
      </c>
      <c r="O95" s="12">
        <f t="shared" si="192"/>
        <v>0</v>
      </c>
      <c r="P95" s="7">
        <f t="shared" si="9"/>
        <v>0.00994490483</v>
      </c>
      <c r="Q95" s="7">
        <f t="shared" si="10"/>
        <v>0.002251226183</v>
      </c>
      <c r="R95" s="7">
        <f t="shared" si="3"/>
        <v>0.215637773</v>
      </c>
      <c r="S95" s="7">
        <f t="shared" si="4"/>
        <v>0.09055385138</v>
      </c>
      <c r="T95" s="7">
        <f t="shared" si="5"/>
        <v>0</v>
      </c>
      <c r="U95" s="7">
        <f t="shared" si="6"/>
        <v>0</v>
      </c>
      <c r="V95" s="7">
        <f t="shared" ref="V95:W95" si="193">IF(AVERAGE(T35:T94) &gt; 0.25, 1, 0)</f>
        <v>0</v>
      </c>
      <c r="W95" s="7">
        <f t="shared" si="193"/>
        <v>0</v>
      </c>
      <c r="X95" s="8">
        <v>0.0</v>
      </c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ht="22.5" customHeight="1">
      <c r="A96" s="6">
        <v>995.0</v>
      </c>
      <c r="B96" s="6">
        <v>21047.0</v>
      </c>
      <c r="C96" s="10">
        <v>0.76</v>
      </c>
      <c r="D96" s="10">
        <v>9.71</v>
      </c>
      <c r="E96" s="10">
        <v>2.25</v>
      </c>
      <c r="F96" s="10">
        <v>-0.1</v>
      </c>
      <c r="G96" s="10">
        <v>0.0</v>
      </c>
      <c r="H96" s="10">
        <v>-0.01</v>
      </c>
      <c r="I96" s="10">
        <v>33.29</v>
      </c>
      <c r="J96" s="10">
        <f t="shared" ref="J96:O96" si="194">abs(C96-C95)/200</f>
        <v>0</v>
      </c>
      <c r="K96" s="11">
        <f t="shared" si="194"/>
        <v>0.0001</v>
      </c>
      <c r="L96" s="12">
        <f t="shared" si="194"/>
        <v>0</v>
      </c>
      <c r="M96" s="12">
        <f t="shared" si="194"/>
        <v>0.00005</v>
      </c>
      <c r="N96" s="12">
        <f t="shared" si="194"/>
        <v>0</v>
      </c>
      <c r="O96" s="12">
        <f t="shared" si="194"/>
        <v>0</v>
      </c>
      <c r="P96" s="7">
        <f t="shared" si="9"/>
        <v>0.00994490483</v>
      </c>
      <c r="Q96" s="7">
        <f t="shared" si="10"/>
        <v>0.01942849148</v>
      </c>
      <c r="R96" s="7">
        <f t="shared" si="3"/>
        <v>0.1962092815</v>
      </c>
      <c r="S96" s="7">
        <f t="shared" si="4"/>
        <v>0.1004987562</v>
      </c>
      <c r="T96" s="7">
        <f t="shared" si="5"/>
        <v>0</v>
      </c>
      <c r="U96" s="7">
        <f t="shared" si="6"/>
        <v>0</v>
      </c>
      <c r="V96" s="7">
        <f t="shared" ref="V96:W96" si="195">IF(AVERAGE(T36:T95) &gt; 0.25, 1, 0)</f>
        <v>0</v>
      </c>
      <c r="W96" s="7">
        <f t="shared" si="195"/>
        <v>0</v>
      </c>
      <c r="X96" s="8">
        <v>0.0</v>
      </c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ht="22.5" customHeight="1">
      <c r="A97" s="6">
        <v>996.0</v>
      </c>
      <c r="B97" s="6">
        <v>21251.0</v>
      </c>
      <c r="C97" s="10">
        <v>0.75</v>
      </c>
      <c r="D97" s="10">
        <v>9.73</v>
      </c>
      <c r="E97" s="10">
        <v>2.26</v>
      </c>
      <c r="F97" s="10">
        <v>-0.1</v>
      </c>
      <c r="G97" s="10">
        <v>0.0</v>
      </c>
      <c r="H97" s="10">
        <v>-0.02</v>
      </c>
      <c r="I97" s="10">
        <v>33.29</v>
      </c>
      <c r="J97" s="10">
        <f t="shared" ref="J97:O97" si="196">abs(C97-C96)/200</f>
        <v>0.00005</v>
      </c>
      <c r="K97" s="11">
        <f t="shared" si="196"/>
        <v>0.0001</v>
      </c>
      <c r="L97" s="12">
        <f t="shared" si="196"/>
        <v>0.00005</v>
      </c>
      <c r="M97" s="12">
        <f t="shared" si="196"/>
        <v>0</v>
      </c>
      <c r="N97" s="12">
        <f t="shared" si="196"/>
        <v>0</v>
      </c>
      <c r="O97" s="12">
        <f t="shared" si="196"/>
        <v>0.00005</v>
      </c>
      <c r="P97" s="7">
        <f t="shared" si="9"/>
        <v>0.001481634061</v>
      </c>
      <c r="Q97" s="7">
        <f t="shared" si="10"/>
        <v>0.02092603752</v>
      </c>
      <c r="R97" s="7">
        <f t="shared" si="3"/>
        <v>0.217135319</v>
      </c>
      <c r="S97" s="7">
        <f t="shared" si="4"/>
        <v>0.1019803903</v>
      </c>
      <c r="T97" s="7">
        <f t="shared" si="5"/>
        <v>0</v>
      </c>
      <c r="U97" s="7">
        <f t="shared" si="6"/>
        <v>0</v>
      </c>
      <c r="V97" s="7">
        <f t="shared" ref="V97:W97" si="197">IF(AVERAGE(T37:T96) &gt; 0.25, 1, 0)</f>
        <v>0</v>
      </c>
      <c r="W97" s="7">
        <f t="shared" si="197"/>
        <v>0</v>
      </c>
      <c r="X97" s="8">
        <v>0.0</v>
      </c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ht="22.5" customHeight="1">
      <c r="A98" s="6">
        <v>997.0</v>
      </c>
      <c r="B98" s="6">
        <v>21455.0</v>
      </c>
      <c r="C98" s="10">
        <v>0.75</v>
      </c>
      <c r="D98" s="10">
        <v>9.74</v>
      </c>
      <c r="E98" s="10">
        <v>2.25</v>
      </c>
      <c r="F98" s="10">
        <v>-0.1</v>
      </c>
      <c r="G98" s="10">
        <v>0.0</v>
      </c>
      <c r="H98" s="10">
        <v>-0.01</v>
      </c>
      <c r="I98" s="10">
        <v>33.28</v>
      </c>
      <c r="J98" s="10">
        <f t="shared" ref="J98:O98" si="198">abs(C98-C97)/200</f>
        <v>0</v>
      </c>
      <c r="K98" s="11">
        <f t="shared" si="198"/>
        <v>0.00005</v>
      </c>
      <c r="L98" s="12">
        <f t="shared" si="198"/>
        <v>0.00005</v>
      </c>
      <c r="M98" s="12">
        <f t="shared" si="198"/>
        <v>0</v>
      </c>
      <c r="N98" s="12">
        <f t="shared" si="198"/>
        <v>0</v>
      </c>
      <c r="O98" s="12">
        <f t="shared" si="198"/>
        <v>0.00005</v>
      </c>
      <c r="P98" s="7">
        <f t="shared" si="9"/>
        <v>0.001481634061</v>
      </c>
      <c r="Q98" s="7">
        <f t="shared" si="10"/>
        <v>0.007464423591</v>
      </c>
      <c r="R98" s="7">
        <f t="shared" si="3"/>
        <v>0.2245997426</v>
      </c>
      <c r="S98" s="7">
        <f t="shared" si="4"/>
        <v>0.1004987562</v>
      </c>
      <c r="T98" s="7">
        <f t="shared" si="5"/>
        <v>0</v>
      </c>
      <c r="U98" s="7">
        <f t="shared" si="6"/>
        <v>0</v>
      </c>
      <c r="V98" s="7">
        <f t="shared" ref="V98:W98" si="199">IF(AVERAGE(T38:T97) &gt; 0.25, 1, 0)</f>
        <v>0</v>
      </c>
      <c r="W98" s="7">
        <f t="shared" si="199"/>
        <v>0</v>
      </c>
      <c r="X98" s="8">
        <v>0.0</v>
      </c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ht="22.5" customHeight="1">
      <c r="A99" s="6">
        <v>998.0</v>
      </c>
      <c r="B99" s="6">
        <v>21659.0</v>
      </c>
      <c r="C99" s="10">
        <v>0.73</v>
      </c>
      <c r="D99" s="10">
        <v>9.73</v>
      </c>
      <c r="E99" s="10">
        <v>2.24</v>
      </c>
      <c r="F99" s="10">
        <v>-0.09</v>
      </c>
      <c r="G99" s="10">
        <v>0.0</v>
      </c>
      <c r="H99" s="10">
        <v>-0.01</v>
      </c>
      <c r="I99" s="10">
        <v>33.29</v>
      </c>
      <c r="J99" s="10">
        <f t="shared" ref="J99:O99" si="200">abs(C99-C98)/200</f>
        <v>0.0001</v>
      </c>
      <c r="K99" s="11">
        <f t="shared" si="200"/>
        <v>0.00005</v>
      </c>
      <c r="L99" s="12">
        <f t="shared" si="200"/>
        <v>0.00005</v>
      </c>
      <c r="M99" s="12">
        <f t="shared" si="200"/>
        <v>0.00005</v>
      </c>
      <c r="N99" s="12">
        <f t="shared" si="200"/>
        <v>0</v>
      </c>
      <c r="O99" s="12">
        <f t="shared" si="200"/>
        <v>0</v>
      </c>
      <c r="P99" s="7">
        <f t="shared" si="9"/>
        <v>0.00994490483</v>
      </c>
      <c r="Q99" s="7">
        <f t="shared" si="10"/>
        <v>0.01343597412</v>
      </c>
      <c r="R99" s="7">
        <f t="shared" si="3"/>
        <v>0.2111637685</v>
      </c>
      <c r="S99" s="7">
        <f t="shared" si="4"/>
        <v>0.09055385138</v>
      </c>
      <c r="T99" s="7">
        <f t="shared" si="5"/>
        <v>0</v>
      </c>
      <c r="U99" s="7">
        <f t="shared" si="6"/>
        <v>0</v>
      </c>
      <c r="V99" s="7">
        <f t="shared" ref="V99:W99" si="201">IF(AVERAGE(T39:T98) &gt; 0.25, 1, 0)</f>
        <v>0</v>
      </c>
      <c r="W99" s="7">
        <f t="shared" si="201"/>
        <v>0</v>
      </c>
      <c r="X99" s="8">
        <v>0.0</v>
      </c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ht="22.5" customHeight="1">
      <c r="A100" s="6">
        <v>999.0</v>
      </c>
      <c r="B100" s="6">
        <v>21863.0</v>
      </c>
      <c r="C100" s="10">
        <v>0.75</v>
      </c>
      <c r="D100" s="10">
        <v>9.73</v>
      </c>
      <c r="E100" s="10">
        <v>2.23</v>
      </c>
      <c r="F100" s="10">
        <v>-0.1</v>
      </c>
      <c r="G100" s="10">
        <v>0.0</v>
      </c>
      <c r="H100" s="10">
        <v>-0.01</v>
      </c>
      <c r="I100" s="10">
        <v>33.29</v>
      </c>
      <c r="J100" s="10">
        <f t="shared" ref="J100:O100" si="202">abs(C100-C99)/200</f>
        <v>0.0001</v>
      </c>
      <c r="K100" s="11">
        <f t="shared" si="202"/>
        <v>0</v>
      </c>
      <c r="L100" s="12">
        <f t="shared" si="202"/>
        <v>0.00005</v>
      </c>
      <c r="M100" s="12">
        <f t="shared" si="202"/>
        <v>0.00005</v>
      </c>
      <c r="N100" s="12">
        <f t="shared" si="202"/>
        <v>0</v>
      </c>
      <c r="O100" s="12">
        <f t="shared" si="202"/>
        <v>0</v>
      </c>
      <c r="P100" s="7">
        <f t="shared" si="9"/>
        <v>0.00994490483</v>
      </c>
      <c r="Q100" s="7">
        <f t="shared" si="10"/>
        <v>0.0007541864835</v>
      </c>
      <c r="R100" s="7">
        <f t="shared" si="3"/>
        <v>0.210409582</v>
      </c>
      <c r="S100" s="7">
        <f t="shared" si="4"/>
        <v>0.1004987562</v>
      </c>
      <c r="T100" s="7">
        <f t="shared" si="5"/>
        <v>0</v>
      </c>
      <c r="U100" s="7">
        <f t="shared" si="6"/>
        <v>0</v>
      </c>
      <c r="V100" s="7">
        <f t="shared" ref="V100:W100" si="203">IF(AVERAGE(T40:T99) &gt; 0.25, 1, 0)</f>
        <v>0</v>
      </c>
      <c r="W100" s="7">
        <f t="shared" si="203"/>
        <v>0</v>
      </c>
      <c r="X100" s="8">
        <v>0.0</v>
      </c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ht="22.5" customHeight="1">
      <c r="A101" s="6">
        <v>1000.0</v>
      </c>
      <c r="B101" s="6">
        <v>24311.0</v>
      </c>
      <c r="C101" s="10">
        <v>0.77</v>
      </c>
      <c r="D101" s="10">
        <v>9.73</v>
      </c>
      <c r="E101" s="10">
        <v>2.24</v>
      </c>
      <c r="F101" s="10">
        <v>-0.1</v>
      </c>
      <c r="G101" s="10">
        <v>0.0</v>
      </c>
      <c r="H101" s="10">
        <v>-0.01</v>
      </c>
      <c r="I101" s="10">
        <v>33.29</v>
      </c>
      <c r="J101" s="10">
        <f t="shared" ref="J101:O101" si="204">abs(C101-C100)/200</f>
        <v>0.0001</v>
      </c>
      <c r="K101" s="11">
        <f t="shared" si="204"/>
        <v>0</v>
      </c>
      <c r="L101" s="12">
        <f t="shared" si="204"/>
        <v>0.00005</v>
      </c>
      <c r="M101" s="12">
        <f t="shared" si="204"/>
        <v>0</v>
      </c>
      <c r="N101" s="12">
        <f t="shared" si="204"/>
        <v>0</v>
      </c>
      <c r="O101" s="12">
        <f t="shared" si="204"/>
        <v>0</v>
      </c>
      <c r="P101" s="7">
        <f t="shared" si="9"/>
        <v>0</v>
      </c>
      <c r="Q101" s="7">
        <f t="shared" si="10"/>
        <v>0.003750392726</v>
      </c>
      <c r="R101" s="7">
        <f t="shared" si="3"/>
        <v>0.2141599748</v>
      </c>
      <c r="S101" s="7">
        <f t="shared" si="4"/>
        <v>0.1004987562</v>
      </c>
      <c r="T101" s="7">
        <f t="shared" si="5"/>
        <v>0</v>
      </c>
      <c r="U101" s="7">
        <f t="shared" si="6"/>
        <v>0</v>
      </c>
      <c r="V101" s="7">
        <f t="shared" ref="V101:W101" si="205">IF(AVERAGE(T41:T100) &gt; 0.25, 1, 0)</f>
        <v>0</v>
      </c>
      <c r="W101" s="7">
        <f t="shared" si="205"/>
        <v>0</v>
      </c>
      <c r="X101" s="8">
        <v>0.0</v>
      </c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ht="22.5" customHeight="1">
      <c r="A102" s="6">
        <v>1001.0</v>
      </c>
      <c r="B102" s="6">
        <v>24515.0</v>
      </c>
      <c r="C102" s="10">
        <v>0.8</v>
      </c>
      <c r="D102" s="10">
        <v>9.72</v>
      </c>
      <c r="E102" s="10">
        <v>2.23</v>
      </c>
      <c r="F102" s="10">
        <v>-0.09</v>
      </c>
      <c r="G102" s="10">
        <v>0.0</v>
      </c>
      <c r="H102" s="10">
        <v>-0.01</v>
      </c>
      <c r="I102" s="10">
        <v>33.3</v>
      </c>
      <c r="J102" s="10">
        <f t="shared" ref="J102:O102" si="206">abs(C102-C101)/200</f>
        <v>0.00015</v>
      </c>
      <c r="K102" s="11">
        <f t="shared" si="206"/>
        <v>0.00005</v>
      </c>
      <c r="L102" s="12">
        <f t="shared" si="206"/>
        <v>0.00005</v>
      </c>
      <c r="M102" s="12">
        <f t="shared" si="206"/>
        <v>0.00005</v>
      </c>
      <c r="N102" s="12">
        <f t="shared" si="206"/>
        <v>0</v>
      </c>
      <c r="O102" s="12">
        <f t="shared" si="206"/>
        <v>0</v>
      </c>
      <c r="P102" s="7">
        <f t="shared" si="9"/>
        <v>0.00994490483</v>
      </c>
      <c r="Q102" s="7">
        <f t="shared" si="10"/>
        <v>0.009596016242</v>
      </c>
      <c r="R102" s="7">
        <f t="shared" si="3"/>
        <v>0.2045639585</v>
      </c>
      <c r="S102" s="7">
        <f t="shared" si="4"/>
        <v>0.09055385138</v>
      </c>
      <c r="T102" s="7">
        <f t="shared" si="5"/>
        <v>0</v>
      </c>
      <c r="U102" s="7">
        <f t="shared" si="6"/>
        <v>0</v>
      </c>
      <c r="V102" s="7">
        <f t="shared" ref="V102:W102" si="207">IF(AVERAGE(T42:T101) &gt; 0.25, 1, 0)</f>
        <v>0</v>
      </c>
      <c r="W102" s="7">
        <f t="shared" si="207"/>
        <v>0</v>
      </c>
      <c r="X102" s="8">
        <v>0.0</v>
      </c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ht="22.5" customHeight="1">
      <c r="A103" s="6">
        <v>1002.0</v>
      </c>
      <c r="B103" s="6">
        <v>24719.0</v>
      </c>
      <c r="C103" s="10">
        <v>0.78</v>
      </c>
      <c r="D103" s="10">
        <v>9.71</v>
      </c>
      <c r="E103" s="10">
        <v>2.23</v>
      </c>
      <c r="F103" s="10">
        <v>-0.1</v>
      </c>
      <c r="G103" s="10">
        <v>0.0</v>
      </c>
      <c r="H103" s="10">
        <v>-0.02</v>
      </c>
      <c r="I103" s="10">
        <v>33.3</v>
      </c>
      <c r="J103" s="10">
        <f t="shared" ref="J103:O103" si="208">abs(C103-C102)/200</f>
        <v>0.0001</v>
      </c>
      <c r="K103" s="11">
        <f t="shared" si="208"/>
        <v>0.00005</v>
      </c>
      <c r="L103" s="12">
        <f t="shared" si="208"/>
        <v>0</v>
      </c>
      <c r="M103" s="12">
        <f t="shared" si="208"/>
        <v>0.00005</v>
      </c>
      <c r="N103" s="12">
        <f t="shared" si="208"/>
        <v>0</v>
      </c>
      <c r="O103" s="12">
        <f t="shared" si="208"/>
        <v>0.00005</v>
      </c>
      <c r="P103" s="7">
        <f t="shared" si="9"/>
        <v>0.01142653889</v>
      </c>
      <c r="Q103" s="7">
        <f t="shared" si="10"/>
        <v>0.01129622468</v>
      </c>
      <c r="R103" s="7">
        <f t="shared" si="3"/>
        <v>0.1932677338</v>
      </c>
      <c r="S103" s="7">
        <f t="shared" si="4"/>
        <v>0.1019803903</v>
      </c>
      <c r="T103" s="7">
        <f t="shared" si="5"/>
        <v>0</v>
      </c>
      <c r="U103" s="7">
        <f t="shared" si="6"/>
        <v>0</v>
      </c>
      <c r="V103" s="7">
        <f t="shared" ref="V103:W103" si="209">IF(AVERAGE(T43:T102) &gt; 0.25, 1, 0)</f>
        <v>0</v>
      </c>
      <c r="W103" s="7">
        <f t="shared" si="209"/>
        <v>0</v>
      </c>
      <c r="X103" s="8">
        <v>0.0</v>
      </c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ht="22.5" customHeight="1">
      <c r="A104" s="6">
        <v>1003.0</v>
      </c>
      <c r="B104" s="6">
        <v>24923.0</v>
      </c>
      <c r="C104" s="10">
        <v>0.79</v>
      </c>
      <c r="D104" s="10">
        <v>9.73</v>
      </c>
      <c r="E104" s="10">
        <v>2.24</v>
      </c>
      <c r="F104" s="10">
        <v>-0.09</v>
      </c>
      <c r="G104" s="10">
        <v>0.0</v>
      </c>
      <c r="H104" s="10">
        <v>-0.01</v>
      </c>
      <c r="I104" s="10">
        <v>33.29</v>
      </c>
      <c r="J104" s="10">
        <f t="shared" ref="J104:O104" si="210">abs(C104-C103)/200</f>
        <v>0.00005</v>
      </c>
      <c r="K104" s="11">
        <f t="shared" si="210"/>
        <v>0.0001</v>
      </c>
      <c r="L104" s="12">
        <f t="shared" si="210"/>
        <v>0.00005</v>
      </c>
      <c r="M104" s="12">
        <f t="shared" si="210"/>
        <v>0.00005</v>
      </c>
      <c r="N104" s="12">
        <f t="shared" si="210"/>
        <v>0</v>
      </c>
      <c r="O104" s="12">
        <f t="shared" si="210"/>
        <v>0.00005</v>
      </c>
      <c r="P104" s="7">
        <f t="shared" si="9"/>
        <v>0.01142653889</v>
      </c>
      <c r="Q104" s="7">
        <f t="shared" si="10"/>
        <v>0.02244991395</v>
      </c>
      <c r="R104" s="7">
        <f t="shared" si="3"/>
        <v>0.2157176478</v>
      </c>
      <c r="S104" s="7">
        <f t="shared" si="4"/>
        <v>0.09055385138</v>
      </c>
      <c r="T104" s="7">
        <f t="shared" si="5"/>
        <v>0</v>
      </c>
      <c r="U104" s="7">
        <f t="shared" si="6"/>
        <v>0</v>
      </c>
      <c r="V104" s="7">
        <f t="shared" ref="V104:W104" si="211">IF(AVERAGE(T44:T103) &gt; 0.25, 1, 0)</f>
        <v>0</v>
      </c>
      <c r="W104" s="7">
        <f t="shared" si="211"/>
        <v>0</v>
      </c>
      <c r="X104" s="8">
        <v>0.0</v>
      </c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ht="22.5" customHeight="1">
      <c r="A105" s="6">
        <v>1004.0</v>
      </c>
      <c r="B105" s="6">
        <v>25127.0</v>
      </c>
      <c r="C105" s="10">
        <v>0.78</v>
      </c>
      <c r="D105" s="10">
        <v>9.72</v>
      </c>
      <c r="E105" s="10">
        <v>2.24</v>
      </c>
      <c r="F105" s="10">
        <v>-0.1</v>
      </c>
      <c r="G105" s="10">
        <v>0.0</v>
      </c>
      <c r="H105" s="10">
        <v>-0.01</v>
      </c>
      <c r="I105" s="10">
        <v>33.29</v>
      </c>
      <c r="J105" s="10">
        <f t="shared" ref="J105:O105" si="212">abs(C105-C104)/200</f>
        <v>0.00005</v>
      </c>
      <c r="K105" s="11">
        <f t="shared" si="212"/>
        <v>0.00005</v>
      </c>
      <c r="L105" s="12">
        <f t="shared" si="212"/>
        <v>0</v>
      </c>
      <c r="M105" s="12">
        <f t="shared" si="212"/>
        <v>0.00005</v>
      </c>
      <c r="N105" s="12">
        <f t="shared" si="212"/>
        <v>0</v>
      </c>
      <c r="O105" s="12">
        <f t="shared" si="212"/>
        <v>0</v>
      </c>
      <c r="P105" s="7">
        <f t="shared" si="9"/>
        <v>0.00994490483</v>
      </c>
      <c r="Q105" s="7">
        <f t="shared" si="10"/>
        <v>0.01049900949</v>
      </c>
      <c r="R105" s="7">
        <f t="shared" si="3"/>
        <v>0.2052186383</v>
      </c>
      <c r="S105" s="7">
        <f t="shared" si="4"/>
        <v>0.1004987562</v>
      </c>
      <c r="T105" s="7">
        <f t="shared" si="5"/>
        <v>0</v>
      </c>
      <c r="U105" s="7">
        <f t="shared" si="6"/>
        <v>0</v>
      </c>
      <c r="V105" s="7">
        <f t="shared" ref="V105:W105" si="213">IF(AVERAGE(T45:T104) &gt; 0.25, 1, 0)</f>
        <v>0</v>
      </c>
      <c r="W105" s="7">
        <f t="shared" si="213"/>
        <v>0</v>
      </c>
      <c r="X105" s="8">
        <v>0.0</v>
      </c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ht="22.5" customHeight="1">
      <c r="A106" s="6">
        <v>1005.0</v>
      </c>
      <c r="B106" s="6">
        <v>26555.0</v>
      </c>
      <c r="C106" s="10">
        <v>0.78</v>
      </c>
      <c r="D106" s="10">
        <v>9.72</v>
      </c>
      <c r="E106" s="10">
        <v>2.23</v>
      </c>
      <c r="F106" s="10">
        <v>-0.1</v>
      </c>
      <c r="G106" s="10">
        <v>0.0</v>
      </c>
      <c r="H106" s="10">
        <v>-0.01</v>
      </c>
      <c r="I106" s="10">
        <v>33.29</v>
      </c>
      <c r="J106" s="10">
        <f t="shared" ref="J106:O106" si="214">abs(C106-C105)/200</f>
        <v>0</v>
      </c>
      <c r="K106" s="11">
        <f t="shared" si="214"/>
        <v>0</v>
      </c>
      <c r="L106" s="12">
        <f t="shared" si="214"/>
        <v>0.00005</v>
      </c>
      <c r="M106" s="12">
        <f t="shared" si="214"/>
        <v>0</v>
      </c>
      <c r="N106" s="12">
        <f t="shared" si="214"/>
        <v>0</v>
      </c>
      <c r="O106" s="12">
        <f t="shared" si="214"/>
        <v>0</v>
      </c>
      <c r="P106" s="7">
        <f t="shared" si="9"/>
        <v>0</v>
      </c>
      <c r="Q106" s="7">
        <f t="shared" si="10"/>
        <v>0.002234083669</v>
      </c>
      <c r="R106" s="7">
        <f t="shared" si="3"/>
        <v>0.2029845546</v>
      </c>
      <c r="S106" s="7">
        <f t="shared" si="4"/>
        <v>0.1004987562</v>
      </c>
      <c r="T106" s="7">
        <f t="shared" si="5"/>
        <v>0</v>
      </c>
      <c r="U106" s="7">
        <f t="shared" si="6"/>
        <v>0</v>
      </c>
      <c r="V106" s="7">
        <f t="shared" ref="V106:W106" si="215">IF(AVERAGE(T46:T105) &gt; 0.25, 1, 0)</f>
        <v>0</v>
      </c>
      <c r="W106" s="7">
        <f t="shared" si="215"/>
        <v>0</v>
      </c>
      <c r="X106" s="8">
        <v>0.0</v>
      </c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ht="22.5" customHeight="1">
      <c r="A107" s="6">
        <v>1006.0</v>
      </c>
      <c r="B107" s="6">
        <v>26759.0</v>
      </c>
      <c r="C107" s="10">
        <v>0.79</v>
      </c>
      <c r="D107" s="10">
        <v>9.73</v>
      </c>
      <c r="E107" s="10">
        <v>2.25</v>
      </c>
      <c r="F107" s="10">
        <v>-0.1</v>
      </c>
      <c r="G107" s="10">
        <v>0.0</v>
      </c>
      <c r="H107" s="10">
        <v>-0.02</v>
      </c>
      <c r="I107" s="10">
        <v>33.29</v>
      </c>
      <c r="J107" s="10">
        <f t="shared" ref="J107:O107" si="216">abs(C107-C106)/200</f>
        <v>0.00005</v>
      </c>
      <c r="K107" s="11">
        <f t="shared" si="216"/>
        <v>0.00005</v>
      </c>
      <c r="L107" s="12">
        <f t="shared" si="216"/>
        <v>0.0001</v>
      </c>
      <c r="M107" s="12">
        <f t="shared" si="216"/>
        <v>0</v>
      </c>
      <c r="N107" s="12">
        <f t="shared" si="216"/>
        <v>0</v>
      </c>
      <c r="O107" s="12">
        <f t="shared" si="216"/>
        <v>0.00005</v>
      </c>
      <c r="P107" s="7">
        <f t="shared" si="9"/>
        <v>0.001481634061</v>
      </c>
      <c r="Q107" s="7">
        <f t="shared" si="10"/>
        <v>0.01497431932</v>
      </c>
      <c r="R107" s="7">
        <f t="shared" si="3"/>
        <v>0.2179588739</v>
      </c>
      <c r="S107" s="7">
        <f t="shared" si="4"/>
        <v>0.1019803903</v>
      </c>
      <c r="T107" s="7">
        <f t="shared" si="5"/>
        <v>0</v>
      </c>
      <c r="U107" s="7">
        <f t="shared" si="6"/>
        <v>0</v>
      </c>
      <c r="V107" s="7">
        <f t="shared" ref="V107:W107" si="217">IF(AVERAGE(T47:T106) &gt; 0.25, 1, 0)</f>
        <v>0</v>
      </c>
      <c r="W107" s="7">
        <f t="shared" si="217"/>
        <v>0</v>
      </c>
      <c r="X107" s="8">
        <v>0.0</v>
      </c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ht="22.5" customHeight="1">
      <c r="A108" s="6">
        <v>1007.0</v>
      </c>
      <c r="B108" s="6">
        <v>26963.0</v>
      </c>
      <c r="C108" s="10">
        <v>0.77</v>
      </c>
      <c r="D108" s="10">
        <v>9.73</v>
      </c>
      <c r="E108" s="10">
        <v>2.23</v>
      </c>
      <c r="F108" s="10">
        <v>-0.09</v>
      </c>
      <c r="G108" s="10">
        <v>0.0</v>
      </c>
      <c r="H108" s="10">
        <v>-0.01</v>
      </c>
      <c r="I108" s="10">
        <v>33.29</v>
      </c>
      <c r="J108" s="10">
        <f t="shared" ref="J108:O108" si="218">abs(C108-C107)/200</f>
        <v>0.0001</v>
      </c>
      <c r="K108" s="11">
        <f t="shared" si="218"/>
        <v>0</v>
      </c>
      <c r="L108" s="12">
        <f t="shared" si="218"/>
        <v>0.0001</v>
      </c>
      <c r="M108" s="12">
        <f t="shared" si="218"/>
        <v>0.00005</v>
      </c>
      <c r="N108" s="12">
        <f t="shared" si="218"/>
        <v>0</v>
      </c>
      <c r="O108" s="12">
        <f t="shared" si="218"/>
        <v>0.00005</v>
      </c>
      <c r="P108" s="7">
        <f t="shared" si="9"/>
        <v>0.01142653889</v>
      </c>
      <c r="Q108" s="7">
        <f t="shared" si="10"/>
        <v>0.006030987666</v>
      </c>
      <c r="R108" s="7">
        <f t="shared" si="3"/>
        <v>0.2119278863</v>
      </c>
      <c r="S108" s="7">
        <f t="shared" si="4"/>
        <v>0.09055385138</v>
      </c>
      <c r="T108" s="7">
        <f t="shared" si="5"/>
        <v>0</v>
      </c>
      <c r="U108" s="7">
        <f t="shared" si="6"/>
        <v>0</v>
      </c>
      <c r="V108" s="7">
        <f t="shared" ref="V108:W108" si="219">IF(AVERAGE(T48:T107) &gt; 0.25, 1, 0)</f>
        <v>0</v>
      </c>
      <c r="W108" s="7">
        <f t="shared" si="219"/>
        <v>0</v>
      </c>
      <c r="X108" s="8">
        <v>0.0</v>
      </c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ht="22.5" customHeight="1">
      <c r="A109" s="6">
        <v>1008.0</v>
      </c>
      <c r="B109" s="6">
        <v>27167.0</v>
      </c>
      <c r="C109" s="10">
        <v>0.76</v>
      </c>
      <c r="D109" s="10">
        <v>9.74</v>
      </c>
      <c r="E109" s="10">
        <v>2.24</v>
      </c>
      <c r="F109" s="10">
        <v>-0.1</v>
      </c>
      <c r="G109" s="10">
        <v>0.0</v>
      </c>
      <c r="H109" s="10">
        <v>-0.01</v>
      </c>
      <c r="I109" s="10">
        <v>33.29</v>
      </c>
      <c r="J109" s="10">
        <f t="shared" ref="J109:O109" si="220">abs(C109-C108)/200</f>
        <v>0.00005</v>
      </c>
      <c r="K109" s="11">
        <f t="shared" si="220"/>
        <v>0.00005</v>
      </c>
      <c r="L109" s="12">
        <f t="shared" si="220"/>
        <v>0.00005</v>
      </c>
      <c r="M109" s="12">
        <f t="shared" si="220"/>
        <v>0.00005</v>
      </c>
      <c r="N109" s="12">
        <f t="shared" si="220"/>
        <v>0</v>
      </c>
      <c r="O109" s="12">
        <f t="shared" si="220"/>
        <v>0</v>
      </c>
      <c r="P109" s="7">
        <f t="shared" si="9"/>
        <v>0.00994490483</v>
      </c>
      <c r="Q109" s="7">
        <f t="shared" si="10"/>
        <v>0.01118540252</v>
      </c>
      <c r="R109" s="7">
        <f t="shared" si="3"/>
        <v>0.2231132888</v>
      </c>
      <c r="S109" s="7">
        <f t="shared" si="4"/>
        <v>0.1004987562</v>
      </c>
      <c r="T109" s="7">
        <f t="shared" si="5"/>
        <v>0</v>
      </c>
      <c r="U109" s="7">
        <f t="shared" si="6"/>
        <v>0</v>
      </c>
      <c r="V109" s="7">
        <f t="shared" ref="V109:W109" si="221">IF(AVERAGE(T49:T108) &gt; 0.25, 1, 0)</f>
        <v>0</v>
      </c>
      <c r="W109" s="7">
        <f t="shared" si="221"/>
        <v>0</v>
      </c>
      <c r="X109" s="8">
        <v>0.0</v>
      </c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ht="22.5" customHeight="1">
      <c r="A110" s="6">
        <v>1009.0</v>
      </c>
      <c r="B110" s="6">
        <v>27371.0</v>
      </c>
      <c r="C110" s="10">
        <v>0.79</v>
      </c>
      <c r="D110" s="10">
        <v>9.71</v>
      </c>
      <c r="E110" s="10">
        <v>2.21</v>
      </c>
      <c r="F110" s="10">
        <v>-0.1</v>
      </c>
      <c r="G110" s="10">
        <v>0.0</v>
      </c>
      <c r="H110" s="10">
        <v>-0.01</v>
      </c>
      <c r="I110" s="10">
        <v>33.3</v>
      </c>
      <c r="J110" s="10">
        <f t="shared" ref="J110:O110" si="222">abs(C110-C109)/200</f>
        <v>0.00015</v>
      </c>
      <c r="K110" s="11">
        <f t="shared" si="222"/>
        <v>0.00015</v>
      </c>
      <c r="L110" s="12">
        <f t="shared" si="222"/>
        <v>0.00015</v>
      </c>
      <c r="M110" s="12">
        <f t="shared" si="222"/>
        <v>0</v>
      </c>
      <c r="N110" s="12">
        <f t="shared" si="222"/>
        <v>0</v>
      </c>
      <c r="O110" s="12">
        <f t="shared" si="222"/>
        <v>0</v>
      </c>
      <c r="P110" s="7">
        <f t="shared" si="9"/>
        <v>0</v>
      </c>
      <c r="Q110" s="7">
        <f t="shared" si="10"/>
        <v>0.03350368681</v>
      </c>
      <c r="R110" s="7">
        <f t="shared" si="3"/>
        <v>0.189609602</v>
      </c>
      <c r="S110" s="7">
        <f t="shared" si="4"/>
        <v>0.1004987562</v>
      </c>
      <c r="T110" s="7">
        <f t="shared" si="5"/>
        <v>0</v>
      </c>
      <c r="U110" s="7">
        <f t="shared" si="6"/>
        <v>0</v>
      </c>
      <c r="V110" s="7">
        <f t="shared" ref="V110:W110" si="223">IF(AVERAGE(T50:T109) &gt; 0.25, 1, 0)</f>
        <v>0</v>
      </c>
      <c r="W110" s="7">
        <f t="shared" si="223"/>
        <v>0</v>
      </c>
      <c r="X110" s="8">
        <v>0.0</v>
      </c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ht="22.5" customHeight="1">
      <c r="A111" s="6">
        <v>1010.0</v>
      </c>
      <c r="B111" s="6">
        <v>27575.0</v>
      </c>
      <c r="C111" s="10">
        <v>0.79</v>
      </c>
      <c r="D111" s="10">
        <v>9.72</v>
      </c>
      <c r="E111" s="10">
        <v>2.25</v>
      </c>
      <c r="F111" s="10">
        <v>-0.09</v>
      </c>
      <c r="G111" s="10">
        <v>0.0</v>
      </c>
      <c r="H111" s="10">
        <v>0.0</v>
      </c>
      <c r="I111" s="10">
        <v>33.29</v>
      </c>
      <c r="J111" s="10">
        <f t="shared" ref="J111:O111" si="224">abs(C111-C110)/200</f>
        <v>0</v>
      </c>
      <c r="K111" s="11">
        <f t="shared" si="224"/>
        <v>0.00005</v>
      </c>
      <c r="L111" s="12">
        <f t="shared" si="224"/>
        <v>0.0002</v>
      </c>
      <c r="M111" s="12">
        <f t="shared" si="224"/>
        <v>0.00005</v>
      </c>
      <c r="N111" s="12">
        <f t="shared" si="224"/>
        <v>0</v>
      </c>
      <c r="O111" s="12">
        <f t="shared" si="224"/>
        <v>0.00005</v>
      </c>
      <c r="P111" s="7">
        <f t="shared" si="9"/>
        <v>0.01049875621</v>
      </c>
      <c r="Q111" s="7">
        <f t="shared" si="10"/>
        <v>0.0186369977</v>
      </c>
      <c r="R111" s="7">
        <f t="shared" si="3"/>
        <v>0.2082465997</v>
      </c>
      <c r="S111" s="7">
        <f t="shared" si="4"/>
        <v>0.09</v>
      </c>
      <c r="T111" s="7">
        <f t="shared" si="5"/>
        <v>0</v>
      </c>
      <c r="U111" s="7">
        <f t="shared" si="6"/>
        <v>0</v>
      </c>
      <c r="V111" s="7">
        <f t="shared" ref="V111:W111" si="225">IF(AVERAGE(T51:T110) &gt; 0.25, 1, 0)</f>
        <v>0</v>
      </c>
      <c r="W111" s="7">
        <f t="shared" si="225"/>
        <v>0</v>
      </c>
      <c r="X111" s="8">
        <v>0.0</v>
      </c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ht="22.5" customHeight="1">
      <c r="A112" s="6">
        <v>1011.0</v>
      </c>
      <c r="B112" s="6">
        <v>27779.0</v>
      </c>
      <c r="C112" s="10">
        <v>0.82</v>
      </c>
      <c r="D112" s="10">
        <v>9.71</v>
      </c>
      <c r="E112" s="10">
        <v>2.2</v>
      </c>
      <c r="F112" s="10">
        <v>-0.09</v>
      </c>
      <c r="G112" s="10">
        <v>0.0</v>
      </c>
      <c r="H112" s="10">
        <v>0.0</v>
      </c>
      <c r="I112" s="10">
        <v>33.3</v>
      </c>
      <c r="J112" s="10">
        <f t="shared" ref="J112:O112" si="226">abs(C112-C111)/200</f>
        <v>0.00015</v>
      </c>
      <c r="K112" s="11">
        <f t="shared" si="226"/>
        <v>0.00005</v>
      </c>
      <c r="L112" s="12">
        <f t="shared" si="226"/>
        <v>0.00025</v>
      </c>
      <c r="M112" s="12">
        <f t="shared" si="226"/>
        <v>0</v>
      </c>
      <c r="N112" s="12">
        <f t="shared" si="226"/>
        <v>0</v>
      </c>
      <c r="O112" s="12">
        <f t="shared" si="226"/>
        <v>0</v>
      </c>
      <c r="P112" s="7">
        <f t="shared" si="9"/>
        <v>0</v>
      </c>
      <c r="Q112" s="7">
        <f t="shared" si="10"/>
        <v>0.01842678148</v>
      </c>
      <c r="R112" s="7">
        <f t="shared" si="3"/>
        <v>0.1898198182</v>
      </c>
      <c r="S112" s="7">
        <f t="shared" si="4"/>
        <v>0.09</v>
      </c>
      <c r="T112" s="7">
        <f t="shared" si="5"/>
        <v>0</v>
      </c>
      <c r="U112" s="7">
        <f t="shared" si="6"/>
        <v>0</v>
      </c>
      <c r="V112" s="7">
        <f t="shared" ref="V112:W112" si="227">IF(AVERAGE(T52:T111) &gt; 0.25, 1, 0)</f>
        <v>0</v>
      </c>
      <c r="W112" s="7">
        <f t="shared" si="227"/>
        <v>0</v>
      </c>
      <c r="X112" s="8">
        <v>0.0</v>
      </c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ht="22.5" customHeight="1">
      <c r="A113" s="6">
        <v>1012.0</v>
      </c>
      <c r="B113" s="6">
        <v>27983.0</v>
      </c>
      <c r="C113" s="10">
        <v>0.8</v>
      </c>
      <c r="D113" s="10">
        <v>9.73</v>
      </c>
      <c r="E113" s="10">
        <v>2.22</v>
      </c>
      <c r="F113" s="10">
        <v>-0.1</v>
      </c>
      <c r="G113" s="10">
        <v>0.0</v>
      </c>
      <c r="H113" s="10">
        <v>-0.02</v>
      </c>
      <c r="I113" s="10">
        <v>33.3</v>
      </c>
      <c r="J113" s="10">
        <f t="shared" ref="J113:O113" si="228">abs(C113-C112)/200</f>
        <v>0.0001</v>
      </c>
      <c r="K113" s="11">
        <f t="shared" si="228"/>
        <v>0.0001</v>
      </c>
      <c r="L113" s="12">
        <f t="shared" si="228"/>
        <v>0.0001</v>
      </c>
      <c r="M113" s="12">
        <f t="shared" si="228"/>
        <v>0.00005</v>
      </c>
      <c r="N113" s="12">
        <f t="shared" si="228"/>
        <v>0</v>
      </c>
      <c r="O113" s="12">
        <f t="shared" si="228"/>
        <v>0.0001</v>
      </c>
      <c r="P113" s="7">
        <f t="shared" si="9"/>
        <v>0.01198039027</v>
      </c>
      <c r="Q113" s="7">
        <f t="shared" si="10"/>
        <v>0.02223791236</v>
      </c>
      <c r="R113" s="7">
        <f t="shared" si="3"/>
        <v>0.2120577306</v>
      </c>
      <c r="S113" s="7">
        <f t="shared" si="4"/>
        <v>0.1019803903</v>
      </c>
      <c r="T113" s="7">
        <f t="shared" si="5"/>
        <v>0</v>
      </c>
      <c r="U113" s="7">
        <f t="shared" si="6"/>
        <v>0</v>
      </c>
      <c r="V113" s="7">
        <f t="shared" ref="V113:W113" si="229">IF(AVERAGE(T53:T112) &gt; 0.25, 1, 0)</f>
        <v>0</v>
      </c>
      <c r="W113" s="7">
        <f t="shared" si="229"/>
        <v>0</v>
      </c>
      <c r="X113" s="8">
        <v>0.0</v>
      </c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ht="22.5" customHeight="1">
      <c r="A114" s="6">
        <v>1013.0</v>
      </c>
      <c r="B114" s="6">
        <v>28187.0</v>
      </c>
      <c r="C114" s="10">
        <v>0.81</v>
      </c>
      <c r="D114" s="10">
        <v>9.72</v>
      </c>
      <c r="E114" s="10">
        <v>2.2</v>
      </c>
      <c r="F114" s="10">
        <v>-0.09</v>
      </c>
      <c r="G114" s="10">
        <v>0.0</v>
      </c>
      <c r="H114" s="10">
        <v>0.0</v>
      </c>
      <c r="I114" s="10">
        <v>33.3</v>
      </c>
      <c r="J114" s="10">
        <f t="shared" ref="J114:O114" si="230">abs(C114-C113)/200</f>
        <v>0.00005</v>
      </c>
      <c r="K114" s="11">
        <f t="shared" si="230"/>
        <v>0.00005</v>
      </c>
      <c r="L114" s="12">
        <f t="shared" si="230"/>
        <v>0.0001</v>
      </c>
      <c r="M114" s="12">
        <f t="shared" si="230"/>
        <v>0.00005</v>
      </c>
      <c r="N114" s="12">
        <f t="shared" si="230"/>
        <v>0</v>
      </c>
      <c r="O114" s="12">
        <f t="shared" si="230"/>
        <v>0.0001</v>
      </c>
      <c r="P114" s="7">
        <f t="shared" si="9"/>
        <v>0.01198039027</v>
      </c>
      <c r="Q114" s="7">
        <f t="shared" si="10"/>
        <v>0.01333281185</v>
      </c>
      <c r="R114" s="7">
        <f t="shared" si="3"/>
        <v>0.1987249187</v>
      </c>
      <c r="S114" s="7">
        <f t="shared" si="4"/>
        <v>0.09</v>
      </c>
      <c r="T114" s="7">
        <f t="shared" si="5"/>
        <v>0</v>
      </c>
      <c r="U114" s="7">
        <f t="shared" si="6"/>
        <v>0</v>
      </c>
      <c r="V114" s="7">
        <f t="shared" ref="V114:W114" si="231">IF(AVERAGE(T54:T113) &gt; 0.25, 1, 0)</f>
        <v>0</v>
      </c>
      <c r="W114" s="7">
        <f t="shared" si="231"/>
        <v>0</v>
      </c>
      <c r="X114" s="8">
        <v>0.0</v>
      </c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ht="22.5" customHeight="1">
      <c r="A115" s="6">
        <v>1014.0</v>
      </c>
      <c r="B115" s="6">
        <v>28391.0</v>
      </c>
      <c r="C115" s="10">
        <v>0.83</v>
      </c>
      <c r="D115" s="10">
        <v>9.72</v>
      </c>
      <c r="E115" s="10">
        <v>2.2</v>
      </c>
      <c r="F115" s="10">
        <v>-0.08</v>
      </c>
      <c r="G115" s="10">
        <v>0.0</v>
      </c>
      <c r="H115" s="10">
        <v>0.0</v>
      </c>
      <c r="I115" s="10">
        <v>33.29</v>
      </c>
      <c r="J115" s="10">
        <f t="shared" ref="J115:O115" si="232">abs(C115-C114)/200</f>
        <v>0.0001</v>
      </c>
      <c r="K115" s="11">
        <f t="shared" si="232"/>
        <v>0</v>
      </c>
      <c r="L115" s="12">
        <f t="shared" si="232"/>
        <v>0</v>
      </c>
      <c r="M115" s="12">
        <f t="shared" si="232"/>
        <v>0.00005</v>
      </c>
      <c r="N115" s="12">
        <f t="shared" si="232"/>
        <v>0</v>
      </c>
      <c r="O115" s="12">
        <f t="shared" si="232"/>
        <v>0</v>
      </c>
      <c r="P115" s="7">
        <f t="shared" si="9"/>
        <v>0.01</v>
      </c>
      <c r="Q115" s="7">
        <f t="shared" si="10"/>
        <v>0.001640074631</v>
      </c>
      <c r="R115" s="7">
        <f t="shared" si="3"/>
        <v>0.2003649933</v>
      </c>
      <c r="S115" s="7">
        <f t="shared" si="4"/>
        <v>0.08</v>
      </c>
      <c r="T115" s="7">
        <f t="shared" si="5"/>
        <v>0</v>
      </c>
      <c r="U115" s="7">
        <f t="shared" si="6"/>
        <v>0</v>
      </c>
      <c r="V115" s="7">
        <f t="shared" ref="V115:W115" si="233">IF(AVERAGE(T55:T114) &gt; 0.25, 1, 0)</f>
        <v>0</v>
      </c>
      <c r="W115" s="7">
        <f t="shared" si="233"/>
        <v>0</v>
      </c>
      <c r="X115" s="8">
        <v>0.0</v>
      </c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ht="22.5" customHeight="1">
      <c r="A116" s="6">
        <v>1015.0</v>
      </c>
      <c r="B116" s="6">
        <v>28595.0</v>
      </c>
      <c r="C116" s="10">
        <v>0.82</v>
      </c>
      <c r="D116" s="10">
        <v>9.74</v>
      </c>
      <c r="E116" s="10">
        <v>2.2</v>
      </c>
      <c r="F116" s="10">
        <v>-0.1</v>
      </c>
      <c r="G116" s="10">
        <v>0.0</v>
      </c>
      <c r="H116" s="10">
        <v>-0.01</v>
      </c>
      <c r="I116" s="10">
        <v>33.29</v>
      </c>
      <c r="J116" s="10">
        <f t="shared" ref="J116:O116" si="234">abs(C116-C115)/200</f>
        <v>0.00005</v>
      </c>
      <c r="K116" s="11">
        <f t="shared" si="234"/>
        <v>0.0001</v>
      </c>
      <c r="L116" s="12">
        <f t="shared" si="234"/>
        <v>0</v>
      </c>
      <c r="M116" s="12">
        <f t="shared" si="234"/>
        <v>0.0001</v>
      </c>
      <c r="N116" s="12">
        <f t="shared" si="234"/>
        <v>0</v>
      </c>
      <c r="O116" s="12">
        <f t="shared" si="234"/>
        <v>0.00005</v>
      </c>
      <c r="P116" s="7">
        <f t="shared" si="9"/>
        <v>0.02049875621</v>
      </c>
      <c r="Q116" s="7">
        <f t="shared" si="10"/>
        <v>0.01861699087</v>
      </c>
      <c r="R116" s="7">
        <f t="shared" si="3"/>
        <v>0.2189819842</v>
      </c>
      <c r="S116" s="7">
        <f t="shared" si="4"/>
        <v>0.1004987562</v>
      </c>
      <c r="T116" s="7">
        <f t="shared" si="5"/>
        <v>0</v>
      </c>
      <c r="U116" s="7">
        <f t="shared" si="6"/>
        <v>0</v>
      </c>
      <c r="V116" s="7">
        <f t="shared" ref="V116:W116" si="235">IF(AVERAGE(T56:T115) &gt; 0.25, 1, 0)</f>
        <v>0</v>
      </c>
      <c r="W116" s="7">
        <f t="shared" si="235"/>
        <v>0</v>
      </c>
      <c r="X116" s="8">
        <v>0.0</v>
      </c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ht="22.5" customHeight="1">
      <c r="A117" s="6">
        <v>1016.0</v>
      </c>
      <c r="B117" s="6">
        <v>28799.0</v>
      </c>
      <c r="C117" s="10">
        <v>0.82</v>
      </c>
      <c r="D117" s="10">
        <v>9.73</v>
      </c>
      <c r="E117" s="10">
        <v>2.18</v>
      </c>
      <c r="F117" s="10">
        <v>-0.1</v>
      </c>
      <c r="G117" s="10">
        <v>0.0</v>
      </c>
      <c r="H117" s="10">
        <v>-0.01</v>
      </c>
      <c r="I117" s="10">
        <v>33.29</v>
      </c>
      <c r="J117" s="10">
        <f t="shared" ref="J117:O117" si="236">abs(C117-C116)/200</f>
        <v>0</v>
      </c>
      <c r="K117" s="11">
        <f t="shared" si="236"/>
        <v>0.00005</v>
      </c>
      <c r="L117" s="12">
        <f t="shared" si="236"/>
        <v>0.0001</v>
      </c>
      <c r="M117" s="12">
        <f t="shared" si="236"/>
        <v>0</v>
      </c>
      <c r="N117" s="12">
        <f t="shared" si="236"/>
        <v>0</v>
      </c>
      <c r="O117" s="12">
        <f t="shared" si="236"/>
        <v>0</v>
      </c>
      <c r="P117" s="7">
        <f t="shared" si="9"/>
        <v>0</v>
      </c>
      <c r="Q117" s="7">
        <f t="shared" si="10"/>
        <v>0.01409817679</v>
      </c>
      <c r="R117" s="7">
        <f t="shared" si="3"/>
        <v>0.2048838074</v>
      </c>
      <c r="S117" s="7">
        <f t="shared" si="4"/>
        <v>0.1004987562</v>
      </c>
      <c r="T117" s="7">
        <f t="shared" si="5"/>
        <v>0</v>
      </c>
      <c r="U117" s="7">
        <f t="shared" si="6"/>
        <v>0</v>
      </c>
      <c r="V117" s="7">
        <f t="shared" ref="V117:W117" si="237">IF(AVERAGE(T57:T116) &gt; 0.25, 1, 0)</f>
        <v>0</v>
      </c>
      <c r="W117" s="7">
        <f t="shared" si="237"/>
        <v>0</v>
      </c>
      <c r="X117" s="8">
        <v>0.0</v>
      </c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ht="22.5" customHeight="1">
      <c r="A118" s="6">
        <v>1017.0</v>
      </c>
      <c r="B118" s="6">
        <v>29003.0</v>
      </c>
      <c r="C118" s="10">
        <v>0.8</v>
      </c>
      <c r="D118" s="10">
        <v>9.74</v>
      </c>
      <c r="E118" s="10">
        <v>2.21</v>
      </c>
      <c r="F118" s="10">
        <v>-0.1</v>
      </c>
      <c r="G118" s="10">
        <v>0.0</v>
      </c>
      <c r="H118" s="10">
        <v>-0.01</v>
      </c>
      <c r="I118" s="10">
        <v>33.29</v>
      </c>
      <c r="J118" s="10">
        <f t="shared" ref="J118:O118" si="238">abs(C118-C117)/200</f>
        <v>0.0001</v>
      </c>
      <c r="K118" s="11">
        <f t="shared" si="238"/>
        <v>0.00005</v>
      </c>
      <c r="L118" s="12">
        <f t="shared" si="238"/>
        <v>0.00015</v>
      </c>
      <c r="M118" s="12">
        <f t="shared" si="238"/>
        <v>0</v>
      </c>
      <c r="N118" s="12">
        <f t="shared" si="238"/>
        <v>0</v>
      </c>
      <c r="O118" s="12">
        <f t="shared" si="238"/>
        <v>0</v>
      </c>
      <c r="P118" s="7">
        <f t="shared" si="9"/>
        <v>0</v>
      </c>
      <c r="Q118" s="7">
        <f t="shared" si="10"/>
        <v>0.01468205144</v>
      </c>
      <c r="R118" s="7">
        <f t="shared" si="3"/>
        <v>0.2195658589</v>
      </c>
      <c r="S118" s="7">
        <f t="shared" si="4"/>
        <v>0.1004987562</v>
      </c>
      <c r="T118" s="7">
        <f t="shared" si="5"/>
        <v>0</v>
      </c>
      <c r="U118" s="7">
        <f t="shared" si="6"/>
        <v>0</v>
      </c>
      <c r="V118" s="7">
        <f t="shared" ref="V118:W118" si="239">IF(AVERAGE(T58:T117) &gt; 0.25, 1, 0)</f>
        <v>0</v>
      </c>
      <c r="W118" s="7">
        <f t="shared" si="239"/>
        <v>0</v>
      </c>
      <c r="X118" s="8">
        <v>0.0</v>
      </c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ht="22.5" customHeight="1">
      <c r="A119" s="6">
        <v>1018.0</v>
      </c>
      <c r="B119" s="6">
        <v>29207.0</v>
      </c>
      <c r="C119" s="10">
        <v>0.82</v>
      </c>
      <c r="D119" s="10">
        <v>9.73</v>
      </c>
      <c r="E119" s="10">
        <v>2.18</v>
      </c>
      <c r="F119" s="10">
        <v>-0.09</v>
      </c>
      <c r="G119" s="10">
        <v>0.0</v>
      </c>
      <c r="H119" s="10">
        <v>0.0</v>
      </c>
      <c r="I119" s="10">
        <v>33.29</v>
      </c>
      <c r="J119" s="10">
        <f t="shared" ref="J119:O119" si="240">abs(C119-C118)/200</f>
        <v>0.0001</v>
      </c>
      <c r="K119" s="11">
        <f t="shared" si="240"/>
        <v>0.00005</v>
      </c>
      <c r="L119" s="12">
        <f t="shared" si="240"/>
        <v>0.00015</v>
      </c>
      <c r="M119" s="12">
        <f t="shared" si="240"/>
        <v>0.00005</v>
      </c>
      <c r="N119" s="12">
        <f t="shared" si="240"/>
        <v>0</v>
      </c>
      <c r="O119" s="12">
        <f t="shared" si="240"/>
        <v>0.00005</v>
      </c>
      <c r="P119" s="7">
        <f t="shared" si="9"/>
        <v>0.01049875621</v>
      </c>
      <c r="Q119" s="7">
        <f t="shared" si="10"/>
        <v>0.01468205144</v>
      </c>
      <c r="R119" s="7">
        <f t="shared" si="3"/>
        <v>0.2048838074</v>
      </c>
      <c r="S119" s="7">
        <f t="shared" si="4"/>
        <v>0.09</v>
      </c>
      <c r="T119" s="7">
        <f t="shared" si="5"/>
        <v>0</v>
      </c>
      <c r="U119" s="7">
        <f t="shared" si="6"/>
        <v>0</v>
      </c>
      <c r="V119" s="7">
        <f t="shared" ref="V119:W119" si="241">IF(AVERAGE(T59:T118) &gt; 0.25, 1, 0)</f>
        <v>0</v>
      </c>
      <c r="W119" s="7">
        <f t="shared" si="241"/>
        <v>0</v>
      </c>
      <c r="X119" s="8">
        <v>0.0</v>
      </c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ht="22.5" customHeight="1">
      <c r="A120" s="6">
        <v>1019.0</v>
      </c>
      <c r="B120" s="6">
        <v>29411.0</v>
      </c>
      <c r="C120" s="10">
        <v>0.79</v>
      </c>
      <c r="D120" s="10">
        <v>9.75</v>
      </c>
      <c r="E120" s="10">
        <v>2.22</v>
      </c>
      <c r="F120" s="10">
        <v>-0.1</v>
      </c>
      <c r="G120" s="10">
        <v>0.0</v>
      </c>
      <c r="H120" s="10">
        <v>-0.01</v>
      </c>
      <c r="I120" s="10">
        <v>33.29</v>
      </c>
      <c r="J120" s="10">
        <f t="shared" ref="J120:O120" si="242">abs(C120-C119)/200</f>
        <v>0.00015</v>
      </c>
      <c r="K120" s="11">
        <f t="shared" si="242"/>
        <v>0.0001</v>
      </c>
      <c r="L120" s="12">
        <f t="shared" si="242"/>
        <v>0.0002</v>
      </c>
      <c r="M120" s="12">
        <f t="shared" si="242"/>
        <v>0.00005</v>
      </c>
      <c r="N120" s="12">
        <f t="shared" si="242"/>
        <v>0</v>
      </c>
      <c r="O120" s="12">
        <f t="shared" si="242"/>
        <v>0.00005</v>
      </c>
      <c r="P120" s="7">
        <f t="shared" si="9"/>
        <v>0.01049875621</v>
      </c>
      <c r="Q120" s="7">
        <f t="shared" si="10"/>
        <v>0.02581905928</v>
      </c>
      <c r="R120" s="7">
        <f t="shared" si="3"/>
        <v>0.2307028667</v>
      </c>
      <c r="S120" s="7">
        <f t="shared" si="4"/>
        <v>0.1004987562</v>
      </c>
      <c r="T120" s="7">
        <f t="shared" si="5"/>
        <v>0</v>
      </c>
      <c r="U120" s="7">
        <f t="shared" si="6"/>
        <v>0</v>
      </c>
      <c r="V120" s="7">
        <f t="shared" ref="V120:W120" si="243">IF(AVERAGE(T60:T119) &gt; 0.25, 1, 0)</f>
        <v>0</v>
      </c>
      <c r="W120" s="7">
        <f t="shared" si="243"/>
        <v>0</v>
      </c>
      <c r="X120" s="8">
        <v>0.0</v>
      </c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ht="22.5" customHeight="1">
      <c r="A121" s="6">
        <v>1020.0</v>
      </c>
      <c r="B121" s="6">
        <v>29615.0</v>
      </c>
      <c r="C121" s="10">
        <v>0.84</v>
      </c>
      <c r="D121" s="10">
        <v>9.72</v>
      </c>
      <c r="E121" s="10">
        <v>2.19</v>
      </c>
      <c r="F121" s="10">
        <v>-0.1</v>
      </c>
      <c r="G121" s="10">
        <v>0.0</v>
      </c>
      <c r="H121" s="10">
        <v>-0.01</v>
      </c>
      <c r="I121" s="10">
        <v>33.3</v>
      </c>
      <c r="J121" s="10">
        <f t="shared" ref="J121:O121" si="244">abs(C121-C120)/200</f>
        <v>0.00025</v>
      </c>
      <c r="K121" s="11">
        <f t="shared" si="244"/>
        <v>0.00015</v>
      </c>
      <c r="L121" s="12">
        <f t="shared" si="244"/>
        <v>0.00015</v>
      </c>
      <c r="M121" s="12">
        <f t="shared" si="244"/>
        <v>0</v>
      </c>
      <c r="N121" s="12">
        <f t="shared" si="244"/>
        <v>0</v>
      </c>
      <c r="O121" s="12">
        <f t="shared" si="244"/>
        <v>0</v>
      </c>
      <c r="P121" s="7">
        <f t="shared" si="9"/>
        <v>0</v>
      </c>
      <c r="Q121" s="7">
        <f t="shared" si="10"/>
        <v>0.0316979162</v>
      </c>
      <c r="R121" s="7">
        <f t="shared" si="3"/>
        <v>0.1990049505</v>
      </c>
      <c r="S121" s="7">
        <f t="shared" si="4"/>
        <v>0.1004987562</v>
      </c>
      <c r="T121" s="7">
        <f t="shared" si="5"/>
        <v>0</v>
      </c>
      <c r="U121" s="7">
        <f t="shared" si="6"/>
        <v>0</v>
      </c>
      <c r="V121" s="7">
        <f t="shared" ref="V121:W121" si="245">IF(AVERAGE(T61:T120) &gt; 0.25, 1, 0)</f>
        <v>0</v>
      </c>
      <c r="W121" s="7">
        <f t="shared" si="245"/>
        <v>0</v>
      </c>
      <c r="X121" s="8">
        <v>0.0</v>
      </c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ht="22.5" customHeight="1">
      <c r="A122" s="6">
        <v>1021.0</v>
      </c>
      <c r="B122" s="6">
        <v>29819.0</v>
      </c>
      <c r="C122" s="10">
        <v>0.8</v>
      </c>
      <c r="D122" s="10">
        <v>9.74</v>
      </c>
      <c r="E122" s="10">
        <v>2.21</v>
      </c>
      <c r="F122" s="10">
        <v>-0.1</v>
      </c>
      <c r="G122" s="10">
        <v>0.0</v>
      </c>
      <c r="H122" s="10">
        <v>-0.02</v>
      </c>
      <c r="I122" s="10">
        <v>33.3</v>
      </c>
      <c r="J122" s="10">
        <f t="shared" ref="J122:O122" si="246">abs(C122-C121)/200</f>
        <v>0.0002</v>
      </c>
      <c r="K122" s="11">
        <f t="shared" si="246"/>
        <v>0.0001</v>
      </c>
      <c r="L122" s="12">
        <f t="shared" si="246"/>
        <v>0.0001</v>
      </c>
      <c r="M122" s="12">
        <f t="shared" si="246"/>
        <v>0</v>
      </c>
      <c r="N122" s="12">
        <f t="shared" si="246"/>
        <v>0</v>
      </c>
      <c r="O122" s="12">
        <f t="shared" si="246"/>
        <v>0.00005</v>
      </c>
      <c r="P122" s="7">
        <f t="shared" si="9"/>
        <v>0.001481634061</v>
      </c>
      <c r="Q122" s="7">
        <f t="shared" si="10"/>
        <v>0.02056090836</v>
      </c>
      <c r="R122" s="7">
        <f t="shared" si="3"/>
        <v>0.2195658589</v>
      </c>
      <c r="S122" s="7">
        <f t="shared" si="4"/>
        <v>0.1019803903</v>
      </c>
      <c r="T122" s="7">
        <f t="shared" si="5"/>
        <v>0</v>
      </c>
      <c r="U122" s="7">
        <f t="shared" si="6"/>
        <v>0</v>
      </c>
      <c r="V122" s="7">
        <f t="shared" ref="V122:W122" si="247">IF(AVERAGE(T62:T121) &gt; 0.25, 1, 0)</f>
        <v>0</v>
      </c>
      <c r="W122" s="7">
        <f t="shared" si="247"/>
        <v>0</v>
      </c>
      <c r="X122" s="8">
        <v>0.0</v>
      </c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ht="22.5" customHeight="1">
      <c r="A123" s="6">
        <v>1022.0</v>
      </c>
      <c r="B123" s="6">
        <v>30023.0</v>
      </c>
      <c r="C123" s="10">
        <v>0.85</v>
      </c>
      <c r="D123" s="10">
        <v>9.72</v>
      </c>
      <c r="E123" s="10">
        <v>2.21</v>
      </c>
      <c r="F123" s="10">
        <v>-0.1</v>
      </c>
      <c r="G123" s="10">
        <v>0.0</v>
      </c>
      <c r="H123" s="10">
        <v>-0.01</v>
      </c>
      <c r="I123" s="10">
        <v>33.3</v>
      </c>
      <c r="J123" s="10">
        <f t="shared" ref="J123:O123" si="248">abs(C123-C122)/200</f>
        <v>0.00025</v>
      </c>
      <c r="K123" s="11">
        <f t="shared" si="248"/>
        <v>0.0001</v>
      </c>
      <c r="L123" s="12">
        <f t="shared" si="248"/>
        <v>0</v>
      </c>
      <c r="M123" s="12">
        <f t="shared" si="248"/>
        <v>0</v>
      </c>
      <c r="N123" s="12">
        <f t="shared" si="248"/>
        <v>0</v>
      </c>
      <c r="O123" s="12">
        <f t="shared" si="248"/>
        <v>0.00005</v>
      </c>
      <c r="P123" s="7">
        <f t="shared" si="9"/>
        <v>0.001481634061</v>
      </c>
      <c r="Q123" s="7">
        <f t="shared" si="10"/>
        <v>0.0153167616</v>
      </c>
      <c r="R123" s="7">
        <f t="shared" si="3"/>
        <v>0.2042490973</v>
      </c>
      <c r="S123" s="7">
        <f t="shared" si="4"/>
        <v>0.1004987562</v>
      </c>
      <c r="T123" s="7">
        <f t="shared" si="5"/>
        <v>0</v>
      </c>
      <c r="U123" s="7">
        <f t="shared" si="6"/>
        <v>0</v>
      </c>
      <c r="V123" s="7">
        <f t="shared" ref="V123:W123" si="249">IF(AVERAGE(T63:T122) &gt; 0.25, 1, 0)</f>
        <v>0</v>
      </c>
      <c r="W123" s="7">
        <f t="shared" si="249"/>
        <v>0</v>
      </c>
      <c r="X123" s="8">
        <v>0.0</v>
      </c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ht="22.5" customHeight="1">
      <c r="A124" s="6">
        <v>1023.0</v>
      </c>
      <c r="B124" s="6">
        <v>30227.0</v>
      </c>
      <c r="C124" s="10">
        <v>0.84</v>
      </c>
      <c r="D124" s="10">
        <v>9.72</v>
      </c>
      <c r="E124" s="10">
        <v>2.2</v>
      </c>
      <c r="F124" s="10">
        <v>-0.1</v>
      </c>
      <c r="G124" s="10">
        <v>0.0</v>
      </c>
      <c r="H124" s="10">
        <v>-0.01</v>
      </c>
      <c r="I124" s="10">
        <v>33.3</v>
      </c>
      <c r="J124" s="10">
        <f t="shared" ref="J124:O124" si="250">abs(C124-C123)/200</f>
        <v>0.00005</v>
      </c>
      <c r="K124" s="11">
        <f t="shared" si="250"/>
        <v>0</v>
      </c>
      <c r="L124" s="12">
        <f t="shared" si="250"/>
        <v>0.00005</v>
      </c>
      <c r="M124" s="12">
        <f t="shared" si="250"/>
        <v>0</v>
      </c>
      <c r="N124" s="12">
        <f t="shared" si="250"/>
        <v>0</v>
      </c>
      <c r="O124" s="12">
        <f t="shared" si="250"/>
        <v>0</v>
      </c>
      <c r="P124" s="7">
        <f t="shared" si="9"/>
        <v>0</v>
      </c>
      <c r="Q124" s="7">
        <f t="shared" si="10"/>
        <v>0.00304916925</v>
      </c>
      <c r="R124" s="7">
        <f t="shared" si="3"/>
        <v>0.201199928</v>
      </c>
      <c r="S124" s="7">
        <f t="shared" si="4"/>
        <v>0.1004987562</v>
      </c>
      <c r="T124" s="7">
        <f t="shared" si="5"/>
        <v>0</v>
      </c>
      <c r="U124" s="7">
        <f t="shared" si="6"/>
        <v>0</v>
      </c>
      <c r="V124" s="7">
        <f t="shared" ref="V124:W124" si="251">IF(AVERAGE(T64:T123) &gt; 0.25, 1, 0)</f>
        <v>0</v>
      </c>
      <c r="W124" s="7">
        <f t="shared" si="251"/>
        <v>0</v>
      </c>
      <c r="X124" s="8">
        <v>0.0</v>
      </c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ht="22.5" customHeight="1">
      <c r="A125" s="6">
        <v>1024.0</v>
      </c>
      <c r="B125" s="6">
        <v>30431.0</v>
      </c>
      <c r="C125" s="10">
        <v>0.83</v>
      </c>
      <c r="D125" s="10">
        <v>9.73</v>
      </c>
      <c r="E125" s="10">
        <v>2.19</v>
      </c>
      <c r="F125" s="10">
        <v>-0.1</v>
      </c>
      <c r="G125" s="10">
        <v>0.0</v>
      </c>
      <c r="H125" s="10">
        <v>-0.01</v>
      </c>
      <c r="I125" s="10">
        <v>33.3</v>
      </c>
      <c r="J125" s="10">
        <f t="shared" ref="J125:O125" si="252">abs(C125-C124)/200</f>
        <v>0.00005</v>
      </c>
      <c r="K125" s="11">
        <f t="shared" si="252"/>
        <v>0.00005</v>
      </c>
      <c r="L125" s="12">
        <f t="shared" si="252"/>
        <v>0.00005</v>
      </c>
      <c r="M125" s="12">
        <f t="shared" si="252"/>
        <v>0</v>
      </c>
      <c r="N125" s="12">
        <f t="shared" si="252"/>
        <v>0</v>
      </c>
      <c r="O125" s="12">
        <f t="shared" si="252"/>
        <v>0</v>
      </c>
      <c r="P125" s="7">
        <f t="shared" si="9"/>
        <v>0</v>
      </c>
      <c r="Q125" s="7">
        <f t="shared" si="10"/>
        <v>0.006691957898</v>
      </c>
      <c r="R125" s="7">
        <f t="shared" si="3"/>
        <v>0.2078918859</v>
      </c>
      <c r="S125" s="7">
        <f t="shared" si="4"/>
        <v>0.1004987562</v>
      </c>
      <c r="T125" s="7">
        <f t="shared" si="5"/>
        <v>0</v>
      </c>
      <c r="U125" s="7">
        <f t="shared" si="6"/>
        <v>0</v>
      </c>
      <c r="V125" s="7">
        <f t="shared" ref="V125:W125" si="253">IF(AVERAGE(T65:T124) &gt; 0.25, 1, 0)</f>
        <v>0</v>
      </c>
      <c r="W125" s="7">
        <f t="shared" si="253"/>
        <v>0</v>
      </c>
      <c r="X125" s="8">
        <v>0.0</v>
      </c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ht="22.5" customHeight="1">
      <c r="A126" s="6">
        <v>1025.0</v>
      </c>
      <c r="B126" s="6">
        <v>30635.0</v>
      </c>
      <c r="C126" s="10">
        <v>0.82</v>
      </c>
      <c r="D126" s="10">
        <v>9.74</v>
      </c>
      <c r="E126" s="10">
        <v>2.17</v>
      </c>
      <c r="F126" s="10">
        <v>-0.09</v>
      </c>
      <c r="G126" s="10">
        <v>0.0</v>
      </c>
      <c r="H126" s="10">
        <v>-0.01</v>
      </c>
      <c r="I126" s="10">
        <v>33.3</v>
      </c>
      <c r="J126" s="10">
        <f t="shared" ref="J126:O126" si="254">abs(C126-C125)/200</f>
        <v>0.00005</v>
      </c>
      <c r="K126" s="11">
        <f t="shared" si="254"/>
        <v>0.00005</v>
      </c>
      <c r="L126" s="12">
        <f t="shared" si="254"/>
        <v>0.0001</v>
      </c>
      <c r="M126" s="12">
        <f t="shared" si="254"/>
        <v>0.00005</v>
      </c>
      <c r="N126" s="12">
        <f t="shared" si="254"/>
        <v>0</v>
      </c>
      <c r="O126" s="12">
        <f t="shared" si="254"/>
        <v>0</v>
      </c>
      <c r="P126" s="7">
        <f t="shared" si="9"/>
        <v>0.00994490483</v>
      </c>
      <c r="Q126" s="7">
        <f t="shared" si="10"/>
        <v>0.004545379814</v>
      </c>
      <c r="R126" s="7">
        <f t="shared" si="3"/>
        <v>0.2124372657</v>
      </c>
      <c r="S126" s="7">
        <f t="shared" si="4"/>
        <v>0.09055385138</v>
      </c>
      <c r="T126" s="7">
        <f t="shared" si="5"/>
        <v>0</v>
      </c>
      <c r="U126" s="7">
        <f t="shared" si="6"/>
        <v>0</v>
      </c>
      <c r="V126" s="7">
        <f t="shared" ref="V126:W126" si="255">IF(AVERAGE(T66:T125) &gt; 0.25, 1, 0)</f>
        <v>0</v>
      </c>
      <c r="W126" s="7">
        <f t="shared" si="255"/>
        <v>0</v>
      </c>
      <c r="X126" s="8">
        <v>0.0</v>
      </c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ht="22.5" customHeight="1">
      <c r="A127" s="6">
        <v>1026.0</v>
      </c>
      <c r="B127" s="6">
        <v>30839.0</v>
      </c>
      <c r="C127" s="10">
        <v>0.84</v>
      </c>
      <c r="D127" s="10">
        <v>9.73</v>
      </c>
      <c r="E127" s="10">
        <v>2.2</v>
      </c>
      <c r="F127" s="10">
        <v>-0.09</v>
      </c>
      <c r="G127" s="10">
        <v>0.0</v>
      </c>
      <c r="H127" s="10">
        <v>-0.01</v>
      </c>
      <c r="I127" s="10">
        <v>33.29</v>
      </c>
      <c r="J127" s="10">
        <f t="shared" ref="J127:O127" si="256">abs(C127-C126)/200</f>
        <v>0.0001</v>
      </c>
      <c r="K127" s="11">
        <f t="shared" si="256"/>
        <v>0.00005</v>
      </c>
      <c r="L127" s="12">
        <f t="shared" si="256"/>
        <v>0.00015</v>
      </c>
      <c r="M127" s="12">
        <f t="shared" si="256"/>
        <v>0</v>
      </c>
      <c r="N127" s="12">
        <f t="shared" si="256"/>
        <v>0</v>
      </c>
      <c r="O127" s="12">
        <f t="shared" si="256"/>
        <v>0</v>
      </c>
      <c r="P127" s="7">
        <f t="shared" si="9"/>
        <v>0</v>
      </c>
      <c r="Q127" s="7">
        <f t="shared" si="10"/>
        <v>0.001518226991</v>
      </c>
      <c r="R127" s="7">
        <f t="shared" si="3"/>
        <v>0.2109190387</v>
      </c>
      <c r="S127" s="7">
        <f t="shared" si="4"/>
        <v>0.09055385138</v>
      </c>
      <c r="T127" s="7">
        <f t="shared" si="5"/>
        <v>0</v>
      </c>
      <c r="U127" s="7">
        <f t="shared" si="6"/>
        <v>0</v>
      </c>
      <c r="V127" s="7">
        <f t="shared" ref="V127:W127" si="257">IF(AVERAGE(T67:T126) &gt; 0.25, 1, 0)</f>
        <v>0</v>
      </c>
      <c r="W127" s="7">
        <f t="shared" si="257"/>
        <v>0</v>
      </c>
      <c r="X127" s="8">
        <v>0.0</v>
      </c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ht="22.5" customHeight="1">
      <c r="A128" s="6">
        <v>1027.0</v>
      </c>
      <c r="B128" s="6">
        <v>31043.0</v>
      </c>
      <c r="C128" s="10">
        <v>0.86</v>
      </c>
      <c r="D128" s="10">
        <v>9.74</v>
      </c>
      <c r="E128" s="10">
        <v>2.15</v>
      </c>
      <c r="F128" s="10">
        <v>-0.1</v>
      </c>
      <c r="G128" s="10">
        <v>0.0</v>
      </c>
      <c r="H128" s="10">
        <v>0.02</v>
      </c>
      <c r="I128" s="10">
        <v>33.29</v>
      </c>
      <c r="J128" s="10">
        <f t="shared" ref="J128:O128" si="258">abs(C128-C127)/200</f>
        <v>0.0001</v>
      </c>
      <c r="K128" s="11">
        <f t="shared" si="258"/>
        <v>0.00005</v>
      </c>
      <c r="L128" s="12">
        <f t="shared" si="258"/>
        <v>0.00025</v>
      </c>
      <c r="M128" s="12">
        <f t="shared" si="258"/>
        <v>0.00005</v>
      </c>
      <c r="N128" s="12">
        <f t="shared" si="258"/>
        <v>0</v>
      </c>
      <c r="O128" s="12">
        <f t="shared" si="258"/>
        <v>0.00015</v>
      </c>
      <c r="P128" s="7">
        <f t="shared" si="9"/>
        <v>0.01142653889</v>
      </c>
      <c r="Q128" s="7">
        <f t="shared" si="10"/>
        <v>0.0005593735729</v>
      </c>
      <c r="R128" s="7">
        <f t="shared" si="3"/>
        <v>0.2114784123</v>
      </c>
      <c r="S128" s="7">
        <f t="shared" si="4"/>
        <v>0.1019803903</v>
      </c>
      <c r="T128" s="7">
        <f t="shared" si="5"/>
        <v>0</v>
      </c>
      <c r="U128" s="7">
        <f t="shared" si="6"/>
        <v>0</v>
      </c>
      <c r="V128" s="7">
        <f t="shared" ref="V128:W128" si="259">IF(AVERAGE(T68:T127) &gt; 0.25, 1, 0)</f>
        <v>0</v>
      </c>
      <c r="W128" s="7">
        <f t="shared" si="259"/>
        <v>0</v>
      </c>
      <c r="X128" s="8">
        <v>0.0</v>
      </c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ht="22.5" customHeight="1">
      <c r="A129" s="6">
        <v>1028.0</v>
      </c>
      <c r="B129" s="6">
        <v>31247.0</v>
      </c>
      <c r="C129" s="10">
        <v>0.84</v>
      </c>
      <c r="D129" s="10">
        <v>9.75</v>
      </c>
      <c r="E129" s="10">
        <v>2.16</v>
      </c>
      <c r="F129" s="10">
        <v>-0.09</v>
      </c>
      <c r="G129" s="10">
        <v>0.0</v>
      </c>
      <c r="H129" s="10">
        <v>0.01</v>
      </c>
      <c r="I129" s="10">
        <v>33.31</v>
      </c>
      <c r="J129" s="10">
        <f t="shared" ref="J129:O129" si="260">abs(C129-C128)/200</f>
        <v>0.0001</v>
      </c>
      <c r="K129" s="11">
        <f t="shared" si="260"/>
        <v>0.00005</v>
      </c>
      <c r="L129" s="12">
        <f t="shared" si="260"/>
        <v>0.00005</v>
      </c>
      <c r="M129" s="12">
        <f t="shared" si="260"/>
        <v>0.00005</v>
      </c>
      <c r="N129" s="12">
        <f t="shared" si="260"/>
        <v>0</v>
      </c>
      <c r="O129" s="12">
        <f t="shared" si="260"/>
        <v>0.00005</v>
      </c>
      <c r="P129" s="7">
        <f t="shared" si="9"/>
        <v>0.01142653889</v>
      </c>
      <c r="Q129" s="7">
        <f t="shared" si="10"/>
        <v>0.01018312658</v>
      </c>
      <c r="R129" s="7">
        <f t="shared" si="3"/>
        <v>0.2216615389</v>
      </c>
      <c r="S129" s="7">
        <f t="shared" si="4"/>
        <v>0.09055385138</v>
      </c>
      <c r="T129" s="7">
        <f t="shared" si="5"/>
        <v>0</v>
      </c>
      <c r="U129" s="7">
        <f t="shared" si="6"/>
        <v>0</v>
      </c>
      <c r="V129" s="7">
        <f t="shared" ref="V129:W129" si="261">IF(AVERAGE(T69:T128) &gt; 0.25, 1, 0)</f>
        <v>0</v>
      </c>
      <c r="W129" s="7">
        <f t="shared" si="261"/>
        <v>0</v>
      </c>
      <c r="X129" s="8">
        <v>0.0</v>
      </c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ht="22.5" customHeight="1">
      <c r="A130" s="6">
        <v>1029.0</v>
      </c>
      <c r="B130" s="6">
        <v>31451.0</v>
      </c>
      <c r="C130" s="10">
        <v>0.91</v>
      </c>
      <c r="D130" s="10">
        <v>9.71</v>
      </c>
      <c r="E130" s="10">
        <v>2.15</v>
      </c>
      <c r="F130" s="10">
        <v>-0.13</v>
      </c>
      <c r="G130" s="10">
        <v>0.0</v>
      </c>
      <c r="H130" s="10">
        <v>-0.03</v>
      </c>
      <c r="I130" s="10">
        <v>33.29</v>
      </c>
      <c r="J130" s="10">
        <f t="shared" ref="J130:O130" si="262">abs(C130-C129)/200</f>
        <v>0.00035</v>
      </c>
      <c r="K130" s="11">
        <f t="shared" si="262"/>
        <v>0.0002</v>
      </c>
      <c r="L130" s="12">
        <f t="shared" si="262"/>
        <v>0.00005</v>
      </c>
      <c r="M130" s="12">
        <f t="shared" si="262"/>
        <v>0.0002</v>
      </c>
      <c r="N130" s="12">
        <f t="shared" si="262"/>
        <v>0</v>
      </c>
      <c r="O130" s="12">
        <f t="shared" si="262"/>
        <v>0.0002</v>
      </c>
      <c r="P130" s="7">
        <f t="shared" si="9"/>
        <v>0.04286278926</v>
      </c>
      <c r="Q130" s="7">
        <f t="shared" si="10"/>
        <v>0.03493534859</v>
      </c>
      <c r="R130" s="7">
        <f t="shared" si="3"/>
        <v>0.1867261903</v>
      </c>
      <c r="S130" s="7">
        <f t="shared" si="4"/>
        <v>0.1334166406</v>
      </c>
      <c r="T130" s="7">
        <f t="shared" si="5"/>
        <v>1</v>
      </c>
      <c r="U130" s="7">
        <f t="shared" si="6"/>
        <v>0</v>
      </c>
      <c r="V130" s="7">
        <f t="shared" ref="V130:W130" si="263">IF(AVERAGE(T70:T129) &gt; 0.25, 1, 0)</f>
        <v>0</v>
      </c>
      <c r="W130" s="7">
        <f t="shared" si="263"/>
        <v>0</v>
      </c>
      <c r="X130" s="8">
        <v>0.0</v>
      </c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ht="22.5" customHeight="1">
      <c r="A131" s="6">
        <v>1030.0</v>
      </c>
      <c r="B131" s="6">
        <v>31655.0</v>
      </c>
      <c r="C131" s="10">
        <v>0.83</v>
      </c>
      <c r="D131" s="10">
        <v>9.71</v>
      </c>
      <c r="E131" s="10">
        <v>2.34</v>
      </c>
      <c r="F131" s="10">
        <v>-0.11</v>
      </c>
      <c r="G131" s="10">
        <v>0.0</v>
      </c>
      <c r="H131" s="10">
        <v>-0.01</v>
      </c>
      <c r="I131" s="10">
        <v>33.3</v>
      </c>
      <c r="J131" s="10">
        <f t="shared" ref="J131:O131" si="264">abs(C131-C130)/200</f>
        <v>0.0004</v>
      </c>
      <c r="K131" s="11">
        <f t="shared" si="264"/>
        <v>0</v>
      </c>
      <c r="L131" s="12">
        <f t="shared" si="264"/>
        <v>0.00095</v>
      </c>
      <c r="M131" s="12">
        <f t="shared" si="264"/>
        <v>0.0001</v>
      </c>
      <c r="N131" s="12">
        <f t="shared" si="264"/>
        <v>0</v>
      </c>
      <c r="O131" s="12">
        <f t="shared" si="264"/>
        <v>0.0001</v>
      </c>
      <c r="P131" s="7">
        <f t="shared" si="9"/>
        <v>0.02296303047</v>
      </c>
      <c r="Q131" s="7">
        <f t="shared" si="10"/>
        <v>0.03567871072</v>
      </c>
      <c r="R131" s="7">
        <f t="shared" si="3"/>
        <v>0.222404901</v>
      </c>
      <c r="S131" s="7">
        <f t="shared" si="4"/>
        <v>0.1104536102</v>
      </c>
      <c r="T131" s="7">
        <f t="shared" si="5"/>
        <v>1</v>
      </c>
      <c r="U131" s="7">
        <f t="shared" si="6"/>
        <v>0</v>
      </c>
      <c r="V131" s="7">
        <f t="shared" ref="V131:W131" si="265">IF(AVERAGE(T71:T130) &gt; 0.25, 1, 0)</f>
        <v>0</v>
      </c>
      <c r="W131" s="7">
        <f t="shared" si="265"/>
        <v>0</v>
      </c>
      <c r="X131" s="8">
        <v>0.0</v>
      </c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ht="22.5" customHeight="1">
      <c r="A132" s="6">
        <v>1031.0</v>
      </c>
      <c r="B132" s="6">
        <v>31859.0</v>
      </c>
      <c r="C132" s="10">
        <v>0.91</v>
      </c>
      <c r="D132" s="10">
        <v>9.69</v>
      </c>
      <c r="E132" s="10">
        <v>2.25</v>
      </c>
      <c r="F132" s="10">
        <v>-0.07</v>
      </c>
      <c r="G132" s="10">
        <v>-0.01</v>
      </c>
      <c r="H132" s="10">
        <v>0.01</v>
      </c>
      <c r="I132" s="10">
        <v>33.31</v>
      </c>
      <c r="J132" s="10">
        <f t="shared" ref="J132:O132" si="266">abs(C132-C131)/200</f>
        <v>0.0004</v>
      </c>
      <c r="K132" s="11">
        <f t="shared" si="266"/>
        <v>0.0001</v>
      </c>
      <c r="L132" s="12">
        <f t="shared" si="266"/>
        <v>0.00045</v>
      </c>
      <c r="M132" s="12">
        <f t="shared" si="266"/>
        <v>0.0002</v>
      </c>
      <c r="N132" s="12">
        <f t="shared" si="266"/>
        <v>0.00005</v>
      </c>
      <c r="O132" s="12">
        <f t="shared" si="266"/>
        <v>0.0001</v>
      </c>
      <c r="P132" s="7">
        <f t="shared" si="9"/>
        <v>0.03903932589</v>
      </c>
      <c r="Q132" s="7">
        <f t="shared" si="10"/>
        <v>0.03307559421</v>
      </c>
      <c r="R132" s="7">
        <f t="shared" si="3"/>
        <v>0.1893293068</v>
      </c>
      <c r="S132" s="7">
        <f t="shared" si="4"/>
        <v>0.07141428429</v>
      </c>
      <c r="T132" s="7">
        <f t="shared" si="5"/>
        <v>1</v>
      </c>
      <c r="U132" s="7">
        <f t="shared" si="6"/>
        <v>0</v>
      </c>
      <c r="V132" s="7">
        <f t="shared" ref="V132:W132" si="267">IF(AVERAGE(T72:T131) &gt; 0.25, 1, 0)</f>
        <v>0</v>
      </c>
      <c r="W132" s="7">
        <f t="shared" si="267"/>
        <v>0</v>
      </c>
      <c r="X132" s="8">
        <v>0.0</v>
      </c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ht="22.5" customHeight="1">
      <c r="A133" s="6">
        <v>1032.0</v>
      </c>
      <c r="B133" s="6">
        <v>32063.0</v>
      </c>
      <c r="C133" s="10">
        <v>0.95</v>
      </c>
      <c r="D133" s="10">
        <v>9.69</v>
      </c>
      <c r="E133" s="10">
        <v>2.19</v>
      </c>
      <c r="F133" s="10">
        <v>-0.12</v>
      </c>
      <c r="G133" s="10">
        <v>0.0</v>
      </c>
      <c r="H133" s="10">
        <v>-0.05</v>
      </c>
      <c r="I133" s="10">
        <v>33.3</v>
      </c>
      <c r="J133" s="10">
        <f t="shared" ref="J133:O133" si="268">abs(C133-C132)/200</f>
        <v>0.0002</v>
      </c>
      <c r="K133" s="11">
        <f t="shared" si="268"/>
        <v>0</v>
      </c>
      <c r="L133" s="12">
        <f t="shared" si="268"/>
        <v>0.0003</v>
      </c>
      <c r="M133" s="12">
        <f t="shared" si="268"/>
        <v>0.00025</v>
      </c>
      <c r="N133" s="12">
        <f t="shared" si="268"/>
        <v>0.00005</v>
      </c>
      <c r="O133" s="12">
        <f t="shared" si="268"/>
        <v>0.0003</v>
      </c>
      <c r="P133" s="7">
        <f t="shared" si="9"/>
        <v>0.05858571571</v>
      </c>
      <c r="Q133" s="7">
        <f t="shared" si="10"/>
        <v>0.009614882043</v>
      </c>
      <c r="R133" s="7">
        <f t="shared" si="3"/>
        <v>0.1797144248</v>
      </c>
      <c r="S133" s="7">
        <f t="shared" si="4"/>
        <v>0.13</v>
      </c>
      <c r="T133" s="7">
        <f t="shared" si="5"/>
        <v>0</v>
      </c>
      <c r="U133" s="7">
        <f t="shared" si="6"/>
        <v>0</v>
      </c>
      <c r="V133" s="7">
        <f t="shared" ref="V133:W133" si="269">IF(AVERAGE(T73:T132) &gt; 0.25, 1, 0)</f>
        <v>0</v>
      </c>
      <c r="W133" s="7">
        <f t="shared" si="269"/>
        <v>0</v>
      </c>
      <c r="X133" s="8">
        <v>0.0</v>
      </c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ht="22.5" customHeight="1">
      <c r="A134" s="6">
        <v>1033.0</v>
      </c>
      <c r="B134" s="6">
        <v>32267.0</v>
      </c>
      <c r="C134" s="10">
        <v>0.88</v>
      </c>
      <c r="D134" s="10">
        <v>9.74</v>
      </c>
      <c r="E134" s="10">
        <v>2.21</v>
      </c>
      <c r="F134" s="10">
        <v>-0.09</v>
      </c>
      <c r="G134" s="10">
        <v>0.0</v>
      </c>
      <c r="H134" s="10">
        <v>0.0</v>
      </c>
      <c r="I134" s="10">
        <v>33.31</v>
      </c>
      <c r="J134" s="10">
        <f t="shared" ref="J134:O134" si="270">abs(C134-C133)/200</f>
        <v>0.00035</v>
      </c>
      <c r="K134" s="11">
        <f t="shared" si="270"/>
        <v>0.00025</v>
      </c>
      <c r="L134" s="12">
        <f t="shared" si="270"/>
        <v>0.0001</v>
      </c>
      <c r="M134" s="12">
        <f t="shared" si="270"/>
        <v>0.00015</v>
      </c>
      <c r="N134" s="12">
        <f t="shared" si="270"/>
        <v>0</v>
      </c>
      <c r="O134" s="12">
        <f t="shared" si="270"/>
        <v>0.00025</v>
      </c>
      <c r="P134" s="7">
        <f t="shared" si="9"/>
        <v>0.04</v>
      </c>
      <c r="Q134" s="7">
        <f t="shared" si="10"/>
        <v>0.04655606829</v>
      </c>
      <c r="R134" s="7">
        <f t="shared" si="3"/>
        <v>0.2262704931</v>
      </c>
      <c r="S134" s="7">
        <f t="shared" si="4"/>
        <v>0.09</v>
      </c>
      <c r="T134" s="7">
        <f t="shared" si="5"/>
        <v>1</v>
      </c>
      <c r="U134" s="7">
        <f t="shared" si="6"/>
        <v>0</v>
      </c>
      <c r="V134" s="7">
        <f t="shared" ref="V134:W134" si="271">IF(AVERAGE(T74:T133) &gt; 0.25, 1, 0)</f>
        <v>0</v>
      </c>
      <c r="W134" s="7">
        <f t="shared" si="271"/>
        <v>0</v>
      </c>
      <c r="X134" s="8">
        <v>0.0</v>
      </c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ht="22.5" customHeight="1">
      <c r="A135" s="6">
        <v>1034.0</v>
      </c>
      <c r="B135" s="6">
        <v>32471.0</v>
      </c>
      <c r="C135" s="10">
        <v>0.91</v>
      </c>
      <c r="D135" s="10">
        <v>9.73</v>
      </c>
      <c r="E135" s="10">
        <v>2.21</v>
      </c>
      <c r="F135" s="10">
        <v>-0.1</v>
      </c>
      <c r="G135" s="10">
        <v>0.0</v>
      </c>
      <c r="H135" s="10">
        <v>-0.01</v>
      </c>
      <c r="I135" s="10">
        <v>33.3</v>
      </c>
      <c r="J135" s="10">
        <f t="shared" ref="J135:O135" si="272">abs(C135-C134)/200</f>
        <v>0.00015</v>
      </c>
      <c r="K135" s="11">
        <f t="shared" si="272"/>
        <v>0.00005</v>
      </c>
      <c r="L135" s="12">
        <f t="shared" si="272"/>
        <v>0</v>
      </c>
      <c r="M135" s="12">
        <f t="shared" si="272"/>
        <v>0.00005</v>
      </c>
      <c r="N135" s="12">
        <f t="shared" si="272"/>
        <v>0</v>
      </c>
      <c r="O135" s="12">
        <f t="shared" si="272"/>
        <v>0.00005</v>
      </c>
      <c r="P135" s="7">
        <f t="shared" si="9"/>
        <v>0.01049875621</v>
      </c>
      <c r="Q135" s="7">
        <f t="shared" si="10"/>
        <v>0.007033995202</v>
      </c>
      <c r="R135" s="7">
        <f t="shared" si="3"/>
        <v>0.2192364979</v>
      </c>
      <c r="S135" s="7">
        <f t="shared" si="4"/>
        <v>0.1004987562</v>
      </c>
      <c r="T135" s="7">
        <f t="shared" si="5"/>
        <v>0</v>
      </c>
      <c r="U135" s="7">
        <f t="shared" si="6"/>
        <v>0</v>
      </c>
      <c r="V135" s="7">
        <f t="shared" ref="V135:W135" si="273">IF(AVERAGE(T75:T134) &gt; 0.25, 1, 0)</f>
        <v>0</v>
      </c>
      <c r="W135" s="7">
        <f t="shared" si="273"/>
        <v>0</v>
      </c>
      <c r="X135" s="8">
        <v>0.0</v>
      </c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ht="22.5" customHeight="1">
      <c r="A136" s="6">
        <v>1035.0</v>
      </c>
      <c r="B136" s="6">
        <v>32675.0</v>
      </c>
      <c r="C136" s="10">
        <v>0.89</v>
      </c>
      <c r="D136" s="10">
        <v>9.72</v>
      </c>
      <c r="E136" s="10">
        <v>2.24</v>
      </c>
      <c r="F136" s="10">
        <v>-0.1</v>
      </c>
      <c r="G136" s="10">
        <v>0.0</v>
      </c>
      <c r="H136" s="10">
        <v>-0.03</v>
      </c>
      <c r="I136" s="10">
        <v>33.3</v>
      </c>
      <c r="J136" s="10">
        <f t="shared" ref="J136:O136" si="274">abs(C136-C135)/200</f>
        <v>0.0001</v>
      </c>
      <c r="K136" s="11">
        <f t="shared" si="274"/>
        <v>0.00005</v>
      </c>
      <c r="L136" s="12">
        <f t="shared" si="274"/>
        <v>0.00015</v>
      </c>
      <c r="M136" s="12">
        <f t="shared" si="274"/>
        <v>0</v>
      </c>
      <c r="N136" s="12">
        <f t="shared" si="274"/>
        <v>0</v>
      </c>
      <c r="O136" s="12">
        <f t="shared" si="274"/>
        <v>0.0001</v>
      </c>
      <c r="P136" s="7">
        <f t="shared" si="9"/>
        <v>0.003904308878</v>
      </c>
      <c r="Q136" s="7">
        <f t="shared" si="10"/>
        <v>0.00484185814</v>
      </c>
      <c r="R136" s="7">
        <f t="shared" si="3"/>
        <v>0.2143946397</v>
      </c>
      <c r="S136" s="7">
        <f t="shared" si="4"/>
        <v>0.1044030651</v>
      </c>
      <c r="T136" s="7">
        <f t="shared" si="5"/>
        <v>0</v>
      </c>
      <c r="U136" s="7">
        <f t="shared" si="6"/>
        <v>0</v>
      </c>
      <c r="V136" s="7">
        <f t="shared" ref="V136:W136" si="275">IF(AVERAGE(T76:T135) &gt; 0.25, 1, 0)</f>
        <v>0</v>
      </c>
      <c r="W136" s="7">
        <f t="shared" si="275"/>
        <v>0</v>
      </c>
      <c r="X136" s="8">
        <v>0.0</v>
      </c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ht="22.5" customHeight="1">
      <c r="A137" s="6">
        <v>1036.0</v>
      </c>
      <c r="B137" s="6">
        <v>32879.0</v>
      </c>
      <c r="C137" s="10">
        <v>0.85</v>
      </c>
      <c r="D137" s="10">
        <v>9.73</v>
      </c>
      <c r="E137" s="10">
        <v>2.21</v>
      </c>
      <c r="F137" s="10">
        <v>-0.09</v>
      </c>
      <c r="G137" s="10">
        <v>0.0</v>
      </c>
      <c r="H137" s="10">
        <v>-0.01</v>
      </c>
      <c r="I137" s="10">
        <v>33.31</v>
      </c>
      <c r="J137" s="10">
        <f t="shared" ref="J137:O137" si="276">abs(C137-C136)/200</f>
        <v>0.0002</v>
      </c>
      <c r="K137" s="11">
        <f t="shared" si="276"/>
        <v>0.00005</v>
      </c>
      <c r="L137" s="12">
        <f t="shared" si="276"/>
        <v>0.00015</v>
      </c>
      <c r="M137" s="12">
        <f t="shared" si="276"/>
        <v>0.00005</v>
      </c>
      <c r="N137" s="12">
        <f t="shared" si="276"/>
        <v>0</v>
      </c>
      <c r="O137" s="12">
        <f t="shared" si="276"/>
        <v>0.0001</v>
      </c>
      <c r="P137" s="7">
        <f t="shared" si="9"/>
        <v>0.01384921371</v>
      </c>
      <c r="Q137" s="7">
        <f t="shared" si="10"/>
        <v>0.0004293911258</v>
      </c>
      <c r="R137" s="7">
        <f t="shared" si="3"/>
        <v>0.2139652486</v>
      </c>
      <c r="S137" s="7">
        <f t="shared" si="4"/>
        <v>0.09055385138</v>
      </c>
      <c r="T137" s="7">
        <f t="shared" si="5"/>
        <v>0</v>
      </c>
      <c r="U137" s="7">
        <f t="shared" si="6"/>
        <v>0</v>
      </c>
      <c r="V137" s="7">
        <f t="shared" ref="V137:W137" si="277">IF(AVERAGE(T77:T136) &gt; 0.25, 1, 0)</f>
        <v>0</v>
      </c>
      <c r="W137" s="7">
        <f t="shared" si="277"/>
        <v>0</v>
      </c>
      <c r="X137" s="8">
        <v>0.0</v>
      </c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ht="22.5" customHeight="1">
      <c r="A138" s="6">
        <v>1037.0</v>
      </c>
      <c r="B138" s="6">
        <v>33083.0</v>
      </c>
      <c r="C138" s="10">
        <v>0.91</v>
      </c>
      <c r="D138" s="10">
        <v>9.73</v>
      </c>
      <c r="E138" s="10">
        <v>2.17</v>
      </c>
      <c r="F138" s="10">
        <v>-0.1</v>
      </c>
      <c r="G138" s="10">
        <v>0.0</v>
      </c>
      <c r="H138" s="10">
        <v>-0.02</v>
      </c>
      <c r="I138" s="10">
        <v>33.31</v>
      </c>
      <c r="J138" s="10">
        <f t="shared" ref="J138:O138" si="278">abs(C138-C137)/200</f>
        <v>0.0003</v>
      </c>
      <c r="K138" s="11">
        <f t="shared" si="278"/>
        <v>0</v>
      </c>
      <c r="L138" s="12">
        <f t="shared" si="278"/>
        <v>0.0002</v>
      </c>
      <c r="M138" s="12">
        <f t="shared" si="278"/>
        <v>0.00005</v>
      </c>
      <c r="N138" s="12">
        <f t="shared" si="278"/>
        <v>0</v>
      </c>
      <c r="O138" s="12">
        <f t="shared" si="278"/>
        <v>0.00005</v>
      </c>
      <c r="P138" s="7">
        <f t="shared" si="9"/>
        <v>0.01142653889</v>
      </c>
      <c r="Q138" s="7">
        <f t="shared" si="10"/>
        <v>0.003475750071</v>
      </c>
      <c r="R138" s="7">
        <f t="shared" si="3"/>
        <v>0.2104894985</v>
      </c>
      <c r="S138" s="7">
        <f t="shared" si="4"/>
        <v>0.1019803903</v>
      </c>
      <c r="T138" s="7">
        <f t="shared" si="5"/>
        <v>0</v>
      </c>
      <c r="U138" s="7">
        <f t="shared" si="6"/>
        <v>0</v>
      </c>
      <c r="V138" s="7">
        <f t="shared" ref="V138:W138" si="279">IF(AVERAGE(T78:T137) &gt; 0.25, 1, 0)</f>
        <v>0</v>
      </c>
      <c r="W138" s="7">
        <f t="shared" si="279"/>
        <v>0</v>
      </c>
      <c r="X138" s="8">
        <v>0.0</v>
      </c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ht="22.5" customHeight="1">
      <c r="A139" s="6">
        <v>1038.0</v>
      </c>
      <c r="B139" s="6">
        <v>33287.0</v>
      </c>
      <c r="C139" s="10">
        <v>0.93</v>
      </c>
      <c r="D139" s="10">
        <v>9.72</v>
      </c>
      <c r="E139" s="10">
        <v>2.18</v>
      </c>
      <c r="F139" s="10">
        <v>-0.09</v>
      </c>
      <c r="G139" s="10">
        <v>0.0</v>
      </c>
      <c r="H139" s="10">
        <v>0.02</v>
      </c>
      <c r="I139" s="10">
        <v>33.31</v>
      </c>
      <c r="J139" s="10">
        <f t="shared" ref="J139:O139" si="280">abs(C139-C138)/200</f>
        <v>0.0001</v>
      </c>
      <c r="K139" s="11">
        <f t="shared" si="280"/>
        <v>0.00005</v>
      </c>
      <c r="L139" s="12">
        <f t="shared" si="280"/>
        <v>0.00005</v>
      </c>
      <c r="M139" s="12">
        <f t="shared" si="280"/>
        <v>0.00005</v>
      </c>
      <c r="N139" s="12">
        <f t="shared" si="280"/>
        <v>0</v>
      </c>
      <c r="O139" s="12">
        <f t="shared" si="280"/>
        <v>0.0002</v>
      </c>
      <c r="P139" s="7">
        <f t="shared" si="9"/>
        <v>0.009784945699</v>
      </c>
      <c r="Q139" s="7">
        <f t="shared" si="10"/>
        <v>0.005705642785</v>
      </c>
      <c r="R139" s="7">
        <f t="shared" si="3"/>
        <v>0.2047838557</v>
      </c>
      <c r="S139" s="7">
        <f t="shared" si="4"/>
        <v>0.09219544457</v>
      </c>
      <c r="T139" s="7">
        <f t="shared" si="5"/>
        <v>0</v>
      </c>
      <c r="U139" s="7">
        <f t="shared" si="6"/>
        <v>0</v>
      </c>
      <c r="V139" s="7">
        <f t="shared" ref="V139:W139" si="281">IF(AVERAGE(T79:T138) &gt; 0.25, 1, 0)</f>
        <v>0</v>
      </c>
      <c r="W139" s="7">
        <f t="shared" si="281"/>
        <v>0</v>
      </c>
      <c r="X139" s="8">
        <v>0.0</v>
      </c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ht="22.5" customHeight="1">
      <c r="A140" s="6">
        <v>1039.0</v>
      </c>
      <c r="B140" s="6">
        <v>33491.0</v>
      </c>
      <c r="C140" s="10">
        <v>0.86</v>
      </c>
      <c r="D140" s="10">
        <v>9.73</v>
      </c>
      <c r="E140" s="10">
        <v>2.21</v>
      </c>
      <c r="F140" s="10">
        <v>-0.13</v>
      </c>
      <c r="G140" s="10">
        <v>0.0</v>
      </c>
      <c r="H140" s="10">
        <v>-0.01</v>
      </c>
      <c r="I140" s="10">
        <v>33.31</v>
      </c>
      <c r="J140" s="10">
        <f t="shared" ref="J140:O140" si="282">abs(C140-C139)/200</f>
        <v>0.00035</v>
      </c>
      <c r="K140" s="11">
        <f t="shared" si="282"/>
        <v>0.00005</v>
      </c>
      <c r="L140" s="12">
        <f t="shared" si="282"/>
        <v>0.00015</v>
      </c>
      <c r="M140" s="12">
        <f t="shared" si="282"/>
        <v>0.0002</v>
      </c>
      <c r="N140" s="12">
        <f t="shared" si="282"/>
        <v>0</v>
      </c>
      <c r="O140" s="12">
        <f t="shared" si="282"/>
        <v>0.00015</v>
      </c>
      <c r="P140" s="7">
        <f t="shared" si="9"/>
        <v>0.03818860353</v>
      </c>
      <c r="Q140" s="7">
        <f t="shared" si="10"/>
        <v>0.0100351641</v>
      </c>
      <c r="R140" s="7">
        <f t="shared" si="3"/>
        <v>0.2148190198</v>
      </c>
      <c r="S140" s="7">
        <f t="shared" si="4"/>
        <v>0.1303840481</v>
      </c>
      <c r="T140" s="7">
        <f t="shared" si="5"/>
        <v>1</v>
      </c>
      <c r="U140" s="7">
        <f t="shared" si="6"/>
        <v>0</v>
      </c>
      <c r="V140" s="7">
        <f t="shared" ref="V140:W140" si="283">IF(AVERAGE(T80:T139) &gt; 0.25, 1, 0)</f>
        <v>0</v>
      </c>
      <c r="W140" s="7">
        <f t="shared" si="283"/>
        <v>0</v>
      </c>
      <c r="X140" s="8">
        <v>0.0</v>
      </c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ht="22.5" customHeight="1">
      <c r="A141" s="6">
        <v>1040.0</v>
      </c>
      <c r="B141" s="6">
        <v>33695.0</v>
      </c>
      <c r="C141" s="10">
        <v>0.94</v>
      </c>
      <c r="D141" s="10">
        <v>9.68</v>
      </c>
      <c r="E141" s="10">
        <v>2.25</v>
      </c>
      <c r="F141" s="10">
        <v>-0.05</v>
      </c>
      <c r="G141" s="10">
        <v>0.0</v>
      </c>
      <c r="H141" s="10">
        <v>0.01</v>
      </c>
      <c r="I141" s="10">
        <v>33.31</v>
      </c>
      <c r="J141" s="10">
        <f t="shared" ref="J141:O141" si="284">abs(C141-C140)/200</f>
        <v>0.0004</v>
      </c>
      <c r="K141" s="11">
        <f t="shared" si="284"/>
        <v>0.00025</v>
      </c>
      <c r="L141" s="12">
        <f t="shared" si="284"/>
        <v>0.0002</v>
      </c>
      <c r="M141" s="12">
        <f t="shared" si="284"/>
        <v>0.0004</v>
      </c>
      <c r="N141" s="12">
        <f t="shared" si="284"/>
        <v>0</v>
      </c>
      <c r="O141" s="12">
        <f t="shared" si="284"/>
        <v>0.0001</v>
      </c>
      <c r="P141" s="7">
        <f t="shared" si="9"/>
        <v>0.07939385297</v>
      </c>
      <c r="Q141" s="7">
        <f t="shared" si="10"/>
        <v>0.03240949107</v>
      </c>
      <c r="R141" s="7">
        <f t="shared" si="3"/>
        <v>0.1824095288</v>
      </c>
      <c r="S141" s="7">
        <f t="shared" si="4"/>
        <v>0.05099019514</v>
      </c>
      <c r="T141" s="7">
        <f t="shared" si="5"/>
        <v>1</v>
      </c>
      <c r="U141" s="7">
        <f t="shared" si="6"/>
        <v>1</v>
      </c>
      <c r="V141" s="7">
        <f t="shared" ref="V141:W141" si="285">IF(AVERAGE(T81:T140) &gt; 0.25, 1, 0)</f>
        <v>0</v>
      </c>
      <c r="W141" s="7">
        <f t="shared" si="285"/>
        <v>0</v>
      </c>
      <c r="X141" s="8">
        <v>0.0</v>
      </c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ht="22.5" customHeight="1">
      <c r="A142" s="6">
        <v>1041.0</v>
      </c>
      <c r="B142" s="6">
        <v>33899.0</v>
      </c>
      <c r="C142" s="10">
        <v>0.95</v>
      </c>
      <c r="D142" s="10">
        <v>9.72</v>
      </c>
      <c r="E142" s="10">
        <v>2.21</v>
      </c>
      <c r="F142" s="10">
        <v>-0.09</v>
      </c>
      <c r="G142" s="10">
        <v>0.0</v>
      </c>
      <c r="H142" s="10">
        <v>-0.02</v>
      </c>
      <c r="I142" s="10">
        <v>33.31</v>
      </c>
      <c r="J142" s="10">
        <f t="shared" ref="J142:O142" si="286">abs(C142-C141)/200</f>
        <v>0.00005</v>
      </c>
      <c r="K142" s="11">
        <f t="shared" si="286"/>
        <v>0.0002</v>
      </c>
      <c r="L142" s="12">
        <f t="shared" si="286"/>
        <v>0.0002</v>
      </c>
      <c r="M142" s="12">
        <f t="shared" si="286"/>
        <v>0.0002</v>
      </c>
      <c r="N142" s="12">
        <f t="shared" si="286"/>
        <v>0</v>
      </c>
      <c r="O142" s="12">
        <f t="shared" si="286"/>
        <v>0.00015</v>
      </c>
      <c r="P142" s="7">
        <f t="shared" si="9"/>
        <v>0.04120524944</v>
      </c>
      <c r="Q142" s="7">
        <f t="shared" si="10"/>
        <v>0.03083170472</v>
      </c>
      <c r="R142" s="7">
        <f t="shared" si="3"/>
        <v>0.2132412335</v>
      </c>
      <c r="S142" s="7">
        <f t="shared" si="4"/>
        <v>0.09219544457</v>
      </c>
      <c r="T142" s="7">
        <f t="shared" si="5"/>
        <v>0</v>
      </c>
      <c r="U142" s="7">
        <f t="shared" si="6"/>
        <v>0</v>
      </c>
      <c r="V142" s="7">
        <f t="shared" ref="V142:W142" si="287">IF(AVERAGE(T82:T141) &gt; 0.25, 1, 0)</f>
        <v>0</v>
      </c>
      <c r="W142" s="7">
        <f t="shared" si="287"/>
        <v>0</v>
      </c>
      <c r="X142" s="8">
        <v>0.0</v>
      </c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ht="22.5" customHeight="1">
      <c r="A143" s="6">
        <v>1042.0</v>
      </c>
      <c r="B143" s="6">
        <v>34103.0</v>
      </c>
      <c r="C143" s="10">
        <v>0.87</v>
      </c>
      <c r="D143" s="10">
        <v>9.73</v>
      </c>
      <c r="E143" s="10">
        <v>2.22</v>
      </c>
      <c r="F143" s="10">
        <v>-0.11</v>
      </c>
      <c r="G143" s="10">
        <v>0.0</v>
      </c>
      <c r="H143" s="10">
        <v>-0.03</v>
      </c>
      <c r="I143" s="10">
        <v>33.31</v>
      </c>
      <c r="J143" s="10">
        <f t="shared" ref="J143:O143" si="288">abs(C143-C142)/200</f>
        <v>0.0004</v>
      </c>
      <c r="K143" s="11">
        <f t="shared" si="288"/>
        <v>0.00005</v>
      </c>
      <c r="L143" s="12">
        <f t="shared" si="288"/>
        <v>0.00005</v>
      </c>
      <c r="M143" s="12">
        <f t="shared" si="288"/>
        <v>0.0001</v>
      </c>
      <c r="N143" s="12">
        <f t="shared" si="288"/>
        <v>0</v>
      </c>
      <c r="O143" s="12">
        <f t="shared" si="288"/>
        <v>0.00005</v>
      </c>
      <c r="P143" s="7">
        <f t="shared" si="9"/>
        <v>0.02182209794</v>
      </c>
      <c r="Q143" s="7">
        <f t="shared" si="10"/>
        <v>0.004652756769</v>
      </c>
      <c r="R143" s="7">
        <f t="shared" si="3"/>
        <v>0.2178939903</v>
      </c>
      <c r="S143" s="7">
        <f t="shared" si="4"/>
        <v>0.1140175425</v>
      </c>
      <c r="T143" s="7">
        <f t="shared" si="5"/>
        <v>1</v>
      </c>
      <c r="U143" s="7">
        <f t="shared" si="6"/>
        <v>0</v>
      </c>
      <c r="V143" s="7">
        <f t="shared" ref="V143:W143" si="289">IF(AVERAGE(T83:T142) &gt; 0.25, 1, 0)</f>
        <v>0</v>
      </c>
      <c r="W143" s="7">
        <f t="shared" si="289"/>
        <v>0</v>
      </c>
      <c r="X143" s="8">
        <v>0.0</v>
      </c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ht="22.5" customHeight="1">
      <c r="A144" s="6">
        <v>1043.0</v>
      </c>
      <c r="B144" s="6">
        <v>34307.0</v>
      </c>
      <c r="C144" s="10">
        <v>0.92</v>
      </c>
      <c r="D144" s="10">
        <v>9.7</v>
      </c>
      <c r="E144" s="10">
        <v>2.22</v>
      </c>
      <c r="F144" s="10">
        <v>-0.1</v>
      </c>
      <c r="G144" s="10">
        <v>0.0</v>
      </c>
      <c r="H144" s="10">
        <v>-0.02</v>
      </c>
      <c r="I144" s="10">
        <v>33.31</v>
      </c>
      <c r="J144" s="10">
        <f t="shared" ref="J144:O144" si="290">abs(C144-C143)/200</f>
        <v>0.00025</v>
      </c>
      <c r="K144" s="11">
        <f t="shared" si="290"/>
        <v>0.00015</v>
      </c>
      <c r="L144" s="12">
        <f t="shared" si="290"/>
        <v>0</v>
      </c>
      <c r="M144" s="12">
        <f t="shared" si="290"/>
        <v>0.00005</v>
      </c>
      <c r="N144" s="12">
        <f t="shared" si="290"/>
        <v>0</v>
      </c>
      <c r="O144" s="12">
        <f t="shared" si="290"/>
        <v>0.00005</v>
      </c>
      <c r="P144" s="7">
        <f t="shared" si="9"/>
        <v>0.01203715224</v>
      </c>
      <c r="Q144" s="7">
        <f t="shared" si="10"/>
        <v>0.02465627668</v>
      </c>
      <c r="R144" s="7">
        <f t="shared" si="3"/>
        <v>0.1932377136</v>
      </c>
      <c r="S144" s="7">
        <f t="shared" si="4"/>
        <v>0.1019803903</v>
      </c>
      <c r="T144" s="7">
        <f t="shared" si="5"/>
        <v>0</v>
      </c>
      <c r="U144" s="7">
        <f t="shared" si="6"/>
        <v>0</v>
      </c>
      <c r="V144" s="7">
        <f t="shared" ref="V144:W144" si="291">IF(AVERAGE(T84:T143) &gt; 0.25, 1, 0)</f>
        <v>0</v>
      </c>
      <c r="W144" s="7">
        <f t="shared" si="291"/>
        <v>0</v>
      </c>
      <c r="X144" s="8">
        <v>0.0</v>
      </c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ht="22.5" customHeight="1">
      <c r="A145" s="6">
        <v>1044.0</v>
      </c>
      <c r="B145" s="6">
        <v>34511.0</v>
      </c>
      <c r="C145" s="10">
        <v>0.86</v>
      </c>
      <c r="D145" s="10">
        <v>9.73</v>
      </c>
      <c r="E145" s="10">
        <v>2.26</v>
      </c>
      <c r="F145" s="10">
        <v>-0.09</v>
      </c>
      <c r="G145" s="10">
        <v>0.0</v>
      </c>
      <c r="H145" s="10">
        <v>-0.01</v>
      </c>
      <c r="I145" s="10">
        <v>33.3</v>
      </c>
      <c r="J145" s="10">
        <f t="shared" ref="J145:O145" si="292">abs(C145-C144)/200</f>
        <v>0.0003</v>
      </c>
      <c r="K145" s="11">
        <f t="shared" si="292"/>
        <v>0.00015</v>
      </c>
      <c r="L145" s="12">
        <f t="shared" si="292"/>
        <v>0.0002</v>
      </c>
      <c r="M145" s="12">
        <f t="shared" si="292"/>
        <v>0.00005</v>
      </c>
      <c r="N145" s="12">
        <f t="shared" si="292"/>
        <v>0</v>
      </c>
      <c r="O145" s="12">
        <f t="shared" si="292"/>
        <v>0.00005</v>
      </c>
      <c r="P145" s="7">
        <f t="shared" si="9"/>
        <v>0.01142653889</v>
      </c>
      <c r="Q145" s="7">
        <f t="shared" si="10"/>
        <v>0.03273356107</v>
      </c>
      <c r="R145" s="7">
        <f t="shared" si="3"/>
        <v>0.2259712746</v>
      </c>
      <c r="S145" s="7">
        <f t="shared" si="4"/>
        <v>0.09055385138</v>
      </c>
      <c r="T145" s="7">
        <f t="shared" si="5"/>
        <v>0</v>
      </c>
      <c r="U145" s="7">
        <f t="shared" si="6"/>
        <v>0</v>
      </c>
      <c r="V145" s="7">
        <f t="shared" ref="V145:W145" si="293">IF(AVERAGE(T85:T144) &gt; 0.25, 1, 0)</f>
        <v>0</v>
      </c>
      <c r="W145" s="7">
        <f t="shared" si="293"/>
        <v>0</v>
      </c>
      <c r="X145" s="8">
        <v>0.0</v>
      </c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ht="22.5" customHeight="1">
      <c r="A146" s="6">
        <v>1045.0</v>
      </c>
      <c r="B146" s="6">
        <v>34715.0</v>
      </c>
      <c r="C146" s="10">
        <v>0.84</v>
      </c>
      <c r="D146" s="10">
        <v>9.76</v>
      </c>
      <c r="E146" s="10">
        <v>2.19</v>
      </c>
      <c r="F146" s="10">
        <v>-0.08</v>
      </c>
      <c r="G146" s="10">
        <v>0.0</v>
      </c>
      <c r="H146" s="10">
        <v>0.0</v>
      </c>
      <c r="I146" s="10">
        <v>33.31</v>
      </c>
      <c r="J146" s="10">
        <f t="shared" ref="J146:O146" si="294">abs(C146-C145)/200</f>
        <v>0.0001</v>
      </c>
      <c r="K146" s="11">
        <f t="shared" si="294"/>
        <v>0.00015</v>
      </c>
      <c r="L146" s="12">
        <f t="shared" si="294"/>
        <v>0.00035</v>
      </c>
      <c r="M146" s="12">
        <f t="shared" si="294"/>
        <v>0.00005</v>
      </c>
      <c r="N146" s="12">
        <f t="shared" si="294"/>
        <v>0</v>
      </c>
      <c r="O146" s="12">
        <f t="shared" si="294"/>
        <v>0.00005</v>
      </c>
      <c r="P146" s="7">
        <f t="shared" si="9"/>
        <v>0.01055385138</v>
      </c>
      <c r="Q146" s="7">
        <f t="shared" si="10"/>
        <v>0.01192193061</v>
      </c>
      <c r="R146" s="7">
        <f t="shared" si="3"/>
        <v>0.2378932052</v>
      </c>
      <c r="S146" s="7">
        <f t="shared" si="4"/>
        <v>0.08</v>
      </c>
      <c r="T146" s="7">
        <f t="shared" si="5"/>
        <v>1</v>
      </c>
      <c r="U146" s="7">
        <f t="shared" si="6"/>
        <v>0</v>
      </c>
      <c r="V146" s="7">
        <f t="shared" ref="V146:W146" si="295">IF(AVERAGE(T86:T145) &gt; 0.25, 1, 0)</f>
        <v>0</v>
      </c>
      <c r="W146" s="7">
        <f t="shared" si="295"/>
        <v>0</v>
      </c>
      <c r="X146" s="8">
        <v>0.0</v>
      </c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ht="22.5" customHeight="1">
      <c r="A147" s="6">
        <v>1046.0</v>
      </c>
      <c r="B147" s="6">
        <v>34919.0</v>
      </c>
      <c r="C147" s="10">
        <v>0.9</v>
      </c>
      <c r="D147" s="10">
        <v>9.72</v>
      </c>
      <c r="E147" s="10">
        <v>2.18</v>
      </c>
      <c r="F147" s="10">
        <v>-0.11</v>
      </c>
      <c r="G147" s="10">
        <v>0.0</v>
      </c>
      <c r="H147" s="10">
        <v>-0.03</v>
      </c>
      <c r="I147" s="10">
        <v>33.3</v>
      </c>
      <c r="J147" s="10">
        <f t="shared" ref="J147:O147" si="296">abs(C147-C146)/200</f>
        <v>0.0003</v>
      </c>
      <c r="K147" s="11">
        <f t="shared" si="296"/>
        <v>0.0002</v>
      </c>
      <c r="L147" s="12">
        <f t="shared" si="296"/>
        <v>0.00005</v>
      </c>
      <c r="M147" s="12">
        <f t="shared" si="296"/>
        <v>0.00015</v>
      </c>
      <c r="N147" s="12">
        <f t="shared" si="296"/>
        <v>0</v>
      </c>
      <c r="O147" s="12">
        <f t="shared" si="296"/>
        <v>0.00015</v>
      </c>
      <c r="P147" s="7">
        <f t="shared" si="9"/>
        <v>0.03401754251</v>
      </c>
      <c r="Q147" s="7">
        <f t="shared" si="10"/>
        <v>0.03585341329</v>
      </c>
      <c r="R147" s="7">
        <f t="shared" si="3"/>
        <v>0.202039792</v>
      </c>
      <c r="S147" s="7">
        <f t="shared" si="4"/>
        <v>0.1140175425</v>
      </c>
      <c r="T147" s="7">
        <f t="shared" si="5"/>
        <v>0</v>
      </c>
      <c r="U147" s="7">
        <f t="shared" si="6"/>
        <v>0</v>
      </c>
      <c r="V147" s="7">
        <f t="shared" ref="V147:W147" si="297">IF(AVERAGE(T87:T146) &gt; 0.25, 1, 0)</f>
        <v>0</v>
      </c>
      <c r="W147" s="7">
        <f t="shared" si="297"/>
        <v>0</v>
      </c>
      <c r="X147" s="8">
        <v>0.0</v>
      </c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ht="22.5" customHeight="1">
      <c r="A148" s="6">
        <v>1047.0</v>
      </c>
      <c r="B148" s="6">
        <v>35123.0</v>
      </c>
      <c r="C148" s="10">
        <v>0.9</v>
      </c>
      <c r="D148" s="10">
        <v>9.7</v>
      </c>
      <c r="E148" s="10">
        <v>2.2</v>
      </c>
      <c r="F148" s="10">
        <v>-0.11</v>
      </c>
      <c r="G148" s="10">
        <v>0.0</v>
      </c>
      <c r="H148" s="10">
        <v>-0.03</v>
      </c>
      <c r="I148" s="10">
        <v>33.31</v>
      </c>
      <c r="J148" s="10">
        <f t="shared" ref="J148:O148" si="298">abs(C148-C147)/200</f>
        <v>0</v>
      </c>
      <c r="K148" s="11">
        <f t="shared" si="298"/>
        <v>0.0001</v>
      </c>
      <c r="L148" s="12">
        <f t="shared" si="298"/>
        <v>0.0001</v>
      </c>
      <c r="M148" s="12">
        <f t="shared" si="298"/>
        <v>0</v>
      </c>
      <c r="N148" s="12">
        <f t="shared" si="298"/>
        <v>0</v>
      </c>
      <c r="O148" s="12">
        <f t="shared" si="298"/>
        <v>0</v>
      </c>
      <c r="P148" s="7">
        <f t="shared" si="9"/>
        <v>0</v>
      </c>
      <c r="Q148" s="7">
        <f t="shared" si="10"/>
        <v>0.01504825297</v>
      </c>
      <c r="R148" s="7">
        <f t="shared" si="3"/>
        <v>0.186991539</v>
      </c>
      <c r="S148" s="7">
        <f t="shared" si="4"/>
        <v>0.1140175425</v>
      </c>
      <c r="T148" s="7">
        <f t="shared" si="5"/>
        <v>0</v>
      </c>
      <c r="U148" s="7">
        <f t="shared" si="6"/>
        <v>0</v>
      </c>
      <c r="V148" s="7">
        <f t="shared" ref="V148:W148" si="299">IF(AVERAGE(T88:T147) &gt; 0.25, 1, 0)</f>
        <v>0</v>
      </c>
      <c r="W148" s="7">
        <f t="shared" si="299"/>
        <v>0</v>
      </c>
      <c r="X148" s="8">
        <v>0.0</v>
      </c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ht="22.5" customHeight="1">
      <c r="A149" s="6">
        <v>1048.0</v>
      </c>
      <c r="B149" s="6">
        <v>35327.0</v>
      </c>
      <c r="C149" s="10">
        <v>0.85</v>
      </c>
      <c r="D149" s="10">
        <v>9.73</v>
      </c>
      <c r="E149" s="10">
        <v>2.26</v>
      </c>
      <c r="F149" s="10">
        <v>-0.1</v>
      </c>
      <c r="G149" s="10">
        <v>0.0</v>
      </c>
      <c r="H149" s="10">
        <v>0.01</v>
      </c>
      <c r="I149" s="10">
        <v>33.31</v>
      </c>
      <c r="J149" s="10">
        <f t="shared" ref="J149:O149" si="300">abs(C149-C148)/200</f>
        <v>0.00025</v>
      </c>
      <c r="K149" s="11">
        <f t="shared" si="300"/>
        <v>0.00015</v>
      </c>
      <c r="L149" s="12">
        <f t="shared" si="300"/>
        <v>0.0003</v>
      </c>
      <c r="M149" s="12">
        <f t="shared" si="300"/>
        <v>0.00005</v>
      </c>
      <c r="N149" s="12">
        <f t="shared" si="300"/>
        <v>0</v>
      </c>
      <c r="O149" s="12">
        <f t="shared" si="300"/>
        <v>0.0002</v>
      </c>
      <c r="P149" s="7">
        <f t="shared" si="9"/>
        <v>0.0135187863</v>
      </c>
      <c r="Q149" s="7">
        <f t="shared" si="10"/>
        <v>0.03812691417</v>
      </c>
      <c r="R149" s="7">
        <f t="shared" si="3"/>
        <v>0.2251184532</v>
      </c>
      <c r="S149" s="7">
        <f t="shared" si="4"/>
        <v>0.1004987562</v>
      </c>
      <c r="T149" s="7">
        <f t="shared" si="5"/>
        <v>0</v>
      </c>
      <c r="U149" s="7">
        <f t="shared" si="6"/>
        <v>0</v>
      </c>
      <c r="V149" s="7">
        <f t="shared" ref="V149:W149" si="301">IF(AVERAGE(T89:T148) &gt; 0.25, 1, 0)</f>
        <v>0</v>
      </c>
      <c r="W149" s="7">
        <f t="shared" si="301"/>
        <v>0</v>
      </c>
      <c r="X149" s="8">
        <v>0.0</v>
      </c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ht="22.5" customHeight="1">
      <c r="A150" s="6">
        <v>1049.0</v>
      </c>
      <c r="B150" s="6">
        <v>35531.0</v>
      </c>
      <c r="C150" s="10">
        <v>0.85</v>
      </c>
      <c r="D150" s="10">
        <v>9.73</v>
      </c>
      <c r="E150" s="10">
        <v>2.24</v>
      </c>
      <c r="F150" s="10">
        <v>-0.08</v>
      </c>
      <c r="G150" s="10">
        <v>0.0</v>
      </c>
      <c r="H150" s="10">
        <v>0.0</v>
      </c>
      <c r="I150" s="10">
        <v>33.32</v>
      </c>
      <c r="J150" s="10">
        <f t="shared" ref="J150:O150" si="302">abs(C150-C149)/200</f>
        <v>0</v>
      </c>
      <c r="K150" s="11">
        <f t="shared" si="302"/>
        <v>0</v>
      </c>
      <c r="L150" s="12">
        <f t="shared" si="302"/>
        <v>0.0001</v>
      </c>
      <c r="M150" s="12">
        <f t="shared" si="302"/>
        <v>0.0001</v>
      </c>
      <c r="N150" s="12">
        <f t="shared" si="302"/>
        <v>0</v>
      </c>
      <c r="O150" s="12">
        <f t="shared" si="302"/>
        <v>0.00005</v>
      </c>
      <c r="P150" s="7">
        <f t="shared" si="9"/>
        <v>0.02049875621</v>
      </c>
      <c r="Q150" s="7">
        <f t="shared" si="10"/>
        <v>0.004489730376</v>
      </c>
      <c r="R150" s="7">
        <f t="shared" si="3"/>
        <v>0.2206287228</v>
      </c>
      <c r="S150" s="7">
        <f t="shared" si="4"/>
        <v>0.08</v>
      </c>
      <c r="T150" s="7">
        <f t="shared" si="5"/>
        <v>0</v>
      </c>
      <c r="U150" s="7">
        <f t="shared" si="6"/>
        <v>0</v>
      </c>
      <c r="V150" s="7">
        <f t="shared" ref="V150:W150" si="303">IF(AVERAGE(T90:T149) &gt; 0.25, 1, 0)</f>
        <v>0</v>
      </c>
      <c r="W150" s="7">
        <f t="shared" si="303"/>
        <v>0</v>
      </c>
      <c r="X150" s="8">
        <v>0.0</v>
      </c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ht="22.5" customHeight="1">
      <c r="A151" s="6">
        <v>1050.0</v>
      </c>
      <c r="B151" s="6">
        <v>35735.0</v>
      </c>
      <c r="C151" s="10">
        <v>0.89</v>
      </c>
      <c r="D151" s="10">
        <v>9.71</v>
      </c>
      <c r="E151" s="10">
        <v>2.22</v>
      </c>
      <c r="F151" s="10">
        <v>-0.09</v>
      </c>
      <c r="G151" s="10">
        <v>0.0</v>
      </c>
      <c r="H151" s="10">
        <v>-0.01</v>
      </c>
      <c r="I151" s="10">
        <v>33.32</v>
      </c>
      <c r="J151" s="10">
        <f t="shared" ref="J151:O151" si="304">abs(C151-C150)/200</f>
        <v>0.0002</v>
      </c>
      <c r="K151" s="11">
        <f t="shared" si="304"/>
        <v>0.0001</v>
      </c>
      <c r="L151" s="12">
        <f t="shared" si="304"/>
        <v>0.0001</v>
      </c>
      <c r="M151" s="12">
        <f t="shared" si="304"/>
        <v>0.00005</v>
      </c>
      <c r="N151" s="12">
        <f t="shared" si="304"/>
        <v>0</v>
      </c>
      <c r="O151" s="12">
        <f t="shared" si="304"/>
        <v>0.00005</v>
      </c>
      <c r="P151" s="7">
        <f t="shared" si="9"/>
        <v>0.01055385138</v>
      </c>
      <c r="Q151" s="7">
        <f t="shared" si="10"/>
        <v>0.02039872543</v>
      </c>
      <c r="R151" s="7">
        <f t="shared" si="3"/>
        <v>0.2002299974</v>
      </c>
      <c r="S151" s="7">
        <f t="shared" si="4"/>
        <v>0.09055385138</v>
      </c>
      <c r="T151" s="7">
        <f t="shared" si="5"/>
        <v>0</v>
      </c>
      <c r="U151" s="7">
        <f t="shared" si="6"/>
        <v>0</v>
      </c>
      <c r="V151" s="7">
        <f t="shared" ref="V151:W151" si="305">IF(AVERAGE(T91:T150) &gt; 0.25, 1, 0)</f>
        <v>0</v>
      </c>
      <c r="W151" s="7">
        <f t="shared" si="305"/>
        <v>0</v>
      </c>
      <c r="X151" s="8">
        <v>0.0</v>
      </c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ht="22.5" customHeight="1">
      <c r="A152" s="6">
        <v>1051.0</v>
      </c>
      <c r="B152" s="6">
        <v>35939.0</v>
      </c>
      <c r="C152" s="10">
        <v>0.85</v>
      </c>
      <c r="D152" s="10">
        <v>9.73</v>
      </c>
      <c r="E152" s="10">
        <v>2.22</v>
      </c>
      <c r="F152" s="10">
        <v>-0.1</v>
      </c>
      <c r="G152" s="10">
        <v>0.0</v>
      </c>
      <c r="H152" s="10">
        <v>-0.02</v>
      </c>
      <c r="I152" s="10">
        <v>33.32</v>
      </c>
      <c r="J152" s="10">
        <f t="shared" ref="J152:O152" si="306">abs(C152-C151)/200</f>
        <v>0.0002</v>
      </c>
      <c r="K152" s="11">
        <f t="shared" si="306"/>
        <v>0.0001</v>
      </c>
      <c r="L152" s="12">
        <f t="shared" si="306"/>
        <v>0</v>
      </c>
      <c r="M152" s="12">
        <f t="shared" si="306"/>
        <v>0.00005</v>
      </c>
      <c r="N152" s="12">
        <f t="shared" si="306"/>
        <v>0</v>
      </c>
      <c r="O152" s="12">
        <f t="shared" si="306"/>
        <v>0.00005</v>
      </c>
      <c r="P152" s="7">
        <f t="shared" si="9"/>
        <v>0.01142653889</v>
      </c>
      <c r="Q152" s="7">
        <f t="shared" si="10"/>
        <v>0.01594691802</v>
      </c>
      <c r="R152" s="7">
        <f t="shared" si="3"/>
        <v>0.2161769154</v>
      </c>
      <c r="S152" s="7">
        <f t="shared" si="4"/>
        <v>0.1019803903</v>
      </c>
      <c r="T152" s="7">
        <f t="shared" si="5"/>
        <v>0</v>
      </c>
      <c r="U152" s="7">
        <f t="shared" si="6"/>
        <v>0</v>
      </c>
      <c r="V152" s="7">
        <f t="shared" ref="V152:W152" si="307">IF(AVERAGE(T92:T151) &gt; 0.25, 1, 0)</f>
        <v>0</v>
      </c>
      <c r="W152" s="7">
        <f t="shared" si="307"/>
        <v>0</v>
      </c>
      <c r="X152" s="8">
        <v>0.0</v>
      </c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ht="22.5" customHeight="1">
      <c r="A153" s="6">
        <v>1052.0</v>
      </c>
      <c r="B153" s="6">
        <v>36143.0</v>
      </c>
      <c r="C153" s="10">
        <v>0.85</v>
      </c>
      <c r="D153" s="10">
        <v>9.73</v>
      </c>
      <c r="E153" s="10">
        <v>2.23</v>
      </c>
      <c r="F153" s="10">
        <v>-0.09</v>
      </c>
      <c r="G153" s="10">
        <v>0.0</v>
      </c>
      <c r="H153" s="10">
        <v>-0.01</v>
      </c>
      <c r="I153" s="10">
        <v>33.32</v>
      </c>
      <c r="J153" s="10">
        <f t="shared" ref="J153:O153" si="308">abs(C153-C152)/200</f>
        <v>0</v>
      </c>
      <c r="K153" s="11">
        <f t="shared" si="308"/>
        <v>0</v>
      </c>
      <c r="L153" s="12">
        <f t="shared" si="308"/>
        <v>0.00005</v>
      </c>
      <c r="M153" s="12">
        <f t="shared" si="308"/>
        <v>0.00005</v>
      </c>
      <c r="N153" s="12">
        <f t="shared" si="308"/>
        <v>0</v>
      </c>
      <c r="O153" s="12">
        <f t="shared" si="308"/>
        <v>0.00005</v>
      </c>
      <c r="P153" s="7">
        <f t="shared" si="9"/>
        <v>0.01142653889</v>
      </c>
      <c r="Q153" s="7">
        <f t="shared" si="10"/>
        <v>0.00222116017</v>
      </c>
      <c r="R153" s="7">
        <f t="shared" si="3"/>
        <v>0.2183980755</v>
      </c>
      <c r="S153" s="7">
        <f t="shared" si="4"/>
        <v>0.09055385138</v>
      </c>
      <c r="T153" s="7">
        <f t="shared" si="5"/>
        <v>0</v>
      </c>
      <c r="U153" s="7">
        <f t="shared" si="6"/>
        <v>0</v>
      </c>
      <c r="V153" s="7">
        <f t="shared" ref="V153:W153" si="309">IF(AVERAGE(T93:T152) &gt; 0.25, 1, 0)</f>
        <v>0</v>
      </c>
      <c r="W153" s="7">
        <f t="shared" si="309"/>
        <v>0</v>
      </c>
      <c r="X153" s="8">
        <v>0.0</v>
      </c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ht="22.5" customHeight="1">
      <c r="A154" s="6">
        <v>1053.0</v>
      </c>
      <c r="B154" s="6">
        <v>36347.0</v>
      </c>
      <c r="C154" s="10">
        <v>0.85</v>
      </c>
      <c r="D154" s="10">
        <v>9.73</v>
      </c>
      <c r="E154" s="10">
        <v>2.21</v>
      </c>
      <c r="F154" s="10">
        <v>-0.1</v>
      </c>
      <c r="G154" s="10">
        <v>0.0</v>
      </c>
      <c r="H154" s="10">
        <v>-0.01</v>
      </c>
      <c r="I154" s="10">
        <v>33.31</v>
      </c>
      <c r="J154" s="10">
        <f t="shared" ref="J154:O154" si="310">abs(C154-C153)/200</f>
        <v>0</v>
      </c>
      <c r="K154" s="11">
        <f t="shared" si="310"/>
        <v>0</v>
      </c>
      <c r="L154" s="12">
        <f t="shared" si="310"/>
        <v>0.0001</v>
      </c>
      <c r="M154" s="12">
        <f t="shared" si="310"/>
        <v>0.00005</v>
      </c>
      <c r="N154" s="12">
        <f t="shared" si="310"/>
        <v>0</v>
      </c>
      <c r="O154" s="12">
        <f t="shared" si="310"/>
        <v>0</v>
      </c>
      <c r="P154" s="7">
        <f t="shared" si="9"/>
        <v>0.00994490483</v>
      </c>
      <c r="Q154" s="7">
        <f t="shared" si="10"/>
        <v>0.004432826949</v>
      </c>
      <c r="R154" s="7">
        <f t="shared" si="3"/>
        <v>0.2139652486</v>
      </c>
      <c r="S154" s="7">
        <f t="shared" si="4"/>
        <v>0.1004987562</v>
      </c>
      <c r="T154" s="7">
        <f t="shared" si="5"/>
        <v>0</v>
      </c>
      <c r="U154" s="7">
        <f t="shared" si="6"/>
        <v>0</v>
      </c>
      <c r="V154" s="7">
        <f t="shared" ref="V154:W154" si="311">IF(AVERAGE(T94:T153) &gt; 0.25, 1, 0)</f>
        <v>0</v>
      </c>
      <c r="W154" s="7">
        <f t="shared" si="311"/>
        <v>0</v>
      </c>
      <c r="X154" s="8">
        <v>0.0</v>
      </c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ht="22.5" customHeight="1">
      <c r="A155" s="6">
        <v>1054.0</v>
      </c>
      <c r="B155" s="6">
        <v>36551.0</v>
      </c>
      <c r="C155" s="10">
        <v>0.83</v>
      </c>
      <c r="D155" s="10">
        <v>9.73</v>
      </c>
      <c r="E155" s="10">
        <v>2.18</v>
      </c>
      <c r="F155" s="10">
        <v>-0.09</v>
      </c>
      <c r="G155" s="10">
        <v>0.0</v>
      </c>
      <c r="H155" s="10">
        <v>-0.01</v>
      </c>
      <c r="I155" s="10">
        <v>33.32</v>
      </c>
      <c r="J155" s="10">
        <f t="shared" ref="J155:O155" si="312">abs(C155-C154)/200</f>
        <v>0.0001</v>
      </c>
      <c r="K155" s="11">
        <f t="shared" si="312"/>
        <v>0</v>
      </c>
      <c r="L155" s="12">
        <f t="shared" si="312"/>
        <v>0.00015</v>
      </c>
      <c r="M155" s="12">
        <f t="shared" si="312"/>
        <v>0.00005</v>
      </c>
      <c r="N155" s="12">
        <f t="shared" si="312"/>
        <v>0</v>
      </c>
      <c r="O155" s="12">
        <f t="shared" si="312"/>
        <v>0</v>
      </c>
      <c r="P155" s="7">
        <f t="shared" si="9"/>
        <v>0.00994490483</v>
      </c>
      <c r="Q155" s="7">
        <f t="shared" si="10"/>
        <v>0.008256877866</v>
      </c>
      <c r="R155" s="7">
        <f t="shared" si="3"/>
        <v>0.2057083707</v>
      </c>
      <c r="S155" s="7">
        <f t="shared" si="4"/>
        <v>0.09055385138</v>
      </c>
      <c r="T155" s="7">
        <f t="shared" si="5"/>
        <v>0</v>
      </c>
      <c r="U155" s="7">
        <f t="shared" si="6"/>
        <v>0</v>
      </c>
      <c r="V155" s="7">
        <f t="shared" ref="V155:W155" si="313">IF(AVERAGE(T95:T154) &gt; 0.25, 1, 0)</f>
        <v>0</v>
      </c>
      <c r="W155" s="7">
        <f t="shared" si="313"/>
        <v>0</v>
      </c>
      <c r="X155" s="8">
        <v>0.0</v>
      </c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ht="22.5" customHeight="1">
      <c r="A156" s="6">
        <v>1055.0</v>
      </c>
      <c r="B156" s="6">
        <v>36755.0</v>
      </c>
      <c r="C156" s="10">
        <v>0.83</v>
      </c>
      <c r="D156" s="10">
        <v>9.75</v>
      </c>
      <c r="E156" s="10">
        <v>2.18</v>
      </c>
      <c r="F156" s="10">
        <v>-0.1</v>
      </c>
      <c r="G156" s="10">
        <v>0.0</v>
      </c>
      <c r="H156" s="10">
        <v>-0.01</v>
      </c>
      <c r="I156" s="10">
        <v>33.32</v>
      </c>
      <c r="J156" s="10">
        <f t="shared" ref="J156:O156" si="314">abs(C156-C155)/200</f>
        <v>0</v>
      </c>
      <c r="K156" s="11">
        <f t="shared" si="314"/>
        <v>0.0001</v>
      </c>
      <c r="L156" s="12">
        <f t="shared" si="314"/>
        <v>0</v>
      </c>
      <c r="M156" s="12">
        <f t="shared" si="314"/>
        <v>0.00005</v>
      </c>
      <c r="N156" s="12">
        <f t="shared" si="314"/>
        <v>0</v>
      </c>
      <c r="O156" s="12">
        <f t="shared" si="314"/>
        <v>0</v>
      </c>
      <c r="P156" s="7">
        <f t="shared" si="9"/>
        <v>0.00994490483</v>
      </c>
      <c r="Q156" s="7">
        <f t="shared" si="10"/>
        <v>0.01944998214</v>
      </c>
      <c r="R156" s="7">
        <f t="shared" si="3"/>
        <v>0.2251583529</v>
      </c>
      <c r="S156" s="7">
        <f t="shared" si="4"/>
        <v>0.1004987562</v>
      </c>
      <c r="T156" s="7">
        <f t="shared" si="5"/>
        <v>0</v>
      </c>
      <c r="U156" s="7">
        <f t="shared" si="6"/>
        <v>0</v>
      </c>
      <c r="V156" s="7">
        <f t="shared" ref="V156:W156" si="315">IF(AVERAGE(T96:T155) &gt; 0.25, 1, 0)</f>
        <v>0</v>
      </c>
      <c r="W156" s="7">
        <f t="shared" si="315"/>
        <v>0</v>
      </c>
      <c r="X156" s="8">
        <v>0.0</v>
      </c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ht="22.5" customHeight="1">
      <c r="A157" s="6">
        <v>1056.0</v>
      </c>
      <c r="B157" s="6">
        <v>36959.0</v>
      </c>
      <c r="C157" s="10">
        <v>0.89</v>
      </c>
      <c r="D157" s="10">
        <v>9.72</v>
      </c>
      <c r="E157" s="10">
        <v>2.18</v>
      </c>
      <c r="F157" s="10">
        <v>-0.1</v>
      </c>
      <c r="G157" s="10">
        <v>0.0</v>
      </c>
      <c r="H157" s="10">
        <v>-0.01</v>
      </c>
      <c r="I157" s="10">
        <v>33.32</v>
      </c>
      <c r="J157" s="10">
        <f t="shared" ref="J157:O157" si="316">abs(C157-C156)/200</f>
        <v>0.0003</v>
      </c>
      <c r="K157" s="11">
        <f t="shared" si="316"/>
        <v>0.00015</v>
      </c>
      <c r="L157" s="12">
        <f t="shared" si="316"/>
        <v>0</v>
      </c>
      <c r="M157" s="12">
        <f t="shared" si="316"/>
        <v>0</v>
      </c>
      <c r="N157" s="12">
        <f t="shared" si="316"/>
        <v>0</v>
      </c>
      <c r="O157" s="12">
        <f t="shared" si="316"/>
        <v>0</v>
      </c>
      <c r="P157" s="7">
        <f t="shared" si="9"/>
        <v>0</v>
      </c>
      <c r="Q157" s="7">
        <f t="shared" si="10"/>
        <v>0.02401341841</v>
      </c>
      <c r="R157" s="7">
        <f t="shared" si="3"/>
        <v>0.2011449345</v>
      </c>
      <c r="S157" s="7">
        <f t="shared" si="4"/>
        <v>0.1004987562</v>
      </c>
      <c r="T157" s="7">
        <f t="shared" si="5"/>
        <v>0</v>
      </c>
      <c r="U157" s="7">
        <f t="shared" si="6"/>
        <v>0</v>
      </c>
      <c r="V157" s="7">
        <f t="shared" ref="V157:W157" si="317">IF(AVERAGE(T97:T156) &gt; 0.25, 1, 0)</f>
        <v>0</v>
      </c>
      <c r="W157" s="7">
        <f t="shared" si="317"/>
        <v>0</v>
      </c>
      <c r="X157" s="8">
        <v>0.0</v>
      </c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ht="22.5" customHeight="1">
      <c r="A158" s="6">
        <v>1057.0</v>
      </c>
      <c r="B158" s="6">
        <v>37163.0</v>
      </c>
      <c r="C158" s="10">
        <v>0.88</v>
      </c>
      <c r="D158" s="10">
        <v>9.71</v>
      </c>
      <c r="E158" s="10">
        <v>2.19</v>
      </c>
      <c r="F158" s="10">
        <v>-0.1</v>
      </c>
      <c r="G158" s="10">
        <v>0.0</v>
      </c>
      <c r="H158" s="10">
        <v>-0.02</v>
      </c>
      <c r="I158" s="10">
        <v>33.32</v>
      </c>
      <c r="J158" s="10">
        <f t="shared" ref="J158:O158" si="318">abs(C158-C157)/200</f>
        <v>0.00005</v>
      </c>
      <c r="K158" s="11">
        <f t="shared" si="318"/>
        <v>0.00005</v>
      </c>
      <c r="L158" s="12">
        <f t="shared" si="318"/>
        <v>0.00005</v>
      </c>
      <c r="M158" s="12">
        <f t="shared" si="318"/>
        <v>0</v>
      </c>
      <c r="N158" s="12">
        <f t="shared" si="318"/>
        <v>0</v>
      </c>
      <c r="O158" s="12">
        <f t="shared" si="318"/>
        <v>0.00005</v>
      </c>
      <c r="P158" s="7">
        <f t="shared" si="9"/>
        <v>0.001481634061</v>
      </c>
      <c r="Q158" s="7">
        <f t="shared" si="10"/>
        <v>0.008417579024</v>
      </c>
      <c r="R158" s="7">
        <f t="shared" si="3"/>
        <v>0.1927273554</v>
      </c>
      <c r="S158" s="7">
        <f t="shared" si="4"/>
        <v>0.1019803903</v>
      </c>
      <c r="T158" s="7">
        <f t="shared" si="5"/>
        <v>0</v>
      </c>
      <c r="U158" s="7">
        <f t="shared" si="6"/>
        <v>0</v>
      </c>
      <c r="V158" s="7">
        <f t="shared" ref="V158:W158" si="319">IF(AVERAGE(T98:T157) &gt; 0.25, 1, 0)</f>
        <v>0</v>
      </c>
      <c r="W158" s="7">
        <f t="shared" si="319"/>
        <v>0</v>
      </c>
      <c r="X158" s="8">
        <v>0.0</v>
      </c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ht="22.5" customHeight="1">
      <c r="A159" s="6">
        <v>1058.0</v>
      </c>
      <c r="B159" s="6">
        <v>37367.0</v>
      </c>
      <c r="C159" s="10">
        <v>0.83</v>
      </c>
      <c r="D159" s="10">
        <v>9.74</v>
      </c>
      <c r="E159" s="10">
        <v>2.2</v>
      </c>
      <c r="F159" s="10">
        <v>-0.1</v>
      </c>
      <c r="G159" s="10">
        <v>0.0</v>
      </c>
      <c r="H159" s="10">
        <v>-0.01</v>
      </c>
      <c r="I159" s="10">
        <v>33.32</v>
      </c>
      <c r="J159" s="10">
        <f t="shared" ref="J159:O159" si="320">abs(C159-C158)/200</f>
        <v>0.00025</v>
      </c>
      <c r="K159" s="11">
        <f t="shared" si="320"/>
        <v>0.00015</v>
      </c>
      <c r="L159" s="12">
        <f t="shared" si="320"/>
        <v>0.00005</v>
      </c>
      <c r="M159" s="12">
        <f t="shared" si="320"/>
        <v>0</v>
      </c>
      <c r="N159" s="12">
        <f t="shared" si="320"/>
        <v>0</v>
      </c>
      <c r="O159" s="12">
        <f t="shared" si="320"/>
        <v>0.00005</v>
      </c>
      <c r="P159" s="7">
        <f t="shared" si="9"/>
        <v>0.001481634061</v>
      </c>
      <c r="Q159" s="7">
        <f t="shared" si="10"/>
        <v>0.0270780319</v>
      </c>
      <c r="R159" s="7">
        <f t="shared" si="3"/>
        <v>0.2198053873</v>
      </c>
      <c r="S159" s="7">
        <f t="shared" si="4"/>
        <v>0.1004987562</v>
      </c>
      <c r="T159" s="7">
        <f t="shared" si="5"/>
        <v>0</v>
      </c>
      <c r="U159" s="7">
        <f t="shared" si="6"/>
        <v>0</v>
      </c>
      <c r="V159" s="7">
        <f t="shared" ref="V159:W159" si="321">IF(AVERAGE(T99:T158) &gt; 0.25, 1, 0)</f>
        <v>0</v>
      </c>
      <c r="W159" s="7">
        <f t="shared" si="321"/>
        <v>0</v>
      </c>
      <c r="X159" s="8">
        <v>0.0</v>
      </c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ht="22.5" customHeight="1">
      <c r="A160" s="6">
        <v>1059.0</v>
      </c>
      <c r="B160" s="6">
        <v>37571.0</v>
      </c>
      <c r="C160" s="10">
        <v>0.85</v>
      </c>
      <c r="D160" s="10">
        <v>9.73</v>
      </c>
      <c r="E160" s="10">
        <v>2.17</v>
      </c>
      <c r="F160" s="10">
        <v>-0.1</v>
      </c>
      <c r="G160" s="10">
        <v>0.0</v>
      </c>
      <c r="H160" s="10">
        <v>-0.01</v>
      </c>
      <c r="I160" s="10">
        <v>33.33</v>
      </c>
      <c r="J160" s="10">
        <f t="shared" ref="J160:O160" si="322">abs(C160-C159)/200</f>
        <v>0.0001</v>
      </c>
      <c r="K160" s="11">
        <f t="shared" si="322"/>
        <v>0.00005</v>
      </c>
      <c r="L160" s="12">
        <f t="shared" si="322"/>
        <v>0.00015</v>
      </c>
      <c r="M160" s="12">
        <f t="shared" si="322"/>
        <v>0</v>
      </c>
      <c r="N160" s="12">
        <f t="shared" si="322"/>
        <v>0</v>
      </c>
      <c r="O160" s="12">
        <f t="shared" si="322"/>
        <v>0</v>
      </c>
      <c r="P160" s="7">
        <f t="shared" si="9"/>
        <v>0</v>
      </c>
      <c r="Q160" s="7">
        <f t="shared" si="10"/>
        <v>0.01459174643</v>
      </c>
      <c r="R160" s="7">
        <f t="shared" si="3"/>
        <v>0.2052136409</v>
      </c>
      <c r="S160" s="7">
        <f t="shared" si="4"/>
        <v>0.1004987562</v>
      </c>
      <c r="T160" s="7">
        <f t="shared" si="5"/>
        <v>0</v>
      </c>
      <c r="U160" s="7">
        <f t="shared" si="6"/>
        <v>0</v>
      </c>
      <c r="V160" s="7">
        <f t="shared" ref="V160:W160" si="323">IF(AVERAGE(T100:T159) &gt; 0.25, 1, 0)</f>
        <v>0</v>
      </c>
      <c r="W160" s="7">
        <f t="shared" si="323"/>
        <v>0</v>
      </c>
      <c r="X160" s="8">
        <v>0.0</v>
      </c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ht="22.5" customHeight="1">
      <c r="A161" s="6">
        <v>1060.0</v>
      </c>
      <c r="B161" s="6">
        <v>37775.0</v>
      </c>
      <c r="C161" s="10">
        <v>0.86</v>
      </c>
      <c r="D161" s="10">
        <v>9.72</v>
      </c>
      <c r="E161" s="10">
        <v>2.18</v>
      </c>
      <c r="F161" s="10">
        <v>-0.09</v>
      </c>
      <c r="G161" s="10">
        <v>0.0</v>
      </c>
      <c r="H161" s="10">
        <v>-0.01</v>
      </c>
      <c r="I161" s="10">
        <v>33.32</v>
      </c>
      <c r="J161" s="10">
        <f t="shared" ref="J161:O161" si="324">abs(C161-C160)/200</f>
        <v>0.00005</v>
      </c>
      <c r="K161" s="11">
        <f t="shared" si="324"/>
        <v>0.00005</v>
      </c>
      <c r="L161" s="12">
        <f t="shared" si="324"/>
        <v>0.00005</v>
      </c>
      <c r="M161" s="12">
        <f t="shared" si="324"/>
        <v>0.00005</v>
      </c>
      <c r="N161" s="12">
        <f t="shared" si="324"/>
        <v>0</v>
      </c>
      <c r="O161" s="12">
        <f t="shared" si="324"/>
        <v>0</v>
      </c>
      <c r="P161" s="7">
        <f t="shared" si="9"/>
        <v>0.00994490483</v>
      </c>
      <c r="Q161" s="7">
        <f t="shared" si="10"/>
        <v>0.006693750434</v>
      </c>
      <c r="R161" s="7">
        <f t="shared" si="3"/>
        <v>0.1985198905</v>
      </c>
      <c r="S161" s="7">
        <f t="shared" si="4"/>
        <v>0.09055385138</v>
      </c>
      <c r="T161" s="7">
        <f t="shared" si="5"/>
        <v>0</v>
      </c>
      <c r="U161" s="7">
        <f t="shared" si="6"/>
        <v>0</v>
      </c>
      <c r="V161" s="7">
        <f t="shared" ref="V161:W161" si="325">IF(AVERAGE(T101:T160) &gt; 0.25, 1, 0)</f>
        <v>0</v>
      </c>
      <c r="W161" s="7">
        <f t="shared" si="325"/>
        <v>0</v>
      </c>
      <c r="X161" s="8">
        <v>0.0</v>
      </c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ht="22.5" customHeight="1">
      <c r="A162" s="6">
        <v>1061.0</v>
      </c>
      <c r="B162" s="6">
        <v>37979.0</v>
      </c>
      <c r="C162" s="10">
        <v>0.86</v>
      </c>
      <c r="D162" s="10">
        <v>9.73</v>
      </c>
      <c r="E162" s="10">
        <v>2.17</v>
      </c>
      <c r="F162" s="10">
        <v>-0.1</v>
      </c>
      <c r="G162" s="10">
        <v>0.0</v>
      </c>
      <c r="H162" s="10">
        <v>-0.01</v>
      </c>
      <c r="I162" s="10">
        <v>33.33</v>
      </c>
      <c r="J162" s="10">
        <f t="shared" ref="J162:O162" si="326">abs(C162-C161)/200</f>
        <v>0</v>
      </c>
      <c r="K162" s="11">
        <f t="shared" si="326"/>
        <v>0.00005</v>
      </c>
      <c r="L162" s="12">
        <f t="shared" si="326"/>
        <v>0.00005</v>
      </c>
      <c r="M162" s="12">
        <f t="shared" si="326"/>
        <v>0.00005</v>
      </c>
      <c r="N162" s="12">
        <f t="shared" si="326"/>
        <v>0</v>
      </c>
      <c r="O162" s="12">
        <f t="shared" si="326"/>
        <v>0</v>
      </c>
      <c r="P162" s="7">
        <f t="shared" si="9"/>
        <v>0.00994490483</v>
      </c>
      <c r="Q162" s="7">
        <f t="shared" si="10"/>
        <v>0.007548268409</v>
      </c>
      <c r="R162" s="7">
        <f t="shared" si="3"/>
        <v>0.2060681589</v>
      </c>
      <c r="S162" s="7">
        <f t="shared" si="4"/>
        <v>0.1004987562</v>
      </c>
      <c r="T162" s="7">
        <f t="shared" si="5"/>
        <v>0</v>
      </c>
      <c r="U162" s="7">
        <f t="shared" si="6"/>
        <v>0</v>
      </c>
      <c r="V162" s="7">
        <f t="shared" ref="V162:W162" si="327">IF(AVERAGE(T102:T161) &gt; 0.25, 1, 0)</f>
        <v>0</v>
      </c>
      <c r="W162" s="7">
        <f t="shared" si="327"/>
        <v>0</v>
      </c>
      <c r="X162" s="8">
        <v>0.0</v>
      </c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ht="22.5" customHeight="1">
      <c r="A163" s="6">
        <v>1062.0</v>
      </c>
      <c r="B163" s="6">
        <v>38183.0</v>
      </c>
      <c r="C163" s="10">
        <v>0.82</v>
      </c>
      <c r="D163" s="10">
        <v>9.74</v>
      </c>
      <c r="E163" s="10">
        <v>2.19</v>
      </c>
      <c r="F163" s="10">
        <v>-0.11</v>
      </c>
      <c r="G163" s="10">
        <v>0.0</v>
      </c>
      <c r="H163" s="10">
        <v>-0.02</v>
      </c>
      <c r="I163" s="10">
        <v>33.33</v>
      </c>
      <c r="J163" s="10">
        <f t="shared" ref="J163:O163" si="328">abs(C163-C162)/200</f>
        <v>0.0002</v>
      </c>
      <c r="K163" s="11">
        <f t="shared" si="328"/>
        <v>0.00005</v>
      </c>
      <c r="L163" s="12">
        <f t="shared" si="328"/>
        <v>0.0001</v>
      </c>
      <c r="M163" s="12">
        <f t="shared" si="328"/>
        <v>0.00005</v>
      </c>
      <c r="N163" s="12">
        <f t="shared" si="328"/>
        <v>0</v>
      </c>
      <c r="O163" s="12">
        <f t="shared" si="328"/>
        <v>0.00005</v>
      </c>
      <c r="P163" s="7">
        <f t="shared" si="9"/>
        <v>0.01130464266</v>
      </c>
      <c r="Q163" s="7">
        <f t="shared" si="10"/>
        <v>0.01072274441</v>
      </c>
      <c r="R163" s="7">
        <f t="shared" si="3"/>
        <v>0.2167909033</v>
      </c>
      <c r="S163" s="7">
        <f t="shared" si="4"/>
        <v>0.1118033989</v>
      </c>
      <c r="T163" s="7">
        <f t="shared" si="5"/>
        <v>0</v>
      </c>
      <c r="U163" s="7">
        <f t="shared" si="6"/>
        <v>0</v>
      </c>
      <c r="V163" s="7">
        <f t="shared" ref="V163:W163" si="329">IF(AVERAGE(T103:T162) &gt; 0.25, 1, 0)</f>
        <v>0</v>
      </c>
      <c r="W163" s="7">
        <f t="shared" si="329"/>
        <v>0</v>
      </c>
      <c r="X163" s="8">
        <v>0.0</v>
      </c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ht="22.5" customHeight="1">
      <c r="A164" s="6">
        <v>1063.0</v>
      </c>
      <c r="B164" s="6">
        <v>38387.0</v>
      </c>
      <c r="C164" s="10">
        <v>0.85</v>
      </c>
      <c r="D164" s="10">
        <v>9.72</v>
      </c>
      <c r="E164" s="10">
        <v>2.21</v>
      </c>
      <c r="F164" s="10">
        <v>-0.11</v>
      </c>
      <c r="G164" s="10">
        <v>0.0</v>
      </c>
      <c r="H164" s="10">
        <v>-0.01</v>
      </c>
      <c r="I164" s="10">
        <v>33.32</v>
      </c>
      <c r="J164" s="10">
        <f t="shared" ref="J164:O164" si="330">abs(C164-C163)/200</f>
        <v>0.00015</v>
      </c>
      <c r="K164" s="11">
        <f t="shared" si="330"/>
        <v>0.0001</v>
      </c>
      <c r="L164" s="12">
        <f t="shared" si="330"/>
        <v>0.0001</v>
      </c>
      <c r="M164" s="12">
        <f t="shared" si="330"/>
        <v>0</v>
      </c>
      <c r="N164" s="12">
        <f t="shared" si="330"/>
        <v>0</v>
      </c>
      <c r="O164" s="12">
        <f t="shared" si="330"/>
        <v>0.00005</v>
      </c>
      <c r="P164" s="7">
        <f t="shared" si="9"/>
        <v>0.001349788703</v>
      </c>
      <c r="Q164" s="7">
        <f t="shared" si="10"/>
        <v>0.01254180602</v>
      </c>
      <c r="R164" s="7">
        <f t="shared" si="3"/>
        <v>0.2042490973</v>
      </c>
      <c r="S164" s="7">
        <f t="shared" si="4"/>
        <v>0.1104536102</v>
      </c>
      <c r="T164" s="7">
        <f t="shared" si="5"/>
        <v>0</v>
      </c>
      <c r="U164" s="7">
        <f t="shared" si="6"/>
        <v>0</v>
      </c>
      <c r="V164" s="7">
        <f t="shared" ref="V164:W164" si="331">IF(AVERAGE(T104:T163) &gt; 0.25, 1, 0)</f>
        <v>0</v>
      </c>
      <c r="W164" s="7">
        <f t="shared" si="331"/>
        <v>0</v>
      </c>
      <c r="X164" s="8">
        <v>0.0</v>
      </c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ht="22.5" customHeight="1">
      <c r="A165" s="6">
        <v>1064.0</v>
      </c>
      <c r="B165" s="6">
        <v>38591.0</v>
      </c>
      <c r="C165" s="10">
        <v>0.82</v>
      </c>
      <c r="D165" s="10">
        <v>9.74</v>
      </c>
      <c r="E165" s="10">
        <v>2.21</v>
      </c>
      <c r="F165" s="10">
        <v>-0.09</v>
      </c>
      <c r="G165" s="10">
        <v>0.0</v>
      </c>
      <c r="H165" s="10">
        <v>-0.02</v>
      </c>
      <c r="I165" s="10">
        <v>33.32</v>
      </c>
      <c r="J165" s="10">
        <f t="shared" ref="J165:O165" si="332">abs(C165-C164)/200</f>
        <v>0.00015</v>
      </c>
      <c r="K165" s="11">
        <f t="shared" si="332"/>
        <v>0.0001</v>
      </c>
      <c r="L165" s="12">
        <f t="shared" si="332"/>
        <v>0</v>
      </c>
      <c r="M165" s="12">
        <f t="shared" si="332"/>
        <v>0.0001</v>
      </c>
      <c r="N165" s="12">
        <f t="shared" si="332"/>
        <v>0</v>
      </c>
      <c r="O165" s="12">
        <f t="shared" si="332"/>
        <v>0.00005</v>
      </c>
      <c r="P165" s="7">
        <f t="shared" si="9"/>
        <v>0.0182581656</v>
      </c>
      <c r="Q165" s="7">
        <f t="shared" si="10"/>
        <v>0.01693346769</v>
      </c>
      <c r="R165" s="7">
        <f t="shared" si="3"/>
        <v>0.2211825649</v>
      </c>
      <c r="S165" s="7">
        <f t="shared" si="4"/>
        <v>0.09219544457</v>
      </c>
      <c r="T165" s="7">
        <f t="shared" si="5"/>
        <v>0</v>
      </c>
      <c r="U165" s="7">
        <f t="shared" si="6"/>
        <v>0</v>
      </c>
      <c r="V165" s="7">
        <f t="shared" ref="V165:W165" si="333">IF(AVERAGE(T105:T164) &gt; 0.25, 1, 0)</f>
        <v>0</v>
      </c>
      <c r="W165" s="7">
        <f t="shared" si="333"/>
        <v>0</v>
      </c>
      <c r="X165" s="8">
        <v>0.0</v>
      </c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ht="22.5" customHeight="1">
      <c r="A166" s="6">
        <v>1065.0</v>
      </c>
      <c r="B166" s="6">
        <v>38795.0</v>
      </c>
      <c r="C166" s="10">
        <v>0.85</v>
      </c>
      <c r="D166" s="10">
        <v>9.73</v>
      </c>
      <c r="E166" s="10">
        <v>2.2</v>
      </c>
      <c r="F166" s="10">
        <v>-0.09</v>
      </c>
      <c r="G166" s="10">
        <v>0.0</v>
      </c>
      <c r="H166" s="10">
        <v>-0.01</v>
      </c>
      <c r="I166" s="10">
        <v>33.32</v>
      </c>
      <c r="J166" s="10">
        <f t="shared" ref="J166:O166" si="334">abs(C166-C165)/200</f>
        <v>0.00015</v>
      </c>
      <c r="K166" s="11">
        <f t="shared" si="334"/>
        <v>0.00005</v>
      </c>
      <c r="L166" s="12">
        <f t="shared" si="334"/>
        <v>0.00005</v>
      </c>
      <c r="M166" s="12">
        <f t="shared" si="334"/>
        <v>0</v>
      </c>
      <c r="N166" s="12">
        <f t="shared" si="334"/>
        <v>0</v>
      </c>
      <c r="O166" s="12">
        <f t="shared" si="334"/>
        <v>0.00005</v>
      </c>
      <c r="P166" s="7">
        <f t="shared" si="9"/>
        <v>0.001641593192</v>
      </c>
      <c r="Q166" s="7">
        <f t="shared" si="10"/>
        <v>0.009419483451</v>
      </c>
      <c r="R166" s="7">
        <f t="shared" si="3"/>
        <v>0.2117630815</v>
      </c>
      <c r="S166" s="7">
        <f t="shared" si="4"/>
        <v>0.09055385138</v>
      </c>
      <c r="T166" s="7">
        <f t="shared" si="5"/>
        <v>0</v>
      </c>
      <c r="U166" s="7">
        <f t="shared" si="6"/>
        <v>0</v>
      </c>
      <c r="V166" s="7">
        <f t="shared" ref="V166:W166" si="335">IF(AVERAGE(T106:T165) &gt; 0.25, 1, 0)</f>
        <v>0</v>
      </c>
      <c r="W166" s="7">
        <f t="shared" si="335"/>
        <v>0</v>
      </c>
      <c r="X166" s="8">
        <v>0.0</v>
      </c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ht="22.5" customHeight="1">
      <c r="A167" s="6">
        <v>1066.0</v>
      </c>
      <c r="B167" s="6">
        <v>38999.0</v>
      </c>
      <c r="C167" s="10">
        <v>0.84</v>
      </c>
      <c r="D167" s="10">
        <v>9.73</v>
      </c>
      <c r="E167" s="10">
        <v>2.18</v>
      </c>
      <c r="F167" s="10">
        <v>-0.09</v>
      </c>
      <c r="G167" s="10">
        <v>0.0</v>
      </c>
      <c r="H167" s="10">
        <v>-0.01</v>
      </c>
      <c r="I167" s="10">
        <v>33.32</v>
      </c>
      <c r="J167" s="10">
        <f t="shared" ref="J167:O167" si="336">abs(C167-C166)/200</f>
        <v>0.00005</v>
      </c>
      <c r="K167" s="11">
        <f t="shared" si="336"/>
        <v>0</v>
      </c>
      <c r="L167" s="12">
        <f t="shared" si="336"/>
        <v>0.0001</v>
      </c>
      <c r="M167" s="12">
        <f t="shared" si="336"/>
        <v>0</v>
      </c>
      <c r="N167" s="12">
        <f t="shared" si="336"/>
        <v>0</v>
      </c>
      <c r="O167" s="12">
        <f t="shared" si="336"/>
        <v>0</v>
      </c>
      <c r="P167" s="7">
        <f t="shared" si="9"/>
        <v>0</v>
      </c>
      <c r="Q167" s="7">
        <f t="shared" si="10"/>
        <v>0.005220221946</v>
      </c>
      <c r="R167" s="7">
        <f t="shared" si="3"/>
        <v>0.2065428595</v>
      </c>
      <c r="S167" s="7">
        <f t="shared" si="4"/>
        <v>0.09055385138</v>
      </c>
      <c r="T167" s="7">
        <f t="shared" si="5"/>
        <v>0</v>
      </c>
      <c r="U167" s="7">
        <f t="shared" si="6"/>
        <v>0</v>
      </c>
      <c r="V167" s="7">
        <f t="shared" ref="V167:W167" si="337">IF(AVERAGE(T107:T166) &gt; 0.25, 1, 0)</f>
        <v>0</v>
      </c>
      <c r="W167" s="7">
        <f t="shared" si="337"/>
        <v>0</v>
      </c>
      <c r="X167" s="8">
        <v>0.0</v>
      </c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ht="22.5" customHeight="1">
      <c r="A168" s="6">
        <v>1067.0</v>
      </c>
      <c r="B168" s="6">
        <v>39203.0</v>
      </c>
      <c r="C168" s="10">
        <v>0.84</v>
      </c>
      <c r="D168" s="10">
        <v>9.73</v>
      </c>
      <c r="E168" s="10">
        <v>2.19</v>
      </c>
      <c r="F168" s="10">
        <v>-0.1</v>
      </c>
      <c r="G168" s="10">
        <v>0.0</v>
      </c>
      <c r="H168" s="10">
        <v>-0.01</v>
      </c>
      <c r="I168" s="10">
        <v>33.32</v>
      </c>
      <c r="J168" s="10">
        <f t="shared" ref="J168:O168" si="338">abs(C168-C167)/200</f>
        <v>0</v>
      </c>
      <c r="K168" s="11">
        <f t="shared" si="338"/>
        <v>0</v>
      </c>
      <c r="L168" s="12">
        <f t="shared" si="338"/>
        <v>0.00005</v>
      </c>
      <c r="M168" s="12">
        <f t="shared" si="338"/>
        <v>0.00005</v>
      </c>
      <c r="N168" s="12">
        <f t="shared" si="338"/>
        <v>0</v>
      </c>
      <c r="O168" s="12">
        <f t="shared" si="338"/>
        <v>0</v>
      </c>
      <c r="P168" s="7">
        <f t="shared" si="9"/>
        <v>0.00994490483</v>
      </c>
      <c r="Q168" s="7">
        <f t="shared" si="10"/>
        <v>0.002183333129</v>
      </c>
      <c r="R168" s="7">
        <f t="shared" si="3"/>
        <v>0.2087261927</v>
      </c>
      <c r="S168" s="7">
        <f t="shared" si="4"/>
        <v>0.1004987562</v>
      </c>
      <c r="T168" s="7">
        <f t="shared" si="5"/>
        <v>0</v>
      </c>
      <c r="U168" s="7">
        <f t="shared" si="6"/>
        <v>0</v>
      </c>
      <c r="V168" s="7">
        <f t="shared" ref="V168:W168" si="339">IF(AVERAGE(T108:T167) &gt; 0.25, 1, 0)</f>
        <v>0</v>
      </c>
      <c r="W168" s="7">
        <f t="shared" si="339"/>
        <v>0</v>
      </c>
      <c r="X168" s="8">
        <v>0.0</v>
      </c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ht="22.5" customHeight="1">
      <c r="A169" s="6">
        <v>1068.0</v>
      </c>
      <c r="B169" s="6">
        <v>39407.0</v>
      </c>
      <c r="C169" s="10">
        <v>0.87</v>
      </c>
      <c r="D169" s="10">
        <v>9.72</v>
      </c>
      <c r="E169" s="10">
        <v>2.18</v>
      </c>
      <c r="F169" s="10">
        <v>-0.09</v>
      </c>
      <c r="G169" s="10">
        <v>0.0</v>
      </c>
      <c r="H169" s="10">
        <v>-0.01</v>
      </c>
      <c r="I169" s="10">
        <v>33.32</v>
      </c>
      <c r="J169" s="10">
        <f t="shared" ref="J169:O169" si="340">abs(C169-C168)/200</f>
        <v>0.00015</v>
      </c>
      <c r="K169" s="11">
        <f t="shared" si="340"/>
        <v>0.00005</v>
      </c>
      <c r="L169" s="12">
        <f t="shared" si="340"/>
        <v>0.00005</v>
      </c>
      <c r="M169" s="12">
        <f t="shared" si="340"/>
        <v>0.00005</v>
      </c>
      <c r="N169" s="12">
        <f t="shared" si="340"/>
        <v>0</v>
      </c>
      <c r="O169" s="12">
        <f t="shared" si="340"/>
        <v>0</v>
      </c>
      <c r="P169" s="7">
        <f t="shared" si="9"/>
        <v>0.00994490483</v>
      </c>
      <c r="Q169" s="7">
        <f t="shared" si="10"/>
        <v>0.00934121159</v>
      </c>
      <c r="R169" s="7">
        <f t="shared" si="3"/>
        <v>0.1993849811</v>
      </c>
      <c r="S169" s="7">
        <f t="shared" si="4"/>
        <v>0.09055385138</v>
      </c>
      <c r="T169" s="7">
        <f t="shared" si="5"/>
        <v>0</v>
      </c>
      <c r="U169" s="7">
        <f t="shared" si="6"/>
        <v>0</v>
      </c>
      <c r="V169" s="7">
        <f t="shared" ref="V169:W169" si="341">IF(AVERAGE(T109:T168) &gt; 0.25, 1, 0)</f>
        <v>0</v>
      </c>
      <c r="W169" s="7">
        <f t="shared" si="341"/>
        <v>0</v>
      </c>
      <c r="X169" s="8">
        <v>0.0</v>
      </c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ht="22.5" customHeight="1">
      <c r="A170" s="6">
        <v>1069.0</v>
      </c>
      <c r="B170" s="6">
        <v>39611.0</v>
      </c>
      <c r="C170" s="10">
        <v>0.85</v>
      </c>
      <c r="D170" s="10">
        <v>9.72</v>
      </c>
      <c r="E170" s="10">
        <v>2.18</v>
      </c>
      <c r="F170" s="10">
        <v>-0.09</v>
      </c>
      <c r="G170" s="10">
        <v>0.0</v>
      </c>
      <c r="H170" s="10">
        <v>0.0</v>
      </c>
      <c r="I170" s="10">
        <v>33.33</v>
      </c>
      <c r="J170" s="10">
        <f t="shared" ref="J170:O170" si="342">abs(C170-C169)/200</f>
        <v>0.0001</v>
      </c>
      <c r="K170" s="11">
        <f t="shared" si="342"/>
        <v>0</v>
      </c>
      <c r="L170" s="12">
        <f t="shared" si="342"/>
        <v>0</v>
      </c>
      <c r="M170" s="12">
        <f t="shared" si="342"/>
        <v>0</v>
      </c>
      <c r="N170" s="12">
        <f t="shared" si="342"/>
        <v>0</v>
      </c>
      <c r="O170" s="12">
        <f t="shared" si="342"/>
        <v>0.00005</v>
      </c>
      <c r="P170" s="7">
        <f t="shared" si="9"/>
        <v>0.0005538513814</v>
      </c>
      <c r="Q170" s="7">
        <f t="shared" si="10"/>
        <v>0.001720253763</v>
      </c>
      <c r="R170" s="7">
        <f t="shared" si="3"/>
        <v>0.1976647273</v>
      </c>
      <c r="S170" s="7">
        <f t="shared" si="4"/>
        <v>0.09</v>
      </c>
      <c r="T170" s="7">
        <f t="shared" si="5"/>
        <v>0</v>
      </c>
      <c r="U170" s="7">
        <f t="shared" si="6"/>
        <v>0</v>
      </c>
      <c r="V170" s="7">
        <f t="shared" ref="V170:W170" si="343">IF(AVERAGE(T110:T169) &gt; 0.25, 1, 0)</f>
        <v>0</v>
      </c>
      <c r="W170" s="7">
        <f t="shared" si="343"/>
        <v>0</v>
      </c>
      <c r="X170" s="8">
        <v>0.0</v>
      </c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ht="22.5" customHeight="1">
      <c r="A171" s="6">
        <v>1070.0</v>
      </c>
      <c r="B171" s="6">
        <v>39815.0</v>
      </c>
      <c r="C171" s="10">
        <v>0.82</v>
      </c>
      <c r="D171" s="10">
        <v>9.74</v>
      </c>
      <c r="E171" s="10">
        <v>2.21</v>
      </c>
      <c r="F171" s="10">
        <v>-0.09</v>
      </c>
      <c r="G171" s="10">
        <v>0.0</v>
      </c>
      <c r="H171" s="10">
        <v>-0.02</v>
      </c>
      <c r="I171" s="10">
        <v>33.32</v>
      </c>
      <c r="J171" s="10">
        <f t="shared" ref="J171:O171" si="344">abs(C171-C170)/200</f>
        <v>0.00015</v>
      </c>
      <c r="K171" s="11">
        <f t="shared" si="344"/>
        <v>0.0001</v>
      </c>
      <c r="L171" s="12">
        <f t="shared" si="344"/>
        <v>0.00015</v>
      </c>
      <c r="M171" s="12">
        <f t="shared" si="344"/>
        <v>0</v>
      </c>
      <c r="N171" s="12">
        <f t="shared" si="344"/>
        <v>0</v>
      </c>
      <c r="O171" s="12">
        <f t="shared" si="344"/>
        <v>0.0001</v>
      </c>
      <c r="P171" s="7">
        <f t="shared" si="9"/>
        <v>0.002195444573</v>
      </c>
      <c r="Q171" s="7">
        <f t="shared" si="10"/>
        <v>0.02351783762</v>
      </c>
      <c r="R171" s="7">
        <f t="shared" si="3"/>
        <v>0.2211825649</v>
      </c>
      <c r="S171" s="7">
        <f t="shared" si="4"/>
        <v>0.09219544457</v>
      </c>
      <c r="T171" s="7">
        <f t="shared" si="5"/>
        <v>0</v>
      </c>
      <c r="U171" s="7">
        <f t="shared" si="6"/>
        <v>0</v>
      </c>
      <c r="V171" s="7">
        <f t="shared" ref="V171:W171" si="345">IF(AVERAGE(T111:T170) &gt; 0.25, 1, 0)</f>
        <v>0</v>
      </c>
      <c r="W171" s="7">
        <f t="shared" si="345"/>
        <v>0</v>
      </c>
      <c r="X171" s="8">
        <v>0.0</v>
      </c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ht="22.5" customHeight="1">
      <c r="A172" s="6">
        <v>1071.0</v>
      </c>
      <c r="B172" s="6">
        <v>40019.0</v>
      </c>
      <c r="C172" s="10">
        <v>0.8</v>
      </c>
      <c r="D172" s="10">
        <v>9.74</v>
      </c>
      <c r="E172" s="10">
        <v>2.21</v>
      </c>
      <c r="F172" s="10">
        <v>-0.1</v>
      </c>
      <c r="G172" s="10">
        <v>0.0</v>
      </c>
      <c r="H172" s="10">
        <v>-0.01</v>
      </c>
      <c r="I172" s="10">
        <v>33.32</v>
      </c>
      <c r="J172" s="10">
        <f t="shared" ref="J172:O172" si="346">abs(C172-C171)/200</f>
        <v>0.0001</v>
      </c>
      <c r="K172" s="11">
        <f t="shared" si="346"/>
        <v>0</v>
      </c>
      <c r="L172" s="12">
        <f t="shared" si="346"/>
        <v>0</v>
      </c>
      <c r="M172" s="12">
        <f t="shared" si="346"/>
        <v>0.00005</v>
      </c>
      <c r="N172" s="12">
        <f t="shared" si="346"/>
        <v>0</v>
      </c>
      <c r="O172" s="12">
        <f t="shared" si="346"/>
        <v>0.00005</v>
      </c>
      <c r="P172" s="7">
        <f t="shared" si="9"/>
        <v>0.008303311638</v>
      </c>
      <c r="Q172" s="7">
        <f t="shared" si="10"/>
        <v>0.001616706089</v>
      </c>
      <c r="R172" s="7">
        <f t="shared" si="3"/>
        <v>0.2195658589</v>
      </c>
      <c r="S172" s="7">
        <f t="shared" si="4"/>
        <v>0.1004987562</v>
      </c>
      <c r="T172" s="7">
        <f t="shared" si="5"/>
        <v>0</v>
      </c>
      <c r="U172" s="7">
        <f t="shared" si="6"/>
        <v>0</v>
      </c>
      <c r="V172" s="7">
        <f t="shared" ref="V172:W172" si="347">IF(AVERAGE(T112:T171) &gt; 0.25, 1, 0)</f>
        <v>0</v>
      </c>
      <c r="W172" s="7">
        <f t="shared" si="347"/>
        <v>0</v>
      </c>
      <c r="X172" s="8">
        <v>0.0</v>
      </c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ht="22.5" customHeight="1">
      <c r="A173" s="6">
        <v>1072.0</v>
      </c>
      <c r="B173" s="6">
        <v>40223.0</v>
      </c>
      <c r="C173" s="10">
        <v>0.82</v>
      </c>
      <c r="D173" s="10">
        <v>9.73</v>
      </c>
      <c r="E173" s="10">
        <v>2.17</v>
      </c>
      <c r="F173" s="10">
        <v>-0.1</v>
      </c>
      <c r="G173" s="10">
        <v>0.0</v>
      </c>
      <c r="H173" s="10">
        <v>0.0</v>
      </c>
      <c r="I173" s="10">
        <v>33.32</v>
      </c>
      <c r="J173" s="10">
        <f t="shared" ref="J173:O173" si="348">abs(C173-C172)/200</f>
        <v>0.0001</v>
      </c>
      <c r="K173" s="11">
        <f t="shared" si="348"/>
        <v>0.00005</v>
      </c>
      <c r="L173" s="12">
        <f t="shared" si="348"/>
        <v>0.0002</v>
      </c>
      <c r="M173" s="12">
        <f t="shared" si="348"/>
        <v>0</v>
      </c>
      <c r="N173" s="12">
        <f t="shared" si="348"/>
        <v>0</v>
      </c>
      <c r="O173" s="12">
        <f t="shared" si="348"/>
        <v>0.00005</v>
      </c>
      <c r="P173" s="7">
        <f t="shared" si="9"/>
        <v>0.0004987562112</v>
      </c>
      <c r="Q173" s="7">
        <f t="shared" si="10"/>
        <v>0.01685622596</v>
      </c>
      <c r="R173" s="7">
        <f t="shared" si="3"/>
        <v>0.2027096329</v>
      </c>
      <c r="S173" s="7">
        <f t="shared" si="4"/>
        <v>0.1</v>
      </c>
      <c r="T173" s="7">
        <f t="shared" si="5"/>
        <v>0</v>
      </c>
      <c r="U173" s="7">
        <f t="shared" si="6"/>
        <v>0</v>
      </c>
      <c r="V173" s="7">
        <f t="shared" ref="V173:W173" si="349">IF(AVERAGE(T113:T172) &gt; 0.25, 1, 0)</f>
        <v>0</v>
      </c>
      <c r="W173" s="7">
        <f t="shared" si="349"/>
        <v>0</v>
      </c>
      <c r="X173" s="8">
        <v>0.0</v>
      </c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ht="22.5" customHeight="1">
      <c r="A174" s="6">
        <v>1073.0</v>
      </c>
      <c r="B174" s="6">
        <v>40427.0</v>
      </c>
      <c r="C174" s="10">
        <v>0.84</v>
      </c>
      <c r="D174" s="10">
        <v>9.73</v>
      </c>
      <c r="E174" s="10">
        <v>2.17</v>
      </c>
      <c r="F174" s="10">
        <v>-0.1</v>
      </c>
      <c r="G174" s="10">
        <v>0.0</v>
      </c>
      <c r="H174" s="10">
        <v>-0.01</v>
      </c>
      <c r="I174" s="10">
        <v>33.32</v>
      </c>
      <c r="J174" s="10">
        <f t="shared" ref="J174:O174" si="350">abs(C174-C173)/200</f>
        <v>0.0001</v>
      </c>
      <c r="K174" s="11">
        <f t="shared" si="350"/>
        <v>0</v>
      </c>
      <c r="L174" s="12">
        <f t="shared" si="350"/>
        <v>0</v>
      </c>
      <c r="M174" s="12">
        <f t="shared" si="350"/>
        <v>0</v>
      </c>
      <c r="N174" s="12">
        <f t="shared" si="350"/>
        <v>0</v>
      </c>
      <c r="O174" s="12">
        <f t="shared" si="350"/>
        <v>0.00005</v>
      </c>
      <c r="P174" s="7">
        <f t="shared" si="9"/>
        <v>0.0004987562112</v>
      </c>
      <c r="Q174" s="7">
        <f t="shared" si="10"/>
        <v>0.001659412678</v>
      </c>
      <c r="R174" s="7">
        <f t="shared" si="3"/>
        <v>0.2043690456</v>
      </c>
      <c r="S174" s="7">
        <f t="shared" si="4"/>
        <v>0.1004987562</v>
      </c>
      <c r="T174" s="7">
        <f t="shared" si="5"/>
        <v>0</v>
      </c>
      <c r="U174" s="7">
        <f t="shared" si="6"/>
        <v>0</v>
      </c>
      <c r="V174" s="7">
        <f t="shared" ref="V174:W174" si="351">IF(AVERAGE(T114:T173) &gt; 0.25, 1, 0)</f>
        <v>0</v>
      </c>
      <c r="W174" s="7">
        <f t="shared" si="351"/>
        <v>0</v>
      </c>
      <c r="X174" s="8">
        <v>0.0</v>
      </c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ht="22.5" customHeight="1">
      <c r="A175" s="6">
        <v>1074.0</v>
      </c>
      <c r="B175" s="6">
        <v>40631.0</v>
      </c>
      <c r="C175" s="10">
        <v>0.83</v>
      </c>
      <c r="D175" s="10">
        <v>9.73</v>
      </c>
      <c r="E175" s="10">
        <v>2.16</v>
      </c>
      <c r="F175" s="10">
        <v>-0.1</v>
      </c>
      <c r="G175" s="10">
        <v>0.0</v>
      </c>
      <c r="H175" s="10">
        <v>-0.01</v>
      </c>
      <c r="I175" s="10">
        <v>33.33</v>
      </c>
      <c r="J175" s="10">
        <f t="shared" ref="J175:O175" si="352">abs(C175-C174)/200</f>
        <v>0.00005</v>
      </c>
      <c r="K175" s="11">
        <f t="shared" si="352"/>
        <v>0</v>
      </c>
      <c r="L175" s="12">
        <f t="shared" si="352"/>
        <v>0.00005</v>
      </c>
      <c r="M175" s="12">
        <f t="shared" si="352"/>
        <v>0</v>
      </c>
      <c r="N175" s="12">
        <f t="shared" si="352"/>
        <v>0</v>
      </c>
      <c r="O175" s="12">
        <f t="shared" si="352"/>
        <v>0</v>
      </c>
      <c r="P175" s="7">
        <f t="shared" si="9"/>
        <v>0</v>
      </c>
      <c r="Q175" s="7">
        <f t="shared" si="10"/>
        <v>0.002999139404</v>
      </c>
      <c r="R175" s="7">
        <f t="shared" si="3"/>
        <v>0.2013699062</v>
      </c>
      <c r="S175" s="7">
        <f t="shared" si="4"/>
        <v>0.1004987562</v>
      </c>
      <c r="T175" s="7">
        <f t="shared" si="5"/>
        <v>0</v>
      </c>
      <c r="U175" s="7">
        <f t="shared" si="6"/>
        <v>0</v>
      </c>
      <c r="V175" s="7">
        <f t="shared" ref="V175:W175" si="353">IF(AVERAGE(T115:T174) &gt; 0.25, 1, 0)</f>
        <v>0</v>
      </c>
      <c r="W175" s="7">
        <f t="shared" si="353"/>
        <v>0</v>
      </c>
      <c r="X175" s="8">
        <v>0.0</v>
      </c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ht="22.5" customHeight="1">
      <c r="A176" s="6">
        <v>1075.0</v>
      </c>
      <c r="B176" s="6">
        <v>40835.0</v>
      </c>
      <c r="C176" s="10">
        <v>0.82</v>
      </c>
      <c r="D176" s="10">
        <v>9.73</v>
      </c>
      <c r="E176" s="10">
        <v>2.19</v>
      </c>
      <c r="F176" s="10">
        <v>-0.1</v>
      </c>
      <c r="G176" s="10">
        <v>0.0</v>
      </c>
      <c r="H176" s="10">
        <v>-0.01</v>
      </c>
      <c r="I176" s="10">
        <v>33.32</v>
      </c>
      <c r="J176" s="10">
        <f t="shared" ref="J176:O176" si="354">abs(C176-C175)/200</f>
        <v>0.00005</v>
      </c>
      <c r="K176" s="11">
        <f t="shared" si="354"/>
        <v>0</v>
      </c>
      <c r="L176" s="12">
        <f t="shared" si="354"/>
        <v>0.00015</v>
      </c>
      <c r="M176" s="12">
        <f t="shared" si="354"/>
        <v>0</v>
      </c>
      <c r="N176" s="12">
        <f t="shared" si="354"/>
        <v>0</v>
      </c>
      <c r="O176" s="12">
        <f t="shared" si="354"/>
        <v>0</v>
      </c>
      <c r="P176" s="7">
        <f t="shared" si="9"/>
        <v>0</v>
      </c>
      <c r="Q176" s="7">
        <f t="shared" si="10"/>
        <v>0.005697596353</v>
      </c>
      <c r="R176" s="7">
        <f t="shared" si="3"/>
        <v>0.2070675025</v>
      </c>
      <c r="S176" s="7">
        <f t="shared" si="4"/>
        <v>0.1004987562</v>
      </c>
      <c r="T176" s="7">
        <f t="shared" si="5"/>
        <v>0</v>
      </c>
      <c r="U176" s="7">
        <f t="shared" si="6"/>
        <v>0</v>
      </c>
      <c r="V176" s="7">
        <f t="shared" ref="V176:W176" si="355">IF(AVERAGE(T116:T175) &gt; 0.25, 1, 0)</f>
        <v>0</v>
      </c>
      <c r="W176" s="7">
        <f t="shared" si="355"/>
        <v>0</v>
      </c>
      <c r="X176" s="8">
        <v>0.0</v>
      </c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ht="22.5" customHeight="1">
      <c r="A177" s="6">
        <v>1076.0</v>
      </c>
      <c r="B177" s="6">
        <v>41039.0</v>
      </c>
      <c r="C177" s="10">
        <v>0.82</v>
      </c>
      <c r="D177" s="10">
        <v>9.74</v>
      </c>
      <c r="E177" s="10">
        <v>2.18</v>
      </c>
      <c r="F177" s="10">
        <v>-0.1</v>
      </c>
      <c r="G177" s="10">
        <v>0.0</v>
      </c>
      <c r="H177" s="10">
        <v>-0.01</v>
      </c>
      <c r="I177" s="10">
        <v>33.33</v>
      </c>
      <c r="J177" s="10">
        <f t="shared" ref="J177:O177" si="356">abs(C177-C176)/200</f>
        <v>0</v>
      </c>
      <c r="K177" s="11">
        <f t="shared" si="356"/>
        <v>0.00005</v>
      </c>
      <c r="L177" s="12">
        <f t="shared" si="356"/>
        <v>0.00005</v>
      </c>
      <c r="M177" s="12">
        <f t="shared" si="356"/>
        <v>0</v>
      </c>
      <c r="N177" s="12">
        <f t="shared" si="356"/>
        <v>0</v>
      </c>
      <c r="O177" s="12">
        <f t="shared" si="356"/>
        <v>0</v>
      </c>
      <c r="P177" s="7">
        <f t="shared" si="9"/>
        <v>0</v>
      </c>
      <c r="Q177" s="7">
        <f t="shared" si="10"/>
        <v>0.007541825856</v>
      </c>
      <c r="R177" s="7">
        <f t="shared" si="3"/>
        <v>0.2146093284</v>
      </c>
      <c r="S177" s="7">
        <f t="shared" si="4"/>
        <v>0.1004987562</v>
      </c>
      <c r="T177" s="7">
        <f t="shared" si="5"/>
        <v>0</v>
      </c>
      <c r="U177" s="7">
        <f t="shared" si="6"/>
        <v>0</v>
      </c>
      <c r="V177" s="7">
        <f t="shared" ref="V177:W177" si="357">IF(AVERAGE(T117:T176) &gt; 0.25, 1, 0)</f>
        <v>0</v>
      </c>
      <c r="W177" s="7">
        <f t="shared" si="357"/>
        <v>0</v>
      </c>
      <c r="X177" s="8">
        <v>0.0</v>
      </c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ht="22.5" customHeight="1">
      <c r="A178" s="6">
        <v>1077.0</v>
      </c>
      <c r="B178" s="6">
        <v>41243.0</v>
      </c>
      <c r="C178" s="10">
        <v>0.82</v>
      </c>
      <c r="D178" s="10">
        <v>9.72</v>
      </c>
      <c r="E178" s="10">
        <v>2.2</v>
      </c>
      <c r="F178" s="10">
        <v>-0.1</v>
      </c>
      <c r="G178" s="10">
        <v>0.0</v>
      </c>
      <c r="H178" s="10">
        <v>-0.01</v>
      </c>
      <c r="I178" s="10">
        <v>33.32</v>
      </c>
      <c r="J178" s="10">
        <f t="shared" ref="J178:O178" si="358">abs(C178-C177)/200</f>
        <v>0</v>
      </c>
      <c r="K178" s="11">
        <f t="shared" si="358"/>
        <v>0.0001</v>
      </c>
      <c r="L178" s="12">
        <f t="shared" si="358"/>
        <v>0.0001</v>
      </c>
      <c r="M178" s="12">
        <f t="shared" si="358"/>
        <v>0</v>
      </c>
      <c r="N178" s="12">
        <f t="shared" si="358"/>
        <v>0</v>
      </c>
      <c r="O178" s="12">
        <f t="shared" si="358"/>
        <v>0</v>
      </c>
      <c r="P178" s="7">
        <f t="shared" si="9"/>
        <v>0</v>
      </c>
      <c r="Q178" s="7">
        <f t="shared" si="10"/>
        <v>0.01506933896</v>
      </c>
      <c r="R178" s="7">
        <f t="shared" si="3"/>
        <v>0.1995399894</v>
      </c>
      <c r="S178" s="7">
        <f t="shared" si="4"/>
        <v>0.1004987562</v>
      </c>
      <c r="T178" s="7">
        <f t="shared" si="5"/>
        <v>0</v>
      </c>
      <c r="U178" s="7">
        <f t="shared" si="6"/>
        <v>0</v>
      </c>
      <c r="V178" s="7">
        <f t="shared" ref="V178:W178" si="359">IF(AVERAGE(T118:T177) &gt; 0.25, 1, 0)</f>
        <v>0</v>
      </c>
      <c r="W178" s="7">
        <f t="shared" si="359"/>
        <v>0</v>
      </c>
      <c r="X178" s="8">
        <v>0.0</v>
      </c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ht="22.5" customHeight="1">
      <c r="A179" s="6">
        <v>1078.0</v>
      </c>
      <c r="B179" s="6">
        <v>41447.0</v>
      </c>
      <c r="C179" s="10">
        <v>0.82</v>
      </c>
      <c r="D179" s="10">
        <v>9.73</v>
      </c>
      <c r="E179" s="10">
        <v>2.17</v>
      </c>
      <c r="F179" s="10">
        <v>-0.09</v>
      </c>
      <c r="G179" s="10">
        <v>0.0</v>
      </c>
      <c r="H179" s="10">
        <v>-0.01</v>
      </c>
      <c r="I179" s="10">
        <v>33.32</v>
      </c>
      <c r="J179" s="10">
        <f t="shared" ref="J179:O179" si="360">abs(C179-C178)/200</f>
        <v>0</v>
      </c>
      <c r="K179" s="11">
        <f t="shared" si="360"/>
        <v>0.00005</v>
      </c>
      <c r="L179" s="12">
        <f t="shared" si="360"/>
        <v>0.00015</v>
      </c>
      <c r="M179" s="12">
        <f t="shared" si="360"/>
        <v>0.00005</v>
      </c>
      <c r="N179" s="12">
        <f t="shared" si="360"/>
        <v>0</v>
      </c>
      <c r="O179" s="12">
        <f t="shared" si="360"/>
        <v>0</v>
      </c>
      <c r="P179" s="7">
        <f t="shared" si="9"/>
        <v>0.00994490483</v>
      </c>
      <c r="Q179" s="7">
        <f t="shared" si="10"/>
        <v>0.003169643475</v>
      </c>
      <c r="R179" s="7">
        <f t="shared" si="3"/>
        <v>0.2027096329</v>
      </c>
      <c r="S179" s="7">
        <f t="shared" si="4"/>
        <v>0.09055385138</v>
      </c>
      <c r="T179" s="7">
        <f t="shared" si="5"/>
        <v>0</v>
      </c>
      <c r="U179" s="7">
        <f t="shared" si="6"/>
        <v>0</v>
      </c>
      <c r="V179" s="7">
        <f t="shared" ref="V179:W179" si="361">IF(AVERAGE(T119:T178) &gt; 0.25, 1, 0)</f>
        <v>0</v>
      </c>
      <c r="W179" s="7">
        <f t="shared" si="361"/>
        <v>0</v>
      </c>
      <c r="X179" s="8">
        <v>0.0</v>
      </c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ht="22.5" customHeight="1">
      <c r="A180" s="6">
        <v>1079.0</v>
      </c>
      <c r="B180" s="6">
        <v>41651.0</v>
      </c>
      <c r="C180" s="10">
        <v>0.82</v>
      </c>
      <c r="D180" s="10">
        <v>9.73</v>
      </c>
      <c r="E180" s="10">
        <v>2.18</v>
      </c>
      <c r="F180" s="10">
        <v>-0.1</v>
      </c>
      <c r="G180" s="10">
        <v>0.0</v>
      </c>
      <c r="H180" s="10">
        <v>-0.01</v>
      </c>
      <c r="I180" s="10">
        <v>33.32</v>
      </c>
      <c r="J180" s="10">
        <f t="shared" ref="J180:O180" si="362">abs(C180-C179)/200</f>
        <v>0</v>
      </c>
      <c r="K180" s="11">
        <f t="shared" si="362"/>
        <v>0</v>
      </c>
      <c r="L180" s="12">
        <f t="shared" si="362"/>
        <v>0.00005</v>
      </c>
      <c r="M180" s="12">
        <f t="shared" si="362"/>
        <v>0.00005</v>
      </c>
      <c r="N180" s="12">
        <f t="shared" si="362"/>
        <v>0</v>
      </c>
      <c r="O180" s="12">
        <f t="shared" si="362"/>
        <v>0</v>
      </c>
      <c r="P180" s="7">
        <f t="shared" si="9"/>
        <v>0.00994490483</v>
      </c>
      <c r="Q180" s="7">
        <f t="shared" si="10"/>
        <v>0.002174174527</v>
      </c>
      <c r="R180" s="7">
        <f t="shared" si="3"/>
        <v>0.2048838074</v>
      </c>
      <c r="S180" s="7">
        <f t="shared" si="4"/>
        <v>0.1004987562</v>
      </c>
      <c r="T180" s="7">
        <f t="shared" si="5"/>
        <v>0</v>
      </c>
      <c r="U180" s="7">
        <f t="shared" si="6"/>
        <v>0</v>
      </c>
      <c r="V180" s="7">
        <f t="shared" ref="V180:W180" si="363">IF(AVERAGE(T120:T179) &gt; 0.25, 1, 0)</f>
        <v>0</v>
      </c>
      <c r="W180" s="7">
        <f t="shared" si="363"/>
        <v>0</v>
      </c>
      <c r="X180" s="8">
        <v>0.0</v>
      </c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ht="22.5" customHeight="1">
      <c r="A181" s="6">
        <v>1080.0</v>
      </c>
      <c r="B181" s="6">
        <v>41855.0</v>
      </c>
      <c r="C181" s="10">
        <v>0.83</v>
      </c>
      <c r="D181" s="10">
        <v>9.73</v>
      </c>
      <c r="E181" s="10">
        <v>2.18</v>
      </c>
      <c r="F181" s="10">
        <v>-0.1</v>
      </c>
      <c r="G181" s="10">
        <v>0.0</v>
      </c>
      <c r="H181" s="10">
        <v>-0.02</v>
      </c>
      <c r="I181" s="10">
        <v>33.32</v>
      </c>
      <c r="J181" s="10">
        <f t="shared" ref="J181:O181" si="364">abs(C181-C180)/200</f>
        <v>0.00005</v>
      </c>
      <c r="K181" s="11">
        <f t="shared" si="364"/>
        <v>0</v>
      </c>
      <c r="L181" s="12">
        <f t="shared" si="364"/>
        <v>0</v>
      </c>
      <c r="M181" s="12">
        <f t="shared" si="364"/>
        <v>0</v>
      </c>
      <c r="N181" s="12">
        <f t="shared" si="364"/>
        <v>0</v>
      </c>
      <c r="O181" s="12">
        <f t="shared" si="364"/>
        <v>0.00005</v>
      </c>
      <c r="P181" s="7">
        <f t="shared" si="9"/>
        <v>0.001481634061</v>
      </c>
      <c r="Q181" s="7">
        <f t="shared" si="10"/>
        <v>0.0008245633039</v>
      </c>
      <c r="R181" s="7">
        <f t="shared" si="3"/>
        <v>0.2057083707</v>
      </c>
      <c r="S181" s="7">
        <f t="shared" si="4"/>
        <v>0.1019803903</v>
      </c>
      <c r="T181" s="7">
        <f t="shared" si="5"/>
        <v>0</v>
      </c>
      <c r="U181" s="7">
        <f t="shared" si="6"/>
        <v>0</v>
      </c>
      <c r="V181" s="7">
        <f t="shared" ref="V181:W181" si="365">IF(AVERAGE(T121:T180) &gt; 0.25, 1, 0)</f>
        <v>0</v>
      </c>
      <c r="W181" s="7">
        <f t="shared" si="365"/>
        <v>0</v>
      </c>
      <c r="X181" s="8">
        <v>0.0</v>
      </c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ht="22.5" customHeight="1">
      <c r="A182" s="6">
        <v>1081.0</v>
      </c>
      <c r="B182" s="6">
        <v>42059.0</v>
      </c>
      <c r="C182" s="10">
        <v>0.8</v>
      </c>
      <c r="D182" s="10">
        <v>9.73</v>
      </c>
      <c r="E182" s="10">
        <v>2.2</v>
      </c>
      <c r="F182" s="10">
        <v>-0.09</v>
      </c>
      <c r="G182" s="10">
        <v>0.0</v>
      </c>
      <c r="H182" s="10">
        <v>-0.01</v>
      </c>
      <c r="I182" s="10">
        <v>33.32</v>
      </c>
      <c r="J182" s="10">
        <f t="shared" ref="J182:O182" si="366">abs(C182-C181)/200</f>
        <v>0.00015</v>
      </c>
      <c r="K182" s="11">
        <f t="shared" si="366"/>
        <v>0</v>
      </c>
      <c r="L182" s="12">
        <f t="shared" si="366"/>
        <v>0.0001</v>
      </c>
      <c r="M182" s="12">
        <f t="shared" si="366"/>
        <v>0.00005</v>
      </c>
      <c r="N182" s="12">
        <f t="shared" si="366"/>
        <v>0</v>
      </c>
      <c r="O182" s="12">
        <f t="shared" si="366"/>
        <v>0.00005</v>
      </c>
      <c r="P182" s="7">
        <f t="shared" si="9"/>
        <v>0.01142653889</v>
      </c>
      <c r="Q182" s="7">
        <f t="shared" si="10"/>
        <v>0.001933709206</v>
      </c>
      <c r="R182" s="7">
        <f t="shared" si="3"/>
        <v>0.2076420799</v>
      </c>
      <c r="S182" s="7">
        <f t="shared" si="4"/>
        <v>0.09055385138</v>
      </c>
      <c r="T182" s="7">
        <f t="shared" si="5"/>
        <v>0</v>
      </c>
      <c r="U182" s="7">
        <f t="shared" si="6"/>
        <v>0</v>
      </c>
      <c r="V182" s="7">
        <f t="shared" ref="V182:W182" si="367">IF(AVERAGE(T122:T181) &gt; 0.25, 1, 0)</f>
        <v>0</v>
      </c>
      <c r="W182" s="7">
        <f t="shared" si="367"/>
        <v>0</v>
      </c>
      <c r="X182" s="8">
        <v>0.0</v>
      </c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ht="22.5" customHeight="1">
      <c r="A183" s="6">
        <v>1082.0</v>
      </c>
      <c r="B183" s="6">
        <v>42263.0</v>
      </c>
      <c r="C183" s="10">
        <v>0.82</v>
      </c>
      <c r="D183" s="10">
        <v>9.73</v>
      </c>
      <c r="E183" s="10">
        <v>2.18</v>
      </c>
      <c r="F183" s="10">
        <v>-0.1</v>
      </c>
      <c r="G183" s="10">
        <v>0.0</v>
      </c>
      <c r="H183" s="10">
        <v>0.0</v>
      </c>
      <c r="I183" s="10">
        <v>33.32</v>
      </c>
      <c r="J183" s="10">
        <f t="shared" ref="J183:O183" si="368">abs(C183-C182)/200</f>
        <v>0.0001</v>
      </c>
      <c r="K183" s="11">
        <f t="shared" si="368"/>
        <v>0</v>
      </c>
      <c r="L183" s="12">
        <f t="shared" si="368"/>
        <v>0.0001</v>
      </c>
      <c r="M183" s="12">
        <f t="shared" si="368"/>
        <v>0.00005</v>
      </c>
      <c r="N183" s="12">
        <f t="shared" si="368"/>
        <v>0</v>
      </c>
      <c r="O183" s="12">
        <f t="shared" si="368"/>
        <v>0.00005</v>
      </c>
      <c r="P183" s="7">
        <f t="shared" si="9"/>
        <v>0.009446148619</v>
      </c>
      <c r="Q183" s="7">
        <f t="shared" si="10"/>
        <v>0.002758272509</v>
      </c>
      <c r="R183" s="7">
        <f t="shared" si="3"/>
        <v>0.2048838074</v>
      </c>
      <c r="S183" s="7">
        <f t="shared" si="4"/>
        <v>0.1</v>
      </c>
      <c r="T183" s="7">
        <f t="shared" si="5"/>
        <v>0</v>
      </c>
      <c r="U183" s="7">
        <f t="shared" si="6"/>
        <v>0</v>
      </c>
      <c r="V183" s="7">
        <f t="shared" ref="V183:W183" si="369">IF(AVERAGE(T123:T182) &gt; 0.25, 1, 0)</f>
        <v>0</v>
      </c>
      <c r="W183" s="7">
        <f t="shared" si="369"/>
        <v>0</v>
      </c>
      <c r="X183" s="8">
        <v>0.0</v>
      </c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ht="22.5" customHeight="1">
      <c r="A184" s="6">
        <v>1083.0</v>
      </c>
      <c r="B184" s="6">
        <v>42467.0</v>
      </c>
      <c r="C184" s="10">
        <v>0.82</v>
      </c>
      <c r="D184" s="10">
        <v>9.72</v>
      </c>
      <c r="E184" s="10">
        <v>2.19</v>
      </c>
      <c r="F184" s="10">
        <v>-0.1</v>
      </c>
      <c r="G184" s="10">
        <v>0.0</v>
      </c>
      <c r="H184" s="10">
        <v>-0.02</v>
      </c>
      <c r="I184" s="10">
        <v>33.33</v>
      </c>
      <c r="J184" s="10">
        <f t="shared" ref="J184:O184" si="370">abs(C184-C183)/200</f>
        <v>0</v>
      </c>
      <c r="K184" s="11">
        <f t="shared" si="370"/>
        <v>0.00005</v>
      </c>
      <c r="L184" s="12">
        <f t="shared" si="370"/>
        <v>0.00005</v>
      </c>
      <c r="M184" s="12">
        <f t="shared" si="370"/>
        <v>0</v>
      </c>
      <c r="N184" s="12">
        <f t="shared" si="370"/>
        <v>0</v>
      </c>
      <c r="O184" s="12">
        <f t="shared" si="370"/>
        <v>0.0001</v>
      </c>
      <c r="P184" s="7">
        <f t="shared" si="9"/>
        <v>0.001980390272</v>
      </c>
      <c r="Q184" s="7">
        <f t="shared" si="10"/>
        <v>0.007539159966</v>
      </c>
      <c r="R184" s="7">
        <f t="shared" si="3"/>
        <v>0.1973446475</v>
      </c>
      <c r="S184" s="7">
        <f t="shared" si="4"/>
        <v>0.1019803903</v>
      </c>
      <c r="T184" s="7">
        <f t="shared" si="5"/>
        <v>0</v>
      </c>
      <c r="U184" s="7">
        <f t="shared" si="6"/>
        <v>0</v>
      </c>
      <c r="V184" s="7">
        <f t="shared" ref="V184:W184" si="371">IF(AVERAGE(T124:T183) &gt; 0.25, 1, 0)</f>
        <v>0</v>
      </c>
      <c r="W184" s="7">
        <f t="shared" si="371"/>
        <v>0</v>
      </c>
      <c r="X184" s="8">
        <v>0.0</v>
      </c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ht="22.5" customHeight="1">
      <c r="A185" s="6">
        <v>1084.0</v>
      </c>
      <c r="B185" s="6">
        <v>42671.0</v>
      </c>
      <c r="C185" s="10">
        <v>0.82</v>
      </c>
      <c r="D185" s="10">
        <v>9.73</v>
      </c>
      <c r="E185" s="10">
        <v>2.2</v>
      </c>
      <c r="F185" s="10">
        <v>-0.1</v>
      </c>
      <c r="G185" s="10">
        <v>0.0</v>
      </c>
      <c r="H185" s="10">
        <v>-0.01</v>
      </c>
      <c r="I185" s="10">
        <v>33.32</v>
      </c>
      <c r="J185" s="10">
        <f t="shared" ref="J185:O185" si="372">abs(C185-C184)/200</f>
        <v>0</v>
      </c>
      <c r="K185" s="11">
        <f t="shared" si="372"/>
        <v>0.00005</v>
      </c>
      <c r="L185" s="12">
        <f t="shared" si="372"/>
        <v>0.00005</v>
      </c>
      <c r="M185" s="12">
        <f t="shared" si="372"/>
        <v>0</v>
      </c>
      <c r="N185" s="12">
        <f t="shared" si="372"/>
        <v>0</v>
      </c>
      <c r="O185" s="12">
        <f t="shared" si="372"/>
        <v>0.00005</v>
      </c>
      <c r="P185" s="7">
        <f t="shared" si="9"/>
        <v>0.001481634061</v>
      </c>
      <c r="Q185" s="7">
        <f t="shared" si="10"/>
        <v>0.01191606451</v>
      </c>
      <c r="R185" s="7">
        <f t="shared" si="3"/>
        <v>0.209260712</v>
      </c>
      <c r="S185" s="7">
        <f t="shared" si="4"/>
        <v>0.1004987562</v>
      </c>
      <c r="T185" s="7">
        <f t="shared" si="5"/>
        <v>0</v>
      </c>
      <c r="U185" s="7">
        <f t="shared" si="6"/>
        <v>0</v>
      </c>
      <c r="V185" s="7">
        <f t="shared" ref="V185:W185" si="373">IF(AVERAGE(T125:T184) &gt; 0.25, 1, 0)</f>
        <v>0</v>
      </c>
      <c r="W185" s="7">
        <f t="shared" si="373"/>
        <v>0</v>
      </c>
      <c r="X185" s="8">
        <v>0.0</v>
      </c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ht="22.5" customHeight="1">
      <c r="A186" s="6">
        <v>1085.0</v>
      </c>
      <c r="B186" s="6">
        <v>42875.0</v>
      </c>
      <c r="C186" s="10">
        <v>0.83</v>
      </c>
      <c r="D186" s="10">
        <v>9.73</v>
      </c>
      <c r="E186" s="10">
        <v>2.21</v>
      </c>
      <c r="F186" s="10">
        <v>-0.1</v>
      </c>
      <c r="G186" s="10">
        <v>0.0</v>
      </c>
      <c r="H186" s="10">
        <v>-0.01</v>
      </c>
      <c r="I186" s="10">
        <v>33.33</v>
      </c>
      <c r="J186" s="10">
        <f t="shared" ref="J186:O186" si="374">abs(C186-C185)/200</f>
        <v>0.00005</v>
      </c>
      <c r="K186" s="11">
        <f t="shared" si="374"/>
        <v>0</v>
      </c>
      <c r="L186" s="12">
        <f t="shared" si="374"/>
        <v>0.00005</v>
      </c>
      <c r="M186" s="12">
        <f t="shared" si="374"/>
        <v>0</v>
      </c>
      <c r="N186" s="12">
        <f t="shared" si="374"/>
        <v>0</v>
      </c>
      <c r="O186" s="12">
        <f t="shared" si="374"/>
        <v>0</v>
      </c>
      <c r="P186" s="7">
        <f t="shared" si="9"/>
        <v>0</v>
      </c>
      <c r="Q186" s="7">
        <f t="shared" si="10"/>
        <v>0.003026738967</v>
      </c>
      <c r="R186" s="7">
        <f t="shared" si="3"/>
        <v>0.2122874509</v>
      </c>
      <c r="S186" s="7">
        <f t="shared" si="4"/>
        <v>0.1004987562</v>
      </c>
      <c r="T186" s="7">
        <f t="shared" si="5"/>
        <v>0</v>
      </c>
      <c r="U186" s="7">
        <f t="shared" si="6"/>
        <v>0</v>
      </c>
      <c r="V186" s="7">
        <f t="shared" ref="V186:W186" si="375">IF(AVERAGE(T126:T185) &gt; 0.25, 1, 0)</f>
        <v>0</v>
      </c>
      <c r="W186" s="7">
        <f t="shared" si="375"/>
        <v>0</v>
      </c>
      <c r="X186" s="8">
        <v>0.0</v>
      </c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ht="22.5" customHeight="1">
      <c r="A187" s="6">
        <v>1086.0</v>
      </c>
      <c r="B187" s="6">
        <v>45323.0</v>
      </c>
      <c r="C187" s="10">
        <v>0.82</v>
      </c>
      <c r="D187" s="10">
        <v>9.73</v>
      </c>
      <c r="E187" s="10">
        <v>2.18</v>
      </c>
      <c r="F187" s="10">
        <v>-0.1</v>
      </c>
      <c r="G187" s="10">
        <v>0.0</v>
      </c>
      <c r="H187" s="10">
        <v>-0.01</v>
      </c>
      <c r="I187" s="10">
        <v>33.33</v>
      </c>
      <c r="J187" s="10">
        <f t="shared" ref="J187:O187" si="376">abs(C187-C186)/200</f>
        <v>0.00005</v>
      </c>
      <c r="K187" s="11">
        <f t="shared" si="376"/>
        <v>0</v>
      </c>
      <c r="L187" s="12">
        <f t="shared" si="376"/>
        <v>0.00015</v>
      </c>
      <c r="M187" s="12">
        <f t="shared" si="376"/>
        <v>0</v>
      </c>
      <c r="N187" s="12">
        <f t="shared" si="376"/>
        <v>0</v>
      </c>
      <c r="O187" s="12">
        <f t="shared" si="376"/>
        <v>0</v>
      </c>
      <c r="P187" s="7">
        <f t="shared" si="9"/>
        <v>0</v>
      </c>
      <c r="Q187" s="7">
        <f t="shared" si="10"/>
        <v>0.007403643506</v>
      </c>
      <c r="R187" s="7">
        <f t="shared" si="3"/>
        <v>0.2048838074</v>
      </c>
      <c r="S187" s="7">
        <f t="shared" si="4"/>
        <v>0.1004987562</v>
      </c>
      <c r="T187" s="7">
        <f t="shared" si="5"/>
        <v>0</v>
      </c>
      <c r="U187" s="7">
        <f t="shared" si="6"/>
        <v>0</v>
      </c>
      <c r="V187" s="7">
        <f t="shared" ref="V187:W187" si="377">IF(AVERAGE(T127:T186) &gt; 0.25, 1, 0)</f>
        <v>0</v>
      </c>
      <c r="W187" s="7">
        <f t="shared" si="377"/>
        <v>0</v>
      </c>
      <c r="X187" s="8">
        <v>0.0</v>
      </c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ht="22.5" customHeight="1">
      <c r="A188" s="6">
        <v>1087.0</v>
      </c>
      <c r="B188" s="6">
        <v>45527.0</v>
      </c>
      <c r="C188" s="10">
        <v>0.82</v>
      </c>
      <c r="D188" s="10">
        <v>9.72</v>
      </c>
      <c r="E188" s="10">
        <v>2.17</v>
      </c>
      <c r="F188" s="10">
        <v>-0.09</v>
      </c>
      <c r="G188" s="10">
        <v>0.0</v>
      </c>
      <c r="H188" s="10">
        <v>-0.01</v>
      </c>
      <c r="I188" s="10">
        <v>33.33</v>
      </c>
      <c r="J188" s="10">
        <f t="shared" ref="J188:O188" si="378">abs(C188-C187)/200</f>
        <v>0</v>
      </c>
      <c r="K188" s="11">
        <f t="shared" si="378"/>
        <v>0.00005</v>
      </c>
      <c r="L188" s="12">
        <f t="shared" si="378"/>
        <v>0.00005</v>
      </c>
      <c r="M188" s="12">
        <f t="shared" si="378"/>
        <v>0.00005</v>
      </c>
      <c r="N188" s="12">
        <f t="shared" si="378"/>
        <v>0</v>
      </c>
      <c r="O188" s="12">
        <f t="shared" si="378"/>
        <v>0</v>
      </c>
      <c r="P188" s="7">
        <f t="shared" si="9"/>
        <v>0.00994490483</v>
      </c>
      <c r="Q188" s="7">
        <f t="shared" si="10"/>
        <v>0.01190126966</v>
      </c>
      <c r="R188" s="7">
        <f t="shared" si="3"/>
        <v>0.1929825378</v>
      </c>
      <c r="S188" s="7">
        <f t="shared" si="4"/>
        <v>0.09055385138</v>
      </c>
      <c r="T188" s="7">
        <f t="shared" si="5"/>
        <v>0</v>
      </c>
      <c r="U188" s="7">
        <f t="shared" si="6"/>
        <v>0</v>
      </c>
      <c r="V188" s="7">
        <f t="shared" ref="V188:W188" si="379">IF(AVERAGE(T128:T187) &gt; 0.25, 1, 0)</f>
        <v>0</v>
      </c>
      <c r="W188" s="7">
        <f t="shared" si="379"/>
        <v>0</v>
      </c>
      <c r="X188" s="8">
        <v>0.0</v>
      </c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ht="22.5" customHeight="1">
      <c r="A189" s="6">
        <v>1088.0</v>
      </c>
      <c r="B189" s="6">
        <v>45731.0</v>
      </c>
      <c r="C189" s="10">
        <v>0.83</v>
      </c>
      <c r="D189" s="10">
        <v>9.73</v>
      </c>
      <c r="E189" s="10">
        <v>2.17</v>
      </c>
      <c r="F189" s="10">
        <v>-0.09</v>
      </c>
      <c r="G189" s="10">
        <v>0.0</v>
      </c>
      <c r="H189" s="10">
        <v>0.0</v>
      </c>
      <c r="I189" s="10">
        <v>33.33</v>
      </c>
      <c r="J189" s="10">
        <f t="shared" ref="J189:O189" si="380">abs(C189-C188)/200</f>
        <v>0.00005</v>
      </c>
      <c r="K189" s="11">
        <f t="shared" si="380"/>
        <v>0.00005</v>
      </c>
      <c r="L189" s="12">
        <f t="shared" si="380"/>
        <v>0</v>
      </c>
      <c r="M189" s="12">
        <f t="shared" si="380"/>
        <v>0</v>
      </c>
      <c r="N189" s="12">
        <f t="shared" si="380"/>
        <v>0</v>
      </c>
      <c r="O189" s="12">
        <f t="shared" si="380"/>
        <v>0.00005</v>
      </c>
      <c r="P189" s="7">
        <f t="shared" si="9"/>
        <v>0.0005538513814</v>
      </c>
      <c r="Q189" s="7">
        <f t="shared" si="10"/>
        <v>0.01055183765</v>
      </c>
      <c r="R189" s="7">
        <f t="shared" si="3"/>
        <v>0.2035343754</v>
      </c>
      <c r="S189" s="7">
        <f t="shared" si="4"/>
        <v>0.09</v>
      </c>
      <c r="T189" s="7">
        <f t="shared" si="5"/>
        <v>0</v>
      </c>
      <c r="U189" s="7">
        <f t="shared" si="6"/>
        <v>0</v>
      </c>
      <c r="V189" s="7">
        <f t="shared" ref="V189:W189" si="381">IF(AVERAGE(T129:T188) &gt; 0.25, 1, 0)</f>
        <v>0</v>
      </c>
      <c r="W189" s="7">
        <f t="shared" si="381"/>
        <v>0</v>
      </c>
      <c r="X189" s="8">
        <v>0.0</v>
      </c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ht="22.5" customHeight="1">
      <c r="A190" s="6">
        <v>1089.0</v>
      </c>
      <c r="B190" s="6">
        <v>45935.0</v>
      </c>
      <c r="C190" s="10">
        <v>0.83</v>
      </c>
      <c r="D190" s="10">
        <v>9.73</v>
      </c>
      <c r="E190" s="10">
        <v>2.17</v>
      </c>
      <c r="F190" s="10">
        <v>-0.1</v>
      </c>
      <c r="G190" s="10">
        <v>0.0</v>
      </c>
      <c r="H190" s="10">
        <v>-0.01</v>
      </c>
      <c r="I190" s="10">
        <v>33.33</v>
      </c>
      <c r="J190" s="10">
        <f t="shared" ref="J190:O190" si="382">abs(C190-C189)/200</f>
        <v>0</v>
      </c>
      <c r="K190" s="11">
        <f t="shared" si="382"/>
        <v>0</v>
      </c>
      <c r="L190" s="12">
        <f t="shared" si="382"/>
        <v>0</v>
      </c>
      <c r="M190" s="12">
        <f t="shared" si="382"/>
        <v>0.00005</v>
      </c>
      <c r="N190" s="12">
        <f t="shared" si="382"/>
        <v>0</v>
      </c>
      <c r="O190" s="12">
        <f t="shared" si="382"/>
        <v>0.00005</v>
      </c>
      <c r="P190" s="7">
        <f t="shared" si="9"/>
        <v>0.01049875621</v>
      </c>
      <c r="Q190" s="7">
        <f t="shared" si="10"/>
        <v>0</v>
      </c>
      <c r="R190" s="7">
        <f t="shared" si="3"/>
        <v>0.2035343754</v>
      </c>
      <c r="S190" s="7">
        <f t="shared" si="4"/>
        <v>0.1004987562</v>
      </c>
      <c r="T190" s="7">
        <f t="shared" si="5"/>
        <v>0</v>
      </c>
      <c r="U190" s="7">
        <f t="shared" si="6"/>
        <v>0</v>
      </c>
      <c r="V190" s="7">
        <f t="shared" ref="V190:W190" si="383">IF(AVERAGE(T130:T189) &gt; 0.25, 1, 0)</f>
        <v>0</v>
      </c>
      <c r="W190" s="7">
        <f t="shared" si="383"/>
        <v>0</v>
      </c>
      <c r="X190" s="8">
        <v>0.0</v>
      </c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ht="22.5" customHeight="1">
      <c r="A191" s="6">
        <v>1090.0</v>
      </c>
      <c r="B191" s="6">
        <v>46139.0</v>
      </c>
      <c r="C191" s="10">
        <v>0.83</v>
      </c>
      <c r="D191" s="10">
        <v>9.73</v>
      </c>
      <c r="E191" s="10">
        <v>2.16</v>
      </c>
      <c r="F191" s="10">
        <v>-0.1</v>
      </c>
      <c r="G191" s="10">
        <v>0.0</v>
      </c>
      <c r="H191" s="10">
        <v>-0.01</v>
      </c>
      <c r="I191" s="10">
        <v>33.34</v>
      </c>
      <c r="J191" s="10">
        <f t="shared" ref="J191:O191" si="384">abs(C191-C190)/200</f>
        <v>0</v>
      </c>
      <c r="K191" s="11">
        <f t="shared" si="384"/>
        <v>0</v>
      </c>
      <c r="L191" s="12">
        <f t="shared" si="384"/>
        <v>0.00005</v>
      </c>
      <c r="M191" s="12">
        <f t="shared" si="384"/>
        <v>0</v>
      </c>
      <c r="N191" s="12">
        <f t="shared" si="384"/>
        <v>0</v>
      </c>
      <c r="O191" s="12">
        <f t="shared" si="384"/>
        <v>0</v>
      </c>
      <c r="P191" s="7">
        <f t="shared" si="9"/>
        <v>0</v>
      </c>
      <c r="Q191" s="7">
        <f t="shared" si="10"/>
        <v>0.002164469242</v>
      </c>
      <c r="R191" s="7">
        <f t="shared" si="3"/>
        <v>0.2013699062</v>
      </c>
      <c r="S191" s="7">
        <f t="shared" si="4"/>
        <v>0.1004987562</v>
      </c>
      <c r="T191" s="7">
        <f t="shared" si="5"/>
        <v>0</v>
      </c>
      <c r="U191" s="7">
        <f t="shared" si="6"/>
        <v>0</v>
      </c>
      <c r="V191" s="7">
        <f t="shared" ref="V191:W191" si="385">IF(AVERAGE(T131:T190) &gt; 0.25, 1, 0)</f>
        <v>0</v>
      </c>
      <c r="W191" s="7">
        <f t="shared" si="385"/>
        <v>0</v>
      </c>
      <c r="X191" s="8">
        <v>0.0</v>
      </c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ht="22.5" customHeight="1">
      <c r="A192" s="6">
        <v>1091.0</v>
      </c>
      <c r="B192" s="6">
        <v>46343.0</v>
      </c>
      <c r="C192" s="10">
        <v>0.83</v>
      </c>
      <c r="D192" s="10">
        <v>9.74</v>
      </c>
      <c r="E192" s="10">
        <v>2.16</v>
      </c>
      <c r="F192" s="10">
        <v>-0.1</v>
      </c>
      <c r="G192" s="10">
        <v>0.0</v>
      </c>
      <c r="H192" s="10">
        <v>-0.02</v>
      </c>
      <c r="I192" s="10">
        <v>33.33</v>
      </c>
      <c r="J192" s="10">
        <f t="shared" ref="J192:O192" si="386">abs(C192-C191)/200</f>
        <v>0</v>
      </c>
      <c r="K192" s="11">
        <f t="shared" si="386"/>
        <v>0.00005</v>
      </c>
      <c r="L192" s="12">
        <f t="shared" si="386"/>
        <v>0</v>
      </c>
      <c r="M192" s="12">
        <f t="shared" si="386"/>
        <v>0</v>
      </c>
      <c r="N192" s="12">
        <f t="shared" si="386"/>
        <v>0</v>
      </c>
      <c r="O192" s="12">
        <f t="shared" si="386"/>
        <v>0.00005</v>
      </c>
      <c r="P192" s="7">
        <f t="shared" si="9"/>
        <v>0.001481634061</v>
      </c>
      <c r="Q192" s="7">
        <f t="shared" si="10"/>
        <v>0.009728934619</v>
      </c>
      <c r="R192" s="7">
        <f t="shared" si="3"/>
        <v>0.2110988408</v>
      </c>
      <c r="S192" s="7">
        <f t="shared" si="4"/>
        <v>0.1019803903</v>
      </c>
      <c r="T192" s="7">
        <f t="shared" si="5"/>
        <v>0</v>
      </c>
      <c r="U192" s="7">
        <f t="shared" si="6"/>
        <v>0</v>
      </c>
      <c r="V192" s="7">
        <f t="shared" ref="V192:W192" si="387">IF(AVERAGE(T132:T191) &gt; 0.25, 1, 0)</f>
        <v>0</v>
      </c>
      <c r="W192" s="7">
        <f t="shared" si="387"/>
        <v>0</v>
      </c>
      <c r="X192" s="8">
        <v>0.0</v>
      </c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ht="22.5" customHeight="1">
      <c r="A193" s="6">
        <v>1092.0</v>
      </c>
      <c r="B193" s="6">
        <v>46547.0</v>
      </c>
      <c r="C193" s="10">
        <v>0.84</v>
      </c>
      <c r="D193" s="10">
        <v>9.73</v>
      </c>
      <c r="E193" s="10">
        <v>2.17</v>
      </c>
      <c r="F193" s="10">
        <v>-0.1</v>
      </c>
      <c r="G193" s="10">
        <v>0.0</v>
      </c>
      <c r="H193" s="10">
        <v>-0.01</v>
      </c>
      <c r="I193" s="10">
        <v>33.34</v>
      </c>
      <c r="J193" s="10">
        <f t="shared" ref="J193:O193" si="388">abs(C193-C192)/200</f>
        <v>0.00005</v>
      </c>
      <c r="K193" s="11">
        <f t="shared" si="388"/>
        <v>0.00005</v>
      </c>
      <c r="L193" s="12">
        <f t="shared" si="388"/>
        <v>0.00005</v>
      </c>
      <c r="M193" s="12">
        <f t="shared" si="388"/>
        <v>0</v>
      </c>
      <c r="N193" s="12">
        <f t="shared" si="388"/>
        <v>0</v>
      </c>
      <c r="O193" s="12">
        <f t="shared" si="388"/>
        <v>0.00005</v>
      </c>
      <c r="P193" s="7">
        <f t="shared" si="9"/>
        <v>0.001481634061</v>
      </c>
      <c r="Q193" s="7">
        <f t="shared" si="10"/>
        <v>0.006729795215</v>
      </c>
      <c r="R193" s="7">
        <f t="shared" si="3"/>
        <v>0.2043690456</v>
      </c>
      <c r="S193" s="7">
        <f t="shared" si="4"/>
        <v>0.1004987562</v>
      </c>
      <c r="T193" s="7">
        <f t="shared" si="5"/>
        <v>0</v>
      </c>
      <c r="U193" s="7">
        <f t="shared" si="6"/>
        <v>0</v>
      </c>
      <c r="V193" s="7">
        <f t="shared" ref="V193:W193" si="389">IF(AVERAGE(T133:T192) &gt; 0.25, 1, 0)</f>
        <v>0</v>
      </c>
      <c r="W193" s="7">
        <f t="shared" si="389"/>
        <v>0</v>
      </c>
      <c r="X193" s="8">
        <v>0.0</v>
      </c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ht="22.5" customHeight="1">
      <c r="A194" s="6">
        <v>1093.0</v>
      </c>
      <c r="B194" s="6">
        <v>46751.0</v>
      </c>
      <c r="C194" s="10">
        <v>0.83</v>
      </c>
      <c r="D194" s="10">
        <v>9.73</v>
      </c>
      <c r="E194" s="10">
        <v>2.17</v>
      </c>
      <c r="F194" s="10">
        <v>-0.1</v>
      </c>
      <c r="G194" s="10">
        <v>0.0</v>
      </c>
      <c r="H194" s="10">
        <v>-0.01</v>
      </c>
      <c r="I194" s="10">
        <v>33.34</v>
      </c>
      <c r="J194" s="10">
        <f t="shared" ref="J194:O194" si="390">abs(C194-C193)/200</f>
        <v>0.00005</v>
      </c>
      <c r="K194" s="11">
        <f t="shared" si="390"/>
        <v>0</v>
      </c>
      <c r="L194" s="12">
        <f t="shared" si="390"/>
        <v>0</v>
      </c>
      <c r="M194" s="12">
        <f t="shared" si="390"/>
        <v>0</v>
      </c>
      <c r="N194" s="12">
        <f t="shared" si="390"/>
        <v>0</v>
      </c>
      <c r="O194" s="12">
        <f t="shared" si="390"/>
        <v>0</v>
      </c>
      <c r="P194" s="7">
        <f t="shared" si="9"/>
        <v>0</v>
      </c>
      <c r="Q194" s="7">
        <f t="shared" si="10"/>
        <v>0.0008346701625</v>
      </c>
      <c r="R194" s="7">
        <f t="shared" si="3"/>
        <v>0.2035343754</v>
      </c>
      <c r="S194" s="7">
        <f t="shared" si="4"/>
        <v>0.1004987562</v>
      </c>
      <c r="T194" s="7">
        <f t="shared" si="5"/>
        <v>0</v>
      </c>
      <c r="U194" s="7">
        <f t="shared" si="6"/>
        <v>0</v>
      </c>
      <c r="V194" s="7">
        <f t="shared" ref="V194:W194" si="391">IF(AVERAGE(T134:T193) &gt; 0.25, 1, 0)</f>
        <v>0</v>
      </c>
      <c r="W194" s="7">
        <f t="shared" si="391"/>
        <v>0</v>
      </c>
      <c r="X194" s="8">
        <v>0.0</v>
      </c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ht="22.5" customHeight="1">
      <c r="A195" s="6">
        <v>1094.0</v>
      </c>
      <c r="B195" s="6">
        <v>46955.0</v>
      </c>
      <c r="C195" s="10">
        <v>0.84</v>
      </c>
      <c r="D195" s="10">
        <v>9.73</v>
      </c>
      <c r="E195" s="10">
        <v>2.16</v>
      </c>
      <c r="F195" s="10">
        <v>-0.1</v>
      </c>
      <c r="G195" s="10">
        <v>0.0</v>
      </c>
      <c r="H195" s="10">
        <v>-0.01</v>
      </c>
      <c r="I195" s="10">
        <v>33.34</v>
      </c>
      <c r="J195" s="10">
        <f t="shared" ref="J195:O195" si="392">abs(C195-C194)/200</f>
        <v>0.00005</v>
      </c>
      <c r="K195" s="11">
        <f t="shared" si="392"/>
        <v>0</v>
      </c>
      <c r="L195" s="12">
        <f t="shared" si="392"/>
        <v>0.00005</v>
      </c>
      <c r="M195" s="12">
        <f t="shared" si="392"/>
        <v>0</v>
      </c>
      <c r="N195" s="12">
        <f t="shared" si="392"/>
        <v>0</v>
      </c>
      <c r="O195" s="12">
        <f t="shared" si="392"/>
        <v>0</v>
      </c>
      <c r="P195" s="7">
        <f t="shared" si="9"/>
        <v>0</v>
      </c>
      <c r="Q195" s="7">
        <f t="shared" si="10"/>
        <v>0.001329618457</v>
      </c>
      <c r="R195" s="7">
        <f t="shared" si="3"/>
        <v>0.202204757</v>
      </c>
      <c r="S195" s="7">
        <f t="shared" si="4"/>
        <v>0.1004987562</v>
      </c>
      <c r="T195" s="7">
        <f t="shared" si="5"/>
        <v>0</v>
      </c>
      <c r="U195" s="7">
        <f t="shared" si="6"/>
        <v>0</v>
      </c>
      <c r="V195" s="7">
        <f t="shared" ref="V195:W195" si="393">IF(AVERAGE(T135:T194) &gt; 0.25, 1, 0)</f>
        <v>0</v>
      </c>
      <c r="W195" s="7">
        <f t="shared" si="393"/>
        <v>0</v>
      </c>
      <c r="X195" s="8">
        <v>0.0</v>
      </c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ht="22.5" customHeight="1">
      <c r="A196" s="6">
        <v>1095.0</v>
      </c>
      <c r="B196" s="6">
        <v>47159.0</v>
      </c>
      <c r="C196" s="10">
        <v>0.82</v>
      </c>
      <c r="D196" s="10">
        <v>9.73</v>
      </c>
      <c r="E196" s="10">
        <v>2.17</v>
      </c>
      <c r="F196" s="10">
        <v>-0.1</v>
      </c>
      <c r="G196" s="10">
        <v>0.0</v>
      </c>
      <c r="H196" s="10">
        <v>-0.01</v>
      </c>
      <c r="I196" s="10">
        <v>33.34</v>
      </c>
      <c r="J196" s="10">
        <f t="shared" ref="J196:O196" si="394">abs(C196-C195)/200</f>
        <v>0.0001</v>
      </c>
      <c r="K196" s="11">
        <f t="shared" si="394"/>
        <v>0</v>
      </c>
      <c r="L196" s="12">
        <f t="shared" si="394"/>
        <v>0.00005</v>
      </c>
      <c r="M196" s="12">
        <f t="shared" si="394"/>
        <v>0</v>
      </c>
      <c r="N196" s="12">
        <f t="shared" si="394"/>
        <v>0</v>
      </c>
      <c r="O196" s="12">
        <f t="shared" si="394"/>
        <v>0</v>
      </c>
      <c r="P196" s="7">
        <f t="shared" si="9"/>
        <v>0</v>
      </c>
      <c r="Q196" s="7">
        <f t="shared" si="10"/>
        <v>0.0005048759421</v>
      </c>
      <c r="R196" s="7">
        <f t="shared" si="3"/>
        <v>0.2027096329</v>
      </c>
      <c r="S196" s="7">
        <f t="shared" si="4"/>
        <v>0.1004987562</v>
      </c>
      <c r="T196" s="7">
        <f t="shared" si="5"/>
        <v>0</v>
      </c>
      <c r="U196" s="7">
        <f t="shared" si="6"/>
        <v>0</v>
      </c>
      <c r="V196" s="7">
        <f t="shared" ref="V196:W196" si="395">IF(AVERAGE(T136:T195) &gt; 0.25, 1, 0)</f>
        <v>0</v>
      </c>
      <c r="W196" s="7">
        <f t="shared" si="395"/>
        <v>0</v>
      </c>
      <c r="X196" s="8">
        <v>0.0</v>
      </c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ht="22.5" customHeight="1">
      <c r="A197" s="6">
        <v>1096.0</v>
      </c>
      <c r="B197" s="6">
        <v>47363.0</v>
      </c>
      <c r="C197" s="10">
        <v>0.82</v>
      </c>
      <c r="D197" s="10">
        <v>9.73</v>
      </c>
      <c r="E197" s="10">
        <v>2.18</v>
      </c>
      <c r="F197" s="10">
        <v>-0.1</v>
      </c>
      <c r="G197" s="10">
        <v>0.0</v>
      </c>
      <c r="H197" s="10">
        <v>-0.02</v>
      </c>
      <c r="I197" s="10">
        <v>33.34</v>
      </c>
      <c r="J197" s="10">
        <f t="shared" ref="J197:O197" si="396">abs(C197-C196)/200</f>
        <v>0</v>
      </c>
      <c r="K197" s="11">
        <f t="shared" si="396"/>
        <v>0</v>
      </c>
      <c r="L197" s="12">
        <f t="shared" si="396"/>
        <v>0.00005</v>
      </c>
      <c r="M197" s="12">
        <f t="shared" si="396"/>
        <v>0</v>
      </c>
      <c r="N197" s="12">
        <f t="shared" si="396"/>
        <v>0</v>
      </c>
      <c r="O197" s="12">
        <f t="shared" si="396"/>
        <v>0.00005</v>
      </c>
      <c r="P197" s="7">
        <f t="shared" si="9"/>
        <v>0.001481634061</v>
      </c>
      <c r="Q197" s="7">
        <f t="shared" si="10"/>
        <v>0.002174174527</v>
      </c>
      <c r="R197" s="7">
        <f t="shared" si="3"/>
        <v>0.2048838074</v>
      </c>
      <c r="S197" s="7">
        <f t="shared" si="4"/>
        <v>0.1019803903</v>
      </c>
      <c r="T197" s="7">
        <f t="shared" si="5"/>
        <v>0</v>
      </c>
      <c r="U197" s="7">
        <f t="shared" si="6"/>
        <v>0</v>
      </c>
      <c r="V197" s="7">
        <f t="shared" ref="V197:W197" si="397">IF(AVERAGE(T137:T196) &gt; 0.25, 1, 0)</f>
        <v>0</v>
      </c>
      <c r="W197" s="7">
        <f t="shared" si="397"/>
        <v>0</v>
      </c>
      <c r="X197" s="8">
        <v>0.0</v>
      </c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ht="22.5" customHeight="1">
      <c r="A198" s="6">
        <v>1097.0</v>
      </c>
      <c r="B198" s="6">
        <v>47567.0</v>
      </c>
      <c r="C198" s="10">
        <v>0.83</v>
      </c>
      <c r="D198" s="10">
        <v>9.74</v>
      </c>
      <c r="E198" s="10">
        <v>2.17</v>
      </c>
      <c r="F198" s="10">
        <v>-0.09</v>
      </c>
      <c r="G198" s="10">
        <v>0.0</v>
      </c>
      <c r="H198" s="10">
        <v>-0.02</v>
      </c>
      <c r="I198" s="10">
        <v>33.34</v>
      </c>
      <c r="J198" s="10">
        <f t="shared" ref="J198:O198" si="398">abs(C198-C197)/200</f>
        <v>0.00005</v>
      </c>
      <c r="K198" s="11">
        <f t="shared" si="398"/>
        <v>0.00005</v>
      </c>
      <c r="L198" s="12">
        <f t="shared" si="398"/>
        <v>0.00005</v>
      </c>
      <c r="M198" s="12">
        <f t="shared" si="398"/>
        <v>0.00005</v>
      </c>
      <c r="N198" s="12">
        <f t="shared" si="398"/>
        <v>0</v>
      </c>
      <c r="O198" s="12">
        <f t="shared" si="398"/>
        <v>0</v>
      </c>
      <c r="P198" s="7">
        <f t="shared" si="9"/>
        <v>0.009784945699</v>
      </c>
      <c r="Q198" s="7">
        <f t="shared" si="10"/>
        <v>0.008377399598</v>
      </c>
      <c r="R198" s="7">
        <f t="shared" si="3"/>
        <v>0.213261207</v>
      </c>
      <c r="S198" s="7">
        <f t="shared" si="4"/>
        <v>0.09219544457</v>
      </c>
      <c r="T198" s="7">
        <f t="shared" si="5"/>
        <v>0</v>
      </c>
      <c r="U198" s="7">
        <f t="shared" si="6"/>
        <v>0</v>
      </c>
      <c r="V198" s="7">
        <f t="shared" ref="V198:W198" si="399">IF(AVERAGE(T138:T197) &gt; 0.25, 1, 0)</f>
        <v>0</v>
      </c>
      <c r="W198" s="7">
        <f t="shared" si="399"/>
        <v>0</v>
      </c>
      <c r="X198" s="8">
        <v>0.0</v>
      </c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ht="22.5" customHeight="1">
      <c r="A199" s="6">
        <v>1098.0</v>
      </c>
      <c r="B199" s="6">
        <v>47771.0</v>
      </c>
      <c r="C199" s="10">
        <v>0.82</v>
      </c>
      <c r="D199" s="10">
        <v>9.73</v>
      </c>
      <c r="E199" s="10">
        <v>2.18</v>
      </c>
      <c r="F199" s="10">
        <v>-0.09</v>
      </c>
      <c r="G199" s="10">
        <v>0.0</v>
      </c>
      <c r="H199" s="10">
        <v>-0.01</v>
      </c>
      <c r="I199" s="10">
        <v>33.33</v>
      </c>
      <c r="J199" s="10">
        <f t="shared" ref="J199:O199" si="400">abs(C199-C198)/200</f>
        <v>0.00005</v>
      </c>
      <c r="K199" s="11">
        <f t="shared" si="400"/>
        <v>0.00005</v>
      </c>
      <c r="L199" s="12">
        <f t="shared" si="400"/>
        <v>0.00005</v>
      </c>
      <c r="M199" s="12">
        <f t="shared" si="400"/>
        <v>0</v>
      </c>
      <c r="N199" s="12">
        <f t="shared" si="400"/>
        <v>0</v>
      </c>
      <c r="O199" s="12">
        <f t="shared" si="400"/>
        <v>0.00005</v>
      </c>
      <c r="P199" s="7">
        <f t="shared" si="9"/>
        <v>0.001641593192</v>
      </c>
      <c r="Q199" s="7">
        <f t="shared" si="10"/>
        <v>0.008377399598</v>
      </c>
      <c r="R199" s="7">
        <f t="shared" si="3"/>
        <v>0.2048838074</v>
      </c>
      <c r="S199" s="7">
        <f t="shared" si="4"/>
        <v>0.09055385138</v>
      </c>
      <c r="T199" s="7">
        <f t="shared" si="5"/>
        <v>0</v>
      </c>
      <c r="U199" s="7">
        <f t="shared" si="6"/>
        <v>0</v>
      </c>
      <c r="V199" s="7">
        <f t="shared" ref="V199:W199" si="401">IF(AVERAGE(T139:T198) &gt; 0.25, 1, 0)</f>
        <v>0</v>
      </c>
      <c r="W199" s="7">
        <f t="shared" si="401"/>
        <v>0</v>
      </c>
      <c r="X199" s="8">
        <v>0.0</v>
      </c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ht="22.5" customHeight="1">
      <c r="A200" s="6">
        <v>1099.0</v>
      </c>
      <c r="B200" s="6">
        <v>47975.0</v>
      </c>
      <c r="C200" s="10">
        <v>0.87</v>
      </c>
      <c r="D200" s="10">
        <v>9.71</v>
      </c>
      <c r="E200" s="10">
        <v>2.15</v>
      </c>
      <c r="F200" s="10">
        <v>-0.1</v>
      </c>
      <c r="G200" s="10">
        <v>0.0</v>
      </c>
      <c r="H200" s="10">
        <v>-0.01</v>
      </c>
      <c r="I200" s="10">
        <v>33.34</v>
      </c>
      <c r="J200" s="10">
        <f t="shared" ref="J200:O200" si="402">abs(C200-C199)/200</f>
        <v>0.00025</v>
      </c>
      <c r="K200" s="11">
        <f t="shared" si="402"/>
        <v>0.0001</v>
      </c>
      <c r="L200" s="12">
        <f t="shared" si="402"/>
        <v>0.00015</v>
      </c>
      <c r="M200" s="12">
        <f t="shared" si="402"/>
        <v>0.00005</v>
      </c>
      <c r="N200" s="12">
        <f t="shared" si="402"/>
        <v>0</v>
      </c>
      <c r="O200" s="12">
        <f t="shared" si="402"/>
        <v>0</v>
      </c>
      <c r="P200" s="7">
        <f t="shared" si="9"/>
        <v>0.00994490483</v>
      </c>
      <c r="Q200" s="7">
        <f t="shared" si="10"/>
        <v>0.02172298532</v>
      </c>
      <c r="R200" s="7">
        <f t="shared" si="3"/>
        <v>0.1831608221</v>
      </c>
      <c r="S200" s="7">
        <f t="shared" si="4"/>
        <v>0.1004987562</v>
      </c>
      <c r="T200" s="7">
        <f t="shared" si="5"/>
        <v>0</v>
      </c>
      <c r="U200" s="7">
        <f t="shared" si="6"/>
        <v>0</v>
      </c>
      <c r="V200" s="7">
        <f t="shared" ref="V200:W200" si="403">IF(AVERAGE(T140:T199) &gt; 0.25, 1, 0)</f>
        <v>0</v>
      </c>
      <c r="W200" s="7">
        <f t="shared" si="403"/>
        <v>0</v>
      </c>
      <c r="X200" s="8">
        <v>0.0</v>
      </c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ht="22.5" customHeight="1">
      <c r="A201" s="6">
        <v>1100.0</v>
      </c>
      <c r="B201" s="6">
        <v>48179.0</v>
      </c>
      <c r="C201" s="10">
        <v>0.83</v>
      </c>
      <c r="D201" s="10">
        <v>9.74</v>
      </c>
      <c r="E201" s="10">
        <v>2.17</v>
      </c>
      <c r="F201" s="10">
        <v>-0.1</v>
      </c>
      <c r="G201" s="10">
        <v>0.0</v>
      </c>
      <c r="H201" s="10">
        <v>-0.01</v>
      </c>
      <c r="I201" s="10">
        <v>33.34</v>
      </c>
      <c r="J201" s="10">
        <f t="shared" ref="J201:O201" si="404">abs(C201-C200)/200</f>
        <v>0.0002</v>
      </c>
      <c r="K201" s="11">
        <f t="shared" si="404"/>
        <v>0.00015</v>
      </c>
      <c r="L201" s="12">
        <f t="shared" si="404"/>
        <v>0.0001</v>
      </c>
      <c r="M201" s="12">
        <f t="shared" si="404"/>
        <v>0</v>
      </c>
      <c r="N201" s="12">
        <f t="shared" si="404"/>
        <v>0</v>
      </c>
      <c r="O201" s="12">
        <f t="shared" si="404"/>
        <v>0</v>
      </c>
      <c r="P201" s="7">
        <f t="shared" si="9"/>
        <v>0</v>
      </c>
      <c r="Q201" s="7">
        <f t="shared" si="10"/>
        <v>0.03010038492</v>
      </c>
      <c r="R201" s="7">
        <f t="shared" si="3"/>
        <v>0.213261207</v>
      </c>
      <c r="S201" s="7">
        <f t="shared" si="4"/>
        <v>0.1004987562</v>
      </c>
      <c r="T201" s="7">
        <f t="shared" si="5"/>
        <v>0</v>
      </c>
      <c r="U201" s="7">
        <f t="shared" si="6"/>
        <v>0</v>
      </c>
      <c r="V201" s="7">
        <f t="shared" ref="V201:W201" si="405">IF(AVERAGE(T141:T200) &gt; 0.25, 1, 0)</f>
        <v>0</v>
      </c>
      <c r="W201" s="7">
        <f t="shared" si="405"/>
        <v>0</v>
      </c>
      <c r="X201" s="8">
        <v>0.0</v>
      </c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ht="22.5" customHeight="1">
      <c r="A202" s="6">
        <v>1101.0</v>
      </c>
      <c r="B202" s="6">
        <v>48383.0</v>
      </c>
      <c r="C202" s="10">
        <v>0.83</v>
      </c>
      <c r="D202" s="10">
        <v>9.74</v>
      </c>
      <c r="E202" s="10">
        <v>2.15</v>
      </c>
      <c r="F202" s="10">
        <v>-0.1</v>
      </c>
      <c r="G202" s="10">
        <v>0.0</v>
      </c>
      <c r="H202" s="10">
        <v>-0.01</v>
      </c>
      <c r="I202" s="10">
        <v>33.34</v>
      </c>
      <c r="J202" s="10">
        <f t="shared" ref="J202:O202" si="406">abs(C202-C201)/200</f>
        <v>0</v>
      </c>
      <c r="K202" s="11">
        <f t="shared" si="406"/>
        <v>0</v>
      </c>
      <c r="L202" s="12">
        <f t="shared" si="406"/>
        <v>0.0001</v>
      </c>
      <c r="M202" s="12">
        <f t="shared" si="406"/>
        <v>0</v>
      </c>
      <c r="N202" s="12">
        <f t="shared" si="406"/>
        <v>0</v>
      </c>
      <c r="O202" s="12">
        <f t="shared" si="406"/>
        <v>0</v>
      </c>
      <c r="P202" s="7">
        <f t="shared" si="9"/>
        <v>0</v>
      </c>
      <c r="Q202" s="7">
        <f t="shared" si="10"/>
        <v>0.004315208564</v>
      </c>
      <c r="R202" s="7">
        <f t="shared" si="3"/>
        <v>0.2089459985</v>
      </c>
      <c r="S202" s="7">
        <f t="shared" si="4"/>
        <v>0.1004987562</v>
      </c>
      <c r="T202" s="7">
        <f t="shared" si="5"/>
        <v>0</v>
      </c>
      <c r="U202" s="7">
        <f t="shared" si="6"/>
        <v>0</v>
      </c>
      <c r="V202" s="7">
        <f t="shared" ref="V202:W202" si="407">IF(AVERAGE(T142:T201) &gt; 0.25, 1, 0)</f>
        <v>0</v>
      </c>
      <c r="W202" s="7">
        <f t="shared" si="407"/>
        <v>0</v>
      </c>
      <c r="X202" s="8">
        <v>0.0</v>
      </c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ht="22.5" customHeight="1">
      <c r="A203" s="6">
        <v>1102.0</v>
      </c>
      <c r="B203" s="6">
        <v>48587.0</v>
      </c>
      <c r="C203" s="10">
        <v>0.83</v>
      </c>
      <c r="D203" s="10">
        <v>9.73</v>
      </c>
      <c r="E203" s="10">
        <v>2.17</v>
      </c>
      <c r="F203" s="10">
        <v>-0.1</v>
      </c>
      <c r="G203" s="10">
        <v>0.0</v>
      </c>
      <c r="H203" s="10">
        <v>-0.02</v>
      </c>
      <c r="I203" s="10">
        <v>33.33</v>
      </c>
      <c r="J203" s="10">
        <f t="shared" ref="J203:O203" si="408">abs(C203-C202)/200</f>
        <v>0</v>
      </c>
      <c r="K203" s="11">
        <f t="shared" si="408"/>
        <v>0.00005</v>
      </c>
      <c r="L203" s="12">
        <f t="shared" si="408"/>
        <v>0.0001</v>
      </c>
      <c r="M203" s="12">
        <f t="shared" si="408"/>
        <v>0</v>
      </c>
      <c r="N203" s="12">
        <f t="shared" si="408"/>
        <v>0</v>
      </c>
      <c r="O203" s="12">
        <f t="shared" si="408"/>
        <v>0.00005</v>
      </c>
      <c r="P203" s="7">
        <f t="shared" si="9"/>
        <v>0.001481634061</v>
      </c>
      <c r="Q203" s="7">
        <f t="shared" si="10"/>
        <v>0.005411623046</v>
      </c>
      <c r="R203" s="7">
        <f t="shared" si="3"/>
        <v>0.2035343754</v>
      </c>
      <c r="S203" s="7">
        <f t="shared" si="4"/>
        <v>0.1019803903</v>
      </c>
      <c r="T203" s="7">
        <f t="shared" si="5"/>
        <v>0</v>
      </c>
      <c r="U203" s="7">
        <f t="shared" si="6"/>
        <v>0</v>
      </c>
      <c r="V203" s="7">
        <f t="shared" ref="V203:W203" si="409">IF(AVERAGE(T143:T202) &gt; 0.25, 1, 0)</f>
        <v>0</v>
      </c>
      <c r="W203" s="7">
        <f t="shared" si="409"/>
        <v>0</v>
      </c>
      <c r="X203" s="8">
        <v>0.0</v>
      </c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ht="22.5" customHeight="1">
      <c r="A204" s="6">
        <v>1103.0</v>
      </c>
      <c r="B204" s="6">
        <v>48791.0</v>
      </c>
      <c r="C204" s="10">
        <v>0.83</v>
      </c>
      <c r="D204" s="10">
        <v>9.74</v>
      </c>
      <c r="E204" s="10">
        <v>2.16</v>
      </c>
      <c r="F204" s="10">
        <v>-0.1</v>
      </c>
      <c r="G204" s="10">
        <v>0.0</v>
      </c>
      <c r="H204" s="10">
        <v>-0.01</v>
      </c>
      <c r="I204" s="10">
        <v>33.34</v>
      </c>
      <c r="J204" s="10">
        <f t="shared" ref="J204:O204" si="410">abs(C204-C203)/200</f>
        <v>0</v>
      </c>
      <c r="K204" s="11">
        <f t="shared" si="410"/>
        <v>0.00005</v>
      </c>
      <c r="L204" s="12">
        <f t="shared" si="410"/>
        <v>0.00005</v>
      </c>
      <c r="M204" s="12">
        <f t="shared" si="410"/>
        <v>0</v>
      </c>
      <c r="N204" s="12">
        <f t="shared" si="410"/>
        <v>0</v>
      </c>
      <c r="O204" s="12">
        <f t="shared" si="410"/>
        <v>0.00005</v>
      </c>
      <c r="P204" s="7">
        <f t="shared" si="9"/>
        <v>0.001481634061</v>
      </c>
      <c r="Q204" s="7">
        <f t="shared" si="10"/>
        <v>0.007564465377</v>
      </c>
      <c r="R204" s="7">
        <f t="shared" si="3"/>
        <v>0.2110988408</v>
      </c>
      <c r="S204" s="7">
        <f t="shared" si="4"/>
        <v>0.1004987562</v>
      </c>
      <c r="T204" s="7">
        <f t="shared" si="5"/>
        <v>0</v>
      </c>
      <c r="U204" s="7">
        <f t="shared" si="6"/>
        <v>0</v>
      </c>
      <c r="V204" s="7">
        <f t="shared" ref="V204:W204" si="411">IF(AVERAGE(T144:T203) &gt; 0.25, 1, 0)</f>
        <v>0</v>
      </c>
      <c r="W204" s="7">
        <f t="shared" si="411"/>
        <v>0</v>
      </c>
      <c r="X204" s="8">
        <v>0.0</v>
      </c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ht="22.5" customHeight="1">
      <c r="A205" s="6">
        <v>1104.0</v>
      </c>
      <c r="B205" s="6">
        <v>48995.0</v>
      </c>
      <c r="C205" s="10">
        <v>0.85</v>
      </c>
      <c r="D205" s="10">
        <v>9.73</v>
      </c>
      <c r="E205" s="10">
        <v>2.17</v>
      </c>
      <c r="F205" s="10">
        <v>-0.1</v>
      </c>
      <c r="G205" s="10">
        <v>0.0</v>
      </c>
      <c r="H205" s="10">
        <v>-0.01</v>
      </c>
      <c r="I205" s="10">
        <v>33.34</v>
      </c>
      <c r="J205" s="10">
        <f t="shared" ref="J205:O205" si="412">abs(C205-C204)/200</f>
        <v>0.0001</v>
      </c>
      <c r="K205" s="11">
        <f t="shared" si="412"/>
        <v>0.00005</v>
      </c>
      <c r="L205" s="12">
        <f t="shared" si="412"/>
        <v>0.00005</v>
      </c>
      <c r="M205" s="12">
        <f t="shared" si="412"/>
        <v>0</v>
      </c>
      <c r="N205" s="12">
        <f t="shared" si="412"/>
        <v>0</v>
      </c>
      <c r="O205" s="12">
        <f t="shared" si="412"/>
        <v>0</v>
      </c>
      <c r="P205" s="7">
        <f t="shared" si="9"/>
        <v>0</v>
      </c>
      <c r="Q205" s="7">
        <f t="shared" si="10"/>
        <v>0.005885199889</v>
      </c>
      <c r="R205" s="7">
        <f t="shared" si="3"/>
        <v>0.2052136409</v>
      </c>
      <c r="S205" s="7">
        <f t="shared" si="4"/>
        <v>0.1004987562</v>
      </c>
      <c r="T205" s="7">
        <f t="shared" si="5"/>
        <v>0</v>
      </c>
      <c r="U205" s="7">
        <f t="shared" si="6"/>
        <v>0</v>
      </c>
      <c r="V205" s="7">
        <f t="shared" ref="V205:W205" si="413">IF(AVERAGE(T145:T204) &gt; 0.25, 1, 0)</f>
        <v>0</v>
      </c>
      <c r="W205" s="7">
        <f t="shared" si="413"/>
        <v>0</v>
      </c>
      <c r="X205" s="8">
        <v>0.0</v>
      </c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ht="22.5" customHeight="1">
      <c r="A206" s="6">
        <v>1105.0</v>
      </c>
      <c r="B206" s="6">
        <v>49199.0</v>
      </c>
      <c r="C206" s="10">
        <v>0.85</v>
      </c>
      <c r="D206" s="10">
        <v>9.73</v>
      </c>
      <c r="E206" s="10">
        <v>2.15</v>
      </c>
      <c r="F206" s="10">
        <v>-0.1</v>
      </c>
      <c r="G206" s="10">
        <v>0.0</v>
      </c>
      <c r="H206" s="10">
        <v>-0.01</v>
      </c>
      <c r="I206" s="10">
        <v>33.34</v>
      </c>
      <c r="J206" s="10">
        <f t="shared" ref="J206:O206" si="414">abs(C206-C205)/200</f>
        <v>0</v>
      </c>
      <c r="K206" s="11">
        <f t="shared" si="414"/>
        <v>0</v>
      </c>
      <c r="L206" s="12">
        <f t="shared" si="414"/>
        <v>0.0001</v>
      </c>
      <c r="M206" s="12">
        <f t="shared" si="414"/>
        <v>0</v>
      </c>
      <c r="N206" s="12">
        <f t="shared" si="414"/>
        <v>0</v>
      </c>
      <c r="O206" s="12">
        <f t="shared" si="414"/>
        <v>0</v>
      </c>
      <c r="P206" s="7">
        <f t="shared" si="9"/>
        <v>0</v>
      </c>
      <c r="Q206" s="7">
        <f t="shared" si="10"/>
        <v>0.004318680945</v>
      </c>
      <c r="R206" s="7">
        <f t="shared" si="3"/>
        <v>0.20089496</v>
      </c>
      <c r="S206" s="7">
        <f t="shared" si="4"/>
        <v>0.1004987562</v>
      </c>
      <c r="T206" s="7">
        <f t="shared" si="5"/>
        <v>0</v>
      </c>
      <c r="U206" s="7">
        <f t="shared" si="6"/>
        <v>0</v>
      </c>
      <c r="V206" s="7">
        <f t="shared" ref="V206:W206" si="415">IF(AVERAGE(T146:T205) &gt; 0.25, 1, 0)</f>
        <v>0</v>
      </c>
      <c r="W206" s="7">
        <f t="shared" si="415"/>
        <v>0</v>
      </c>
      <c r="X206" s="8">
        <v>0.0</v>
      </c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ht="22.5" customHeight="1">
      <c r="A207" s="6">
        <v>1106.0</v>
      </c>
      <c r="B207" s="6">
        <v>49403.0</v>
      </c>
      <c r="C207" s="10">
        <v>0.81</v>
      </c>
      <c r="D207" s="10">
        <v>9.75</v>
      </c>
      <c r="E207" s="10">
        <v>2.16</v>
      </c>
      <c r="F207" s="10">
        <v>-0.09</v>
      </c>
      <c r="G207" s="10">
        <v>0.0</v>
      </c>
      <c r="H207" s="10">
        <v>-0.01</v>
      </c>
      <c r="I207" s="10">
        <v>33.34</v>
      </c>
      <c r="J207" s="10">
        <f t="shared" ref="J207:O207" si="416">abs(C207-C206)/200</f>
        <v>0.0002</v>
      </c>
      <c r="K207" s="11">
        <f t="shared" si="416"/>
        <v>0.0001</v>
      </c>
      <c r="L207" s="12">
        <f t="shared" si="416"/>
        <v>0.00005</v>
      </c>
      <c r="M207" s="12">
        <f t="shared" si="416"/>
        <v>0.00005</v>
      </c>
      <c r="N207" s="12">
        <f t="shared" si="416"/>
        <v>0</v>
      </c>
      <c r="O207" s="12">
        <f t="shared" si="416"/>
        <v>0</v>
      </c>
      <c r="P207" s="7">
        <f t="shared" si="9"/>
        <v>0.00994490483</v>
      </c>
      <c r="Q207" s="7">
        <f t="shared" si="10"/>
        <v>0.0182966242</v>
      </c>
      <c r="R207" s="7">
        <f t="shared" si="3"/>
        <v>0.2191915842</v>
      </c>
      <c r="S207" s="7">
        <f t="shared" si="4"/>
        <v>0.09055385138</v>
      </c>
      <c r="T207" s="7">
        <f t="shared" si="5"/>
        <v>0</v>
      </c>
      <c r="U207" s="7">
        <f t="shared" si="6"/>
        <v>0</v>
      </c>
      <c r="V207" s="7">
        <f t="shared" ref="V207:W207" si="417">IF(AVERAGE(T147:T206) &gt; 0.25, 1, 0)</f>
        <v>0</v>
      </c>
      <c r="W207" s="7">
        <f t="shared" si="417"/>
        <v>0</v>
      </c>
      <c r="X207" s="8">
        <v>0.0</v>
      </c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ht="22.5" customHeight="1">
      <c r="A208" s="6">
        <v>1107.0</v>
      </c>
      <c r="B208" s="6">
        <v>49607.0</v>
      </c>
      <c r="C208" s="10">
        <v>0.83</v>
      </c>
      <c r="D208" s="10">
        <v>9.73</v>
      </c>
      <c r="E208" s="10">
        <v>2.16</v>
      </c>
      <c r="F208" s="10">
        <v>-0.1</v>
      </c>
      <c r="G208" s="10">
        <v>0.0</v>
      </c>
      <c r="H208" s="10">
        <v>-0.01</v>
      </c>
      <c r="I208" s="10">
        <v>33.33</v>
      </c>
      <c r="J208" s="10">
        <f t="shared" ref="J208:O208" si="418">abs(C208-C207)/200</f>
        <v>0.0001</v>
      </c>
      <c r="K208" s="11">
        <f t="shared" si="418"/>
        <v>0.0001</v>
      </c>
      <c r="L208" s="12">
        <f t="shared" si="418"/>
        <v>0</v>
      </c>
      <c r="M208" s="12">
        <f t="shared" si="418"/>
        <v>0.00005</v>
      </c>
      <c r="N208" s="12">
        <f t="shared" si="418"/>
        <v>0</v>
      </c>
      <c r="O208" s="12">
        <f t="shared" si="418"/>
        <v>0</v>
      </c>
      <c r="P208" s="7">
        <f t="shared" si="9"/>
        <v>0.00994490483</v>
      </c>
      <c r="Q208" s="7">
        <f t="shared" si="10"/>
        <v>0.01782167799</v>
      </c>
      <c r="R208" s="7">
        <f t="shared" si="3"/>
        <v>0.2013699062</v>
      </c>
      <c r="S208" s="7">
        <f t="shared" si="4"/>
        <v>0.1004987562</v>
      </c>
      <c r="T208" s="7">
        <f t="shared" si="5"/>
        <v>0</v>
      </c>
      <c r="U208" s="7">
        <f t="shared" si="6"/>
        <v>0</v>
      </c>
      <c r="V208" s="7">
        <f t="shared" ref="V208:W208" si="419">IF(AVERAGE(T148:T207) &gt; 0.25, 1, 0)</f>
        <v>0</v>
      </c>
      <c r="W208" s="7">
        <f t="shared" si="419"/>
        <v>0</v>
      </c>
      <c r="X208" s="8">
        <v>0.0</v>
      </c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ht="22.5" customHeight="1">
      <c r="A209" s="6">
        <v>1108.0</v>
      </c>
      <c r="B209" s="6">
        <v>49811.0</v>
      </c>
      <c r="C209" s="10">
        <v>0.83</v>
      </c>
      <c r="D209" s="10">
        <v>9.74</v>
      </c>
      <c r="E209" s="10">
        <v>2.18</v>
      </c>
      <c r="F209" s="10">
        <v>-0.1</v>
      </c>
      <c r="G209" s="10">
        <v>0.0</v>
      </c>
      <c r="H209" s="10">
        <v>-0.01</v>
      </c>
      <c r="I209" s="10">
        <v>33.34</v>
      </c>
      <c r="J209" s="10">
        <f t="shared" ref="J209:O209" si="420">abs(C209-C208)/200</f>
        <v>0</v>
      </c>
      <c r="K209" s="11">
        <f t="shared" si="420"/>
        <v>0.00005</v>
      </c>
      <c r="L209" s="12">
        <f t="shared" si="420"/>
        <v>0.0001</v>
      </c>
      <c r="M209" s="12">
        <f t="shared" si="420"/>
        <v>0</v>
      </c>
      <c r="N209" s="12">
        <f t="shared" si="420"/>
        <v>0</v>
      </c>
      <c r="O209" s="12">
        <f t="shared" si="420"/>
        <v>0</v>
      </c>
      <c r="P209" s="7">
        <f t="shared" si="9"/>
        <v>0</v>
      </c>
      <c r="Q209" s="7">
        <f t="shared" si="10"/>
        <v>0.01406318482</v>
      </c>
      <c r="R209" s="7">
        <f t="shared" si="3"/>
        <v>0.215433091</v>
      </c>
      <c r="S209" s="7">
        <f t="shared" si="4"/>
        <v>0.1004987562</v>
      </c>
      <c r="T209" s="7">
        <f t="shared" si="5"/>
        <v>0</v>
      </c>
      <c r="U209" s="7">
        <f t="shared" si="6"/>
        <v>0</v>
      </c>
      <c r="V209" s="7">
        <f t="shared" ref="V209:W209" si="421">IF(AVERAGE(T149:T208) &gt; 0.25, 1, 0)</f>
        <v>0</v>
      </c>
      <c r="W209" s="7">
        <f t="shared" si="421"/>
        <v>0</v>
      </c>
      <c r="X209" s="8">
        <v>0.0</v>
      </c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ht="22.5" customHeight="1">
      <c r="A210" s="6">
        <v>1109.0</v>
      </c>
      <c r="B210" s="6">
        <v>50015.0</v>
      </c>
      <c r="C210" s="10">
        <v>0.83</v>
      </c>
      <c r="D210" s="10">
        <v>9.74</v>
      </c>
      <c r="E210" s="10">
        <v>2.18</v>
      </c>
      <c r="F210" s="10">
        <v>-0.1</v>
      </c>
      <c r="G210" s="10">
        <v>0.0</v>
      </c>
      <c r="H210" s="10">
        <v>-0.01</v>
      </c>
      <c r="I210" s="10">
        <v>33.34</v>
      </c>
      <c r="J210" s="10">
        <f t="shared" ref="J210:O210" si="422">abs(C210-C209)/200</f>
        <v>0</v>
      </c>
      <c r="K210" s="11">
        <f t="shared" si="422"/>
        <v>0</v>
      </c>
      <c r="L210" s="12">
        <f t="shared" si="422"/>
        <v>0</v>
      </c>
      <c r="M210" s="12">
        <f t="shared" si="422"/>
        <v>0</v>
      </c>
      <c r="N210" s="12">
        <f t="shared" si="422"/>
        <v>0</v>
      </c>
      <c r="O210" s="12">
        <f t="shared" si="422"/>
        <v>0</v>
      </c>
      <c r="P210" s="7">
        <f t="shared" si="9"/>
        <v>0</v>
      </c>
      <c r="Q210" s="7">
        <f t="shared" si="10"/>
        <v>0</v>
      </c>
      <c r="R210" s="7">
        <f t="shared" si="3"/>
        <v>0.215433091</v>
      </c>
      <c r="S210" s="7">
        <f t="shared" si="4"/>
        <v>0.1004987562</v>
      </c>
      <c r="T210" s="7">
        <f t="shared" si="5"/>
        <v>0</v>
      </c>
      <c r="U210" s="7">
        <f t="shared" si="6"/>
        <v>0</v>
      </c>
      <c r="V210" s="7">
        <f t="shared" ref="V210:W210" si="423">IF(AVERAGE(T150:T209) &gt; 0.25, 1, 0)</f>
        <v>0</v>
      </c>
      <c r="W210" s="7">
        <f t="shared" si="423"/>
        <v>0</v>
      </c>
      <c r="X210" s="8">
        <v>0.0</v>
      </c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ht="22.5" customHeight="1">
      <c r="A211" s="6">
        <v>1110.0</v>
      </c>
      <c r="B211" s="6">
        <v>50219.0</v>
      </c>
      <c r="C211" s="10">
        <v>0.84</v>
      </c>
      <c r="D211" s="10">
        <v>9.73</v>
      </c>
      <c r="E211" s="10">
        <v>2.15</v>
      </c>
      <c r="F211" s="10">
        <v>-0.09</v>
      </c>
      <c r="G211" s="10">
        <v>0.0</v>
      </c>
      <c r="H211" s="10">
        <v>-0.01</v>
      </c>
      <c r="I211" s="10">
        <v>33.33</v>
      </c>
      <c r="J211" s="10">
        <f t="shared" ref="J211:O211" si="424">abs(C211-C210)/200</f>
        <v>0.00005</v>
      </c>
      <c r="K211" s="11">
        <f t="shared" si="424"/>
        <v>0.00005</v>
      </c>
      <c r="L211" s="12">
        <f t="shared" si="424"/>
        <v>0.00015</v>
      </c>
      <c r="M211" s="12">
        <f t="shared" si="424"/>
        <v>0.00005</v>
      </c>
      <c r="N211" s="12">
        <f t="shared" si="424"/>
        <v>0</v>
      </c>
      <c r="O211" s="12">
        <f t="shared" si="424"/>
        <v>0</v>
      </c>
      <c r="P211" s="7">
        <f t="shared" si="9"/>
        <v>0.00994490483</v>
      </c>
      <c r="Q211" s="7">
        <f t="shared" si="10"/>
        <v>0.01538309111</v>
      </c>
      <c r="R211" s="7">
        <f t="shared" si="3"/>
        <v>0.2000499999</v>
      </c>
      <c r="S211" s="7">
        <f t="shared" si="4"/>
        <v>0.09055385138</v>
      </c>
      <c r="T211" s="7">
        <f t="shared" si="5"/>
        <v>0</v>
      </c>
      <c r="U211" s="7">
        <f t="shared" si="6"/>
        <v>0</v>
      </c>
      <c r="V211" s="7">
        <f t="shared" ref="V211:W211" si="425">IF(AVERAGE(T151:T210) &gt; 0.25, 1, 0)</f>
        <v>0</v>
      </c>
      <c r="W211" s="7">
        <f t="shared" si="425"/>
        <v>0</v>
      </c>
      <c r="X211" s="8">
        <v>0.0</v>
      </c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ht="22.5" customHeight="1">
      <c r="A212" s="6">
        <v>1111.0</v>
      </c>
      <c r="B212" s="6">
        <v>50423.0</v>
      </c>
      <c r="C212" s="10">
        <v>0.82</v>
      </c>
      <c r="D212" s="10">
        <v>9.72</v>
      </c>
      <c r="E212" s="10">
        <v>2.18</v>
      </c>
      <c r="F212" s="10">
        <v>-0.1</v>
      </c>
      <c r="G212" s="10">
        <v>0.0</v>
      </c>
      <c r="H212" s="10">
        <v>-0.01</v>
      </c>
      <c r="I212" s="10">
        <v>33.35</v>
      </c>
      <c r="J212" s="10">
        <f t="shared" ref="J212:O212" si="426">abs(C212-C211)/200</f>
        <v>0.0001</v>
      </c>
      <c r="K212" s="11">
        <f t="shared" si="426"/>
        <v>0.00005</v>
      </c>
      <c r="L212" s="12">
        <f t="shared" si="426"/>
        <v>0.00015</v>
      </c>
      <c r="M212" s="12">
        <f t="shared" si="426"/>
        <v>0.00005</v>
      </c>
      <c r="N212" s="12">
        <f t="shared" si="426"/>
        <v>0</v>
      </c>
      <c r="O212" s="12">
        <f t="shared" si="426"/>
        <v>0</v>
      </c>
      <c r="P212" s="7">
        <f t="shared" si="9"/>
        <v>0.00994490483</v>
      </c>
      <c r="Q212" s="7">
        <f t="shared" si="10"/>
        <v>0.004891171722</v>
      </c>
      <c r="R212" s="7">
        <f t="shared" si="3"/>
        <v>0.1951588282</v>
      </c>
      <c r="S212" s="7">
        <f t="shared" si="4"/>
        <v>0.1004987562</v>
      </c>
      <c r="T212" s="7">
        <f t="shared" si="5"/>
        <v>0</v>
      </c>
      <c r="U212" s="7">
        <f t="shared" si="6"/>
        <v>0</v>
      </c>
      <c r="V212" s="7">
        <f t="shared" ref="V212:W212" si="427">IF(AVERAGE(T152:T211) &gt; 0.25, 1, 0)</f>
        <v>0</v>
      </c>
      <c r="W212" s="7">
        <f t="shared" si="427"/>
        <v>0</v>
      </c>
      <c r="X212" s="8">
        <v>0.0</v>
      </c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ht="22.5" customHeight="1">
      <c r="A213" s="6">
        <v>1112.0</v>
      </c>
      <c r="B213" s="6">
        <v>50627.0</v>
      </c>
      <c r="C213" s="10">
        <v>0.84</v>
      </c>
      <c r="D213" s="10">
        <v>9.72</v>
      </c>
      <c r="E213" s="10">
        <v>2.14</v>
      </c>
      <c r="F213" s="10">
        <v>-0.09</v>
      </c>
      <c r="G213" s="10">
        <v>0.0</v>
      </c>
      <c r="H213" s="10">
        <v>0.0</v>
      </c>
      <c r="I213" s="10">
        <v>33.35</v>
      </c>
      <c r="J213" s="10">
        <f t="shared" ref="J213:O213" si="428">abs(C213-C212)/200</f>
        <v>0.0001</v>
      </c>
      <c r="K213" s="11">
        <f t="shared" si="428"/>
        <v>0</v>
      </c>
      <c r="L213" s="12">
        <f t="shared" si="428"/>
        <v>0.0002</v>
      </c>
      <c r="M213" s="12">
        <f t="shared" si="428"/>
        <v>0.00005</v>
      </c>
      <c r="N213" s="12">
        <f t="shared" si="428"/>
        <v>0</v>
      </c>
      <c r="O213" s="12">
        <f t="shared" si="428"/>
        <v>0.00005</v>
      </c>
      <c r="P213" s="7">
        <f t="shared" si="9"/>
        <v>0.01049875621</v>
      </c>
      <c r="Q213" s="7">
        <f t="shared" si="10"/>
        <v>0.006985822042</v>
      </c>
      <c r="R213" s="7">
        <f t="shared" si="3"/>
        <v>0.1881730061</v>
      </c>
      <c r="S213" s="7">
        <f t="shared" si="4"/>
        <v>0.09</v>
      </c>
      <c r="T213" s="7">
        <f t="shared" si="5"/>
        <v>0</v>
      </c>
      <c r="U213" s="7">
        <f t="shared" si="6"/>
        <v>0</v>
      </c>
      <c r="V213" s="7">
        <f t="shared" ref="V213:W213" si="429">IF(AVERAGE(T153:T212) &gt; 0.25, 1, 0)</f>
        <v>0</v>
      </c>
      <c r="W213" s="7">
        <f t="shared" si="429"/>
        <v>0</v>
      </c>
      <c r="X213" s="8">
        <v>0.0</v>
      </c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ht="22.5" customHeight="1">
      <c r="A214" s="6">
        <v>1113.0</v>
      </c>
      <c r="B214" s="6">
        <v>50831.0</v>
      </c>
      <c r="C214" s="10">
        <v>0.83</v>
      </c>
      <c r="D214" s="10">
        <v>9.73</v>
      </c>
      <c r="E214" s="10">
        <v>2.17</v>
      </c>
      <c r="F214" s="10">
        <v>-0.1</v>
      </c>
      <c r="G214" s="10">
        <v>0.0</v>
      </c>
      <c r="H214" s="10">
        <v>-0.02</v>
      </c>
      <c r="I214" s="10">
        <v>33.35</v>
      </c>
      <c r="J214" s="10">
        <f t="shared" ref="J214:O214" si="430">abs(C214-C213)/200</f>
        <v>0.00005</v>
      </c>
      <c r="K214" s="11">
        <f t="shared" si="430"/>
        <v>0.00005</v>
      </c>
      <c r="L214" s="12">
        <f t="shared" si="430"/>
        <v>0.00015</v>
      </c>
      <c r="M214" s="12">
        <f t="shared" si="430"/>
        <v>0.00005</v>
      </c>
      <c r="N214" s="12">
        <f t="shared" si="430"/>
        <v>0</v>
      </c>
      <c r="O214" s="12">
        <f t="shared" si="430"/>
        <v>0.0001</v>
      </c>
      <c r="P214" s="7">
        <f t="shared" si="9"/>
        <v>0.01198039027</v>
      </c>
      <c r="Q214" s="7">
        <f t="shared" si="10"/>
        <v>0.0153613693</v>
      </c>
      <c r="R214" s="7">
        <f t="shared" si="3"/>
        <v>0.2035343754</v>
      </c>
      <c r="S214" s="7">
        <f t="shared" si="4"/>
        <v>0.1019803903</v>
      </c>
      <c r="T214" s="7">
        <f t="shared" si="5"/>
        <v>0</v>
      </c>
      <c r="U214" s="7">
        <f t="shared" si="6"/>
        <v>0</v>
      </c>
      <c r="V214" s="7">
        <f t="shared" ref="V214:W214" si="431">IF(AVERAGE(T154:T213) &gt; 0.25, 1, 0)</f>
        <v>0</v>
      </c>
      <c r="W214" s="7">
        <f t="shared" si="431"/>
        <v>0</v>
      </c>
      <c r="X214" s="8">
        <v>0.0</v>
      </c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ht="22.5" customHeight="1">
      <c r="A215" s="6">
        <v>1114.0</v>
      </c>
      <c r="B215" s="6">
        <v>51035.0</v>
      </c>
      <c r="C215" s="10">
        <v>0.83</v>
      </c>
      <c r="D215" s="10">
        <v>9.73</v>
      </c>
      <c r="E215" s="10">
        <v>2.15</v>
      </c>
      <c r="F215" s="10">
        <v>-0.1</v>
      </c>
      <c r="G215" s="10">
        <v>0.0</v>
      </c>
      <c r="H215" s="10">
        <v>-0.01</v>
      </c>
      <c r="I215" s="10">
        <v>33.34</v>
      </c>
      <c r="J215" s="10">
        <f t="shared" ref="J215:O215" si="432">abs(C215-C214)/200</f>
        <v>0</v>
      </c>
      <c r="K215" s="11">
        <f t="shared" si="432"/>
        <v>0</v>
      </c>
      <c r="L215" s="12">
        <f t="shared" si="432"/>
        <v>0.0001</v>
      </c>
      <c r="M215" s="12">
        <f t="shared" si="432"/>
        <v>0</v>
      </c>
      <c r="N215" s="12">
        <f t="shared" si="432"/>
        <v>0</v>
      </c>
      <c r="O215" s="12">
        <f t="shared" si="432"/>
        <v>0.00005</v>
      </c>
      <c r="P215" s="7">
        <f t="shared" si="9"/>
        <v>0.001481634061</v>
      </c>
      <c r="Q215" s="7">
        <f t="shared" si="10"/>
        <v>0.004319406223</v>
      </c>
      <c r="R215" s="7">
        <f t="shared" si="3"/>
        <v>0.1992149692</v>
      </c>
      <c r="S215" s="7">
        <f t="shared" si="4"/>
        <v>0.1004987562</v>
      </c>
      <c r="T215" s="7">
        <f t="shared" si="5"/>
        <v>0</v>
      </c>
      <c r="U215" s="7">
        <f t="shared" si="6"/>
        <v>0</v>
      </c>
      <c r="V215" s="7">
        <f t="shared" ref="V215:W215" si="433">IF(AVERAGE(T155:T214) &gt; 0.25, 1, 0)</f>
        <v>0</v>
      </c>
      <c r="W215" s="7">
        <f t="shared" si="433"/>
        <v>0</v>
      </c>
      <c r="X215" s="8">
        <v>0.0</v>
      </c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ht="22.5" customHeight="1">
      <c r="A216" s="6">
        <v>1115.0</v>
      </c>
      <c r="B216" s="6">
        <v>51239.0</v>
      </c>
      <c r="C216" s="10">
        <v>0.84</v>
      </c>
      <c r="D216" s="10">
        <v>9.73</v>
      </c>
      <c r="E216" s="10">
        <v>2.15</v>
      </c>
      <c r="F216" s="10">
        <v>-0.09</v>
      </c>
      <c r="G216" s="10">
        <v>0.0</v>
      </c>
      <c r="H216" s="10">
        <v>-0.01</v>
      </c>
      <c r="I216" s="10">
        <v>33.34</v>
      </c>
      <c r="J216" s="10">
        <f t="shared" ref="J216:O216" si="434">abs(C216-C215)/200</f>
        <v>0.00005</v>
      </c>
      <c r="K216" s="11">
        <f t="shared" si="434"/>
        <v>0</v>
      </c>
      <c r="L216" s="12">
        <f t="shared" si="434"/>
        <v>0</v>
      </c>
      <c r="M216" s="12">
        <f t="shared" si="434"/>
        <v>0.00005</v>
      </c>
      <c r="N216" s="12">
        <f t="shared" si="434"/>
        <v>0</v>
      </c>
      <c r="O216" s="12">
        <f t="shared" si="434"/>
        <v>0</v>
      </c>
      <c r="P216" s="7">
        <f t="shared" si="9"/>
        <v>0.00994490483</v>
      </c>
      <c r="Q216" s="7">
        <f t="shared" si="10"/>
        <v>0.0008350306887</v>
      </c>
      <c r="R216" s="7">
        <f t="shared" si="3"/>
        <v>0.2000499999</v>
      </c>
      <c r="S216" s="7">
        <f t="shared" si="4"/>
        <v>0.09055385138</v>
      </c>
      <c r="T216" s="7">
        <f t="shared" si="5"/>
        <v>0</v>
      </c>
      <c r="U216" s="7">
        <f t="shared" si="6"/>
        <v>0</v>
      </c>
      <c r="V216" s="7">
        <f t="shared" ref="V216:W216" si="435">IF(AVERAGE(T156:T215) &gt; 0.25, 1, 0)</f>
        <v>0</v>
      </c>
      <c r="W216" s="7">
        <f t="shared" si="435"/>
        <v>0</v>
      </c>
      <c r="X216" s="8">
        <v>0.0</v>
      </c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ht="22.5" customHeight="1">
      <c r="A217" s="6">
        <v>1116.0</v>
      </c>
      <c r="B217" s="6">
        <v>51443.0</v>
      </c>
      <c r="C217" s="10">
        <v>0.84</v>
      </c>
      <c r="D217" s="10">
        <v>9.74</v>
      </c>
      <c r="E217" s="10">
        <v>2.15</v>
      </c>
      <c r="F217" s="10">
        <v>-0.1</v>
      </c>
      <c r="G217" s="10">
        <v>0.0</v>
      </c>
      <c r="H217" s="10">
        <v>-0.01</v>
      </c>
      <c r="I217" s="10">
        <v>33.34</v>
      </c>
      <c r="J217" s="10">
        <f t="shared" ref="J217:O217" si="436">abs(C217-C216)/200</f>
        <v>0</v>
      </c>
      <c r="K217" s="11">
        <f t="shared" si="436"/>
        <v>0.00005</v>
      </c>
      <c r="L217" s="12">
        <f t="shared" si="436"/>
        <v>0</v>
      </c>
      <c r="M217" s="12">
        <f t="shared" si="436"/>
        <v>0.00005</v>
      </c>
      <c r="N217" s="12">
        <f t="shared" si="436"/>
        <v>0</v>
      </c>
      <c r="O217" s="12">
        <f t="shared" si="436"/>
        <v>0</v>
      </c>
      <c r="P217" s="7">
        <f t="shared" si="9"/>
        <v>0.00994490483</v>
      </c>
      <c r="Q217" s="7">
        <f t="shared" si="10"/>
        <v>0.009730217492</v>
      </c>
      <c r="R217" s="7">
        <f t="shared" si="3"/>
        <v>0.2097802174</v>
      </c>
      <c r="S217" s="7">
        <f t="shared" si="4"/>
        <v>0.1004987562</v>
      </c>
      <c r="T217" s="7">
        <f t="shared" si="5"/>
        <v>0</v>
      </c>
      <c r="U217" s="7">
        <f t="shared" si="6"/>
        <v>0</v>
      </c>
      <c r="V217" s="7">
        <f t="shared" ref="V217:W217" si="437">IF(AVERAGE(T157:T216) &gt; 0.25, 1, 0)</f>
        <v>0</v>
      </c>
      <c r="W217" s="7">
        <f t="shared" si="437"/>
        <v>0</v>
      </c>
      <c r="X217" s="8">
        <v>0.0</v>
      </c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ht="22.5" customHeight="1">
      <c r="A218" s="6">
        <v>1117.0</v>
      </c>
      <c r="B218" s="6">
        <v>51647.0</v>
      </c>
      <c r="C218" s="10">
        <v>0.81</v>
      </c>
      <c r="D218" s="10">
        <v>9.75</v>
      </c>
      <c r="E218" s="10">
        <v>2.15</v>
      </c>
      <c r="F218" s="10">
        <v>-0.1</v>
      </c>
      <c r="G218" s="10">
        <v>0.0</v>
      </c>
      <c r="H218" s="10">
        <v>-0.01</v>
      </c>
      <c r="I218" s="10">
        <v>33.34</v>
      </c>
      <c r="J218" s="10">
        <f t="shared" ref="J218:O218" si="438">abs(C218-C217)/200</f>
        <v>0.00015</v>
      </c>
      <c r="K218" s="11">
        <f t="shared" si="438"/>
        <v>0.00005</v>
      </c>
      <c r="L218" s="12">
        <f t="shared" si="438"/>
        <v>0</v>
      </c>
      <c r="M218" s="12">
        <f t="shared" si="438"/>
        <v>0</v>
      </c>
      <c r="N218" s="12">
        <f t="shared" si="438"/>
        <v>0</v>
      </c>
      <c r="O218" s="12">
        <f t="shared" si="438"/>
        <v>0</v>
      </c>
      <c r="P218" s="7">
        <f t="shared" si="9"/>
        <v>0</v>
      </c>
      <c r="Q218" s="7">
        <f t="shared" si="10"/>
        <v>0.007260263733</v>
      </c>
      <c r="R218" s="7">
        <f t="shared" si="3"/>
        <v>0.2170404811</v>
      </c>
      <c r="S218" s="7">
        <f t="shared" si="4"/>
        <v>0.1004987562</v>
      </c>
      <c r="T218" s="7">
        <f t="shared" si="5"/>
        <v>0</v>
      </c>
      <c r="U218" s="7">
        <f t="shared" si="6"/>
        <v>0</v>
      </c>
      <c r="V218" s="7">
        <f t="shared" ref="V218:W218" si="439">IF(AVERAGE(T158:T217) &gt; 0.25, 1, 0)</f>
        <v>0</v>
      </c>
      <c r="W218" s="7">
        <f t="shared" si="439"/>
        <v>0</v>
      </c>
      <c r="X218" s="8">
        <v>0.0</v>
      </c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ht="22.5" customHeight="1">
      <c r="A219" s="6">
        <v>1118.0</v>
      </c>
      <c r="B219" s="6">
        <v>51851.0</v>
      </c>
      <c r="C219" s="10">
        <v>0.85</v>
      </c>
      <c r="D219" s="10">
        <v>9.73</v>
      </c>
      <c r="E219" s="10">
        <v>2.14</v>
      </c>
      <c r="F219" s="10">
        <v>-0.1</v>
      </c>
      <c r="G219" s="10">
        <v>0.0</v>
      </c>
      <c r="H219" s="10">
        <v>-0.01</v>
      </c>
      <c r="I219" s="10">
        <v>33.34</v>
      </c>
      <c r="J219" s="10">
        <f t="shared" ref="J219:O219" si="440">abs(C219-C218)/200</f>
        <v>0.0002</v>
      </c>
      <c r="K219" s="11">
        <f t="shared" si="440"/>
        <v>0.0001</v>
      </c>
      <c r="L219" s="12">
        <f t="shared" si="440"/>
        <v>0.00005</v>
      </c>
      <c r="M219" s="12">
        <f t="shared" si="440"/>
        <v>0</v>
      </c>
      <c r="N219" s="12">
        <f t="shared" si="440"/>
        <v>0</v>
      </c>
      <c r="O219" s="12">
        <f t="shared" si="440"/>
        <v>0</v>
      </c>
      <c r="P219" s="7">
        <f t="shared" si="9"/>
        <v>0</v>
      </c>
      <c r="Q219" s="7">
        <f t="shared" si="10"/>
        <v>0.01829055923</v>
      </c>
      <c r="R219" s="7">
        <f t="shared" si="3"/>
        <v>0.1987499219</v>
      </c>
      <c r="S219" s="7">
        <f t="shared" si="4"/>
        <v>0.1004987562</v>
      </c>
      <c r="T219" s="7">
        <f t="shared" si="5"/>
        <v>0</v>
      </c>
      <c r="U219" s="7">
        <f t="shared" si="6"/>
        <v>0</v>
      </c>
      <c r="V219" s="7">
        <f t="shared" ref="V219:W219" si="441">IF(AVERAGE(T159:T218) &gt; 0.25, 1, 0)</f>
        <v>0</v>
      </c>
      <c r="W219" s="7">
        <f t="shared" si="441"/>
        <v>0</v>
      </c>
      <c r="X219" s="8">
        <v>0.0</v>
      </c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ht="22.5" customHeight="1">
      <c r="A220" s="6">
        <v>1119.0</v>
      </c>
      <c r="B220" s="6">
        <v>52055.0</v>
      </c>
      <c r="C220" s="10">
        <v>0.84</v>
      </c>
      <c r="D220" s="10">
        <v>9.74</v>
      </c>
      <c r="E220" s="10">
        <v>2.16</v>
      </c>
      <c r="F220" s="10">
        <v>-0.1</v>
      </c>
      <c r="G220" s="10">
        <v>0.0</v>
      </c>
      <c r="H220" s="10">
        <v>-0.02</v>
      </c>
      <c r="I220" s="10">
        <v>33.33</v>
      </c>
      <c r="J220" s="10">
        <f t="shared" ref="J220:O220" si="442">abs(C220-C219)/200</f>
        <v>0.00005</v>
      </c>
      <c r="K220" s="11">
        <f t="shared" si="442"/>
        <v>0.00005</v>
      </c>
      <c r="L220" s="12">
        <f t="shared" si="442"/>
        <v>0.0001</v>
      </c>
      <c r="M220" s="12">
        <f t="shared" si="442"/>
        <v>0</v>
      </c>
      <c r="N220" s="12">
        <f t="shared" si="442"/>
        <v>0</v>
      </c>
      <c r="O220" s="12">
        <f t="shared" si="442"/>
        <v>0.00005</v>
      </c>
      <c r="P220" s="7">
        <f t="shared" si="9"/>
        <v>0.001481634061</v>
      </c>
      <c r="Q220" s="7">
        <f t="shared" si="10"/>
        <v>0.01318295845</v>
      </c>
      <c r="R220" s="7">
        <f t="shared" si="3"/>
        <v>0.2119328803</v>
      </c>
      <c r="S220" s="7">
        <f t="shared" si="4"/>
        <v>0.1019803903</v>
      </c>
      <c r="T220" s="7">
        <f t="shared" si="5"/>
        <v>0</v>
      </c>
      <c r="U220" s="7">
        <f t="shared" si="6"/>
        <v>0</v>
      </c>
      <c r="V220" s="7">
        <f t="shared" ref="V220:W220" si="443">IF(AVERAGE(T160:T219) &gt; 0.25, 1, 0)</f>
        <v>0</v>
      </c>
      <c r="W220" s="7">
        <f t="shared" si="443"/>
        <v>0</v>
      </c>
      <c r="X220" s="8">
        <v>0.0</v>
      </c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ht="22.5" customHeight="1">
      <c r="A221" s="6">
        <v>1120.0</v>
      </c>
      <c r="B221" s="6">
        <v>52259.0</v>
      </c>
      <c r="C221" s="10">
        <v>0.86</v>
      </c>
      <c r="D221" s="10">
        <v>9.73</v>
      </c>
      <c r="E221" s="10">
        <v>2.16</v>
      </c>
      <c r="F221" s="10">
        <v>-0.1</v>
      </c>
      <c r="G221" s="10">
        <v>0.0</v>
      </c>
      <c r="H221" s="10">
        <v>-0.02</v>
      </c>
      <c r="I221" s="10">
        <v>33.33</v>
      </c>
      <c r="J221" s="10">
        <f t="shared" ref="J221:O221" si="444">abs(C221-C220)/200</f>
        <v>0.0001</v>
      </c>
      <c r="K221" s="11">
        <f t="shared" si="444"/>
        <v>0.00005</v>
      </c>
      <c r="L221" s="12">
        <f t="shared" si="444"/>
        <v>0</v>
      </c>
      <c r="M221" s="12">
        <f t="shared" si="444"/>
        <v>0</v>
      </c>
      <c r="N221" s="12">
        <f t="shared" si="444"/>
        <v>0</v>
      </c>
      <c r="O221" s="12">
        <f t="shared" si="444"/>
        <v>0</v>
      </c>
      <c r="P221" s="7">
        <f t="shared" si="9"/>
        <v>0</v>
      </c>
      <c r="Q221" s="7">
        <f t="shared" si="10"/>
        <v>0.008028642472</v>
      </c>
      <c r="R221" s="7">
        <f t="shared" si="3"/>
        <v>0.2039042378</v>
      </c>
      <c r="S221" s="7">
        <f t="shared" si="4"/>
        <v>0.1019803903</v>
      </c>
      <c r="T221" s="7">
        <f t="shared" si="5"/>
        <v>0</v>
      </c>
      <c r="U221" s="7">
        <f t="shared" si="6"/>
        <v>0</v>
      </c>
      <c r="V221" s="7">
        <f t="shared" ref="V221:W221" si="445">IF(AVERAGE(T161:T220) &gt; 0.25, 1, 0)</f>
        <v>0</v>
      </c>
      <c r="W221" s="7">
        <f t="shared" si="445"/>
        <v>0</v>
      </c>
      <c r="X221" s="8">
        <v>0.0</v>
      </c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ht="22.5" customHeight="1">
      <c r="A222" s="6">
        <v>1121.0</v>
      </c>
      <c r="B222" s="6">
        <v>52463.0</v>
      </c>
      <c r="C222" s="10">
        <v>0.84</v>
      </c>
      <c r="D222" s="10">
        <v>9.73</v>
      </c>
      <c r="E222" s="10">
        <v>2.16</v>
      </c>
      <c r="F222" s="10">
        <v>-0.1</v>
      </c>
      <c r="G222" s="10">
        <v>0.0</v>
      </c>
      <c r="H222" s="10">
        <v>-0.02</v>
      </c>
      <c r="I222" s="10">
        <v>33.34</v>
      </c>
      <c r="J222" s="10">
        <f t="shared" ref="J222:O222" si="446">abs(C222-C221)/200</f>
        <v>0.0001</v>
      </c>
      <c r="K222" s="11">
        <f t="shared" si="446"/>
        <v>0</v>
      </c>
      <c r="L222" s="12">
        <f t="shared" si="446"/>
        <v>0</v>
      </c>
      <c r="M222" s="12">
        <f t="shared" si="446"/>
        <v>0</v>
      </c>
      <c r="N222" s="12">
        <f t="shared" si="446"/>
        <v>0</v>
      </c>
      <c r="O222" s="12">
        <f t="shared" si="446"/>
        <v>0</v>
      </c>
      <c r="P222" s="7">
        <f t="shared" si="9"/>
        <v>0</v>
      </c>
      <c r="Q222" s="7">
        <f t="shared" si="10"/>
        <v>0.001699480894</v>
      </c>
      <c r="R222" s="7">
        <f t="shared" si="3"/>
        <v>0.202204757</v>
      </c>
      <c r="S222" s="7">
        <f t="shared" si="4"/>
        <v>0.1019803903</v>
      </c>
      <c r="T222" s="7">
        <f t="shared" si="5"/>
        <v>0</v>
      </c>
      <c r="U222" s="7">
        <f t="shared" si="6"/>
        <v>0</v>
      </c>
      <c r="V222" s="7">
        <f t="shared" ref="V222:W222" si="447">IF(AVERAGE(T162:T221) &gt; 0.25, 1, 0)</f>
        <v>0</v>
      </c>
      <c r="W222" s="7">
        <f t="shared" si="447"/>
        <v>0</v>
      </c>
      <c r="X222" s="8">
        <v>0.0</v>
      </c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ht="22.5" customHeight="1">
      <c r="A223" s="6">
        <v>1122.0</v>
      </c>
      <c r="B223" s="6">
        <v>52667.0</v>
      </c>
      <c r="C223" s="10">
        <v>0.85</v>
      </c>
      <c r="D223" s="10">
        <v>9.72</v>
      </c>
      <c r="E223" s="10">
        <v>2.17</v>
      </c>
      <c r="F223" s="10">
        <v>-0.1</v>
      </c>
      <c r="G223" s="10">
        <v>0.0</v>
      </c>
      <c r="H223" s="10">
        <v>-0.01</v>
      </c>
      <c r="I223" s="10">
        <v>33.32</v>
      </c>
      <c r="J223" s="10">
        <f t="shared" ref="J223:O223" si="448">abs(C223-C222)/200</f>
        <v>0.00005</v>
      </c>
      <c r="K223" s="11">
        <f t="shared" si="448"/>
        <v>0.00005</v>
      </c>
      <c r="L223" s="12">
        <f t="shared" si="448"/>
        <v>0.00005</v>
      </c>
      <c r="M223" s="12">
        <f t="shared" si="448"/>
        <v>0</v>
      </c>
      <c r="N223" s="12">
        <f t="shared" si="448"/>
        <v>0</v>
      </c>
      <c r="O223" s="12">
        <f t="shared" si="448"/>
        <v>0.00005</v>
      </c>
      <c r="P223" s="7">
        <f t="shared" si="9"/>
        <v>0.001481634061</v>
      </c>
      <c r="Q223" s="7">
        <f t="shared" si="10"/>
        <v>0.006715774416</v>
      </c>
      <c r="R223" s="7">
        <f t="shared" si="3"/>
        <v>0.1954889825</v>
      </c>
      <c r="S223" s="7">
        <f t="shared" si="4"/>
        <v>0.1004987562</v>
      </c>
      <c r="T223" s="7">
        <f t="shared" si="5"/>
        <v>0</v>
      </c>
      <c r="U223" s="7">
        <f t="shared" si="6"/>
        <v>0</v>
      </c>
      <c r="V223" s="7">
        <f t="shared" ref="V223:W223" si="449">IF(AVERAGE(T163:T222) &gt; 0.25, 1, 0)</f>
        <v>0</v>
      </c>
      <c r="W223" s="7">
        <f t="shared" si="449"/>
        <v>0</v>
      </c>
      <c r="X223" s="8">
        <v>0.0</v>
      </c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ht="22.5" customHeight="1">
      <c r="A224" s="6">
        <v>1123.0</v>
      </c>
      <c r="B224" s="6">
        <v>52871.0</v>
      </c>
      <c r="C224" s="10">
        <v>0.84</v>
      </c>
      <c r="D224" s="10">
        <v>9.74</v>
      </c>
      <c r="E224" s="10">
        <v>2.15</v>
      </c>
      <c r="F224" s="10">
        <v>-0.1</v>
      </c>
      <c r="G224" s="10">
        <v>0.0</v>
      </c>
      <c r="H224" s="10">
        <v>-0.01</v>
      </c>
      <c r="I224" s="10">
        <v>33.33</v>
      </c>
      <c r="J224" s="10">
        <f t="shared" ref="J224:O224" si="450">abs(C224-C223)/200</f>
        <v>0.00005</v>
      </c>
      <c r="K224" s="11">
        <f t="shared" si="450"/>
        <v>0.0001</v>
      </c>
      <c r="L224" s="12">
        <f t="shared" si="450"/>
        <v>0.0001</v>
      </c>
      <c r="M224" s="12">
        <f t="shared" si="450"/>
        <v>0</v>
      </c>
      <c r="N224" s="12">
        <f t="shared" si="450"/>
        <v>0</v>
      </c>
      <c r="O224" s="12">
        <f t="shared" si="450"/>
        <v>0</v>
      </c>
      <c r="P224" s="7">
        <f t="shared" si="9"/>
        <v>0</v>
      </c>
      <c r="Q224" s="7">
        <f t="shared" si="10"/>
        <v>0.01429123483</v>
      </c>
      <c r="R224" s="7">
        <f t="shared" si="3"/>
        <v>0.2097802174</v>
      </c>
      <c r="S224" s="7">
        <f t="shared" si="4"/>
        <v>0.1004987562</v>
      </c>
      <c r="T224" s="7">
        <f t="shared" si="5"/>
        <v>0</v>
      </c>
      <c r="U224" s="7">
        <f t="shared" si="6"/>
        <v>0</v>
      </c>
      <c r="V224" s="7">
        <f t="shared" ref="V224:W224" si="451">IF(AVERAGE(T164:T223) &gt; 0.25, 1, 0)</f>
        <v>0</v>
      </c>
      <c r="W224" s="7">
        <f t="shared" si="451"/>
        <v>0</v>
      </c>
      <c r="X224" s="8">
        <v>0.0</v>
      </c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ht="22.5" customHeight="1">
      <c r="A225" s="6">
        <v>1124.0</v>
      </c>
      <c r="B225" s="6">
        <v>53075.0</v>
      </c>
      <c r="C225" s="10">
        <v>0.83</v>
      </c>
      <c r="D225" s="10">
        <v>9.74</v>
      </c>
      <c r="E225" s="10">
        <v>2.17</v>
      </c>
      <c r="F225" s="10">
        <v>-0.09</v>
      </c>
      <c r="G225" s="10">
        <v>0.0</v>
      </c>
      <c r="H225" s="10">
        <v>-0.02</v>
      </c>
      <c r="I225" s="10">
        <v>33.34</v>
      </c>
      <c r="J225" s="10">
        <f t="shared" ref="J225:O225" si="452">abs(C225-C224)/200</f>
        <v>0.00005</v>
      </c>
      <c r="K225" s="11">
        <f t="shared" si="452"/>
        <v>0</v>
      </c>
      <c r="L225" s="12">
        <f t="shared" si="452"/>
        <v>0.0001</v>
      </c>
      <c r="M225" s="12">
        <f t="shared" si="452"/>
        <v>0.00005</v>
      </c>
      <c r="N225" s="12">
        <f t="shared" si="452"/>
        <v>0</v>
      </c>
      <c r="O225" s="12">
        <f t="shared" si="452"/>
        <v>0.00005</v>
      </c>
      <c r="P225" s="7">
        <f t="shared" si="9"/>
        <v>0.008303311638</v>
      </c>
      <c r="Q225" s="7">
        <f t="shared" si="10"/>
        <v>0.003480989652</v>
      </c>
      <c r="R225" s="7">
        <f t="shared" si="3"/>
        <v>0.213261207</v>
      </c>
      <c r="S225" s="7">
        <f t="shared" si="4"/>
        <v>0.09219544457</v>
      </c>
      <c r="T225" s="7">
        <f t="shared" si="5"/>
        <v>0</v>
      </c>
      <c r="U225" s="7">
        <f t="shared" si="6"/>
        <v>0</v>
      </c>
      <c r="V225" s="7">
        <f t="shared" ref="V225:W225" si="453">IF(AVERAGE(T165:T224) &gt; 0.25, 1, 0)</f>
        <v>0</v>
      </c>
      <c r="W225" s="7">
        <f t="shared" si="453"/>
        <v>0</v>
      </c>
      <c r="X225" s="8">
        <v>0.0</v>
      </c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ht="22.5" customHeight="1">
      <c r="A226" s="6">
        <v>1125.0</v>
      </c>
      <c r="B226" s="6">
        <v>53279.0</v>
      </c>
      <c r="C226" s="10">
        <v>0.82</v>
      </c>
      <c r="D226" s="10">
        <v>9.74</v>
      </c>
      <c r="E226" s="10">
        <v>2.16</v>
      </c>
      <c r="F226" s="10">
        <v>-0.1</v>
      </c>
      <c r="G226" s="10">
        <v>0.0</v>
      </c>
      <c r="H226" s="10">
        <v>-0.01</v>
      </c>
      <c r="I226" s="10">
        <v>33.34</v>
      </c>
      <c r="J226" s="10">
        <f t="shared" ref="J226:O226" si="454">abs(C226-C225)/200</f>
        <v>0.00005</v>
      </c>
      <c r="K226" s="11">
        <f t="shared" si="454"/>
        <v>0</v>
      </c>
      <c r="L226" s="12">
        <f t="shared" si="454"/>
        <v>0.00005</v>
      </c>
      <c r="M226" s="12">
        <f t="shared" si="454"/>
        <v>0.00005</v>
      </c>
      <c r="N226" s="12">
        <f t="shared" si="454"/>
        <v>0</v>
      </c>
      <c r="O226" s="12">
        <f t="shared" si="454"/>
        <v>0.00005</v>
      </c>
      <c r="P226" s="7">
        <f t="shared" si="9"/>
        <v>0.008303311638</v>
      </c>
      <c r="Q226" s="7">
        <f t="shared" si="10"/>
        <v>0.002986485515</v>
      </c>
      <c r="R226" s="7">
        <f t="shared" si="3"/>
        <v>0.2102747215</v>
      </c>
      <c r="S226" s="7">
        <f t="shared" si="4"/>
        <v>0.1004987562</v>
      </c>
      <c r="T226" s="7">
        <f t="shared" si="5"/>
        <v>0</v>
      </c>
      <c r="U226" s="7">
        <f t="shared" si="6"/>
        <v>0</v>
      </c>
      <c r="V226" s="7">
        <f t="shared" ref="V226:W226" si="455">IF(AVERAGE(T166:T225) &gt; 0.25, 1, 0)</f>
        <v>0</v>
      </c>
      <c r="W226" s="7">
        <f t="shared" si="455"/>
        <v>0</v>
      </c>
      <c r="X226" s="8">
        <v>0.0</v>
      </c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ht="22.5" customHeight="1">
      <c r="A227" s="6">
        <v>1126.0</v>
      </c>
      <c r="B227" s="6">
        <v>53483.0</v>
      </c>
      <c r="C227" s="10">
        <v>0.84</v>
      </c>
      <c r="D227" s="10">
        <v>9.74</v>
      </c>
      <c r="E227" s="10">
        <v>2.16</v>
      </c>
      <c r="F227" s="10">
        <v>-0.1</v>
      </c>
      <c r="G227" s="10">
        <v>0.0</v>
      </c>
      <c r="H227" s="10">
        <v>-0.01</v>
      </c>
      <c r="I227" s="10">
        <v>33.34</v>
      </c>
      <c r="J227" s="10">
        <f t="shared" ref="J227:O227" si="456">abs(C227-C226)/200</f>
        <v>0.0001</v>
      </c>
      <c r="K227" s="11">
        <f t="shared" si="456"/>
        <v>0</v>
      </c>
      <c r="L227" s="12">
        <f t="shared" si="456"/>
        <v>0</v>
      </c>
      <c r="M227" s="12">
        <f t="shared" si="456"/>
        <v>0</v>
      </c>
      <c r="N227" s="12">
        <f t="shared" si="456"/>
        <v>0</v>
      </c>
      <c r="O227" s="12">
        <f t="shared" si="456"/>
        <v>0</v>
      </c>
      <c r="P227" s="7">
        <f t="shared" si="9"/>
        <v>0</v>
      </c>
      <c r="Q227" s="7">
        <f t="shared" si="10"/>
        <v>0.001658158813</v>
      </c>
      <c r="R227" s="7">
        <f t="shared" si="3"/>
        <v>0.2119328803</v>
      </c>
      <c r="S227" s="7">
        <f t="shared" si="4"/>
        <v>0.1004987562</v>
      </c>
      <c r="T227" s="7">
        <f t="shared" si="5"/>
        <v>0</v>
      </c>
      <c r="U227" s="7">
        <f t="shared" si="6"/>
        <v>0</v>
      </c>
      <c r="V227" s="7">
        <f t="shared" ref="V227:W227" si="457">IF(AVERAGE(T167:T226) &gt; 0.25, 1, 0)</f>
        <v>0</v>
      </c>
      <c r="W227" s="7">
        <f t="shared" si="457"/>
        <v>0</v>
      </c>
      <c r="X227" s="8">
        <v>0.0</v>
      </c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ht="22.5" customHeight="1">
      <c r="A228" s="6">
        <v>1127.0</v>
      </c>
      <c r="B228" s="6">
        <v>53687.0</v>
      </c>
      <c r="C228" s="10">
        <v>0.84</v>
      </c>
      <c r="D228" s="10">
        <v>9.73</v>
      </c>
      <c r="E228" s="10">
        <v>2.17</v>
      </c>
      <c r="F228" s="10">
        <v>-0.09</v>
      </c>
      <c r="G228" s="10">
        <v>0.0</v>
      </c>
      <c r="H228" s="10">
        <v>-0.01</v>
      </c>
      <c r="I228" s="10">
        <v>33.34</v>
      </c>
      <c r="J228" s="10">
        <f t="shared" ref="J228:O228" si="458">abs(C228-C227)/200</f>
        <v>0</v>
      </c>
      <c r="K228" s="11">
        <f t="shared" si="458"/>
        <v>0.00005</v>
      </c>
      <c r="L228" s="12">
        <f t="shared" si="458"/>
        <v>0.00005</v>
      </c>
      <c r="M228" s="12">
        <f t="shared" si="458"/>
        <v>0.00005</v>
      </c>
      <c r="N228" s="12">
        <f t="shared" si="458"/>
        <v>0</v>
      </c>
      <c r="O228" s="12">
        <f t="shared" si="458"/>
        <v>0</v>
      </c>
      <c r="P228" s="7">
        <f t="shared" si="9"/>
        <v>0.00994490483</v>
      </c>
      <c r="Q228" s="7">
        <f t="shared" si="10"/>
        <v>0.007563834746</v>
      </c>
      <c r="R228" s="7">
        <f t="shared" si="3"/>
        <v>0.2043690456</v>
      </c>
      <c r="S228" s="7">
        <f t="shared" si="4"/>
        <v>0.09055385138</v>
      </c>
      <c r="T228" s="7">
        <f t="shared" si="5"/>
        <v>0</v>
      </c>
      <c r="U228" s="7">
        <f t="shared" si="6"/>
        <v>0</v>
      </c>
      <c r="V228" s="7">
        <f t="shared" ref="V228:W228" si="459">IF(AVERAGE(T168:T227) &gt; 0.25, 1, 0)</f>
        <v>0</v>
      </c>
      <c r="W228" s="7">
        <f t="shared" si="459"/>
        <v>0</v>
      </c>
      <c r="X228" s="8">
        <v>0.0</v>
      </c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ht="22.5" customHeight="1">
      <c r="A229" s="6">
        <v>1128.0</v>
      </c>
      <c r="B229" s="6">
        <v>53891.0</v>
      </c>
      <c r="C229" s="10">
        <v>0.85</v>
      </c>
      <c r="D229" s="10">
        <v>9.72</v>
      </c>
      <c r="E229" s="10">
        <v>2.14</v>
      </c>
      <c r="F229" s="10">
        <v>-0.09</v>
      </c>
      <c r="G229" s="10">
        <v>0.0</v>
      </c>
      <c r="H229" s="10">
        <v>-0.01</v>
      </c>
      <c r="I229" s="10">
        <v>33.34</v>
      </c>
      <c r="J229" s="10">
        <f t="shared" ref="J229:O229" si="460">abs(C229-C228)/200</f>
        <v>0.00005</v>
      </c>
      <c r="K229" s="11">
        <f t="shared" si="460"/>
        <v>0.00005</v>
      </c>
      <c r="L229" s="12">
        <f t="shared" si="460"/>
        <v>0.00015</v>
      </c>
      <c r="M229" s="12">
        <f t="shared" si="460"/>
        <v>0</v>
      </c>
      <c r="N229" s="12">
        <f t="shared" si="460"/>
        <v>0</v>
      </c>
      <c r="O229" s="12">
        <f t="shared" si="460"/>
        <v>0</v>
      </c>
      <c r="P229" s="7">
        <f t="shared" si="9"/>
        <v>0</v>
      </c>
      <c r="Q229" s="7">
        <f t="shared" si="10"/>
        <v>0.01535007472</v>
      </c>
      <c r="R229" s="7">
        <f t="shared" si="3"/>
        <v>0.1890189708</v>
      </c>
      <c r="S229" s="7">
        <f t="shared" si="4"/>
        <v>0.09055385138</v>
      </c>
      <c r="T229" s="7">
        <f t="shared" si="5"/>
        <v>0</v>
      </c>
      <c r="U229" s="7">
        <f t="shared" si="6"/>
        <v>0</v>
      </c>
      <c r="V229" s="7">
        <f t="shared" ref="V229:W229" si="461">IF(AVERAGE(T169:T228) &gt; 0.25, 1, 0)</f>
        <v>0</v>
      </c>
      <c r="W229" s="7">
        <f t="shared" si="461"/>
        <v>0</v>
      </c>
      <c r="X229" s="8">
        <v>0.0</v>
      </c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ht="22.5" customHeight="1">
      <c r="A230" s="6">
        <v>1129.0</v>
      </c>
      <c r="B230" s="6">
        <v>54095.0</v>
      </c>
      <c r="C230" s="10">
        <v>0.83</v>
      </c>
      <c r="D230" s="10">
        <v>9.73</v>
      </c>
      <c r="E230" s="10">
        <v>2.15</v>
      </c>
      <c r="F230" s="10">
        <v>-0.1</v>
      </c>
      <c r="G230" s="10">
        <v>0.0</v>
      </c>
      <c r="H230" s="10">
        <v>-0.01</v>
      </c>
      <c r="I230" s="10">
        <v>33.34</v>
      </c>
      <c r="J230" s="10">
        <f t="shared" ref="J230:O230" si="462">abs(C230-C229)/200</f>
        <v>0.0001</v>
      </c>
      <c r="K230" s="11">
        <f t="shared" si="462"/>
        <v>0.00005</v>
      </c>
      <c r="L230" s="12">
        <f t="shared" si="462"/>
        <v>0.00005</v>
      </c>
      <c r="M230" s="12">
        <f t="shared" si="462"/>
        <v>0.00005</v>
      </c>
      <c r="N230" s="12">
        <f t="shared" si="462"/>
        <v>0</v>
      </c>
      <c r="O230" s="12">
        <f t="shared" si="462"/>
        <v>0</v>
      </c>
      <c r="P230" s="7">
        <f t="shared" si="9"/>
        <v>0.00994490483</v>
      </c>
      <c r="Q230" s="7">
        <f t="shared" si="10"/>
        <v>0.01019599834</v>
      </c>
      <c r="R230" s="7">
        <f t="shared" si="3"/>
        <v>0.1992149692</v>
      </c>
      <c r="S230" s="7">
        <f t="shared" si="4"/>
        <v>0.1004987562</v>
      </c>
      <c r="T230" s="7">
        <f t="shared" si="5"/>
        <v>0</v>
      </c>
      <c r="U230" s="7">
        <f t="shared" si="6"/>
        <v>0</v>
      </c>
      <c r="V230" s="7">
        <f t="shared" ref="V230:W230" si="463">IF(AVERAGE(T170:T229) &gt; 0.25, 1, 0)</f>
        <v>0</v>
      </c>
      <c r="W230" s="7">
        <f t="shared" si="463"/>
        <v>0</v>
      </c>
      <c r="X230" s="8">
        <v>0.0</v>
      </c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ht="22.5" customHeight="1">
      <c r="A231" s="6">
        <v>1130.0</v>
      </c>
      <c r="B231" s="6">
        <v>54299.0</v>
      </c>
      <c r="C231" s="10">
        <v>0.87</v>
      </c>
      <c r="D231" s="10">
        <v>9.73</v>
      </c>
      <c r="E231" s="10">
        <v>2.11</v>
      </c>
      <c r="F231" s="10">
        <v>-0.1</v>
      </c>
      <c r="G231" s="10">
        <v>0.0</v>
      </c>
      <c r="H231" s="10">
        <v>-0.01</v>
      </c>
      <c r="I231" s="10">
        <v>33.33</v>
      </c>
      <c r="J231" s="10">
        <f t="shared" ref="J231:O231" si="464">abs(C231-C230)/200</f>
        <v>0.0002</v>
      </c>
      <c r="K231" s="11">
        <f t="shared" si="464"/>
        <v>0</v>
      </c>
      <c r="L231" s="12">
        <f t="shared" si="464"/>
        <v>0.0002</v>
      </c>
      <c r="M231" s="12">
        <f t="shared" si="464"/>
        <v>0</v>
      </c>
      <c r="N231" s="12">
        <f t="shared" si="464"/>
        <v>0</v>
      </c>
      <c r="O231" s="12">
        <f t="shared" si="464"/>
        <v>0</v>
      </c>
      <c r="P231" s="7">
        <f t="shared" si="9"/>
        <v>0</v>
      </c>
      <c r="Q231" s="7">
        <f t="shared" si="10"/>
        <v>0.005121713668</v>
      </c>
      <c r="R231" s="7">
        <f t="shared" si="3"/>
        <v>0.1940932555</v>
      </c>
      <c r="S231" s="7">
        <f t="shared" si="4"/>
        <v>0.1004987562</v>
      </c>
      <c r="T231" s="7">
        <f t="shared" si="5"/>
        <v>0</v>
      </c>
      <c r="U231" s="7">
        <f t="shared" si="6"/>
        <v>0</v>
      </c>
      <c r="V231" s="7">
        <f t="shared" ref="V231:W231" si="465">IF(AVERAGE(T171:T230) &gt; 0.25, 1, 0)</f>
        <v>0</v>
      </c>
      <c r="W231" s="7">
        <f t="shared" si="465"/>
        <v>0</v>
      </c>
      <c r="X231" s="8">
        <v>0.0</v>
      </c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ht="22.5" customHeight="1">
      <c r="A232" s="6">
        <v>1131.0</v>
      </c>
      <c r="B232" s="6">
        <v>54503.0</v>
      </c>
      <c r="C232" s="10">
        <v>0.83</v>
      </c>
      <c r="D232" s="10">
        <v>9.74</v>
      </c>
      <c r="E232" s="10">
        <v>2.15</v>
      </c>
      <c r="F232" s="10">
        <v>-0.09</v>
      </c>
      <c r="G232" s="10">
        <v>0.0</v>
      </c>
      <c r="H232" s="10">
        <v>-0.01</v>
      </c>
      <c r="I232" s="10">
        <v>33.35</v>
      </c>
      <c r="J232" s="10">
        <f t="shared" ref="J232:O232" si="466">abs(C232-C231)/200</f>
        <v>0.0002</v>
      </c>
      <c r="K232" s="11">
        <f t="shared" si="466"/>
        <v>0.00005</v>
      </c>
      <c r="L232" s="12">
        <f t="shared" si="466"/>
        <v>0.0002</v>
      </c>
      <c r="M232" s="12">
        <f t="shared" si="466"/>
        <v>0.00005</v>
      </c>
      <c r="N232" s="12">
        <f t="shared" si="466"/>
        <v>0</v>
      </c>
      <c r="O232" s="12">
        <f t="shared" si="466"/>
        <v>0</v>
      </c>
      <c r="P232" s="7">
        <f t="shared" si="9"/>
        <v>0.00994490483</v>
      </c>
      <c r="Q232" s="7">
        <f t="shared" si="10"/>
        <v>0.01485274294</v>
      </c>
      <c r="R232" s="7">
        <f t="shared" si="3"/>
        <v>0.2089459985</v>
      </c>
      <c r="S232" s="7">
        <f t="shared" si="4"/>
        <v>0.09055385138</v>
      </c>
      <c r="T232" s="7">
        <f t="shared" si="5"/>
        <v>0</v>
      </c>
      <c r="U232" s="7">
        <f t="shared" si="6"/>
        <v>0</v>
      </c>
      <c r="V232" s="7">
        <f t="shared" ref="V232:W232" si="467">IF(AVERAGE(T172:T231) &gt; 0.25, 1, 0)</f>
        <v>0</v>
      </c>
      <c r="W232" s="7">
        <f t="shared" si="467"/>
        <v>0</v>
      </c>
      <c r="X232" s="8">
        <v>0.0</v>
      </c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ht="22.5" customHeight="1">
      <c r="A233" s="6">
        <v>1132.0</v>
      </c>
      <c r="B233" s="6">
        <v>54707.0</v>
      </c>
      <c r="C233" s="10">
        <v>0.84</v>
      </c>
      <c r="D233" s="10">
        <v>9.74</v>
      </c>
      <c r="E233" s="10">
        <v>2.16</v>
      </c>
      <c r="F233" s="10">
        <v>-0.1</v>
      </c>
      <c r="G233" s="10">
        <v>0.0</v>
      </c>
      <c r="H233" s="10">
        <v>-0.01</v>
      </c>
      <c r="I233" s="10">
        <v>33.34</v>
      </c>
      <c r="J233" s="10">
        <f t="shared" ref="J233:O233" si="468">abs(C233-C232)/200</f>
        <v>0.00005</v>
      </c>
      <c r="K233" s="11">
        <f t="shared" si="468"/>
        <v>0</v>
      </c>
      <c r="L233" s="12">
        <f t="shared" si="468"/>
        <v>0.00005</v>
      </c>
      <c r="M233" s="12">
        <f t="shared" si="468"/>
        <v>0.00005</v>
      </c>
      <c r="N233" s="12">
        <f t="shared" si="468"/>
        <v>0</v>
      </c>
      <c r="O233" s="12">
        <f t="shared" si="468"/>
        <v>0</v>
      </c>
      <c r="P233" s="7">
        <f t="shared" si="9"/>
        <v>0.00994490483</v>
      </c>
      <c r="Q233" s="7">
        <f t="shared" si="10"/>
        <v>0.002986881863</v>
      </c>
      <c r="R233" s="7">
        <f t="shared" si="3"/>
        <v>0.2119328803</v>
      </c>
      <c r="S233" s="7">
        <f t="shared" si="4"/>
        <v>0.1004987562</v>
      </c>
      <c r="T233" s="7">
        <f t="shared" si="5"/>
        <v>0</v>
      </c>
      <c r="U233" s="7">
        <f t="shared" si="6"/>
        <v>0</v>
      </c>
      <c r="V233" s="7">
        <f t="shared" ref="V233:W233" si="469">IF(AVERAGE(T173:T232) &gt; 0.25, 1, 0)</f>
        <v>0</v>
      </c>
      <c r="W233" s="7">
        <f t="shared" si="469"/>
        <v>0</v>
      </c>
      <c r="X233" s="8">
        <v>0.0</v>
      </c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ht="22.5" customHeight="1">
      <c r="A234" s="6">
        <v>1133.0</v>
      </c>
      <c r="B234" s="6">
        <v>54911.0</v>
      </c>
      <c r="C234" s="10">
        <v>0.86</v>
      </c>
      <c r="D234" s="10">
        <v>9.73</v>
      </c>
      <c r="E234" s="10">
        <v>2.17</v>
      </c>
      <c r="F234" s="10">
        <v>-0.1</v>
      </c>
      <c r="G234" s="10">
        <v>0.0</v>
      </c>
      <c r="H234" s="10">
        <v>-0.01</v>
      </c>
      <c r="I234" s="10">
        <v>33.35</v>
      </c>
      <c r="J234" s="10">
        <f t="shared" ref="J234:O234" si="470">abs(C234-C233)/200</f>
        <v>0.0001</v>
      </c>
      <c r="K234" s="11">
        <f t="shared" si="470"/>
        <v>0.00005</v>
      </c>
      <c r="L234" s="12">
        <f t="shared" si="470"/>
        <v>0.00005</v>
      </c>
      <c r="M234" s="12">
        <f t="shared" si="470"/>
        <v>0</v>
      </c>
      <c r="N234" s="12">
        <f t="shared" si="470"/>
        <v>0</v>
      </c>
      <c r="O234" s="12">
        <f t="shared" si="470"/>
        <v>0</v>
      </c>
      <c r="P234" s="7">
        <f t="shared" si="9"/>
        <v>0</v>
      </c>
      <c r="Q234" s="7">
        <f t="shared" si="10"/>
        <v>0.005864721446</v>
      </c>
      <c r="R234" s="7">
        <f t="shared" si="3"/>
        <v>0.2060681589</v>
      </c>
      <c r="S234" s="7">
        <f t="shared" si="4"/>
        <v>0.1004987562</v>
      </c>
      <c r="T234" s="7">
        <f t="shared" si="5"/>
        <v>0</v>
      </c>
      <c r="U234" s="7">
        <f t="shared" si="6"/>
        <v>0</v>
      </c>
      <c r="V234" s="7">
        <f t="shared" ref="V234:W234" si="471">IF(AVERAGE(T174:T233) &gt; 0.25, 1, 0)</f>
        <v>0</v>
      </c>
      <c r="W234" s="7">
        <f t="shared" si="471"/>
        <v>0</v>
      </c>
      <c r="X234" s="8">
        <v>0.0</v>
      </c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ht="22.5" customHeight="1">
      <c r="A235" s="6">
        <v>1134.0</v>
      </c>
      <c r="B235" s="6">
        <v>55115.0</v>
      </c>
      <c r="C235" s="10">
        <v>0.84</v>
      </c>
      <c r="D235" s="10">
        <v>9.74</v>
      </c>
      <c r="E235" s="10">
        <v>2.18</v>
      </c>
      <c r="F235" s="10">
        <v>-0.1</v>
      </c>
      <c r="G235" s="10">
        <v>0.0</v>
      </c>
      <c r="H235" s="10">
        <v>-0.01</v>
      </c>
      <c r="I235" s="10">
        <v>33.35</v>
      </c>
      <c r="J235" s="10">
        <f t="shared" ref="J235:O235" si="472">abs(C235-C234)/200</f>
        <v>0.0001</v>
      </c>
      <c r="K235" s="11">
        <f t="shared" si="472"/>
        <v>0.00005</v>
      </c>
      <c r="L235" s="12">
        <f t="shared" si="472"/>
        <v>0.00005</v>
      </c>
      <c r="M235" s="12">
        <f t="shared" si="472"/>
        <v>0</v>
      </c>
      <c r="N235" s="12">
        <f t="shared" si="472"/>
        <v>0</v>
      </c>
      <c r="O235" s="12">
        <f t="shared" si="472"/>
        <v>0</v>
      </c>
      <c r="P235" s="7">
        <f t="shared" si="9"/>
        <v>0</v>
      </c>
      <c r="Q235" s="7">
        <f t="shared" si="10"/>
        <v>0.01019861074</v>
      </c>
      <c r="R235" s="7">
        <f t="shared" si="3"/>
        <v>0.2162667696</v>
      </c>
      <c r="S235" s="7">
        <f t="shared" si="4"/>
        <v>0.1004987562</v>
      </c>
      <c r="T235" s="7">
        <f t="shared" si="5"/>
        <v>0</v>
      </c>
      <c r="U235" s="7">
        <f t="shared" si="6"/>
        <v>0</v>
      </c>
      <c r="V235" s="7">
        <f t="shared" ref="V235:W235" si="473">IF(AVERAGE(T175:T234) &gt; 0.25, 1, 0)</f>
        <v>0</v>
      </c>
      <c r="W235" s="7">
        <f t="shared" si="473"/>
        <v>0</v>
      </c>
      <c r="X235" s="8">
        <v>0.0</v>
      </c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ht="22.5" customHeight="1">
      <c r="A236" s="6">
        <v>1135.0</v>
      </c>
      <c r="B236" s="6">
        <v>55319.0</v>
      </c>
      <c r="C236" s="10">
        <v>0.85</v>
      </c>
      <c r="D236" s="10">
        <v>9.73</v>
      </c>
      <c r="E236" s="10">
        <v>2.16</v>
      </c>
      <c r="F236" s="10">
        <v>-0.1</v>
      </c>
      <c r="G236" s="10">
        <v>0.0</v>
      </c>
      <c r="H236" s="10">
        <v>-0.01</v>
      </c>
      <c r="I236" s="10">
        <v>33.35</v>
      </c>
      <c r="J236" s="10">
        <f t="shared" ref="J236:O236" si="474">abs(C236-C235)/200</f>
        <v>0.00005</v>
      </c>
      <c r="K236" s="11">
        <f t="shared" si="474"/>
        <v>0.00005</v>
      </c>
      <c r="L236" s="12">
        <f t="shared" si="474"/>
        <v>0.0001</v>
      </c>
      <c r="M236" s="12">
        <f t="shared" si="474"/>
        <v>0</v>
      </c>
      <c r="N236" s="12">
        <f t="shared" si="474"/>
        <v>0</v>
      </c>
      <c r="O236" s="12">
        <f t="shared" si="474"/>
        <v>0</v>
      </c>
      <c r="P236" s="7">
        <f t="shared" si="9"/>
        <v>0</v>
      </c>
      <c r="Q236" s="7">
        <f t="shared" si="10"/>
        <v>0.01321723459</v>
      </c>
      <c r="R236" s="7">
        <f t="shared" si="3"/>
        <v>0.203049535</v>
      </c>
      <c r="S236" s="7">
        <f t="shared" si="4"/>
        <v>0.1004987562</v>
      </c>
      <c r="T236" s="7">
        <f t="shared" si="5"/>
        <v>0</v>
      </c>
      <c r="U236" s="7">
        <f t="shared" si="6"/>
        <v>0</v>
      </c>
      <c r="V236" s="7">
        <f t="shared" ref="V236:W236" si="475">IF(AVERAGE(T176:T235) &gt; 0.25, 1, 0)</f>
        <v>0</v>
      </c>
      <c r="W236" s="7">
        <f t="shared" si="475"/>
        <v>0</v>
      </c>
      <c r="X236" s="8">
        <v>0.0</v>
      </c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ht="22.5" customHeight="1">
      <c r="A237" s="6">
        <v>1136.0</v>
      </c>
      <c r="B237" s="6">
        <v>55523.0</v>
      </c>
      <c r="C237" s="10">
        <v>0.85</v>
      </c>
      <c r="D237" s="10">
        <v>9.74</v>
      </c>
      <c r="E237" s="10">
        <v>2.16</v>
      </c>
      <c r="F237" s="10">
        <v>-0.09</v>
      </c>
      <c r="G237" s="10">
        <v>0.0</v>
      </c>
      <c r="H237" s="10">
        <v>-0.01</v>
      </c>
      <c r="I237" s="10">
        <v>33.36</v>
      </c>
      <c r="J237" s="10">
        <f t="shared" ref="J237:O237" si="476">abs(C237-C236)/200</f>
        <v>0</v>
      </c>
      <c r="K237" s="11">
        <f t="shared" si="476"/>
        <v>0.00005</v>
      </c>
      <c r="L237" s="12">
        <f t="shared" si="476"/>
        <v>0</v>
      </c>
      <c r="M237" s="12">
        <f t="shared" si="476"/>
        <v>0.00005</v>
      </c>
      <c r="N237" s="12">
        <f t="shared" si="476"/>
        <v>0</v>
      </c>
      <c r="O237" s="12">
        <f t="shared" si="476"/>
        <v>0</v>
      </c>
      <c r="P237" s="7">
        <f t="shared" si="9"/>
        <v>0.00994490483</v>
      </c>
      <c r="Q237" s="7">
        <f t="shared" si="10"/>
        <v>0.009727302604</v>
      </c>
      <c r="R237" s="7">
        <f t="shared" si="3"/>
        <v>0.2127768376</v>
      </c>
      <c r="S237" s="7">
        <f t="shared" si="4"/>
        <v>0.09055385138</v>
      </c>
      <c r="T237" s="7">
        <f t="shared" si="5"/>
        <v>0</v>
      </c>
      <c r="U237" s="7">
        <f t="shared" si="6"/>
        <v>0</v>
      </c>
      <c r="V237" s="7">
        <f t="shared" ref="V237:W237" si="477">IF(AVERAGE(T177:T236) &gt; 0.25, 1, 0)</f>
        <v>0</v>
      </c>
      <c r="W237" s="7">
        <f t="shared" si="477"/>
        <v>0</v>
      </c>
      <c r="X237" s="8">
        <v>0.0</v>
      </c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ht="22.5" customHeight="1">
      <c r="A238" s="6">
        <v>1137.0</v>
      </c>
      <c r="B238" s="6">
        <v>55727.0</v>
      </c>
      <c r="C238" s="10">
        <v>0.85</v>
      </c>
      <c r="D238" s="10">
        <v>9.74</v>
      </c>
      <c r="E238" s="10">
        <v>2.15</v>
      </c>
      <c r="F238" s="10">
        <v>-0.1</v>
      </c>
      <c r="G238" s="10">
        <v>0.0</v>
      </c>
      <c r="H238" s="10">
        <v>-0.02</v>
      </c>
      <c r="I238" s="10">
        <v>33.35</v>
      </c>
      <c r="J238" s="10">
        <f t="shared" ref="J238:O238" si="478">abs(C238-C237)/200</f>
        <v>0</v>
      </c>
      <c r="K238" s="11">
        <f t="shared" si="478"/>
        <v>0</v>
      </c>
      <c r="L238" s="12">
        <f t="shared" si="478"/>
        <v>0.00005</v>
      </c>
      <c r="M238" s="12">
        <f t="shared" si="478"/>
        <v>0.00005</v>
      </c>
      <c r="N238" s="12">
        <f t="shared" si="478"/>
        <v>0</v>
      </c>
      <c r="O238" s="12">
        <f t="shared" si="478"/>
        <v>0.00005</v>
      </c>
      <c r="P238" s="7">
        <f t="shared" si="9"/>
        <v>0.01142653889</v>
      </c>
      <c r="Q238" s="7">
        <f t="shared" si="10"/>
        <v>0.002152481468</v>
      </c>
      <c r="R238" s="7">
        <f t="shared" si="3"/>
        <v>0.2106243562</v>
      </c>
      <c r="S238" s="7">
        <f t="shared" si="4"/>
        <v>0.1019803903</v>
      </c>
      <c r="T238" s="7">
        <f t="shared" si="5"/>
        <v>0</v>
      </c>
      <c r="U238" s="7">
        <f t="shared" si="6"/>
        <v>0</v>
      </c>
      <c r="V238" s="7">
        <f t="shared" ref="V238:W238" si="479">IF(AVERAGE(T178:T237) &gt; 0.25, 1, 0)</f>
        <v>0</v>
      </c>
      <c r="W238" s="7">
        <f t="shared" si="479"/>
        <v>0</v>
      </c>
      <c r="X238" s="8">
        <v>0.0</v>
      </c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ht="22.5" customHeight="1">
      <c r="A239" s="6">
        <v>1138.0</v>
      </c>
      <c r="B239" s="6">
        <v>55931.0</v>
      </c>
      <c r="C239" s="10">
        <v>0.82</v>
      </c>
      <c r="D239" s="10">
        <v>9.75</v>
      </c>
      <c r="E239" s="10">
        <v>2.15</v>
      </c>
      <c r="F239" s="10">
        <v>-0.09</v>
      </c>
      <c r="G239" s="10">
        <v>0.0</v>
      </c>
      <c r="H239" s="10">
        <v>-0.01</v>
      </c>
      <c r="I239" s="10">
        <v>33.35</v>
      </c>
      <c r="J239" s="10">
        <f t="shared" ref="J239:O239" si="480">abs(C239-C238)/200</f>
        <v>0.00015</v>
      </c>
      <c r="K239" s="11">
        <f t="shared" si="480"/>
        <v>0.00005</v>
      </c>
      <c r="L239" s="12">
        <f t="shared" si="480"/>
        <v>0</v>
      </c>
      <c r="M239" s="12">
        <f t="shared" si="480"/>
        <v>0.00005</v>
      </c>
      <c r="N239" s="12">
        <f t="shared" si="480"/>
        <v>0</v>
      </c>
      <c r="O239" s="12">
        <f t="shared" si="480"/>
        <v>0.00005</v>
      </c>
      <c r="P239" s="7">
        <f t="shared" si="9"/>
        <v>0.01142653889</v>
      </c>
      <c r="Q239" s="7">
        <f t="shared" si="10"/>
        <v>0.007229705471</v>
      </c>
      <c r="R239" s="7">
        <f t="shared" si="3"/>
        <v>0.2178540616</v>
      </c>
      <c r="S239" s="7">
        <f t="shared" si="4"/>
        <v>0.09055385138</v>
      </c>
      <c r="T239" s="7">
        <f t="shared" si="5"/>
        <v>0</v>
      </c>
      <c r="U239" s="7">
        <f t="shared" si="6"/>
        <v>0</v>
      </c>
      <c r="V239" s="7">
        <f t="shared" ref="V239:W239" si="481">IF(AVERAGE(T179:T238) &gt; 0.25, 1, 0)</f>
        <v>0</v>
      </c>
      <c r="W239" s="7">
        <f t="shared" si="481"/>
        <v>0</v>
      </c>
      <c r="X239" s="8">
        <v>0.0</v>
      </c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ht="22.5" customHeight="1">
      <c r="A240" s="6">
        <v>1139.0</v>
      </c>
      <c r="B240" s="6">
        <v>56135.0</v>
      </c>
      <c r="C240" s="10">
        <v>0.84</v>
      </c>
      <c r="D240" s="10">
        <v>9.73</v>
      </c>
      <c r="E240" s="10">
        <v>2.16</v>
      </c>
      <c r="F240" s="10">
        <v>-0.1</v>
      </c>
      <c r="G240" s="10">
        <v>0.0</v>
      </c>
      <c r="H240" s="10">
        <v>-0.01</v>
      </c>
      <c r="I240" s="10">
        <v>33.34</v>
      </c>
      <c r="J240" s="10">
        <f t="shared" ref="J240:O240" si="482">abs(C240-C239)/200</f>
        <v>0.0001</v>
      </c>
      <c r="K240" s="11">
        <f t="shared" si="482"/>
        <v>0.0001</v>
      </c>
      <c r="L240" s="12">
        <f t="shared" si="482"/>
        <v>0.00005</v>
      </c>
      <c r="M240" s="12">
        <f t="shared" si="482"/>
        <v>0.00005</v>
      </c>
      <c r="N240" s="12">
        <f t="shared" si="482"/>
        <v>0</v>
      </c>
      <c r="O240" s="12">
        <f t="shared" si="482"/>
        <v>0</v>
      </c>
      <c r="P240" s="7">
        <f t="shared" si="9"/>
        <v>0.00994490483</v>
      </c>
      <c r="Q240" s="7">
        <f t="shared" si="10"/>
        <v>0.01564930467</v>
      </c>
      <c r="R240" s="7">
        <f t="shared" si="3"/>
        <v>0.202204757</v>
      </c>
      <c r="S240" s="7">
        <f t="shared" si="4"/>
        <v>0.1004987562</v>
      </c>
      <c r="T240" s="7">
        <f t="shared" si="5"/>
        <v>0</v>
      </c>
      <c r="U240" s="7">
        <f t="shared" si="6"/>
        <v>0</v>
      </c>
      <c r="V240" s="7">
        <f t="shared" ref="V240:W240" si="483">IF(AVERAGE(T180:T239) &gt; 0.25, 1, 0)</f>
        <v>0</v>
      </c>
      <c r="W240" s="7">
        <f t="shared" si="483"/>
        <v>0</v>
      </c>
      <c r="X240" s="8">
        <v>0.0</v>
      </c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ht="22.5" customHeight="1">
      <c r="A241" s="6">
        <v>1140.0</v>
      </c>
      <c r="B241" s="6">
        <v>56339.0</v>
      </c>
      <c r="C241" s="10">
        <v>0.84</v>
      </c>
      <c r="D241" s="10">
        <v>9.74</v>
      </c>
      <c r="E241" s="10">
        <v>2.16</v>
      </c>
      <c r="F241" s="10">
        <v>-0.1</v>
      </c>
      <c r="G241" s="10">
        <v>0.0</v>
      </c>
      <c r="H241" s="10">
        <v>-0.01</v>
      </c>
      <c r="I241" s="10">
        <v>33.34</v>
      </c>
      <c r="J241" s="10">
        <f t="shared" ref="J241:O241" si="484">abs(C241-C240)/200</f>
        <v>0</v>
      </c>
      <c r="K241" s="11">
        <f t="shared" si="484"/>
        <v>0.00005</v>
      </c>
      <c r="L241" s="12">
        <f t="shared" si="484"/>
        <v>0</v>
      </c>
      <c r="M241" s="12">
        <f t="shared" si="484"/>
        <v>0</v>
      </c>
      <c r="N241" s="12">
        <f t="shared" si="484"/>
        <v>0</v>
      </c>
      <c r="O241" s="12">
        <f t="shared" si="484"/>
        <v>0</v>
      </c>
      <c r="P241" s="7">
        <f t="shared" si="9"/>
        <v>0</v>
      </c>
      <c r="Q241" s="7">
        <f t="shared" si="10"/>
        <v>0.009728123366</v>
      </c>
      <c r="R241" s="7">
        <f t="shared" si="3"/>
        <v>0.2119328803</v>
      </c>
      <c r="S241" s="7">
        <f t="shared" si="4"/>
        <v>0.1004987562</v>
      </c>
      <c r="T241" s="7">
        <f t="shared" si="5"/>
        <v>0</v>
      </c>
      <c r="U241" s="7">
        <f t="shared" si="6"/>
        <v>0</v>
      </c>
      <c r="V241" s="7">
        <f t="shared" ref="V241:W241" si="485">IF(AVERAGE(T181:T240) &gt; 0.25, 1, 0)</f>
        <v>0</v>
      </c>
      <c r="W241" s="7">
        <f t="shared" si="485"/>
        <v>0</v>
      </c>
      <c r="X241" s="8">
        <v>0.0</v>
      </c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ht="22.5" customHeight="1">
      <c r="A242" s="6">
        <v>1141.0</v>
      </c>
      <c r="B242" s="6">
        <v>56543.0</v>
      </c>
      <c r="C242" s="10">
        <v>0.85</v>
      </c>
      <c r="D242" s="10">
        <v>9.73</v>
      </c>
      <c r="E242" s="10">
        <v>2.14</v>
      </c>
      <c r="F242" s="10">
        <v>-0.09</v>
      </c>
      <c r="G242" s="10">
        <v>0.0</v>
      </c>
      <c r="H242" s="10">
        <v>-0.01</v>
      </c>
      <c r="I242" s="10">
        <v>33.35</v>
      </c>
      <c r="J242" s="10">
        <f t="shared" ref="J242:O242" si="486">abs(C242-C241)/200</f>
        <v>0.00005</v>
      </c>
      <c r="K242" s="11">
        <f t="shared" si="486"/>
        <v>0.00005</v>
      </c>
      <c r="L242" s="12">
        <f t="shared" si="486"/>
        <v>0.0001</v>
      </c>
      <c r="M242" s="12">
        <f t="shared" si="486"/>
        <v>0.00005</v>
      </c>
      <c r="N242" s="12">
        <f t="shared" si="486"/>
        <v>0</v>
      </c>
      <c r="O242" s="12">
        <f t="shared" si="486"/>
        <v>0</v>
      </c>
      <c r="P242" s="7">
        <f t="shared" si="9"/>
        <v>0.00994490483</v>
      </c>
      <c r="Q242" s="7">
        <f t="shared" si="10"/>
        <v>0.01318295845</v>
      </c>
      <c r="R242" s="7">
        <f t="shared" si="3"/>
        <v>0.1987499219</v>
      </c>
      <c r="S242" s="7">
        <f t="shared" si="4"/>
        <v>0.09055385138</v>
      </c>
      <c r="T242" s="7">
        <f t="shared" si="5"/>
        <v>0</v>
      </c>
      <c r="U242" s="7">
        <f t="shared" si="6"/>
        <v>0</v>
      </c>
      <c r="V242" s="7">
        <f t="shared" ref="V242:W242" si="487">IF(AVERAGE(T182:T241) &gt; 0.25, 1, 0)</f>
        <v>0</v>
      </c>
      <c r="W242" s="7">
        <f t="shared" si="487"/>
        <v>0</v>
      </c>
      <c r="X242" s="8">
        <v>0.0</v>
      </c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ht="22.5" customHeight="1">
      <c r="A243" s="6">
        <v>1142.0</v>
      </c>
      <c r="B243" s="6">
        <v>56747.0</v>
      </c>
      <c r="C243" s="10">
        <v>0.86</v>
      </c>
      <c r="D243" s="10">
        <v>9.72</v>
      </c>
      <c r="E243" s="10">
        <v>2.12</v>
      </c>
      <c r="F243" s="10">
        <v>-0.09</v>
      </c>
      <c r="G243" s="10">
        <v>0.0</v>
      </c>
      <c r="H243" s="10">
        <v>-0.01</v>
      </c>
      <c r="I243" s="10">
        <v>33.34</v>
      </c>
      <c r="J243" s="10">
        <f t="shared" ref="J243:O243" si="488">abs(C243-C242)/200</f>
        <v>0.00005</v>
      </c>
      <c r="K243" s="11">
        <f t="shared" si="488"/>
        <v>0.00005</v>
      </c>
      <c r="L243" s="12">
        <f t="shared" si="488"/>
        <v>0.0001</v>
      </c>
      <c r="M243" s="12">
        <f t="shared" si="488"/>
        <v>0</v>
      </c>
      <c r="N243" s="12">
        <f t="shared" si="488"/>
        <v>0</v>
      </c>
      <c r="O243" s="12">
        <f t="shared" si="488"/>
        <v>0</v>
      </c>
      <c r="P243" s="7">
        <f t="shared" si="9"/>
        <v>0</v>
      </c>
      <c r="Q243" s="7">
        <f t="shared" si="10"/>
        <v>0.01314027598</v>
      </c>
      <c r="R243" s="7">
        <f t="shared" si="3"/>
        <v>0.1856096459</v>
      </c>
      <c r="S243" s="7">
        <f t="shared" si="4"/>
        <v>0.09055385138</v>
      </c>
      <c r="T243" s="7">
        <f t="shared" si="5"/>
        <v>0</v>
      </c>
      <c r="U243" s="7">
        <f t="shared" si="6"/>
        <v>0</v>
      </c>
      <c r="V243" s="7">
        <f t="shared" ref="V243:W243" si="489">IF(AVERAGE(T183:T242) &gt; 0.25, 1, 0)</f>
        <v>0</v>
      </c>
      <c r="W243" s="7">
        <f t="shared" si="489"/>
        <v>0</v>
      </c>
      <c r="X243" s="8">
        <v>0.0</v>
      </c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ht="22.5" customHeight="1">
      <c r="A244" s="6">
        <v>1143.0</v>
      </c>
      <c r="B244" s="6">
        <v>56951.0</v>
      </c>
      <c r="C244" s="10">
        <v>0.83</v>
      </c>
      <c r="D244" s="10">
        <v>9.74</v>
      </c>
      <c r="E244" s="10">
        <v>2.14</v>
      </c>
      <c r="F244" s="10">
        <v>-0.1</v>
      </c>
      <c r="G244" s="10">
        <v>0.0</v>
      </c>
      <c r="H244" s="10">
        <v>-0.01</v>
      </c>
      <c r="I244" s="10">
        <v>33.35</v>
      </c>
      <c r="J244" s="10">
        <f t="shared" ref="J244:O244" si="490">abs(C244-C243)/200</f>
        <v>0.00015</v>
      </c>
      <c r="K244" s="11">
        <f t="shared" si="490"/>
        <v>0.0001</v>
      </c>
      <c r="L244" s="12">
        <f t="shared" si="490"/>
        <v>0.0001</v>
      </c>
      <c r="M244" s="12">
        <f t="shared" si="490"/>
        <v>0.00005</v>
      </c>
      <c r="N244" s="12">
        <f t="shared" si="490"/>
        <v>0</v>
      </c>
      <c r="O244" s="12">
        <f t="shared" si="490"/>
        <v>0</v>
      </c>
      <c r="P244" s="7">
        <f t="shared" si="9"/>
        <v>0.00994490483</v>
      </c>
      <c r="Q244" s="7">
        <f t="shared" si="10"/>
        <v>0.02119304029</v>
      </c>
      <c r="R244" s="7">
        <f t="shared" si="3"/>
        <v>0.2068026862</v>
      </c>
      <c r="S244" s="7">
        <f t="shared" si="4"/>
        <v>0.1004987562</v>
      </c>
      <c r="T244" s="7">
        <f t="shared" si="5"/>
        <v>0</v>
      </c>
      <c r="U244" s="7">
        <f t="shared" si="6"/>
        <v>0</v>
      </c>
      <c r="V244" s="7">
        <f t="shared" ref="V244:W244" si="491">IF(AVERAGE(T184:T243) &gt; 0.25, 1, 0)</f>
        <v>0</v>
      </c>
      <c r="W244" s="7">
        <f t="shared" si="491"/>
        <v>0</v>
      </c>
      <c r="X244" s="8">
        <v>0.0</v>
      </c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ht="22.5" customHeight="1">
      <c r="A245" s="6">
        <v>1144.0</v>
      </c>
      <c r="B245" s="6">
        <v>57155.0</v>
      </c>
      <c r="C245" s="10">
        <v>0.86</v>
      </c>
      <c r="D245" s="10">
        <v>9.73</v>
      </c>
      <c r="E245" s="10">
        <v>2.14</v>
      </c>
      <c r="F245" s="10">
        <v>-0.1</v>
      </c>
      <c r="G245" s="10">
        <v>0.0</v>
      </c>
      <c r="H245" s="10">
        <v>-0.01</v>
      </c>
      <c r="I245" s="10">
        <v>33.35</v>
      </c>
      <c r="J245" s="10">
        <f t="shared" ref="J245:O245" si="492">abs(C245-C244)/200</f>
        <v>0.00015</v>
      </c>
      <c r="K245" s="11">
        <f t="shared" si="492"/>
        <v>0.00005</v>
      </c>
      <c r="L245" s="12">
        <f t="shared" si="492"/>
        <v>0</v>
      </c>
      <c r="M245" s="12">
        <f t="shared" si="492"/>
        <v>0</v>
      </c>
      <c r="N245" s="12">
        <f t="shared" si="492"/>
        <v>0</v>
      </c>
      <c r="O245" s="12">
        <f t="shared" si="492"/>
        <v>0</v>
      </c>
      <c r="P245" s="7">
        <f t="shared" si="9"/>
        <v>0</v>
      </c>
      <c r="Q245" s="7">
        <f t="shared" si="10"/>
        <v>0.007197693975</v>
      </c>
      <c r="R245" s="7">
        <f t="shared" si="3"/>
        <v>0.1996049922</v>
      </c>
      <c r="S245" s="7">
        <f t="shared" si="4"/>
        <v>0.1004987562</v>
      </c>
      <c r="T245" s="7">
        <f t="shared" si="5"/>
        <v>0</v>
      </c>
      <c r="U245" s="7">
        <f t="shared" si="6"/>
        <v>0</v>
      </c>
      <c r="V245" s="7">
        <f t="shared" ref="V245:W245" si="493">IF(AVERAGE(T185:T244) &gt; 0.25, 1, 0)</f>
        <v>0</v>
      </c>
      <c r="W245" s="7">
        <f t="shared" si="493"/>
        <v>0</v>
      </c>
      <c r="X245" s="8">
        <v>0.0</v>
      </c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ht="22.5" customHeight="1">
      <c r="A246" s="6">
        <v>1145.0</v>
      </c>
      <c r="B246" s="6">
        <v>57359.0</v>
      </c>
      <c r="C246" s="10">
        <v>0.86</v>
      </c>
      <c r="D246" s="10">
        <v>9.73</v>
      </c>
      <c r="E246" s="10">
        <v>2.14</v>
      </c>
      <c r="F246" s="10">
        <v>-0.1</v>
      </c>
      <c r="G246" s="10">
        <v>0.0</v>
      </c>
      <c r="H246" s="10">
        <v>-0.01</v>
      </c>
      <c r="I246" s="10">
        <v>33.36</v>
      </c>
      <c r="J246" s="10">
        <f t="shared" ref="J246:O246" si="494">abs(C246-C245)/200</f>
        <v>0</v>
      </c>
      <c r="K246" s="11">
        <f t="shared" si="494"/>
        <v>0</v>
      </c>
      <c r="L246" s="12">
        <f t="shared" si="494"/>
        <v>0</v>
      </c>
      <c r="M246" s="12">
        <f t="shared" si="494"/>
        <v>0</v>
      </c>
      <c r="N246" s="12">
        <f t="shared" si="494"/>
        <v>0</v>
      </c>
      <c r="O246" s="12">
        <f t="shared" si="494"/>
        <v>0</v>
      </c>
      <c r="P246" s="7">
        <f t="shared" si="9"/>
        <v>0</v>
      </c>
      <c r="Q246" s="7">
        <f t="shared" si="10"/>
        <v>0</v>
      </c>
      <c r="R246" s="7">
        <f t="shared" si="3"/>
        <v>0.1996049922</v>
      </c>
      <c r="S246" s="7">
        <f t="shared" si="4"/>
        <v>0.1004987562</v>
      </c>
      <c r="T246" s="7">
        <f t="shared" si="5"/>
        <v>0</v>
      </c>
      <c r="U246" s="7">
        <f t="shared" si="6"/>
        <v>0</v>
      </c>
      <c r="V246" s="7">
        <f t="shared" ref="V246:W246" si="495">IF(AVERAGE(T186:T245) &gt; 0.25, 1, 0)</f>
        <v>0</v>
      </c>
      <c r="W246" s="7">
        <f t="shared" si="495"/>
        <v>0</v>
      </c>
      <c r="X246" s="8">
        <v>0.0</v>
      </c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ht="22.5" customHeight="1">
      <c r="A247" s="6">
        <v>1146.0</v>
      </c>
      <c r="B247" s="6">
        <v>57563.0</v>
      </c>
      <c r="C247" s="10">
        <v>0.87</v>
      </c>
      <c r="D247" s="10">
        <v>9.72</v>
      </c>
      <c r="E247" s="10">
        <v>2.14</v>
      </c>
      <c r="F247" s="10">
        <v>-0.1</v>
      </c>
      <c r="G247" s="10">
        <v>0.0</v>
      </c>
      <c r="H247" s="10">
        <v>-0.01</v>
      </c>
      <c r="I247" s="10">
        <v>33.35</v>
      </c>
      <c r="J247" s="10">
        <f t="shared" ref="J247:O247" si="496">abs(C247-C246)/200</f>
        <v>0.00005</v>
      </c>
      <c r="K247" s="11">
        <f t="shared" si="496"/>
        <v>0.00005</v>
      </c>
      <c r="L247" s="12">
        <f t="shared" si="496"/>
        <v>0</v>
      </c>
      <c r="M247" s="12">
        <f t="shared" si="496"/>
        <v>0</v>
      </c>
      <c r="N247" s="12">
        <f t="shared" si="496"/>
        <v>0</v>
      </c>
      <c r="O247" s="12">
        <f t="shared" si="496"/>
        <v>0</v>
      </c>
      <c r="P247" s="7">
        <f t="shared" si="9"/>
        <v>0</v>
      </c>
      <c r="Q247" s="7">
        <f t="shared" si="10"/>
        <v>0.008864278918</v>
      </c>
      <c r="R247" s="7">
        <f t="shared" si="3"/>
        <v>0.1907407133</v>
      </c>
      <c r="S247" s="7">
        <f t="shared" si="4"/>
        <v>0.1004987562</v>
      </c>
      <c r="T247" s="7">
        <f t="shared" si="5"/>
        <v>0</v>
      </c>
      <c r="U247" s="7">
        <f t="shared" si="6"/>
        <v>0</v>
      </c>
      <c r="V247" s="7">
        <f t="shared" ref="V247:W247" si="497">IF(AVERAGE(T187:T246) &gt; 0.25, 1, 0)</f>
        <v>0</v>
      </c>
      <c r="W247" s="7">
        <f t="shared" si="497"/>
        <v>0</v>
      </c>
      <c r="X247" s="8">
        <v>0.0</v>
      </c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ht="22.5" customHeight="1">
      <c r="A248" s="6">
        <v>1147.0</v>
      </c>
      <c r="B248" s="6">
        <v>57767.0</v>
      </c>
      <c r="C248" s="10">
        <v>0.84</v>
      </c>
      <c r="D248" s="10">
        <v>9.74</v>
      </c>
      <c r="E248" s="10">
        <v>2.17</v>
      </c>
      <c r="F248" s="10">
        <v>-0.1</v>
      </c>
      <c r="G248" s="10">
        <v>0.0</v>
      </c>
      <c r="H248" s="10">
        <v>-0.01</v>
      </c>
      <c r="I248" s="10">
        <v>33.35</v>
      </c>
      <c r="J248" s="10">
        <f t="shared" ref="J248:O248" si="498">abs(C248-C247)/200</f>
        <v>0.00015</v>
      </c>
      <c r="K248" s="11">
        <f t="shared" si="498"/>
        <v>0.0001</v>
      </c>
      <c r="L248" s="12">
        <f t="shared" si="498"/>
        <v>0.00015</v>
      </c>
      <c r="M248" s="12">
        <f t="shared" si="498"/>
        <v>0</v>
      </c>
      <c r="N248" s="12">
        <f t="shared" si="498"/>
        <v>0</v>
      </c>
      <c r="O248" s="12">
        <f t="shared" si="498"/>
        <v>0</v>
      </c>
      <c r="P248" s="7">
        <f t="shared" si="9"/>
        <v>0</v>
      </c>
      <c r="Q248" s="7">
        <f t="shared" si="10"/>
        <v>0.02335435317</v>
      </c>
      <c r="R248" s="7">
        <f t="shared" si="3"/>
        <v>0.2140950665</v>
      </c>
      <c r="S248" s="7">
        <f t="shared" si="4"/>
        <v>0.1004987562</v>
      </c>
      <c r="T248" s="7">
        <f t="shared" si="5"/>
        <v>0</v>
      </c>
      <c r="U248" s="7">
        <f t="shared" si="6"/>
        <v>0</v>
      </c>
      <c r="V248" s="7">
        <f t="shared" ref="V248:W248" si="499">IF(AVERAGE(T188:T247) &gt; 0.25, 1, 0)</f>
        <v>0</v>
      </c>
      <c r="W248" s="7">
        <f t="shared" si="499"/>
        <v>0</v>
      </c>
      <c r="X248" s="8">
        <v>0.0</v>
      </c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ht="22.5" customHeight="1">
      <c r="A249" s="6">
        <v>1148.0</v>
      </c>
      <c r="B249" s="6">
        <v>57971.0</v>
      </c>
      <c r="C249" s="10">
        <v>0.84</v>
      </c>
      <c r="D249" s="10">
        <v>9.74</v>
      </c>
      <c r="E249" s="10">
        <v>2.15</v>
      </c>
      <c r="F249" s="10">
        <v>-0.09</v>
      </c>
      <c r="G249" s="10">
        <v>0.0</v>
      </c>
      <c r="H249" s="10">
        <v>-0.01</v>
      </c>
      <c r="I249" s="10">
        <v>33.35</v>
      </c>
      <c r="J249" s="10">
        <f t="shared" ref="J249:O249" si="500">abs(C249-C248)/200</f>
        <v>0</v>
      </c>
      <c r="K249" s="11">
        <f t="shared" si="500"/>
        <v>0</v>
      </c>
      <c r="L249" s="12">
        <f t="shared" si="500"/>
        <v>0.0001</v>
      </c>
      <c r="M249" s="12">
        <f t="shared" si="500"/>
        <v>0.00005</v>
      </c>
      <c r="N249" s="12">
        <f t="shared" si="500"/>
        <v>0</v>
      </c>
      <c r="O249" s="12">
        <f t="shared" si="500"/>
        <v>0</v>
      </c>
      <c r="P249" s="7">
        <f t="shared" si="9"/>
        <v>0.00994490483</v>
      </c>
      <c r="Q249" s="7">
        <f t="shared" si="10"/>
        <v>0.004314849088</v>
      </c>
      <c r="R249" s="7">
        <f t="shared" si="3"/>
        <v>0.2097802174</v>
      </c>
      <c r="S249" s="7">
        <f t="shared" si="4"/>
        <v>0.09055385138</v>
      </c>
      <c r="T249" s="7">
        <f t="shared" si="5"/>
        <v>0</v>
      </c>
      <c r="U249" s="7">
        <f t="shared" si="6"/>
        <v>0</v>
      </c>
      <c r="V249" s="7">
        <f t="shared" ref="V249:W249" si="501">IF(AVERAGE(T189:T248) &gt; 0.25, 1, 0)</f>
        <v>0</v>
      </c>
      <c r="W249" s="7">
        <f t="shared" si="501"/>
        <v>0</v>
      </c>
      <c r="X249" s="8">
        <v>0.0</v>
      </c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ht="22.5" customHeight="1">
      <c r="A250" s="6">
        <v>1149.0</v>
      </c>
      <c r="B250" s="6">
        <v>58175.0</v>
      </c>
      <c r="C250" s="10">
        <v>0.86</v>
      </c>
      <c r="D250" s="10">
        <v>9.73</v>
      </c>
      <c r="E250" s="10">
        <v>2.15</v>
      </c>
      <c r="F250" s="10">
        <v>-0.09</v>
      </c>
      <c r="G250" s="10">
        <v>0.0</v>
      </c>
      <c r="H250" s="10">
        <v>-0.01</v>
      </c>
      <c r="I250" s="10">
        <v>33.34</v>
      </c>
      <c r="J250" s="10">
        <f t="shared" ref="J250:O250" si="502">abs(C250-C249)/200</f>
        <v>0.0001</v>
      </c>
      <c r="K250" s="11">
        <f t="shared" si="502"/>
        <v>0.00005</v>
      </c>
      <c r="L250" s="12">
        <f t="shared" si="502"/>
        <v>0</v>
      </c>
      <c r="M250" s="12">
        <f t="shared" si="502"/>
        <v>0</v>
      </c>
      <c r="N250" s="12">
        <f t="shared" si="502"/>
        <v>0</v>
      </c>
      <c r="O250" s="12">
        <f t="shared" si="502"/>
        <v>0</v>
      </c>
      <c r="P250" s="7">
        <f t="shared" si="9"/>
        <v>0</v>
      </c>
      <c r="Q250" s="7">
        <f t="shared" si="10"/>
        <v>0.008030370466</v>
      </c>
      <c r="R250" s="7">
        <f t="shared" si="3"/>
        <v>0.2017498469</v>
      </c>
      <c r="S250" s="7">
        <f t="shared" si="4"/>
        <v>0.09055385138</v>
      </c>
      <c r="T250" s="7">
        <f t="shared" si="5"/>
        <v>0</v>
      </c>
      <c r="U250" s="7">
        <f t="shared" si="6"/>
        <v>0</v>
      </c>
      <c r="V250" s="7">
        <f t="shared" ref="V250:W250" si="503">IF(AVERAGE(T190:T249) &gt; 0.25, 1, 0)</f>
        <v>0</v>
      </c>
      <c r="W250" s="7">
        <f t="shared" si="503"/>
        <v>0</v>
      </c>
      <c r="X250" s="8">
        <v>0.0</v>
      </c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ht="22.5" customHeight="1">
      <c r="A251" s="6">
        <v>1150.0</v>
      </c>
      <c r="B251" s="6">
        <v>58379.0</v>
      </c>
      <c r="C251" s="10">
        <v>0.85</v>
      </c>
      <c r="D251" s="10">
        <v>9.74</v>
      </c>
      <c r="E251" s="10">
        <v>2.14</v>
      </c>
      <c r="F251" s="10">
        <v>-0.1</v>
      </c>
      <c r="G251" s="10">
        <v>0.0</v>
      </c>
      <c r="H251" s="10">
        <v>-0.01</v>
      </c>
      <c r="I251" s="10">
        <v>33.35</v>
      </c>
      <c r="J251" s="10">
        <f t="shared" ref="J251:O251" si="504">abs(C251-C250)/200</f>
        <v>0.00005</v>
      </c>
      <c r="K251" s="11">
        <f t="shared" si="504"/>
        <v>0.00005</v>
      </c>
      <c r="L251" s="12">
        <f t="shared" si="504"/>
        <v>0.00005</v>
      </c>
      <c r="M251" s="12">
        <f t="shared" si="504"/>
        <v>0.00005</v>
      </c>
      <c r="N251" s="12">
        <f t="shared" si="504"/>
        <v>0</v>
      </c>
      <c r="O251" s="12">
        <f t="shared" si="504"/>
        <v>0</v>
      </c>
      <c r="P251" s="7">
        <f t="shared" si="9"/>
        <v>0.00994490483</v>
      </c>
      <c r="Q251" s="7">
        <f t="shared" si="10"/>
        <v>0.006731556388</v>
      </c>
      <c r="R251" s="7">
        <f t="shared" si="3"/>
        <v>0.2084814033</v>
      </c>
      <c r="S251" s="7">
        <f t="shared" si="4"/>
        <v>0.1004987562</v>
      </c>
      <c r="T251" s="7">
        <f t="shared" si="5"/>
        <v>0</v>
      </c>
      <c r="U251" s="7">
        <f t="shared" si="6"/>
        <v>0</v>
      </c>
      <c r="V251" s="7">
        <f t="shared" ref="V251:W251" si="505">IF(AVERAGE(T191:T250) &gt; 0.25, 1, 0)</f>
        <v>0</v>
      </c>
      <c r="W251" s="7">
        <f t="shared" si="505"/>
        <v>0</v>
      </c>
      <c r="X251" s="8">
        <v>0.0</v>
      </c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ht="22.5" customHeight="1">
      <c r="A252" s="6">
        <v>1151.0</v>
      </c>
      <c r="B252" s="6">
        <v>58583.0</v>
      </c>
      <c r="C252" s="10">
        <v>0.85</v>
      </c>
      <c r="D252" s="10">
        <v>9.73</v>
      </c>
      <c r="E252" s="10">
        <v>2.13</v>
      </c>
      <c r="F252" s="10">
        <v>-0.09</v>
      </c>
      <c r="G252" s="10">
        <v>0.0</v>
      </c>
      <c r="H252" s="10">
        <v>-0.01</v>
      </c>
      <c r="I252" s="10">
        <v>33.34</v>
      </c>
      <c r="J252" s="10">
        <f t="shared" ref="J252:O252" si="506">abs(C252-C251)/200</f>
        <v>0</v>
      </c>
      <c r="K252" s="11">
        <f t="shared" si="506"/>
        <v>0.00005</v>
      </c>
      <c r="L252" s="12">
        <f t="shared" si="506"/>
        <v>0.00005</v>
      </c>
      <c r="M252" s="12">
        <f t="shared" si="506"/>
        <v>0.00005</v>
      </c>
      <c r="N252" s="12">
        <f t="shared" si="506"/>
        <v>0</v>
      </c>
      <c r="O252" s="12">
        <f t="shared" si="506"/>
        <v>0</v>
      </c>
      <c r="P252" s="7">
        <f t="shared" si="9"/>
        <v>0.00994490483</v>
      </c>
      <c r="Q252" s="7">
        <f t="shared" si="10"/>
        <v>0.0118669764</v>
      </c>
      <c r="R252" s="7">
        <f t="shared" si="3"/>
        <v>0.1966144269</v>
      </c>
      <c r="S252" s="7">
        <f t="shared" si="4"/>
        <v>0.09055385138</v>
      </c>
      <c r="T252" s="7">
        <f t="shared" si="5"/>
        <v>0</v>
      </c>
      <c r="U252" s="7">
        <f t="shared" si="6"/>
        <v>0</v>
      </c>
      <c r="V252" s="7">
        <f t="shared" ref="V252:W252" si="507">IF(AVERAGE(T192:T251) &gt; 0.25, 1, 0)</f>
        <v>0</v>
      </c>
      <c r="W252" s="7">
        <f t="shared" si="507"/>
        <v>0</v>
      </c>
      <c r="X252" s="8">
        <v>0.0</v>
      </c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ht="22.5" customHeight="1">
      <c r="A253" s="6">
        <v>1152.0</v>
      </c>
      <c r="B253" s="6">
        <v>58787.0</v>
      </c>
      <c r="C253" s="10">
        <v>0.85</v>
      </c>
      <c r="D253" s="10">
        <v>9.73</v>
      </c>
      <c r="E253" s="10">
        <v>2.13</v>
      </c>
      <c r="F253" s="10">
        <v>-0.09</v>
      </c>
      <c r="G253" s="10">
        <v>0.0</v>
      </c>
      <c r="H253" s="10">
        <v>-0.01</v>
      </c>
      <c r="I253" s="10">
        <v>33.35</v>
      </c>
      <c r="J253" s="10">
        <f t="shared" ref="J253:O253" si="508">abs(C253-C252)/200</f>
        <v>0</v>
      </c>
      <c r="K253" s="11">
        <f t="shared" si="508"/>
        <v>0</v>
      </c>
      <c r="L253" s="12">
        <f t="shared" si="508"/>
        <v>0</v>
      </c>
      <c r="M253" s="12">
        <f t="shared" si="508"/>
        <v>0</v>
      </c>
      <c r="N253" s="12">
        <f t="shared" si="508"/>
        <v>0</v>
      </c>
      <c r="O253" s="12">
        <f t="shared" si="508"/>
        <v>0</v>
      </c>
      <c r="P253" s="7">
        <f t="shared" si="9"/>
        <v>0</v>
      </c>
      <c r="Q253" s="7">
        <f t="shared" si="10"/>
        <v>0</v>
      </c>
      <c r="R253" s="7">
        <f t="shared" si="3"/>
        <v>0.1966144269</v>
      </c>
      <c r="S253" s="7">
        <f t="shared" si="4"/>
        <v>0.09055385138</v>
      </c>
      <c r="T253" s="7">
        <f t="shared" si="5"/>
        <v>0</v>
      </c>
      <c r="U253" s="7">
        <f t="shared" si="6"/>
        <v>0</v>
      </c>
      <c r="V253" s="7">
        <f t="shared" ref="V253:W253" si="509">IF(AVERAGE(T193:T252) &gt; 0.25, 1, 0)</f>
        <v>0</v>
      </c>
      <c r="W253" s="7">
        <f t="shared" si="509"/>
        <v>0</v>
      </c>
      <c r="X253" s="8">
        <v>0.0</v>
      </c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ht="22.5" customHeight="1">
      <c r="A254" s="6">
        <v>1153.0</v>
      </c>
      <c r="B254" s="6">
        <v>58991.0</v>
      </c>
      <c r="C254" s="10">
        <v>0.85</v>
      </c>
      <c r="D254" s="10">
        <v>9.74</v>
      </c>
      <c r="E254" s="10">
        <v>2.14</v>
      </c>
      <c r="F254" s="10">
        <v>-0.09</v>
      </c>
      <c r="G254" s="10">
        <v>0.0</v>
      </c>
      <c r="H254" s="10">
        <v>-0.02</v>
      </c>
      <c r="I254" s="10">
        <v>33.35</v>
      </c>
      <c r="J254" s="10">
        <f t="shared" ref="J254:O254" si="510">abs(C254-C253)/200</f>
        <v>0</v>
      </c>
      <c r="K254" s="11">
        <f t="shared" si="510"/>
        <v>0.00005</v>
      </c>
      <c r="L254" s="12">
        <f t="shared" si="510"/>
        <v>0.00005</v>
      </c>
      <c r="M254" s="12">
        <f t="shared" si="510"/>
        <v>0</v>
      </c>
      <c r="N254" s="12">
        <f t="shared" si="510"/>
        <v>0</v>
      </c>
      <c r="O254" s="12">
        <f t="shared" si="510"/>
        <v>0.00005</v>
      </c>
      <c r="P254" s="7">
        <f t="shared" si="9"/>
        <v>0.001641593192</v>
      </c>
      <c r="Q254" s="7">
        <f t="shared" si="10"/>
        <v>0.0118669764</v>
      </c>
      <c r="R254" s="7">
        <f t="shared" si="3"/>
        <v>0.2084814033</v>
      </c>
      <c r="S254" s="7">
        <f t="shared" si="4"/>
        <v>0.09219544457</v>
      </c>
      <c r="T254" s="7">
        <f t="shared" si="5"/>
        <v>0</v>
      </c>
      <c r="U254" s="7">
        <f t="shared" si="6"/>
        <v>0</v>
      </c>
      <c r="V254" s="7">
        <f t="shared" ref="V254:W254" si="511">IF(AVERAGE(T194:T253) &gt; 0.25, 1, 0)</f>
        <v>0</v>
      </c>
      <c r="W254" s="7">
        <f t="shared" si="511"/>
        <v>0</v>
      </c>
      <c r="X254" s="8">
        <v>0.0</v>
      </c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ht="22.5" customHeight="1">
      <c r="A255" s="6">
        <v>1154.0</v>
      </c>
      <c r="B255" s="6">
        <v>59195.0</v>
      </c>
      <c r="C255" s="10">
        <v>0.84</v>
      </c>
      <c r="D255" s="10">
        <v>9.72</v>
      </c>
      <c r="E255" s="10">
        <v>2.11</v>
      </c>
      <c r="F255" s="10">
        <v>-0.12</v>
      </c>
      <c r="G255" s="10">
        <v>0.0</v>
      </c>
      <c r="H255" s="10">
        <v>-0.02</v>
      </c>
      <c r="I255" s="10">
        <v>33.35</v>
      </c>
      <c r="J255" s="10">
        <f t="shared" ref="J255:O255" si="512">abs(C255-C254)/200</f>
        <v>0.00005</v>
      </c>
      <c r="K255" s="11">
        <f t="shared" si="512"/>
        <v>0.0001</v>
      </c>
      <c r="L255" s="12">
        <f t="shared" si="512"/>
        <v>0.00015</v>
      </c>
      <c r="M255" s="12">
        <f t="shared" si="512"/>
        <v>0.00015</v>
      </c>
      <c r="N255" s="12">
        <f t="shared" si="512"/>
        <v>0</v>
      </c>
      <c r="O255" s="12">
        <f t="shared" si="512"/>
        <v>0</v>
      </c>
      <c r="P255" s="7">
        <f t="shared" si="9"/>
        <v>0.02945980603</v>
      </c>
      <c r="Q255" s="7">
        <f t="shared" si="10"/>
        <v>0.02669298638</v>
      </c>
      <c r="R255" s="7">
        <f t="shared" si="3"/>
        <v>0.1817884169</v>
      </c>
      <c r="S255" s="7">
        <f t="shared" si="4"/>
        <v>0.1216552506</v>
      </c>
      <c r="T255" s="7">
        <f t="shared" si="5"/>
        <v>0</v>
      </c>
      <c r="U255" s="7">
        <f t="shared" si="6"/>
        <v>0</v>
      </c>
      <c r="V255" s="7">
        <f t="shared" ref="V255:W255" si="513">IF(AVERAGE(T195:T254) &gt; 0.25, 1, 0)</f>
        <v>0</v>
      </c>
      <c r="W255" s="7">
        <f t="shared" si="513"/>
        <v>0</v>
      </c>
      <c r="X255" s="8">
        <v>0.0</v>
      </c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ht="22.5" customHeight="1">
      <c r="A256" s="6">
        <v>1155.0</v>
      </c>
      <c r="B256" s="6">
        <v>59399.0</v>
      </c>
      <c r="C256" s="10">
        <v>0.85</v>
      </c>
      <c r="D256" s="10">
        <v>9.73</v>
      </c>
      <c r="E256" s="10">
        <v>2.14</v>
      </c>
      <c r="F256" s="10">
        <v>-0.1</v>
      </c>
      <c r="G256" s="10">
        <v>0.0</v>
      </c>
      <c r="H256" s="10">
        <v>-0.01</v>
      </c>
      <c r="I256" s="10">
        <v>33.35</v>
      </c>
      <c r="J256" s="10">
        <f t="shared" ref="J256:O256" si="514">abs(C256-C255)/200</f>
        <v>0.00005</v>
      </c>
      <c r="K256" s="11">
        <f t="shared" si="514"/>
        <v>0.00005</v>
      </c>
      <c r="L256" s="12">
        <f t="shared" si="514"/>
        <v>0.00015</v>
      </c>
      <c r="M256" s="12">
        <f t="shared" si="514"/>
        <v>0.0001</v>
      </c>
      <c r="N256" s="12">
        <f t="shared" si="514"/>
        <v>0</v>
      </c>
      <c r="O256" s="12">
        <f t="shared" si="514"/>
        <v>0.00005</v>
      </c>
      <c r="P256" s="7">
        <f t="shared" si="9"/>
        <v>0.02115649439</v>
      </c>
      <c r="Q256" s="7">
        <f t="shared" si="10"/>
        <v>0.01696150495</v>
      </c>
      <c r="R256" s="7">
        <f t="shared" si="3"/>
        <v>0.1987499219</v>
      </c>
      <c r="S256" s="7">
        <f t="shared" si="4"/>
        <v>0.1004987562</v>
      </c>
      <c r="T256" s="7">
        <f t="shared" si="5"/>
        <v>0</v>
      </c>
      <c r="U256" s="7">
        <f t="shared" si="6"/>
        <v>0</v>
      </c>
      <c r="V256" s="7">
        <f t="shared" ref="V256:W256" si="515">IF(AVERAGE(T196:T255) &gt; 0.25, 1, 0)</f>
        <v>0</v>
      </c>
      <c r="W256" s="7">
        <f t="shared" si="515"/>
        <v>0</v>
      </c>
      <c r="X256" s="8">
        <v>0.0</v>
      </c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ht="22.5" customHeight="1">
      <c r="A257" s="6">
        <v>1156.0</v>
      </c>
      <c r="B257" s="6">
        <v>59603.0</v>
      </c>
      <c r="C257" s="10">
        <v>0.92</v>
      </c>
      <c r="D257" s="10">
        <v>9.7</v>
      </c>
      <c r="E257" s="10">
        <v>2.09</v>
      </c>
      <c r="F257" s="10">
        <v>-0.08</v>
      </c>
      <c r="G257" s="10">
        <v>0.0</v>
      </c>
      <c r="H257" s="10">
        <v>0.01</v>
      </c>
      <c r="I257" s="10">
        <v>33.35</v>
      </c>
      <c r="J257" s="10">
        <f t="shared" ref="J257:O257" si="516">abs(C257-C256)/200</f>
        <v>0.00035</v>
      </c>
      <c r="K257" s="11">
        <f t="shared" si="516"/>
        <v>0.00015</v>
      </c>
      <c r="L257" s="12">
        <f t="shared" si="516"/>
        <v>0.00025</v>
      </c>
      <c r="M257" s="12">
        <f t="shared" si="516"/>
        <v>0.0001</v>
      </c>
      <c r="N257" s="12">
        <f t="shared" si="516"/>
        <v>0</v>
      </c>
      <c r="O257" s="12">
        <f t="shared" si="516"/>
        <v>0.0001</v>
      </c>
      <c r="P257" s="7">
        <f t="shared" si="9"/>
        <v>0.01987617873</v>
      </c>
      <c r="Q257" s="7">
        <f t="shared" si="10"/>
        <v>0.03358559808</v>
      </c>
      <c r="R257" s="7">
        <f t="shared" si="3"/>
        <v>0.1651643238</v>
      </c>
      <c r="S257" s="7">
        <f t="shared" si="4"/>
        <v>0.08062257748</v>
      </c>
      <c r="T257" s="7">
        <f t="shared" si="5"/>
        <v>1</v>
      </c>
      <c r="U257" s="7">
        <f t="shared" si="6"/>
        <v>0</v>
      </c>
      <c r="V257" s="7">
        <f t="shared" ref="V257:W257" si="517">IF(AVERAGE(T197:T256) &gt; 0.25, 1, 0)</f>
        <v>0</v>
      </c>
      <c r="W257" s="7">
        <f t="shared" si="517"/>
        <v>0</v>
      </c>
      <c r="X257" s="8">
        <v>0.0</v>
      </c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ht="22.5" customHeight="1">
      <c r="A258" s="6">
        <v>1157.0</v>
      </c>
      <c r="B258" s="6">
        <v>59807.0</v>
      </c>
      <c r="C258" s="10">
        <v>0.88</v>
      </c>
      <c r="D258" s="10">
        <v>9.72</v>
      </c>
      <c r="E258" s="10">
        <v>2.17</v>
      </c>
      <c r="F258" s="10">
        <v>-0.1</v>
      </c>
      <c r="G258" s="10">
        <v>0.0</v>
      </c>
      <c r="H258" s="10">
        <v>-0.03</v>
      </c>
      <c r="I258" s="10">
        <v>33.35</v>
      </c>
      <c r="J258" s="10">
        <f t="shared" ref="J258:O258" si="518">abs(C258-C257)/200</f>
        <v>0.0002</v>
      </c>
      <c r="K258" s="11">
        <f t="shared" si="518"/>
        <v>0.0001</v>
      </c>
      <c r="L258" s="12">
        <f t="shared" si="518"/>
        <v>0.0004</v>
      </c>
      <c r="M258" s="12">
        <f t="shared" si="518"/>
        <v>0.0001</v>
      </c>
      <c r="N258" s="12">
        <f t="shared" si="518"/>
        <v>0</v>
      </c>
      <c r="O258" s="12">
        <f t="shared" si="518"/>
        <v>0.0002</v>
      </c>
      <c r="P258" s="7">
        <f t="shared" si="9"/>
        <v>0.02378048761</v>
      </c>
      <c r="Q258" s="7">
        <f t="shared" si="10"/>
        <v>0.03292049282</v>
      </c>
      <c r="R258" s="7">
        <f t="shared" si="3"/>
        <v>0.1980848166</v>
      </c>
      <c r="S258" s="7">
        <f t="shared" si="4"/>
        <v>0.1044030651</v>
      </c>
      <c r="T258" s="7">
        <f t="shared" si="5"/>
        <v>1</v>
      </c>
      <c r="U258" s="7">
        <f t="shared" si="6"/>
        <v>0</v>
      </c>
      <c r="V258" s="7">
        <f t="shared" ref="V258:W258" si="519">IF(AVERAGE(T198:T257) &gt; 0.25, 1, 0)</f>
        <v>0</v>
      </c>
      <c r="W258" s="7">
        <f t="shared" si="519"/>
        <v>0</v>
      </c>
      <c r="X258" s="8">
        <v>0.0</v>
      </c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ht="22.5" customHeight="1">
      <c r="A259" s="6">
        <v>1158.0</v>
      </c>
      <c r="B259" s="6">
        <v>60011.0</v>
      </c>
      <c r="C259" s="10">
        <v>0.68</v>
      </c>
      <c r="D259" s="10">
        <v>9.78</v>
      </c>
      <c r="E259" s="10">
        <v>2.26</v>
      </c>
      <c r="F259" s="10">
        <v>-0.14</v>
      </c>
      <c r="G259" s="10">
        <v>0.0</v>
      </c>
      <c r="H259" s="10">
        <v>-0.02</v>
      </c>
      <c r="I259" s="10">
        <v>33.35</v>
      </c>
      <c r="J259" s="10">
        <f t="shared" ref="J259:O259" si="520">abs(C259-C258)/200</f>
        <v>0.001</v>
      </c>
      <c r="K259" s="11">
        <f t="shared" si="520"/>
        <v>0.0003</v>
      </c>
      <c r="L259" s="12">
        <f t="shared" si="520"/>
        <v>0.00045</v>
      </c>
      <c r="M259" s="12">
        <f t="shared" si="520"/>
        <v>0.0002</v>
      </c>
      <c r="N259" s="12">
        <f t="shared" si="520"/>
        <v>0</v>
      </c>
      <c r="O259" s="12">
        <f t="shared" si="520"/>
        <v>0.00005</v>
      </c>
      <c r="P259" s="7">
        <f t="shared" si="9"/>
        <v>0.03701829115</v>
      </c>
      <c r="Q259" s="7">
        <f t="shared" si="10"/>
        <v>0.06265074299</v>
      </c>
      <c r="R259" s="7">
        <f t="shared" si="3"/>
        <v>0.2607355596</v>
      </c>
      <c r="S259" s="7">
        <f t="shared" si="4"/>
        <v>0.1414213562</v>
      </c>
      <c r="T259" s="7">
        <f t="shared" si="5"/>
        <v>1</v>
      </c>
      <c r="U259" s="7">
        <f t="shared" si="6"/>
        <v>0</v>
      </c>
      <c r="V259" s="7">
        <f t="shared" ref="V259:W259" si="521">IF(AVERAGE(T199:T258) &gt; 0.25, 1, 0)</f>
        <v>0</v>
      </c>
      <c r="W259" s="7">
        <f t="shared" si="521"/>
        <v>0</v>
      </c>
      <c r="X259" s="8">
        <v>0.0</v>
      </c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ht="22.5" customHeight="1">
      <c r="A260" s="6">
        <v>1159.0</v>
      </c>
      <c r="B260" s="6">
        <v>60215.0</v>
      </c>
      <c r="C260" s="10">
        <v>0.85</v>
      </c>
      <c r="D260" s="10">
        <v>9.72</v>
      </c>
      <c r="E260" s="10">
        <v>2.1</v>
      </c>
      <c r="F260" s="10">
        <v>-0.05</v>
      </c>
      <c r="G260" s="10">
        <v>0.0</v>
      </c>
      <c r="H260" s="10">
        <v>-0.03</v>
      </c>
      <c r="I260" s="10">
        <v>33.34</v>
      </c>
      <c r="J260" s="10">
        <f t="shared" ref="J260:O260" si="522">abs(C260-C259)/200</f>
        <v>0.00085</v>
      </c>
      <c r="K260" s="11">
        <f t="shared" si="522"/>
        <v>0.0003</v>
      </c>
      <c r="L260" s="12">
        <f t="shared" si="522"/>
        <v>0.0008</v>
      </c>
      <c r="M260" s="12">
        <f t="shared" si="522"/>
        <v>0.00045</v>
      </c>
      <c r="N260" s="12">
        <f t="shared" si="522"/>
        <v>0</v>
      </c>
      <c r="O260" s="12">
        <f t="shared" si="522"/>
        <v>0.00005</v>
      </c>
      <c r="P260" s="7">
        <f t="shared" si="9"/>
        <v>0.08311183729</v>
      </c>
      <c r="Q260" s="7">
        <f t="shared" si="10"/>
        <v>0.08020952135</v>
      </c>
      <c r="R260" s="7">
        <f t="shared" si="3"/>
        <v>0.1805260382</v>
      </c>
      <c r="S260" s="7">
        <f t="shared" si="4"/>
        <v>0.05830951895</v>
      </c>
      <c r="T260" s="7">
        <f t="shared" si="5"/>
        <v>1</v>
      </c>
      <c r="U260" s="7">
        <f t="shared" si="6"/>
        <v>1</v>
      </c>
      <c r="V260" s="7">
        <f t="shared" ref="V260:W260" si="523">IF(AVERAGE(T200:T259) &gt; 0.25, 1, 0)</f>
        <v>0</v>
      </c>
      <c r="W260" s="7">
        <f t="shared" si="523"/>
        <v>0</v>
      </c>
      <c r="X260" s="8">
        <v>0.0</v>
      </c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ht="22.5" customHeight="1">
      <c r="A261" s="6">
        <v>1160.0</v>
      </c>
      <c r="B261" s="6">
        <v>60419.0</v>
      </c>
      <c r="C261" s="10">
        <v>0.86</v>
      </c>
      <c r="D261" s="10">
        <v>9.71</v>
      </c>
      <c r="E261" s="10">
        <v>2.15</v>
      </c>
      <c r="F261" s="10">
        <v>-0.18</v>
      </c>
      <c r="G261" s="10">
        <v>0.0</v>
      </c>
      <c r="H261" s="10">
        <v>-0.03</v>
      </c>
      <c r="I261" s="10">
        <v>33.34</v>
      </c>
      <c r="J261" s="10">
        <f t="shared" ref="J261:O261" si="524">abs(C261-C260)/200</f>
        <v>0.00005</v>
      </c>
      <c r="K261" s="11">
        <f t="shared" si="524"/>
        <v>0.00005</v>
      </c>
      <c r="L261" s="12">
        <f t="shared" si="524"/>
        <v>0.00025</v>
      </c>
      <c r="M261" s="12">
        <f t="shared" si="524"/>
        <v>0.00065</v>
      </c>
      <c r="N261" s="12">
        <f t="shared" si="524"/>
        <v>0</v>
      </c>
      <c r="O261" s="12">
        <f t="shared" si="524"/>
        <v>0</v>
      </c>
      <c r="P261" s="7">
        <f t="shared" si="9"/>
        <v>0.124173357</v>
      </c>
      <c r="Q261" s="7">
        <f t="shared" si="10"/>
        <v>0.001768287214</v>
      </c>
      <c r="R261" s="7">
        <f t="shared" si="3"/>
        <v>0.1822943255</v>
      </c>
      <c r="S261" s="7">
        <f t="shared" si="4"/>
        <v>0.1824828759</v>
      </c>
      <c r="T261" s="7">
        <f t="shared" si="5"/>
        <v>0</v>
      </c>
      <c r="U261" s="7">
        <f t="shared" si="6"/>
        <v>1</v>
      </c>
      <c r="V261" s="7">
        <f t="shared" ref="V261:W261" si="525">IF(AVERAGE(T201:T260) &gt; 0.25, 1, 0)</f>
        <v>0</v>
      </c>
      <c r="W261" s="7">
        <f t="shared" si="525"/>
        <v>0</v>
      </c>
      <c r="X261" s="8">
        <v>0.0</v>
      </c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ht="22.5" customHeight="1">
      <c r="A262" s="6">
        <v>1161.0</v>
      </c>
      <c r="B262" s="6">
        <v>60623.0</v>
      </c>
      <c r="C262" s="10">
        <v>0.78</v>
      </c>
      <c r="D262" s="10">
        <v>9.7</v>
      </c>
      <c r="E262" s="10">
        <v>2.27</v>
      </c>
      <c r="F262" s="10">
        <v>-0.09</v>
      </c>
      <c r="G262" s="10">
        <v>0.0</v>
      </c>
      <c r="H262" s="10">
        <v>-0.03</v>
      </c>
      <c r="I262" s="10">
        <v>33.35</v>
      </c>
      <c r="J262" s="10">
        <f t="shared" ref="J262:O262" si="526">abs(C262-C261)/200</f>
        <v>0.0004</v>
      </c>
      <c r="K262" s="11">
        <f t="shared" si="526"/>
        <v>0.00005</v>
      </c>
      <c r="L262" s="12">
        <f t="shared" si="526"/>
        <v>0.0006</v>
      </c>
      <c r="M262" s="12">
        <f t="shared" si="526"/>
        <v>0.00045</v>
      </c>
      <c r="N262" s="12">
        <f t="shared" si="526"/>
        <v>0</v>
      </c>
      <c r="O262" s="12">
        <f t="shared" si="526"/>
        <v>0</v>
      </c>
      <c r="P262" s="7">
        <f t="shared" si="9"/>
        <v>0.0876145461</v>
      </c>
      <c r="Q262" s="7">
        <f t="shared" si="10"/>
        <v>0.01026790853</v>
      </c>
      <c r="R262" s="7">
        <f t="shared" si="3"/>
        <v>0.192562234</v>
      </c>
      <c r="S262" s="7">
        <f t="shared" si="4"/>
        <v>0.09486832981</v>
      </c>
      <c r="T262" s="7">
        <f t="shared" si="5"/>
        <v>1</v>
      </c>
      <c r="U262" s="7">
        <f t="shared" si="6"/>
        <v>1</v>
      </c>
      <c r="V262" s="7">
        <f t="shared" ref="V262:W262" si="527">IF(AVERAGE(T202:T261) &gt; 0.25, 1, 0)</f>
        <v>0</v>
      </c>
      <c r="W262" s="7">
        <f t="shared" si="527"/>
        <v>0</v>
      </c>
      <c r="X262" s="8">
        <v>0.0</v>
      </c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ht="22.5" customHeight="1">
      <c r="A263" s="6">
        <v>1162.0</v>
      </c>
      <c r="B263" s="6">
        <v>60827.0</v>
      </c>
      <c r="C263" s="10">
        <v>0.74</v>
      </c>
      <c r="D263" s="10">
        <v>9.73</v>
      </c>
      <c r="E263" s="10">
        <v>2.18</v>
      </c>
      <c r="F263" s="10">
        <v>-0.11</v>
      </c>
      <c r="G263" s="10">
        <v>0.0</v>
      </c>
      <c r="H263" s="10">
        <v>0.01</v>
      </c>
      <c r="I263" s="10">
        <v>33.34</v>
      </c>
      <c r="J263" s="10">
        <f t="shared" ref="J263:O263" si="528">abs(C263-C262)/200</f>
        <v>0.0002</v>
      </c>
      <c r="K263" s="11">
        <f t="shared" si="528"/>
        <v>0.00015</v>
      </c>
      <c r="L263" s="12">
        <f t="shared" si="528"/>
        <v>0.00045</v>
      </c>
      <c r="M263" s="12">
        <f t="shared" si="528"/>
        <v>0.0001</v>
      </c>
      <c r="N263" s="12">
        <f t="shared" si="528"/>
        <v>0</v>
      </c>
      <c r="O263" s="12">
        <f t="shared" si="528"/>
        <v>0.0002</v>
      </c>
      <c r="P263" s="7">
        <f t="shared" si="9"/>
        <v>0.01558528037</v>
      </c>
      <c r="Q263" s="7">
        <f t="shared" si="10"/>
        <v>0.006082674204</v>
      </c>
      <c r="R263" s="7">
        <f t="shared" si="3"/>
        <v>0.1986449082</v>
      </c>
      <c r="S263" s="7">
        <f t="shared" si="4"/>
        <v>0.1104536102</v>
      </c>
      <c r="T263" s="7">
        <f t="shared" si="5"/>
        <v>1</v>
      </c>
      <c r="U263" s="7">
        <f t="shared" si="6"/>
        <v>0</v>
      </c>
      <c r="V263" s="7">
        <f t="shared" ref="V263:W263" si="529">IF(AVERAGE(T203:T262) &gt; 0.25, 1, 0)</f>
        <v>0</v>
      </c>
      <c r="W263" s="7">
        <f t="shared" si="529"/>
        <v>0</v>
      </c>
      <c r="X263" s="8">
        <v>0.0</v>
      </c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ht="22.5" customHeight="1">
      <c r="A264" s="6">
        <v>1163.0</v>
      </c>
      <c r="B264" s="6">
        <v>61031.0</v>
      </c>
      <c r="C264" s="10">
        <v>0.74</v>
      </c>
      <c r="D264" s="10">
        <v>9.72</v>
      </c>
      <c r="E264" s="10">
        <v>2.22</v>
      </c>
      <c r="F264" s="10">
        <v>-0.05</v>
      </c>
      <c r="G264" s="10">
        <v>0.0</v>
      </c>
      <c r="H264" s="10">
        <v>-0.02</v>
      </c>
      <c r="I264" s="10">
        <v>33.34</v>
      </c>
      <c r="J264" s="10">
        <f t="shared" ref="J264:O264" si="530">abs(C264-C263)/200</f>
        <v>0</v>
      </c>
      <c r="K264" s="11">
        <f t="shared" si="530"/>
        <v>0.00005</v>
      </c>
      <c r="L264" s="12">
        <f t="shared" si="530"/>
        <v>0.0002</v>
      </c>
      <c r="M264" s="12">
        <f t="shared" si="530"/>
        <v>0.0003</v>
      </c>
      <c r="N264" s="12">
        <f t="shared" si="530"/>
        <v>0</v>
      </c>
      <c r="O264" s="12">
        <f t="shared" si="530"/>
        <v>0.00015</v>
      </c>
      <c r="P264" s="7">
        <f t="shared" si="9"/>
        <v>0.0566019621</v>
      </c>
      <c r="Q264" s="7">
        <f t="shared" si="10"/>
        <v>0.0009251681656</v>
      </c>
      <c r="R264" s="7">
        <f t="shared" si="3"/>
        <v>0.19771974</v>
      </c>
      <c r="S264" s="7">
        <f t="shared" si="4"/>
        <v>0.05385164807</v>
      </c>
      <c r="T264" s="7">
        <f t="shared" si="5"/>
        <v>0</v>
      </c>
      <c r="U264" s="7">
        <f t="shared" si="6"/>
        <v>0</v>
      </c>
      <c r="V264" s="7">
        <f t="shared" ref="V264:W264" si="531">IF(AVERAGE(T204:T263) &gt; 0.25, 1, 0)</f>
        <v>0</v>
      </c>
      <c r="W264" s="7">
        <f t="shared" si="531"/>
        <v>0</v>
      </c>
      <c r="X264" s="8">
        <v>0.0</v>
      </c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ht="22.5" customHeight="1">
      <c r="A265" s="6">
        <v>1164.0</v>
      </c>
      <c r="B265" s="6">
        <v>61235.0</v>
      </c>
      <c r="C265" s="10">
        <v>0.78</v>
      </c>
      <c r="D265" s="10">
        <v>9.73</v>
      </c>
      <c r="E265" s="10">
        <v>2.22</v>
      </c>
      <c r="F265" s="10">
        <v>-0.14</v>
      </c>
      <c r="G265" s="10">
        <v>0.0</v>
      </c>
      <c r="H265" s="10">
        <v>0.01</v>
      </c>
      <c r="I265" s="10">
        <v>33.35</v>
      </c>
      <c r="J265" s="10">
        <f t="shared" ref="J265:O265" si="532">abs(C265-C264)/200</f>
        <v>0.0002</v>
      </c>
      <c r="K265" s="11">
        <f t="shared" si="532"/>
        <v>0.00005</v>
      </c>
      <c r="L265" s="12">
        <f t="shared" si="532"/>
        <v>0</v>
      </c>
      <c r="M265" s="12">
        <f t="shared" si="532"/>
        <v>0.00045</v>
      </c>
      <c r="N265" s="12">
        <f t="shared" si="532"/>
        <v>0</v>
      </c>
      <c r="O265" s="12">
        <f t="shared" si="532"/>
        <v>0.00015</v>
      </c>
      <c r="P265" s="7">
        <f t="shared" si="9"/>
        <v>0.0865050404</v>
      </c>
      <c r="Q265" s="7">
        <f t="shared" si="10"/>
        <v>0.01275976897</v>
      </c>
      <c r="R265" s="7">
        <f t="shared" si="3"/>
        <v>0.210479509</v>
      </c>
      <c r="S265" s="7">
        <f t="shared" si="4"/>
        <v>0.1403566885</v>
      </c>
      <c r="T265" s="7">
        <f t="shared" si="5"/>
        <v>0</v>
      </c>
      <c r="U265" s="7">
        <f t="shared" si="6"/>
        <v>1</v>
      </c>
      <c r="V265" s="7">
        <f t="shared" ref="V265:W265" si="533">IF(AVERAGE(T205:T264) &gt; 0.25, 1, 0)</f>
        <v>0</v>
      </c>
      <c r="W265" s="7">
        <f t="shared" si="533"/>
        <v>0</v>
      </c>
      <c r="X265" s="8">
        <v>0.0</v>
      </c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ht="22.5" customHeight="1">
      <c r="A266" s="6">
        <v>1165.0</v>
      </c>
      <c r="B266" s="6">
        <v>61439.0</v>
      </c>
      <c r="C266" s="10">
        <v>0.79</v>
      </c>
      <c r="D266" s="10">
        <v>9.73</v>
      </c>
      <c r="E266" s="10">
        <v>2.25</v>
      </c>
      <c r="F266" s="10">
        <v>-0.11</v>
      </c>
      <c r="G266" s="10">
        <v>0.0</v>
      </c>
      <c r="H266" s="10">
        <v>-0.01</v>
      </c>
      <c r="I266" s="10">
        <v>33.35</v>
      </c>
      <c r="J266" s="10">
        <f t="shared" ref="J266:O266" si="534">abs(C266-C265)/200</f>
        <v>0.00005</v>
      </c>
      <c r="K266" s="11">
        <f t="shared" si="534"/>
        <v>0</v>
      </c>
      <c r="L266" s="12">
        <f t="shared" si="534"/>
        <v>0.00015</v>
      </c>
      <c r="M266" s="12">
        <f t="shared" si="534"/>
        <v>0.00015</v>
      </c>
      <c r="N266" s="12">
        <f t="shared" si="534"/>
        <v>0</v>
      </c>
      <c r="O266" s="12">
        <f t="shared" si="534"/>
        <v>0.0001</v>
      </c>
      <c r="P266" s="7">
        <f t="shared" si="9"/>
        <v>0.0299030783</v>
      </c>
      <c r="Q266" s="7">
        <f t="shared" si="10"/>
        <v>0.007479364948</v>
      </c>
      <c r="R266" s="7">
        <f t="shared" si="3"/>
        <v>0.2179588739</v>
      </c>
      <c r="S266" s="7">
        <f t="shared" si="4"/>
        <v>0.1104536102</v>
      </c>
      <c r="T266" s="7">
        <f t="shared" si="5"/>
        <v>0</v>
      </c>
      <c r="U266" s="7">
        <f t="shared" si="6"/>
        <v>0</v>
      </c>
      <c r="V266" s="7">
        <f t="shared" ref="V266:W266" si="535">IF(AVERAGE(T206:T265) &gt; 0.25, 1, 0)</f>
        <v>0</v>
      </c>
      <c r="W266" s="7">
        <f t="shared" si="535"/>
        <v>0</v>
      </c>
      <c r="X266" s="8">
        <v>0.0</v>
      </c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ht="22.5" customHeight="1">
      <c r="A267" s="6">
        <v>1166.0</v>
      </c>
      <c r="B267" s="6">
        <v>61643.0</v>
      </c>
      <c r="C267" s="10">
        <v>0.78</v>
      </c>
      <c r="D267" s="10">
        <v>9.73</v>
      </c>
      <c r="E267" s="10">
        <v>2.26</v>
      </c>
      <c r="F267" s="10">
        <v>-0.07</v>
      </c>
      <c r="G267" s="10">
        <v>0.0</v>
      </c>
      <c r="H267" s="10">
        <v>0.0</v>
      </c>
      <c r="I267" s="10">
        <v>33.35</v>
      </c>
      <c r="J267" s="10">
        <f t="shared" ref="J267:O267" si="536">abs(C267-C266)/200</f>
        <v>0.00005</v>
      </c>
      <c r="K267" s="11">
        <f t="shared" si="536"/>
        <v>0</v>
      </c>
      <c r="L267" s="12">
        <f t="shared" si="536"/>
        <v>0.00005</v>
      </c>
      <c r="M267" s="12">
        <f t="shared" si="536"/>
        <v>0.0002</v>
      </c>
      <c r="N267" s="12">
        <f t="shared" si="536"/>
        <v>0</v>
      </c>
      <c r="O267" s="12">
        <f t="shared" si="536"/>
        <v>0.00005</v>
      </c>
      <c r="P267" s="7">
        <f t="shared" si="9"/>
        <v>0.04045361017</v>
      </c>
      <c r="Q267" s="7">
        <f t="shared" si="10"/>
        <v>0.001467257329</v>
      </c>
      <c r="R267" s="7">
        <f t="shared" si="3"/>
        <v>0.2194261313</v>
      </c>
      <c r="S267" s="7">
        <f t="shared" si="4"/>
        <v>0.07</v>
      </c>
      <c r="T267" s="7">
        <f t="shared" si="5"/>
        <v>0</v>
      </c>
      <c r="U267" s="7">
        <f t="shared" si="6"/>
        <v>0</v>
      </c>
      <c r="V267" s="7">
        <f t="shared" ref="V267:W267" si="537">IF(AVERAGE(T207:T266) &gt; 0.25, 1, 0)</f>
        <v>0</v>
      </c>
      <c r="W267" s="7">
        <f t="shared" si="537"/>
        <v>0</v>
      </c>
      <c r="X267" s="8">
        <v>0.0</v>
      </c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ht="22.5" customHeight="1">
      <c r="A268" s="6">
        <v>1167.0</v>
      </c>
      <c r="B268" s="6">
        <v>61847.0</v>
      </c>
      <c r="C268" s="10">
        <v>0.81</v>
      </c>
      <c r="D268" s="10">
        <v>9.72</v>
      </c>
      <c r="E268" s="10">
        <v>2.17</v>
      </c>
      <c r="F268" s="10">
        <v>-0.08</v>
      </c>
      <c r="G268" s="10">
        <v>0.0</v>
      </c>
      <c r="H268" s="10">
        <v>-0.01</v>
      </c>
      <c r="I268" s="10">
        <v>33.35</v>
      </c>
      <c r="J268" s="10">
        <f t="shared" ref="J268:O268" si="538">abs(C268-C267)/200</f>
        <v>0.00015</v>
      </c>
      <c r="K268" s="11">
        <f t="shared" si="538"/>
        <v>0.00005</v>
      </c>
      <c r="L268" s="12">
        <f t="shared" si="538"/>
        <v>0.00045</v>
      </c>
      <c r="M268" s="12">
        <f t="shared" si="538"/>
        <v>0.00005</v>
      </c>
      <c r="N268" s="12">
        <f t="shared" si="538"/>
        <v>0</v>
      </c>
      <c r="O268" s="12">
        <f t="shared" si="538"/>
        <v>0.00005</v>
      </c>
      <c r="P268" s="7">
        <f t="shared" si="9"/>
        <v>0.01062257748</v>
      </c>
      <c r="Q268" s="7">
        <f t="shared" si="10"/>
        <v>0.02725919912</v>
      </c>
      <c r="R268" s="7">
        <f t="shared" si="3"/>
        <v>0.1921669322</v>
      </c>
      <c r="S268" s="7">
        <f t="shared" si="4"/>
        <v>0.08062257748</v>
      </c>
      <c r="T268" s="7">
        <f t="shared" si="5"/>
        <v>1</v>
      </c>
      <c r="U268" s="7">
        <f t="shared" si="6"/>
        <v>0</v>
      </c>
      <c r="V268" s="7">
        <f t="shared" ref="V268:W268" si="539">IF(AVERAGE(T208:T267) &gt; 0.25, 1, 0)</f>
        <v>0</v>
      </c>
      <c r="W268" s="7">
        <f t="shared" si="539"/>
        <v>0</v>
      </c>
      <c r="X268" s="8">
        <v>0.0</v>
      </c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ht="22.5" customHeight="1">
      <c r="A269" s="6">
        <v>1168.0</v>
      </c>
      <c r="B269" s="6">
        <v>62051.0</v>
      </c>
      <c r="C269" s="10">
        <v>0.81</v>
      </c>
      <c r="D269" s="10">
        <v>9.73</v>
      </c>
      <c r="E269" s="10">
        <v>2.16</v>
      </c>
      <c r="F269" s="10">
        <v>-0.11</v>
      </c>
      <c r="G269" s="10">
        <v>0.0</v>
      </c>
      <c r="H269" s="10">
        <v>-0.01</v>
      </c>
      <c r="I269" s="10">
        <v>33.35</v>
      </c>
      <c r="J269" s="10">
        <f t="shared" ref="J269:O269" si="540">abs(C269-C268)/200</f>
        <v>0</v>
      </c>
      <c r="K269" s="11">
        <f t="shared" si="540"/>
        <v>0.00005</v>
      </c>
      <c r="L269" s="12">
        <f t="shared" si="540"/>
        <v>0.00005</v>
      </c>
      <c r="M269" s="12">
        <f t="shared" si="540"/>
        <v>0.00015</v>
      </c>
      <c r="N269" s="12">
        <f t="shared" si="540"/>
        <v>0</v>
      </c>
      <c r="O269" s="12">
        <f t="shared" si="540"/>
        <v>0</v>
      </c>
      <c r="P269" s="7">
        <f t="shared" si="9"/>
        <v>0.02983103269</v>
      </c>
      <c r="Q269" s="7">
        <f t="shared" si="10"/>
        <v>0.007563064202</v>
      </c>
      <c r="R269" s="7">
        <f t="shared" si="3"/>
        <v>0.1997299964</v>
      </c>
      <c r="S269" s="7">
        <f t="shared" si="4"/>
        <v>0.1104536102</v>
      </c>
      <c r="T269" s="7">
        <f t="shared" si="5"/>
        <v>0</v>
      </c>
      <c r="U269" s="7">
        <f t="shared" si="6"/>
        <v>0</v>
      </c>
      <c r="V269" s="7">
        <f t="shared" ref="V269:W269" si="541">IF(AVERAGE(T209:T268) &gt; 0.25, 1, 0)</f>
        <v>0</v>
      </c>
      <c r="W269" s="7">
        <f t="shared" si="541"/>
        <v>0</v>
      </c>
      <c r="X269" s="8">
        <v>0.0</v>
      </c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ht="22.5" customHeight="1">
      <c r="A270" s="6">
        <v>1169.0</v>
      </c>
      <c r="B270" s="6">
        <v>62255.0</v>
      </c>
      <c r="C270" s="10">
        <v>0.83</v>
      </c>
      <c r="D270" s="10">
        <v>9.72</v>
      </c>
      <c r="E270" s="10">
        <v>2.21</v>
      </c>
      <c r="F270" s="10">
        <v>-0.12</v>
      </c>
      <c r="G270" s="10">
        <v>0.0</v>
      </c>
      <c r="H270" s="10">
        <v>-0.01</v>
      </c>
      <c r="I270" s="10">
        <v>33.34</v>
      </c>
      <c r="J270" s="10">
        <f t="shared" ref="J270:O270" si="542">abs(C270-C269)/200</f>
        <v>0.0001</v>
      </c>
      <c r="K270" s="11">
        <f t="shared" si="542"/>
        <v>0.00005</v>
      </c>
      <c r="L270" s="12">
        <f t="shared" si="542"/>
        <v>0.00025</v>
      </c>
      <c r="M270" s="12">
        <f t="shared" si="542"/>
        <v>0.00005</v>
      </c>
      <c r="N270" s="12">
        <f t="shared" si="542"/>
        <v>0</v>
      </c>
      <c r="O270" s="12">
        <f t="shared" si="542"/>
        <v>0</v>
      </c>
      <c r="P270" s="7">
        <f t="shared" si="9"/>
        <v>0.009962335616</v>
      </c>
      <c r="Q270" s="7">
        <f t="shared" si="10"/>
        <v>0.002839673485</v>
      </c>
      <c r="R270" s="7">
        <f t="shared" si="3"/>
        <v>0.2025696698</v>
      </c>
      <c r="S270" s="7">
        <f t="shared" si="4"/>
        <v>0.1204159458</v>
      </c>
      <c r="T270" s="7">
        <f t="shared" si="5"/>
        <v>0</v>
      </c>
      <c r="U270" s="7">
        <f t="shared" si="6"/>
        <v>0</v>
      </c>
      <c r="V270" s="7">
        <f t="shared" ref="V270:W270" si="543">IF(AVERAGE(T210:T269) &gt; 0.25, 1, 0)</f>
        <v>0</v>
      </c>
      <c r="W270" s="7">
        <f t="shared" si="543"/>
        <v>0</v>
      </c>
      <c r="X270" s="8">
        <v>0.0</v>
      </c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ht="22.5" customHeight="1">
      <c r="A271" s="6">
        <v>1170.0</v>
      </c>
      <c r="B271" s="6">
        <v>62459.0</v>
      </c>
      <c r="C271" s="10">
        <v>0.8</v>
      </c>
      <c r="D271" s="10">
        <v>9.72</v>
      </c>
      <c r="E271" s="10">
        <v>2.27</v>
      </c>
      <c r="F271" s="10">
        <v>-0.11</v>
      </c>
      <c r="G271" s="10">
        <v>0.0</v>
      </c>
      <c r="H271" s="10">
        <v>-0.02</v>
      </c>
      <c r="I271" s="10">
        <v>33.35</v>
      </c>
      <c r="J271" s="10">
        <f t="shared" ref="J271:O271" si="544">abs(C271-C270)/200</f>
        <v>0.00015</v>
      </c>
      <c r="K271" s="11">
        <f t="shared" si="544"/>
        <v>0</v>
      </c>
      <c r="L271" s="12">
        <f t="shared" si="544"/>
        <v>0.0003</v>
      </c>
      <c r="M271" s="12">
        <f t="shared" si="544"/>
        <v>0.00005</v>
      </c>
      <c r="N271" s="12">
        <f t="shared" si="544"/>
        <v>0</v>
      </c>
      <c r="O271" s="12">
        <f t="shared" si="544"/>
        <v>0.00005</v>
      </c>
      <c r="P271" s="7">
        <f t="shared" si="9"/>
        <v>0.008612546913</v>
      </c>
      <c r="Q271" s="7">
        <f t="shared" si="10"/>
        <v>0.01098614216</v>
      </c>
      <c r="R271" s="7">
        <f t="shared" si="3"/>
        <v>0.213555812</v>
      </c>
      <c r="S271" s="7">
        <f t="shared" si="4"/>
        <v>0.1118033989</v>
      </c>
      <c r="T271" s="7">
        <f t="shared" si="5"/>
        <v>0</v>
      </c>
      <c r="U271" s="7">
        <f t="shared" si="6"/>
        <v>0</v>
      </c>
      <c r="V271" s="7">
        <f t="shared" ref="V271:W271" si="545">IF(AVERAGE(T211:T270) &gt; 0.25, 1, 0)</f>
        <v>0</v>
      </c>
      <c r="W271" s="7">
        <f t="shared" si="545"/>
        <v>0</v>
      </c>
      <c r="X271" s="8">
        <v>0.0</v>
      </c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ht="22.5" customHeight="1">
      <c r="A272" s="6">
        <v>1171.0</v>
      </c>
      <c r="B272" s="6">
        <v>62663.0</v>
      </c>
      <c r="C272" s="10">
        <v>0.79</v>
      </c>
      <c r="D272" s="10">
        <v>9.72</v>
      </c>
      <c r="E272" s="10">
        <v>2.26</v>
      </c>
      <c r="F272" s="10">
        <v>-0.09</v>
      </c>
      <c r="G272" s="10">
        <v>0.0</v>
      </c>
      <c r="H272" s="10">
        <v>-0.01</v>
      </c>
      <c r="I272" s="10">
        <v>33.34</v>
      </c>
      <c r="J272" s="10">
        <f t="shared" ref="J272:O272" si="546">abs(C272-C271)/200</f>
        <v>0.00005</v>
      </c>
      <c r="K272" s="11">
        <f t="shared" si="546"/>
        <v>0</v>
      </c>
      <c r="L272" s="12">
        <f t="shared" si="546"/>
        <v>0.00005</v>
      </c>
      <c r="M272" s="12">
        <f t="shared" si="546"/>
        <v>0.0001</v>
      </c>
      <c r="N272" s="12">
        <f t="shared" si="546"/>
        <v>0</v>
      </c>
      <c r="O272" s="12">
        <f t="shared" si="546"/>
        <v>0.00005</v>
      </c>
      <c r="P272" s="7">
        <f t="shared" si="9"/>
        <v>0.02124954749</v>
      </c>
      <c r="Q272" s="7">
        <f t="shared" si="10"/>
        <v>0.003056323961</v>
      </c>
      <c r="R272" s="7">
        <f t="shared" si="3"/>
        <v>0.210499488</v>
      </c>
      <c r="S272" s="7">
        <f t="shared" si="4"/>
        <v>0.09055385138</v>
      </c>
      <c r="T272" s="7">
        <f t="shared" si="5"/>
        <v>0</v>
      </c>
      <c r="U272" s="7">
        <f t="shared" si="6"/>
        <v>0</v>
      </c>
      <c r="V272" s="7">
        <f t="shared" ref="V272:W272" si="547">IF(AVERAGE(T212:T271) &gt; 0.25, 1, 0)</f>
        <v>0</v>
      </c>
      <c r="W272" s="7">
        <f t="shared" si="547"/>
        <v>0</v>
      </c>
      <c r="X272" s="8">
        <v>0.0</v>
      </c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ht="22.5" customHeight="1">
      <c r="A273" s="6">
        <v>1172.0</v>
      </c>
      <c r="B273" s="6">
        <v>62867.0</v>
      </c>
      <c r="C273" s="10">
        <v>0.8</v>
      </c>
      <c r="D273" s="10">
        <v>9.72</v>
      </c>
      <c r="E273" s="10">
        <v>2.24</v>
      </c>
      <c r="F273" s="10">
        <v>-0.1</v>
      </c>
      <c r="G273" s="10">
        <v>0.0</v>
      </c>
      <c r="H273" s="10">
        <v>-0.02</v>
      </c>
      <c r="I273" s="10">
        <v>33.34</v>
      </c>
      <c r="J273" s="10">
        <f t="shared" ref="J273:O273" si="548">abs(C273-C272)/200</f>
        <v>0.00005</v>
      </c>
      <c r="K273" s="11">
        <f t="shared" si="548"/>
        <v>0</v>
      </c>
      <c r="L273" s="12">
        <f t="shared" si="548"/>
        <v>0.0001</v>
      </c>
      <c r="M273" s="12">
        <f t="shared" si="548"/>
        <v>0.00005</v>
      </c>
      <c r="N273" s="12">
        <f t="shared" si="548"/>
        <v>0</v>
      </c>
      <c r="O273" s="12">
        <f t="shared" si="548"/>
        <v>0.00005</v>
      </c>
      <c r="P273" s="7">
        <f t="shared" si="9"/>
        <v>0.01142653889</v>
      </c>
      <c r="Q273" s="7">
        <f t="shared" si="10"/>
        <v>0.003701798467</v>
      </c>
      <c r="R273" s="7">
        <f t="shared" si="3"/>
        <v>0.2067976896</v>
      </c>
      <c r="S273" s="7">
        <f t="shared" si="4"/>
        <v>0.1019803903</v>
      </c>
      <c r="T273" s="7">
        <f t="shared" si="5"/>
        <v>0</v>
      </c>
      <c r="U273" s="7">
        <f t="shared" si="6"/>
        <v>0</v>
      </c>
      <c r="V273" s="7">
        <f t="shared" ref="V273:W273" si="549">IF(AVERAGE(T213:T272) &gt; 0.25, 1, 0)</f>
        <v>0</v>
      </c>
      <c r="W273" s="7">
        <f t="shared" si="549"/>
        <v>0</v>
      </c>
      <c r="X273" s="8">
        <v>0.0</v>
      </c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ht="22.5" customHeight="1">
      <c r="A274" s="6">
        <v>1173.0</v>
      </c>
      <c r="B274" s="6">
        <v>63071.0</v>
      </c>
      <c r="C274" s="10">
        <v>0.77</v>
      </c>
      <c r="D274" s="10">
        <v>9.73</v>
      </c>
      <c r="E274" s="10">
        <v>2.27</v>
      </c>
      <c r="F274" s="10">
        <v>-0.1</v>
      </c>
      <c r="G274" s="10">
        <v>0.0</v>
      </c>
      <c r="H274" s="10">
        <v>-0.01</v>
      </c>
      <c r="I274" s="10">
        <v>33.35</v>
      </c>
      <c r="J274" s="10">
        <f t="shared" ref="J274:O274" si="550">abs(C274-C273)/200</f>
        <v>0.00015</v>
      </c>
      <c r="K274" s="11">
        <f t="shared" si="550"/>
        <v>0.00005</v>
      </c>
      <c r="L274" s="12">
        <f t="shared" si="550"/>
        <v>0.00015</v>
      </c>
      <c r="M274" s="12">
        <f t="shared" si="550"/>
        <v>0</v>
      </c>
      <c r="N274" s="12">
        <f t="shared" si="550"/>
        <v>0</v>
      </c>
      <c r="O274" s="12">
        <f t="shared" si="550"/>
        <v>0.00005</v>
      </c>
      <c r="P274" s="7">
        <f t="shared" si="9"/>
        <v>0.001481634061</v>
      </c>
      <c r="Q274" s="7">
        <f t="shared" si="10"/>
        <v>0.01411544247</v>
      </c>
      <c r="R274" s="7">
        <f t="shared" si="3"/>
        <v>0.220913132</v>
      </c>
      <c r="S274" s="7">
        <f t="shared" si="4"/>
        <v>0.1004987562</v>
      </c>
      <c r="T274" s="7">
        <f t="shared" si="5"/>
        <v>0</v>
      </c>
      <c r="U274" s="7">
        <f t="shared" si="6"/>
        <v>0</v>
      </c>
      <c r="V274" s="7">
        <f t="shared" ref="V274:W274" si="551">IF(AVERAGE(T214:T273) &gt; 0.25, 1, 0)</f>
        <v>0</v>
      </c>
      <c r="W274" s="7">
        <f t="shared" si="551"/>
        <v>0</v>
      </c>
      <c r="X274" s="8">
        <v>0.0</v>
      </c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ht="22.5" customHeight="1">
      <c r="A275" s="6">
        <v>1174.0</v>
      </c>
      <c r="B275" s="6">
        <v>63275.0</v>
      </c>
      <c r="C275" s="10">
        <v>0.79</v>
      </c>
      <c r="D275" s="10">
        <v>9.72</v>
      </c>
      <c r="E275" s="10">
        <v>2.24</v>
      </c>
      <c r="F275" s="10">
        <v>-0.1</v>
      </c>
      <c r="G275" s="10">
        <v>0.0</v>
      </c>
      <c r="H275" s="10">
        <v>-0.01</v>
      </c>
      <c r="I275" s="10">
        <v>33.36</v>
      </c>
      <c r="J275" s="10">
        <f t="shared" ref="J275:O275" si="552">abs(C275-C274)/200</f>
        <v>0.0001</v>
      </c>
      <c r="K275" s="11">
        <f t="shared" si="552"/>
        <v>0.00005</v>
      </c>
      <c r="L275" s="12">
        <f t="shared" si="552"/>
        <v>0.00015</v>
      </c>
      <c r="M275" s="12">
        <f t="shared" si="552"/>
        <v>0</v>
      </c>
      <c r="N275" s="12">
        <f t="shared" si="552"/>
        <v>0</v>
      </c>
      <c r="O275" s="12">
        <f t="shared" si="552"/>
        <v>0</v>
      </c>
      <c r="P275" s="7">
        <f t="shared" si="9"/>
        <v>0</v>
      </c>
      <c r="Q275" s="7">
        <f t="shared" si="10"/>
        <v>0.01490993396</v>
      </c>
      <c r="R275" s="7">
        <f t="shared" si="3"/>
        <v>0.2060031981</v>
      </c>
      <c r="S275" s="7">
        <f t="shared" si="4"/>
        <v>0.1004987562</v>
      </c>
      <c r="T275" s="7">
        <f t="shared" si="5"/>
        <v>0</v>
      </c>
      <c r="U275" s="7">
        <f t="shared" si="6"/>
        <v>0</v>
      </c>
      <c r="V275" s="7">
        <f t="shared" ref="V275:W275" si="553">IF(AVERAGE(T215:T274) &gt; 0.25, 1, 0)</f>
        <v>0</v>
      </c>
      <c r="W275" s="7">
        <f t="shared" si="553"/>
        <v>0</v>
      </c>
      <c r="X275" s="8">
        <v>0.0</v>
      </c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ht="22.5" customHeight="1">
      <c r="A276" s="6">
        <v>1175.0</v>
      </c>
      <c r="B276" s="6">
        <v>63479.0</v>
      </c>
      <c r="C276" s="10">
        <v>0.78</v>
      </c>
      <c r="D276" s="10">
        <v>9.73</v>
      </c>
      <c r="E276" s="10">
        <v>2.25</v>
      </c>
      <c r="F276" s="10">
        <v>-0.09</v>
      </c>
      <c r="G276" s="10">
        <v>0.0</v>
      </c>
      <c r="H276" s="10">
        <v>-0.01</v>
      </c>
      <c r="I276" s="10">
        <v>33.35</v>
      </c>
      <c r="J276" s="10">
        <f t="shared" ref="J276:O276" si="554">abs(C276-C275)/200</f>
        <v>0.00005</v>
      </c>
      <c r="K276" s="11">
        <f t="shared" si="554"/>
        <v>0.00005</v>
      </c>
      <c r="L276" s="12">
        <f t="shared" si="554"/>
        <v>0.00005</v>
      </c>
      <c r="M276" s="12">
        <f t="shared" si="554"/>
        <v>0.00005</v>
      </c>
      <c r="N276" s="12">
        <f t="shared" si="554"/>
        <v>0</v>
      </c>
      <c r="O276" s="12">
        <f t="shared" si="554"/>
        <v>0</v>
      </c>
      <c r="P276" s="7">
        <f t="shared" si="9"/>
        <v>0.00994490483</v>
      </c>
      <c r="Q276" s="7">
        <f t="shared" si="10"/>
        <v>0.01117205246</v>
      </c>
      <c r="R276" s="7">
        <f t="shared" si="3"/>
        <v>0.2171752505</v>
      </c>
      <c r="S276" s="7">
        <f t="shared" si="4"/>
        <v>0.09055385138</v>
      </c>
      <c r="T276" s="7">
        <f t="shared" si="5"/>
        <v>0</v>
      </c>
      <c r="U276" s="7">
        <f t="shared" si="6"/>
        <v>0</v>
      </c>
      <c r="V276" s="7">
        <f t="shared" ref="V276:W276" si="555">IF(AVERAGE(T216:T275) &gt; 0.25, 1, 0)</f>
        <v>0</v>
      </c>
      <c r="W276" s="7">
        <f t="shared" si="555"/>
        <v>0</v>
      </c>
      <c r="X276" s="8">
        <v>0.0</v>
      </c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ht="22.5" customHeight="1">
      <c r="A277" s="6">
        <v>1176.0</v>
      </c>
      <c r="B277" s="6">
        <v>63683.0</v>
      </c>
      <c r="C277" s="10">
        <v>0.78</v>
      </c>
      <c r="D277" s="10">
        <v>9.72</v>
      </c>
      <c r="E277" s="10">
        <v>2.25</v>
      </c>
      <c r="F277" s="10">
        <v>-0.1</v>
      </c>
      <c r="G277" s="10">
        <v>0.0</v>
      </c>
      <c r="H277" s="10">
        <v>-0.01</v>
      </c>
      <c r="I277" s="10">
        <v>33.36</v>
      </c>
      <c r="J277" s="10">
        <f t="shared" ref="J277:O277" si="556">abs(C277-C276)/200</f>
        <v>0</v>
      </c>
      <c r="K277" s="11">
        <f t="shared" si="556"/>
        <v>0.00005</v>
      </c>
      <c r="L277" s="12">
        <f t="shared" si="556"/>
        <v>0</v>
      </c>
      <c r="M277" s="12">
        <f t="shared" si="556"/>
        <v>0.00005</v>
      </c>
      <c r="N277" s="12">
        <f t="shared" si="556"/>
        <v>0</v>
      </c>
      <c r="O277" s="12">
        <f t="shared" si="556"/>
        <v>0</v>
      </c>
      <c r="P277" s="7">
        <f t="shared" si="9"/>
        <v>0.00994490483</v>
      </c>
      <c r="Q277" s="7">
        <f t="shared" si="10"/>
        <v>0.009713034772</v>
      </c>
      <c r="R277" s="7">
        <f t="shared" si="3"/>
        <v>0.2074622158</v>
      </c>
      <c r="S277" s="7">
        <f t="shared" si="4"/>
        <v>0.1004987562</v>
      </c>
      <c r="T277" s="7">
        <f t="shared" si="5"/>
        <v>0</v>
      </c>
      <c r="U277" s="7">
        <f t="shared" si="6"/>
        <v>0</v>
      </c>
      <c r="V277" s="7">
        <f t="shared" ref="V277:W277" si="557">IF(AVERAGE(T217:T276) &gt; 0.25, 1, 0)</f>
        <v>0</v>
      </c>
      <c r="W277" s="7">
        <f t="shared" si="557"/>
        <v>0</v>
      </c>
      <c r="X277" s="8">
        <v>0.0</v>
      </c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ht="22.5" customHeight="1">
      <c r="A278" s="6">
        <v>1177.0</v>
      </c>
      <c r="B278" s="6">
        <v>63887.0</v>
      </c>
      <c r="C278" s="10">
        <v>0.76</v>
      </c>
      <c r="D278" s="10">
        <v>9.73</v>
      </c>
      <c r="E278" s="10">
        <v>2.26</v>
      </c>
      <c r="F278" s="10">
        <v>-0.09</v>
      </c>
      <c r="G278" s="10">
        <v>0.0</v>
      </c>
      <c r="H278" s="10">
        <v>-0.01</v>
      </c>
      <c r="I278" s="10">
        <v>33.36</v>
      </c>
      <c r="J278" s="10">
        <f t="shared" ref="J278:O278" si="558">abs(C278-C277)/200</f>
        <v>0.0001</v>
      </c>
      <c r="K278" s="11">
        <f t="shared" si="558"/>
        <v>0.00005</v>
      </c>
      <c r="L278" s="12">
        <f t="shared" si="558"/>
        <v>0.00005</v>
      </c>
      <c r="M278" s="12">
        <f t="shared" si="558"/>
        <v>0.00005</v>
      </c>
      <c r="N278" s="12">
        <f t="shared" si="558"/>
        <v>0</v>
      </c>
      <c r="O278" s="12">
        <f t="shared" si="558"/>
        <v>0</v>
      </c>
      <c r="P278" s="7">
        <f t="shared" si="9"/>
        <v>0.00994490483</v>
      </c>
      <c r="Q278" s="7">
        <f t="shared" si="10"/>
        <v>0.01042678342</v>
      </c>
      <c r="R278" s="7">
        <f t="shared" si="3"/>
        <v>0.2178889992</v>
      </c>
      <c r="S278" s="7">
        <f t="shared" si="4"/>
        <v>0.09055385138</v>
      </c>
      <c r="T278" s="7">
        <f t="shared" si="5"/>
        <v>0</v>
      </c>
      <c r="U278" s="7">
        <f t="shared" si="6"/>
        <v>0</v>
      </c>
      <c r="V278" s="7">
        <f t="shared" ref="V278:W278" si="559">IF(AVERAGE(T218:T277) &gt; 0.25, 1, 0)</f>
        <v>0</v>
      </c>
      <c r="W278" s="7">
        <f t="shared" si="559"/>
        <v>0</v>
      </c>
      <c r="X278" s="8">
        <v>0.0</v>
      </c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ht="22.5" customHeight="1">
      <c r="A279" s="6">
        <v>1178.0</v>
      </c>
      <c r="B279" s="6">
        <v>64091.0</v>
      </c>
      <c r="C279" s="10">
        <v>0.77</v>
      </c>
      <c r="D279" s="10">
        <v>9.73</v>
      </c>
      <c r="E279" s="10">
        <v>2.27</v>
      </c>
      <c r="F279" s="10">
        <v>-0.09</v>
      </c>
      <c r="G279" s="10">
        <v>0.0</v>
      </c>
      <c r="H279" s="10">
        <v>-0.01</v>
      </c>
      <c r="I279" s="10">
        <v>33.35</v>
      </c>
      <c r="J279" s="10">
        <f t="shared" ref="J279:O279" si="560">abs(C279-C278)/200</f>
        <v>0.00005</v>
      </c>
      <c r="K279" s="11">
        <f t="shared" si="560"/>
        <v>0</v>
      </c>
      <c r="L279" s="12">
        <f t="shared" si="560"/>
        <v>0.00005</v>
      </c>
      <c r="M279" s="12">
        <f t="shared" si="560"/>
        <v>0</v>
      </c>
      <c r="N279" s="12">
        <f t="shared" si="560"/>
        <v>0</v>
      </c>
      <c r="O279" s="12">
        <f t="shared" si="560"/>
        <v>0</v>
      </c>
      <c r="P279" s="7">
        <f t="shared" si="9"/>
        <v>0</v>
      </c>
      <c r="Q279" s="7">
        <f t="shared" si="10"/>
        <v>0.00302413286</v>
      </c>
      <c r="R279" s="7">
        <f t="shared" si="3"/>
        <v>0.220913132</v>
      </c>
      <c r="S279" s="7">
        <f t="shared" si="4"/>
        <v>0.09055385138</v>
      </c>
      <c r="T279" s="7">
        <f t="shared" si="5"/>
        <v>0</v>
      </c>
      <c r="U279" s="7">
        <f t="shared" si="6"/>
        <v>0</v>
      </c>
      <c r="V279" s="7">
        <f t="shared" ref="V279:W279" si="561">IF(AVERAGE(T219:T278) &gt; 0.25, 1, 0)</f>
        <v>0</v>
      </c>
      <c r="W279" s="7">
        <f t="shared" si="561"/>
        <v>0</v>
      </c>
      <c r="X279" s="8">
        <v>0.0</v>
      </c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ht="22.5" customHeight="1">
      <c r="A280" s="6">
        <v>1179.0</v>
      </c>
      <c r="B280" s="6">
        <v>64295.0</v>
      </c>
      <c r="C280" s="10">
        <v>0.79</v>
      </c>
      <c r="D280" s="10">
        <v>9.73</v>
      </c>
      <c r="E280" s="10">
        <v>2.22</v>
      </c>
      <c r="F280" s="10">
        <v>-0.1</v>
      </c>
      <c r="G280" s="10">
        <v>0.0</v>
      </c>
      <c r="H280" s="10">
        <v>-0.02</v>
      </c>
      <c r="I280" s="10">
        <v>33.35</v>
      </c>
      <c r="J280" s="10">
        <f t="shared" ref="J280:O280" si="562">abs(C280-C279)/200</f>
        <v>0.0001</v>
      </c>
      <c r="K280" s="11">
        <f t="shared" si="562"/>
        <v>0</v>
      </c>
      <c r="L280" s="12">
        <f t="shared" si="562"/>
        <v>0.00025</v>
      </c>
      <c r="M280" s="12">
        <f t="shared" si="562"/>
        <v>0.00005</v>
      </c>
      <c r="N280" s="12">
        <f t="shared" si="562"/>
        <v>0</v>
      </c>
      <c r="O280" s="12">
        <f t="shared" si="562"/>
        <v>0.00005</v>
      </c>
      <c r="P280" s="7">
        <f t="shared" si="9"/>
        <v>0.01142653889</v>
      </c>
      <c r="Q280" s="7">
        <f t="shared" si="10"/>
        <v>0.009649475543</v>
      </c>
      <c r="R280" s="7">
        <f t="shared" si="3"/>
        <v>0.2112636565</v>
      </c>
      <c r="S280" s="7">
        <f t="shared" si="4"/>
        <v>0.1019803903</v>
      </c>
      <c r="T280" s="7">
        <f t="shared" si="5"/>
        <v>0</v>
      </c>
      <c r="U280" s="7">
        <f t="shared" si="6"/>
        <v>0</v>
      </c>
      <c r="V280" s="7">
        <f t="shared" ref="V280:W280" si="563">IF(AVERAGE(T220:T279) &gt; 0.25, 1, 0)</f>
        <v>0</v>
      </c>
      <c r="W280" s="7">
        <f t="shared" si="563"/>
        <v>0</v>
      </c>
      <c r="X280" s="8">
        <v>0.0</v>
      </c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ht="22.5" customHeight="1">
      <c r="A281" s="6">
        <v>1180.0</v>
      </c>
      <c r="B281" s="6">
        <v>64499.0</v>
      </c>
      <c r="C281" s="10">
        <v>0.76</v>
      </c>
      <c r="D281" s="10">
        <v>9.72</v>
      </c>
      <c r="E281" s="10">
        <v>2.23</v>
      </c>
      <c r="F281" s="10">
        <v>-0.09</v>
      </c>
      <c r="G281" s="10">
        <v>0.0</v>
      </c>
      <c r="H281" s="10">
        <v>-0.01</v>
      </c>
      <c r="I281" s="10">
        <v>33.36</v>
      </c>
      <c r="J281" s="10">
        <f t="shared" ref="J281:O281" si="564">abs(C281-C280)/200</f>
        <v>0.00015</v>
      </c>
      <c r="K281" s="11">
        <f t="shared" si="564"/>
        <v>0.00005</v>
      </c>
      <c r="L281" s="12">
        <f t="shared" si="564"/>
        <v>0.00005</v>
      </c>
      <c r="M281" s="12">
        <f t="shared" si="564"/>
        <v>0.00005</v>
      </c>
      <c r="N281" s="12">
        <f t="shared" si="564"/>
        <v>0</v>
      </c>
      <c r="O281" s="12">
        <f t="shared" si="564"/>
        <v>0.00005</v>
      </c>
      <c r="P281" s="7">
        <f t="shared" si="9"/>
        <v>0.01142653889</v>
      </c>
      <c r="Q281" s="7">
        <f t="shared" si="10"/>
        <v>0.009818760888</v>
      </c>
      <c r="R281" s="7">
        <f t="shared" si="3"/>
        <v>0.2014448956</v>
      </c>
      <c r="S281" s="7">
        <f t="shared" si="4"/>
        <v>0.09055385138</v>
      </c>
      <c r="T281" s="7">
        <f t="shared" si="5"/>
        <v>0</v>
      </c>
      <c r="U281" s="7">
        <f t="shared" si="6"/>
        <v>0</v>
      </c>
      <c r="V281" s="7">
        <f t="shared" ref="V281:W281" si="565">IF(AVERAGE(T221:T280) &gt; 0.25, 1, 0)</f>
        <v>0</v>
      </c>
      <c r="W281" s="7">
        <f t="shared" si="565"/>
        <v>0</v>
      </c>
      <c r="X281" s="8">
        <v>0.0</v>
      </c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ht="22.5" customHeight="1">
      <c r="A282" s="6">
        <v>1181.0</v>
      </c>
      <c r="B282" s="6">
        <v>64703.0</v>
      </c>
      <c r="C282" s="10">
        <v>0.77</v>
      </c>
      <c r="D282" s="10">
        <v>9.74</v>
      </c>
      <c r="E282" s="10">
        <v>2.22</v>
      </c>
      <c r="F282" s="10">
        <v>-0.09</v>
      </c>
      <c r="G282" s="10">
        <v>0.0</v>
      </c>
      <c r="H282" s="10">
        <v>-0.01</v>
      </c>
      <c r="I282" s="10">
        <v>33.35</v>
      </c>
      <c r="J282" s="10">
        <f t="shared" ref="J282:O282" si="566">abs(C282-C281)/200</f>
        <v>0.00005</v>
      </c>
      <c r="K282" s="11">
        <f t="shared" si="566"/>
        <v>0.0001</v>
      </c>
      <c r="L282" s="12">
        <f t="shared" si="566"/>
        <v>0.00005</v>
      </c>
      <c r="M282" s="12">
        <f t="shared" si="566"/>
        <v>0</v>
      </c>
      <c r="N282" s="12">
        <f t="shared" si="566"/>
        <v>0</v>
      </c>
      <c r="O282" s="12">
        <f t="shared" si="566"/>
        <v>0</v>
      </c>
      <c r="P282" s="7">
        <f t="shared" si="9"/>
        <v>0</v>
      </c>
      <c r="Q282" s="7">
        <f t="shared" si="10"/>
        <v>0.01798123566</v>
      </c>
      <c r="R282" s="7">
        <f t="shared" si="3"/>
        <v>0.2194261313</v>
      </c>
      <c r="S282" s="7">
        <f t="shared" si="4"/>
        <v>0.09055385138</v>
      </c>
      <c r="T282" s="7">
        <f t="shared" si="5"/>
        <v>0</v>
      </c>
      <c r="U282" s="7">
        <f t="shared" si="6"/>
        <v>0</v>
      </c>
      <c r="V282" s="7">
        <f t="shared" ref="V282:W282" si="567">IF(AVERAGE(T222:T281) &gt; 0.25, 1, 0)</f>
        <v>0</v>
      </c>
      <c r="W282" s="7">
        <f t="shared" si="567"/>
        <v>0</v>
      </c>
      <c r="X282" s="8">
        <v>0.0</v>
      </c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ht="22.5" customHeight="1">
      <c r="A283" s="6">
        <v>1182.0</v>
      </c>
      <c r="B283" s="6">
        <v>64907.0</v>
      </c>
      <c r="C283" s="10">
        <v>0.78</v>
      </c>
      <c r="D283" s="10">
        <v>9.73</v>
      </c>
      <c r="E283" s="10">
        <v>2.22</v>
      </c>
      <c r="F283" s="10">
        <v>-0.1</v>
      </c>
      <c r="G283" s="10">
        <v>0.0</v>
      </c>
      <c r="H283" s="10">
        <v>-0.01</v>
      </c>
      <c r="I283" s="10">
        <v>33.35</v>
      </c>
      <c r="J283" s="10">
        <f t="shared" ref="J283:O283" si="568">abs(C283-C282)/200</f>
        <v>0.00005</v>
      </c>
      <c r="K283" s="11">
        <f t="shared" si="568"/>
        <v>0.00005</v>
      </c>
      <c r="L283" s="12">
        <f t="shared" si="568"/>
        <v>0</v>
      </c>
      <c r="M283" s="12">
        <f t="shared" si="568"/>
        <v>0.00005</v>
      </c>
      <c r="N283" s="12">
        <f t="shared" si="568"/>
        <v>0</v>
      </c>
      <c r="O283" s="12">
        <f t="shared" si="568"/>
        <v>0</v>
      </c>
      <c r="P283" s="7">
        <f t="shared" si="9"/>
        <v>0.00994490483</v>
      </c>
      <c r="Q283" s="7">
        <f t="shared" si="10"/>
        <v>0.008946622277</v>
      </c>
      <c r="R283" s="7">
        <f t="shared" si="3"/>
        <v>0.210479509</v>
      </c>
      <c r="S283" s="7">
        <f t="shared" si="4"/>
        <v>0.1004987562</v>
      </c>
      <c r="T283" s="7">
        <f t="shared" si="5"/>
        <v>0</v>
      </c>
      <c r="U283" s="7">
        <f t="shared" si="6"/>
        <v>0</v>
      </c>
      <c r="V283" s="7">
        <f t="shared" ref="V283:W283" si="569">IF(AVERAGE(T223:T282) &gt; 0.25, 1, 0)</f>
        <v>0</v>
      </c>
      <c r="W283" s="7">
        <f t="shared" si="569"/>
        <v>0</v>
      </c>
      <c r="X283" s="8">
        <v>0.0</v>
      </c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ht="22.5" customHeight="1">
      <c r="A284" s="6">
        <v>1183.0</v>
      </c>
      <c r="B284" s="6">
        <v>65111.0</v>
      </c>
      <c r="C284" s="10">
        <v>0.78</v>
      </c>
      <c r="D284" s="10">
        <v>9.73</v>
      </c>
      <c r="E284" s="10">
        <v>2.22</v>
      </c>
      <c r="F284" s="10">
        <v>-0.09</v>
      </c>
      <c r="G284" s="10">
        <v>0.0</v>
      </c>
      <c r="H284" s="10">
        <v>0.0</v>
      </c>
      <c r="I284" s="10">
        <v>33.35</v>
      </c>
      <c r="J284" s="10">
        <f t="shared" ref="J284:O284" si="570">abs(C284-C283)/200</f>
        <v>0</v>
      </c>
      <c r="K284" s="11">
        <f t="shared" si="570"/>
        <v>0</v>
      </c>
      <c r="L284" s="12">
        <f t="shared" si="570"/>
        <v>0</v>
      </c>
      <c r="M284" s="12">
        <f t="shared" si="570"/>
        <v>0.00005</v>
      </c>
      <c r="N284" s="12">
        <f t="shared" si="570"/>
        <v>0</v>
      </c>
      <c r="O284" s="12">
        <f t="shared" si="570"/>
        <v>0.00005</v>
      </c>
      <c r="P284" s="7">
        <f t="shared" si="9"/>
        <v>0.01049875621</v>
      </c>
      <c r="Q284" s="7">
        <f t="shared" si="10"/>
        <v>0</v>
      </c>
      <c r="R284" s="7">
        <f t="shared" si="3"/>
        <v>0.210479509</v>
      </c>
      <c r="S284" s="7">
        <f t="shared" si="4"/>
        <v>0.09</v>
      </c>
      <c r="T284" s="7">
        <f t="shared" si="5"/>
        <v>0</v>
      </c>
      <c r="U284" s="7">
        <f t="shared" si="6"/>
        <v>0</v>
      </c>
      <c r="V284" s="7">
        <f t="shared" ref="V284:W284" si="571">IF(AVERAGE(T224:T283) &gt; 0.25, 1, 0)</f>
        <v>0</v>
      </c>
      <c r="W284" s="7">
        <f t="shared" si="571"/>
        <v>0</v>
      </c>
      <c r="X284" s="8">
        <v>0.0</v>
      </c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ht="22.5" customHeight="1">
      <c r="A285" s="6">
        <v>1184.0</v>
      </c>
      <c r="B285" s="6">
        <v>65315.0</v>
      </c>
      <c r="C285" s="10">
        <v>0.77</v>
      </c>
      <c r="D285" s="10">
        <v>9.73</v>
      </c>
      <c r="E285" s="10">
        <v>2.2</v>
      </c>
      <c r="F285" s="10">
        <v>-0.09</v>
      </c>
      <c r="G285" s="10">
        <v>0.0</v>
      </c>
      <c r="H285" s="10">
        <v>0.0</v>
      </c>
      <c r="I285" s="10">
        <v>33.35</v>
      </c>
      <c r="J285" s="10">
        <f t="shared" ref="J285:O285" si="572">abs(C285-C284)/200</f>
        <v>0.00005</v>
      </c>
      <c r="K285" s="11">
        <f t="shared" si="572"/>
        <v>0</v>
      </c>
      <c r="L285" s="12">
        <f t="shared" si="572"/>
        <v>0.0001</v>
      </c>
      <c r="M285" s="12">
        <f t="shared" si="572"/>
        <v>0</v>
      </c>
      <c r="N285" s="12">
        <f t="shared" si="572"/>
        <v>0</v>
      </c>
      <c r="O285" s="12">
        <f t="shared" si="572"/>
        <v>0</v>
      </c>
      <c r="P285" s="7">
        <f t="shared" si="9"/>
        <v>0</v>
      </c>
      <c r="Q285" s="7">
        <f t="shared" si="10"/>
        <v>0.00519090746</v>
      </c>
      <c r="R285" s="7">
        <f t="shared" si="3"/>
        <v>0.2052886015</v>
      </c>
      <c r="S285" s="7">
        <f t="shared" si="4"/>
        <v>0.09</v>
      </c>
      <c r="T285" s="7">
        <f t="shared" si="5"/>
        <v>0</v>
      </c>
      <c r="U285" s="7">
        <f t="shared" si="6"/>
        <v>0</v>
      </c>
      <c r="V285" s="7">
        <f t="shared" ref="V285:W285" si="573">IF(AVERAGE(T225:T284) &gt; 0.25, 1, 0)</f>
        <v>0</v>
      </c>
      <c r="W285" s="7">
        <f t="shared" si="573"/>
        <v>0</v>
      </c>
      <c r="X285" s="8">
        <v>0.0</v>
      </c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ht="22.5" customHeight="1">
      <c r="A286" s="6">
        <v>1185.0</v>
      </c>
      <c r="B286" s="6">
        <v>65519.0</v>
      </c>
      <c r="C286" s="10">
        <v>0.22</v>
      </c>
      <c r="D286" s="10">
        <v>9.96</v>
      </c>
      <c r="E286" s="10">
        <v>1.9</v>
      </c>
      <c r="F286" s="10">
        <v>-0.71</v>
      </c>
      <c r="G286" s="10">
        <v>0.0</v>
      </c>
      <c r="H286" s="10">
        <v>0.02</v>
      </c>
      <c r="I286" s="10">
        <v>33.34</v>
      </c>
      <c r="J286" s="10">
        <f t="shared" ref="J286:O286" si="574">abs(C286-C285)/200</f>
        <v>0.00275</v>
      </c>
      <c r="K286" s="11">
        <f t="shared" si="574"/>
        <v>0.00115</v>
      </c>
      <c r="L286" s="12">
        <f t="shared" si="574"/>
        <v>0.0015</v>
      </c>
      <c r="M286" s="12">
        <f t="shared" si="574"/>
        <v>0.0031</v>
      </c>
      <c r="N286" s="12">
        <f t="shared" si="574"/>
        <v>0</v>
      </c>
      <c r="O286" s="12">
        <f t="shared" si="574"/>
        <v>0.0001</v>
      </c>
      <c r="P286" s="7">
        <f t="shared" si="9"/>
        <v>0.6202816343</v>
      </c>
      <c r="Q286" s="7">
        <f t="shared" si="10"/>
        <v>0.1367033133</v>
      </c>
      <c r="R286" s="7">
        <f t="shared" si="3"/>
        <v>0.3419919148</v>
      </c>
      <c r="S286" s="7">
        <f t="shared" si="4"/>
        <v>0.7102816343</v>
      </c>
      <c r="T286" s="7">
        <f t="shared" si="5"/>
        <v>1</v>
      </c>
      <c r="U286" s="7">
        <f t="shared" si="6"/>
        <v>1</v>
      </c>
      <c r="V286" s="7">
        <f t="shared" ref="V286:W286" si="575">IF(AVERAGE(T226:T285) &gt; 0.25, 1, 0)</f>
        <v>0</v>
      </c>
      <c r="W286" s="7">
        <f t="shared" si="575"/>
        <v>0</v>
      </c>
      <c r="X286" s="8">
        <v>0.0</v>
      </c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ht="22.5" customHeight="1">
      <c r="A287" s="6">
        <v>1186.0</v>
      </c>
      <c r="B287" s="6">
        <v>65723.0</v>
      </c>
      <c r="C287" s="10">
        <v>1.14</v>
      </c>
      <c r="D287" s="10">
        <v>8.95</v>
      </c>
      <c r="E287" s="10">
        <v>4.47</v>
      </c>
      <c r="F287" s="10">
        <v>-1.21</v>
      </c>
      <c r="G287" s="10">
        <v>0.02</v>
      </c>
      <c r="H287" s="10">
        <v>0.18</v>
      </c>
      <c r="I287" s="10">
        <v>33.35</v>
      </c>
      <c r="J287" s="10">
        <f t="shared" ref="J287:O287" si="576">abs(C287-C286)/200</f>
        <v>0.0046</v>
      </c>
      <c r="K287" s="11">
        <f t="shared" si="576"/>
        <v>0.00505</v>
      </c>
      <c r="L287" s="12">
        <f t="shared" si="576"/>
        <v>0.01285</v>
      </c>
      <c r="M287" s="12">
        <f t="shared" si="576"/>
        <v>0.0025</v>
      </c>
      <c r="N287" s="12">
        <f t="shared" si="576"/>
        <v>0.0001</v>
      </c>
      <c r="O287" s="12">
        <f t="shared" si="576"/>
        <v>0.0008</v>
      </c>
      <c r="P287" s="7">
        <f t="shared" si="9"/>
        <v>0.5131970129</v>
      </c>
      <c r="Q287" s="7">
        <f t="shared" si="10"/>
        <v>0.0730793618</v>
      </c>
      <c r="R287" s="7">
        <f t="shared" si="3"/>
        <v>0.268912553</v>
      </c>
      <c r="S287" s="7">
        <f t="shared" si="4"/>
        <v>1.223478647</v>
      </c>
      <c r="T287" s="7">
        <f t="shared" si="5"/>
        <v>1</v>
      </c>
      <c r="U287" s="7">
        <f t="shared" si="6"/>
        <v>1</v>
      </c>
      <c r="V287" s="7">
        <f t="shared" ref="V287:W287" si="577">IF(AVERAGE(T227:T286) &gt; 0.25, 1, 0)</f>
        <v>0</v>
      </c>
      <c r="W287" s="7">
        <f t="shared" si="577"/>
        <v>0</v>
      </c>
      <c r="X287" s="8">
        <v>0.0</v>
      </c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ht="22.5" customHeight="1">
      <c r="A288" s="6">
        <v>1187.0</v>
      </c>
      <c r="B288" s="6">
        <v>65927.0</v>
      </c>
      <c r="C288" s="10">
        <v>1.51</v>
      </c>
      <c r="D288" s="10">
        <v>7.59</v>
      </c>
      <c r="E288" s="10">
        <v>6.62</v>
      </c>
      <c r="F288" s="10">
        <v>-1.6</v>
      </c>
      <c r="G288" s="10">
        <v>0.0</v>
      </c>
      <c r="H288" s="10">
        <v>0.31</v>
      </c>
      <c r="I288" s="10">
        <v>33.33</v>
      </c>
      <c r="J288" s="10">
        <f t="shared" ref="J288:O288" si="578">abs(C288-C287)/200</f>
        <v>0.00185</v>
      </c>
      <c r="K288" s="11">
        <f t="shared" si="578"/>
        <v>0.0068</v>
      </c>
      <c r="L288" s="12">
        <f t="shared" si="578"/>
        <v>0.01075</v>
      </c>
      <c r="M288" s="12">
        <f t="shared" si="578"/>
        <v>0.00195</v>
      </c>
      <c r="N288" s="12">
        <f t="shared" si="578"/>
        <v>0.0001</v>
      </c>
      <c r="O288" s="12">
        <f t="shared" si="578"/>
        <v>0.00065</v>
      </c>
      <c r="P288" s="7">
        <f t="shared" si="9"/>
        <v>0.4062759356</v>
      </c>
      <c r="Q288" s="7">
        <f t="shared" si="10"/>
        <v>0.1150257815</v>
      </c>
      <c r="R288" s="7">
        <f t="shared" si="3"/>
        <v>0.3839383345</v>
      </c>
      <c r="S288" s="7">
        <f t="shared" si="4"/>
        <v>1.629754583</v>
      </c>
      <c r="T288" s="7">
        <f t="shared" si="5"/>
        <v>1</v>
      </c>
      <c r="U288" s="7">
        <f t="shared" si="6"/>
        <v>1</v>
      </c>
      <c r="V288" s="7">
        <f t="shared" ref="V288:W288" si="579">IF(AVERAGE(T228:T287) &gt; 0.25, 1, 0)</f>
        <v>0</v>
      </c>
      <c r="W288" s="7">
        <f t="shared" si="579"/>
        <v>0</v>
      </c>
      <c r="X288" s="8">
        <v>0.0</v>
      </c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ht="22.5" customHeight="1">
      <c r="A289" s="6">
        <v>1188.0</v>
      </c>
      <c r="B289" s="6">
        <v>66131.0</v>
      </c>
      <c r="C289" s="10">
        <v>1.05</v>
      </c>
      <c r="D289" s="10">
        <v>5.58</v>
      </c>
      <c r="E289" s="10">
        <v>7.74</v>
      </c>
      <c r="F289" s="10">
        <v>-2.3</v>
      </c>
      <c r="G289" s="10">
        <v>0.06</v>
      </c>
      <c r="H289" s="10">
        <v>0.33</v>
      </c>
      <c r="I289" s="10">
        <v>33.35</v>
      </c>
      <c r="J289" s="10">
        <f t="shared" ref="J289:O289" si="580">abs(C289-C288)/200</f>
        <v>0.0023</v>
      </c>
      <c r="K289" s="11">
        <f t="shared" si="580"/>
        <v>0.01005</v>
      </c>
      <c r="L289" s="12">
        <f t="shared" si="580"/>
        <v>0.0056</v>
      </c>
      <c r="M289" s="12">
        <f t="shared" si="580"/>
        <v>0.0035</v>
      </c>
      <c r="N289" s="12">
        <f t="shared" si="580"/>
        <v>0.0003</v>
      </c>
      <c r="O289" s="12">
        <f t="shared" si="580"/>
        <v>0.0001</v>
      </c>
      <c r="P289" s="7">
        <f t="shared" si="9"/>
        <v>0.6945732771</v>
      </c>
      <c r="Q289" s="7">
        <f t="shared" si="10"/>
        <v>0.5846414852</v>
      </c>
      <c r="R289" s="7">
        <f t="shared" si="3"/>
        <v>-0.2007031508</v>
      </c>
      <c r="S289" s="7">
        <f t="shared" si="4"/>
        <v>2.32432786</v>
      </c>
      <c r="T289" s="7">
        <f t="shared" si="5"/>
        <v>1</v>
      </c>
      <c r="U289" s="7">
        <f t="shared" si="6"/>
        <v>1</v>
      </c>
      <c r="V289" s="7">
        <f t="shared" ref="V289:W289" si="581">IF(AVERAGE(T229:T288) &gt; 0.25, 1, 0)</f>
        <v>0</v>
      </c>
      <c r="W289" s="7">
        <f t="shared" si="581"/>
        <v>0</v>
      </c>
      <c r="X289" s="8">
        <v>0.0</v>
      </c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ht="22.5" customHeight="1">
      <c r="A290" s="6">
        <v>1189.0</v>
      </c>
      <c r="B290" s="6">
        <v>66335.0</v>
      </c>
      <c r="C290" s="10">
        <v>1.93</v>
      </c>
      <c r="D290" s="10">
        <v>-0.12</v>
      </c>
      <c r="E290" s="10">
        <v>12.74</v>
      </c>
      <c r="F290" s="10">
        <v>-0.32</v>
      </c>
      <c r="G290" s="10">
        <v>0.23</v>
      </c>
      <c r="H290" s="10">
        <v>-0.04</v>
      </c>
      <c r="I290" s="10">
        <v>33.34</v>
      </c>
      <c r="J290" s="10">
        <f t="shared" ref="J290:O290" si="582">abs(C290-C289)/200</f>
        <v>0.0044</v>
      </c>
      <c r="K290" s="11">
        <f t="shared" si="582"/>
        <v>0.0285</v>
      </c>
      <c r="L290" s="12">
        <f t="shared" si="582"/>
        <v>0.025</v>
      </c>
      <c r="M290" s="12">
        <f t="shared" si="582"/>
        <v>0.0099</v>
      </c>
      <c r="N290" s="12">
        <f t="shared" si="582"/>
        <v>0.00085</v>
      </c>
      <c r="O290" s="12">
        <f t="shared" si="582"/>
        <v>0.00185</v>
      </c>
      <c r="P290" s="7">
        <f t="shared" si="9"/>
        <v>1.928221813</v>
      </c>
      <c r="Q290" s="7">
        <f t="shared" si="10"/>
        <v>3.286621822</v>
      </c>
      <c r="R290" s="7">
        <f t="shared" si="3"/>
        <v>3.085918671</v>
      </c>
      <c r="S290" s="7">
        <f t="shared" si="4"/>
        <v>0.3961060464</v>
      </c>
      <c r="T290" s="7">
        <f t="shared" si="5"/>
        <v>1</v>
      </c>
      <c r="U290" s="7">
        <f t="shared" si="6"/>
        <v>1</v>
      </c>
      <c r="V290" s="7">
        <f t="shared" ref="V290:W290" si="583">IF(AVERAGE(T230:T289) &gt; 0.25, 1, 0)</f>
        <v>0</v>
      </c>
      <c r="W290" s="7">
        <f t="shared" si="583"/>
        <v>0</v>
      </c>
      <c r="X290" s="8">
        <v>0.0</v>
      </c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ht="22.5" customHeight="1">
      <c r="A291" s="6">
        <v>1190.0</v>
      </c>
      <c r="B291" s="6">
        <v>66539.0</v>
      </c>
      <c r="C291" s="10">
        <v>1.89</v>
      </c>
      <c r="D291" s="10">
        <v>-0.01</v>
      </c>
      <c r="E291" s="10">
        <v>10.6</v>
      </c>
      <c r="F291" s="10">
        <v>-0.1</v>
      </c>
      <c r="G291" s="10">
        <v>0.0</v>
      </c>
      <c r="H291" s="10">
        <v>-0.01</v>
      </c>
      <c r="I291" s="10">
        <v>33.34</v>
      </c>
      <c r="J291" s="10">
        <f t="shared" ref="J291:O291" si="584">abs(C291-C290)/200</f>
        <v>0.0002</v>
      </c>
      <c r="K291" s="11">
        <f t="shared" si="584"/>
        <v>0.00055</v>
      </c>
      <c r="L291" s="12">
        <f t="shared" si="584"/>
        <v>0.0107</v>
      </c>
      <c r="M291" s="12">
        <f t="shared" si="584"/>
        <v>0.0011</v>
      </c>
      <c r="N291" s="12">
        <f t="shared" si="584"/>
        <v>0.00115</v>
      </c>
      <c r="O291" s="12">
        <f t="shared" si="584"/>
        <v>0.00015</v>
      </c>
      <c r="P291" s="7">
        <f t="shared" si="9"/>
        <v>0.2956072902</v>
      </c>
      <c r="Q291" s="7">
        <f t="shared" si="10"/>
        <v>2.118737053</v>
      </c>
      <c r="R291" s="7">
        <f t="shared" si="3"/>
        <v>0.9671816182</v>
      </c>
      <c r="S291" s="7">
        <f t="shared" si="4"/>
        <v>0.1004987562</v>
      </c>
      <c r="T291" s="7">
        <f t="shared" si="5"/>
        <v>1</v>
      </c>
      <c r="U291" s="7">
        <f t="shared" si="6"/>
        <v>1</v>
      </c>
      <c r="V291" s="7">
        <f t="shared" ref="V291:W291" si="585">IF(AVERAGE(T231:T290) &gt; 0.25, 1, 0)</f>
        <v>0</v>
      </c>
      <c r="W291" s="7">
        <f t="shared" si="585"/>
        <v>0</v>
      </c>
      <c r="X291" s="8">
        <v>0.0</v>
      </c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ht="22.5" customHeight="1">
      <c r="A292" s="6">
        <v>1191.0</v>
      </c>
      <c r="B292" s="6">
        <v>66743.0</v>
      </c>
      <c r="C292" s="10">
        <v>1.88</v>
      </c>
      <c r="D292" s="10">
        <v>-0.03</v>
      </c>
      <c r="E292" s="10">
        <v>10.61</v>
      </c>
      <c r="F292" s="10">
        <v>-0.1</v>
      </c>
      <c r="G292" s="10">
        <v>0.0</v>
      </c>
      <c r="H292" s="10">
        <v>-0.01</v>
      </c>
      <c r="I292" s="10">
        <v>33.35</v>
      </c>
      <c r="J292" s="10">
        <f t="shared" ref="J292:O292" si="586">abs(C292-C291)/200</f>
        <v>0.00005</v>
      </c>
      <c r="K292" s="11">
        <f t="shared" si="586"/>
        <v>0.0001</v>
      </c>
      <c r="L292" s="12">
        <f t="shared" si="586"/>
        <v>0.00005</v>
      </c>
      <c r="M292" s="12">
        <f t="shared" si="586"/>
        <v>0</v>
      </c>
      <c r="N292" s="12">
        <f t="shared" si="586"/>
        <v>0</v>
      </c>
      <c r="O292" s="12">
        <f t="shared" si="586"/>
        <v>0</v>
      </c>
      <c r="P292" s="7">
        <f t="shared" si="9"/>
        <v>0</v>
      </c>
      <c r="Q292" s="7">
        <f t="shared" si="10"/>
        <v>0.008132762332</v>
      </c>
      <c r="R292" s="7">
        <f t="shared" si="3"/>
        <v>0.9753143806</v>
      </c>
      <c r="S292" s="7">
        <f t="shared" si="4"/>
        <v>0.1004987562</v>
      </c>
      <c r="T292" s="7">
        <f t="shared" si="5"/>
        <v>0</v>
      </c>
      <c r="U292" s="7">
        <f t="shared" si="6"/>
        <v>0</v>
      </c>
      <c r="V292" s="7">
        <f t="shared" ref="V292:W292" si="587">IF(AVERAGE(T232:T291) &gt; 0.25, 1, 0)</f>
        <v>0</v>
      </c>
      <c r="W292" s="7">
        <f t="shared" si="587"/>
        <v>0</v>
      </c>
      <c r="X292" s="8">
        <v>0.0</v>
      </c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ht="22.5" customHeight="1">
      <c r="A293" s="6">
        <v>1192.0</v>
      </c>
      <c r="B293" s="6">
        <v>66947.0</v>
      </c>
      <c r="C293" s="10">
        <v>1.9</v>
      </c>
      <c r="D293" s="10">
        <v>-0.02</v>
      </c>
      <c r="E293" s="10">
        <v>10.61</v>
      </c>
      <c r="F293" s="10">
        <v>-0.1</v>
      </c>
      <c r="G293" s="10">
        <v>0.0</v>
      </c>
      <c r="H293" s="10">
        <v>-0.01</v>
      </c>
      <c r="I293" s="10">
        <v>33.34</v>
      </c>
      <c r="J293" s="10">
        <f t="shared" ref="J293:O293" si="588">abs(C293-C292)/200</f>
        <v>0.0001</v>
      </c>
      <c r="K293" s="11">
        <f t="shared" si="588"/>
        <v>0.00005</v>
      </c>
      <c r="L293" s="12">
        <f t="shared" si="588"/>
        <v>0</v>
      </c>
      <c r="M293" s="12">
        <f t="shared" si="588"/>
        <v>0</v>
      </c>
      <c r="N293" s="12">
        <f t="shared" si="588"/>
        <v>0</v>
      </c>
      <c r="O293" s="12">
        <f t="shared" si="588"/>
        <v>0</v>
      </c>
      <c r="P293" s="7">
        <f t="shared" si="9"/>
        <v>0</v>
      </c>
      <c r="Q293" s="7">
        <f t="shared" si="10"/>
        <v>0.003484253792</v>
      </c>
      <c r="R293" s="7">
        <f t="shared" si="3"/>
        <v>0.9787986344</v>
      </c>
      <c r="S293" s="7">
        <f t="shared" si="4"/>
        <v>0.1004987562</v>
      </c>
      <c r="T293" s="7">
        <f t="shared" si="5"/>
        <v>0</v>
      </c>
      <c r="U293" s="7">
        <f t="shared" si="6"/>
        <v>0</v>
      </c>
      <c r="V293" s="7">
        <f t="shared" ref="V293:W293" si="589">IF(AVERAGE(T233:T292) &gt; 0.25, 1, 0)</f>
        <v>0</v>
      </c>
      <c r="W293" s="7">
        <f t="shared" si="589"/>
        <v>0</v>
      </c>
      <c r="X293" s="8">
        <v>0.0</v>
      </c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ht="22.5" customHeight="1">
      <c r="A294" s="6">
        <v>1193.0</v>
      </c>
      <c r="B294" s="6">
        <v>67151.0</v>
      </c>
      <c r="C294" s="10">
        <v>1.9</v>
      </c>
      <c r="D294" s="10">
        <v>-0.02</v>
      </c>
      <c r="E294" s="10">
        <v>10.59</v>
      </c>
      <c r="F294" s="10">
        <v>-0.1</v>
      </c>
      <c r="G294" s="10">
        <v>0.0</v>
      </c>
      <c r="H294" s="10">
        <v>-0.01</v>
      </c>
      <c r="I294" s="10">
        <v>33.35</v>
      </c>
      <c r="J294" s="10">
        <f t="shared" ref="J294:O294" si="590">abs(C294-C293)/200</f>
        <v>0</v>
      </c>
      <c r="K294" s="11">
        <f t="shared" si="590"/>
        <v>0</v>
      </c>
      <c r="L294" s="12">
        <f t="shared" si="590"/>
        <v>0.0001</v>
      </c>
      <c r="M294" s="12">
        <f t="shared" si="590"/>
        <v>0</v>
      </c>
      <c r="N294" s="12">
        <f t="shared" si="590"/>
        <v>0</v>
      </c>
      <c r="O294" s="12">
        <f t="shared" si="590"/>
        <v>0</v>
      </c>
      <c r="P294" s="7">
        <f t="shared" si="9"/>
        <v>0</v>
      </c>
      <c r="Q294" s="7">
        <f t="shared" si="10"/>
        <v>0.01968621743</v>
      </c>
      <c r="R294" s="7">
        <f t="shared" si="3"/>
        <v>0.9591124169</v>
      </c>
      <c r="S294" s="7">
        <f t="shared" si="4"/>
        <v>0.1004987562</v>
      </c>
      <c r="T294" s="7">
        <f t="shared" si="5"/>
        <v>0</v>
      </c>
      <c r="U294" s="7">
        <f t="shared" si="6"/>
        <v>0</v>
      </c>
      <c r="V294" s="7">
        <f t="shared" ref="V294:W294" si="591">IF(AVERAGE(T234:T293) &gt; 0.25, 1, 0)</f>
        <v>0</v>
      </c>
      <c r="W294" s="7">
        <f t="shared" si="591"/>
        <v>0</v>
      </c>
      <c r="X294" s="8">
        <v>0.0</v>
      </c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ht="22.5" customHeight="1">
      <c r="A295" s="6">
        <v>1194.0</v>
      </c>
      <c r="B295" s="6">
        <v>67355.0</v>
      </c>
      <c r="C295" s="10">
        <v>1.89</v>
      </c>
      <c r="D295" s="10">
        <v>-0.04</v>
      </c>
      <c r="E295" s="10">
        <v>10.59</v>
      </c>
      <c r="F295" s="10">
        <v>-0.1</v>
      </c>
      <c r="G295" s="10">
        <v>0.0</v>
      </c>
      <c r="H295" s="10">
        <v>-0.01</v>
      </c>
      <c r="I295" s="10">
        <v>33.35</v>
      </c>
      <c r="J295" s="10">
        <f t="shared" ref="J295:O295" si="592">abs(C295-C294)/200</f>
        <v>0.00005</v>
      </c>
      <c r="K295" s="11">
        <f t="shared" si="592"/>
        <v>0.0001</v>
      </c>
      <c r="L295" s="12">
        <f t="shared" si="592"/>
        <v>0</v>
      </c>
      <c r="M295" s="12">
        <f t="shared" si="592"/>
        <v>0</v>
      </c>
      <c r="N295" s="12">
        <f t="shared" si="592"/>
        <v>0</v>
      </c>
      <c r="O295" s="12">
        <f t="shared" si="592"/>
        <v>0</v>
      </c>
      <c r="P295" s="7">
        <f t="shared" si="9"/>
        <v>0</v>
      </c>
      <c r="Q295" s="7">
        <f t="shared" si="10"/>
        <v>0.001705666224</v>
      </c>
      <c r="R295" s="7">
        <f t="shared" si="3"/>
        <v>0.9574067507</v>
      </c>
      <c r="S295" s="7">
        <f t="shared" si="4"/>
        <v>0.1004987562</v>
      </c>
      <c r="T295" s="7">
        <f t="shared" si="5"/>
        <v>0</v>
      </c>
      <c r="U295" s="7">
        <f t="shared" si="6"/>
        <v>0</v>
      </c>
      <c r="V295" s="7">
        <f t="shared" ref="V295:W295" si="593">IF(AVERAGE(T235:T294) &gt; 0.25, 1, 0)</f>
        <v>0</v>
      </c>
      <c r="W295" s="7">
        <f t="shared" si="593"/>
        <v>0</v>
      </c>
      <c r="X295" s="8">
        <v>0.0</v>
      </c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ht="22.5" customHeight="1">
      <c r="A296" s="6">
        <v>1195.0</v>
      </c>
      <c r="B296" s="6">
        <v>67559.0</v>
      </c>
      <c r="C296" s="10">
        <v>1.9</v>
      </c>
      <c r="D296" s="10">
        <v>-0.02</v>
      </c>
      <c r="E296" s="10">
        <v>10.6</v>
      </c>
      <c r="F296" s="10">
        <v>-0.1</v>
      </c>
      <c r="G296" s="10">
        <v>0.0</v>
      </c>
      <c r="H296" s="10">
        <v>-0.01</v>
      </c>
      <c r="I296" s="10">
        <v>33.35</v>
      </c>
      <c r="J296" s="10">
        <f t="shared" ref="J296:O296" si="594">abs(C296-C295)/200</f>
        <v>0.00005</v>
      </c>
      <c r="K296" s="11">
        <f t="shared" si="594"/>
        <v>0.0001</v>
      </c>
      <c r="L296" s="12">
        <f t="shared" si="594"/>
        <v>0.00005</v>
      </c>
      <c r="M296" s="12">
        <f t="shared" si="594"/>
        <v>0</v>
      </c>
      <c r="N296" s="12">
        <f t="shared" si="594"/>
        <v>0</v>
      </c>
      <c r="O296" s="12">
        <f t="shared" si="594"/>
        <v>0</v>
      </c>
      <c r="P296" s="7">
        <f t="shared" si="9"/>
        <v>0</v>
      </c>
      <c r="Q296" s="7">
        <f t="shared" si="10"/>
        <v>0.01154863039</v>
      </c>
      <c r="R296" s="7">
        <f t="shared" si="3"/>
        <v>0.9689553811</v>
      </c>
      <c r="S296" s="7">
        <f t="shared" si="4"/>
        <v>0.1004987562</v>
      </c>
      <c r="T296" s="7">
        <f t="shared" si="5"/>
        <v>0</v>
      </c>
      <c r="U296" s="7">
        <f t="shared" si="6"/>
        <v>0</v>
      </c>
      <c r="V296" s="7">
        <f t="shared" ref="V296:W296" si="595">IF(AVERAGE(T236:T295) &gt; 0.25, 1, 0)</f>
        <v>0</v>
      </c>
      <c r="W296" s="7">
        <f t="shared" si="595"/>
        <v>0</v>
      </c>
      <c r="X296" s="8">
        <v>0.0</v>
      </c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ht="22.5" customHeight="1">
      <c r="A297" s="6">
        <v>1196.0</v>
      </c>
      <c r="B297" s="6">
        <v>67763.0</v>
      </c>
      <c r="C297" s="10">
        <v>1.9</v>
      </c>
      <c r="D297" s="10">
        <v>-0.03</v>
      </c>
      <c r="E297" s="10">
        <v>10.61</v>
      </c>
      <c r="F297" s="10">
        <v>-0.1</v>
      </c>
      <c r="G297" s="10">
        <v>0.0</v>
      </c>
      <c r="H297" s="10">
        <v>-0.01</v>
      </c>
      <c r="I297" s="10">
        <v>33.34</v>
      </c>
      <c r="J297" s="10">
        <f t="shared" ref="J297:O297" si="596">abs(C297-C296)/200</f>
        <v>0</v>
      </c>
      <c r="K297" s="11">
        <f t="shared" si="596"/>
        <v>0.00005</v>
      </c>
      <c r="L297" s="12">
        <f t="shared" si="596"/>
        <v>0.00005</v>
      </c>
      <c r="M297" s="12">
        <f t="shared" si="596"/>
        <v>0</v>
      </c>
      <c r="N297" s="12">
        <f t="shared" si="596"/>
        <v>0</v>
      </c>
      <c r="O297" s="12">
        <f t="shared" si="596"/>
        <v>0</v>
      </c>
      <c r="P297" s="7">
        <f t="shared" si="9"/>
        <v>0</v>
      </c>
      <c r="Q297" s="7">
        <f t="shared" si="10"/>
        <v>0.009866446916</v>
      </c>
      <c r="R297" s="7">
        <f t="shared" si="3"/>
        <v>0.978821828</v>
      </c>
      <c r="S297" s="7">
        <f t="shared" si="4"/>
        <v>0.1004987562</v>
      </c>
      <c r="T297" s="7">
        <f t="shared" si="5"/>
        <v>0</v>
      </c>
      <c r="U297" s="7">
        <f t="shared" si="6"/>
        <v>0</v>
      </c>
      <c r="V297" s="7">
        <f t="shared" ref="V297:W297" si="597">IF(AVERAGE(T237:T296) &gt; 0.25, 1, 0)</f>
        <v>0</v>
      </c>
      <c r="W297" s="7">
        <f t="shared" si="597"/>
        <v>0</v>
      </c>
      <c r="X297" s="8">
        <v>0.0</v>
      </c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ht="22.5" customHeight="1">
      <c r="A298" s="6">
        <v>1197.0</v>
      </c>
      <c r="B298" s="6">
        <v>67967.0</v>
      </c>
      <c r="C298" s="10">
        <v>1.89</v>
      </c>
      <c r="D298" s="10">
        <v>-0.03</v>
      </c>
      <c r="E298" s="10">
        <v>10.61</v>
      </c>
      <c r="F298" s="10">
        <v>-0.1</v>
      </c>
      <c r="G298" s="10">
        <v>0.0</v>
      </c>
      <c r="H298" s="10">
        <v>-0.01</v>
      </c>
      <c r="I298" s="10">
        <v>33.36</v>
      </c>
      <c r="J298" s="10">
        <f t="shared" ref="J298:O298" si="598">abs(C298-C297)/200</f>
        <v>0.00005</v>
      </c>
      <c r="K298" s="11">
        <f t="shared" si="598"/>
        <v>0</v>
      </c>
      <c r="L298" s="12">
        <f t="shared" si="598"/>
        <v>0</v>
      </c>
      <c r="M298" s="12">
        <f t="shared" si="598"/>
        <v>0</v>
      </c>
      <c r="N298" s="12">
        <f t="shared" si="598"/>
        <v>0</v>
      </c>
      <c r="O298" s="12">
        <f t="shared" si="598"/>
        <v>0</v>
      </c>
      <c r="P298" s="7">
        <f t="shared" si="9"/>
        <v>0</v>
      </c>
      <c r="Q298" s="7">
        <f t="shared" si="10"/>
        <v>0.001758220515</v>
      </c>
      <c r="R298" s="7">
        <f t="shared" si="3"/>
        <v>0.9770636075</v>
      </c>
      <c r="S298" s="7">
        <f t="shared" si="4"/>
        <v>0.1004987562</v>
      </c>
      <c r="T298" s="7">
        <f t="shared" si="5"/>
        <v>0</v>
      </c>
      <c r="U298" s="7">
        <f t="shared" si="6"/>
        <v>0</v>
      </c>
      <c r="V298" s="7">
        <f t="shared" ref="V298:W298" si="599">IF(AVERAGE(T238:T297) &gt; 0.25, 1, 0)</f>
        <v>0</v>
      </c>
      <c r="W298" s="7">
        <f t="shared" si="599"/>
        <v>0</v>
      </c>
      <c r="X298" s="8">
        <v>0.0</v>
      </c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ht="22.5" customHeight="1">
      <c r="A299" s="6">
        <v>1198.0</v>
      </c>
      <c r="B299" s="6">
        <v>68171.0</v>
      </c>
      <c r="C299" s="10">
        <v>1.9</v>
      </c>
      <c r="D299" s="10">
        <v>-0.02</v>
      </c>
      <c r="E299" s="10">
        <v>10.6</v>
      </c>
      <c r="F299" s="10">
        <v>-0.1</v>
      </c>
      <c r="G299" s="10">
        <v>0.0</v>
      </c>
      <c r="H299" s="10">
        <v>-0.01</v>
      </c>
      <c r="I299" s="10">
        <v>33.35</v>
      </c>
      <c r="J299" s="10">
        <f t="shared" ref="J299:O299" si="600">abs(C299-C298)/200</f>
        <v>0.00005</v>
      </c>
      <c r="K299" s="11">
        <f t="shared" si="600"/>
        <v>0.00005</v>
      </c>
      <c r="L299" s="12">
        <f t="shared" si="600"/>
        <v>0.00005</v>
      </c>
      <c r="M299" s="12">
        <f t="shared" si="600"/>
        <v>0</v>
      </c>
      <c r="N299" s="12">
        <f t="shared" si="600"/>
        <v>0</v>
      </c>
      <c r="O299" s="12">
        <f t="shared" si="600"/>
        <v>0</v>
      </c>
      <c r="P299" s="7">
        <f t="shared" si="9"/>
        <v>0</v>
      </c>
      <c r="Q299" s="7">
        <f t="shared" si="10"/>
        <v>0.008108226401</v>
      </c>
      <c r="R299" s="7">
        <f t="shared" si="3"/>
        <v>0.9689553811</v>
      </c>
      <c r="S299" s="7">
        <f t="shared" si="4"/>
        <v>0.1004987562</v>
      </c>
      <c r="T299" s="7">
        <f t="shared" si="5"/>
        <v>0</v>
      </c>
      <c r="U299" s="7">
        <f t="shared" si="6"/>
        <v>0</v>
      </c>
      <c r="V299" s="7">
        <f t="shared" ref="V299:W299" si="601">IF(AVERAGE(T239:T298) &gt; 0.25, 1, 0)</f>
        <v>0</v>
      </c>
      <c r="W299" s="7">
        <f t="shared" si="601"/>
        <v>0</v>
      </c>
      <c r="X299" s="8">
        <v>0.0</v>
      </c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ht="22.5" customHeight="1">
      <c r="A300" s="6">
        <v>1199.0</v>
      </c>
      <c r="B300" s="6">
        <v>68375.0</v>
      </c>
      <c r="C300" s="10">
        <v>1.9</v>
      </c>
      <c r="D300" s="10">
        <v>-0.03</v>
      </c>
      <c r="E300" s="10">
        <v>10.61</v>
      </c>
      <c r="F300" s="10">
        <v>-0.1</v>
      </c>
      <c r="G300" s="10">
        <v>0.0</v>
      </c>
      <c r="H300" s="10">
        <v>-0.01</v>
      </c>
      <c r="I300" s="10">
        <v>33.35</v>
      </c>
      <c r="J300" s="10">
        <f t="shared" ref="J300:O300" si="602">abs(C300-C299)/200</f>
        <v>0</v>
      </c>
      <c r="K300" s="11">
        <f t="shared" si="602"/>
        <v>0.00005</v>
      </c>
      <c r="L300" s="12">
        <f t="shared" si="602"/>
        <v>0.00005</v>
      </c>
      <c r="M300" s="12">
        <f t="shared" si="602"/>
        <v>0</v>
      </c>
      <c r="N300" s="12">
        <f t="shared" si="602"/>
        <v>0</v>
      </c>
      <c r="O300" s="12">
        <f t="shared" si="602"/>
        <v>0</v>
      </c>
      <c r="P300" s="7">
        <f t="shared" si="9"/>
        <v>0</v>
      </c>
      <c r="Q300" s="7">
        <f t="shared" si="10"/>
        <v>0.009866446916</v>
      </c>
      <c r="R300" s="7">
        <f t="shared" si="3"/>
        <v>0.978821828</v>
      </c>
      <c r="S300" s="7">
        <f t="shared" si="4"/>
        <v>0.1004987562</v>
      </c>
      <c r="T300" s="7">
        <f t="shared" si="5"/>
        <v>0</v>
      </c>
      <c r="U300" s="7">
        <f t="shared" si="6"/>
        <v>0</v>
      </c>
      <c r="V300" s="7">
        <f t="shared" ref="V300:W300" si="603">IF(AVERAGE(T240:T299) &gt; 0.25, 1, 0)</f>
        <v>0</v>
      </c>
      <c r="W300" s="7">
        <f t="shared" si="603"/>
        <v>0</v>
      </c>
      <c r="X300" s="8">
        <v>0.0</v>
      </c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ht="22.5" customHeight="1">
      <c r="A301" s="6">
        <v>1200.0</v>
      </c>
      <c r="B301" s="6">
        <v>68579.0</v>
      </c>
      <c r="C301" s="10">
        <v>1.89</v>
      </c>
      <c r="D301" s="10">
        <v>-0.03</v>
      </c>
      <c r="E301" s="10">
        <v>10.61</v>
      </c>
      <c r="F301" s="10">
        <v>-0.1</v>
      </c>
      <c r="G301" s="10">
        <v>0.0</v>
      </c>
      <c r="H301" s="10">
        <v>-0.01</v>
      </c>
      <c r="I301" s="10">
        <v>33.36</v>
      </c>
      <c r="J301" s="10">
        <f t="shared" ref="J301:O301" si="604">abs(C301-C300)/200</f>
        <v>0.00005</v>
      </c>
      <c r="K301" s="11">
        <f t="shared" si="604"/>
        <v>0</v>
      </c>
      <c r="L301" s="12">
        <f t="shared" si="604"/>
        <v>0</v>
      </c>
      <c r="M301" s="12">
        <f t="shared" si="604"/>
        <v>0</v>
      </c>
      <c r="N301" s="12">
        <f t="shared" si="604"/>
        <v>0</v>
      </c>
      <c r="O301" s="12">
        <f t="shared" si="604"/>
        <v>0</v>
      </c>
      <c r="P301" s="7">
        <f t="shared" si="9"/>
        <v>0</v>
      </c>
      <c r="Q301" s="7">
        <f t="shared" si="10"/>
        <v>0.001758220515</v>
      </c>
      <c r="R301" s="7">
        <f t="shared" si="3"/>
        <v>0.9770636075</v>
      </c>
      <c r="S301" s="7">
        <f t="shared" si="4"/>
        <v>0.1004987562</v>
      </c>
      <c r="T301" s="7">
        <f t="shared" si="5"/>
        <v>0</v>
      </c>
      <c r="U301" s="7">
        <f t="shared" si="6"/>
        <v>0</v>
      </c>
      <c r="V301" s="7">
        <f t="shared" ref="V301:W301" si="605">IF(AVERAGE(T241:T300) &gt; 0.25, 1, 0)</f>
        <v>0</v>
      </c>
      <c r="W301" s="7">
        <f t="shared" si="605"/>
        <v>0</v>
      </c>
      <c r="X301" s="8">
        <v>0.0</v>
      </c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ht="22.5" customHeight="1">
      <c r="A302" s="6"/>
      <c r="B302" s="6" t="s">
        <v>41</v>
      </c>
      <c r="C302" s="10">
        <f t="shared" ref="C302:S302" si="606">AVERAGE(C2:C301)</f>
        <v>0.8127</v>
      </c>
      <c r="D302" s="10">
        <f t="shared" si="606"/>
        <v>9.2252</v>
      </c>
      <c r="E302" s="10">
        <f t="shared" si="606"/>
        <v>2.613066667</v>
      </c>
      <c r="F302" s="10">
        <f t="shared" si="606"/>
        <v>-0.09256666667</v>
      </c>
      <c r="G302" s="10">
        <f t="shared" si="606"/>
        <v>0.0005</v>
      </c>
      <c r="H302" s="10">
        <f t="shared" si="606"/>
        <v>-0.009733333333</v>
      </c>
      <c r="I302" s="10">
        <f t="shared" si="606"/>
        <v>33.3011</v>
      </c>
      <c r="J302" s="10">
        <f t="shared" si="606"/>
        <v>0.0005298333333</v>
      </c>
      <c r="K302" s="11">
        <f t="shared" si="606"/>
        <v>0.0005103333333</v>
      </c>
      <c r="L302" s="12">
        <f t="shared" si="606"/>
        <v>0.0008596666667</v>
      </c>
      <c r="M302" s="12">
        <f t="shared" si="606"/>
        <v>0.0003608333333</v>
      </c>
      <c r="N302" s="12">
        <f t="shared" si="606"/>
        <v>0.00009383333333</v>
      </c>
      <c r="O302" s="12">
        <f t="shared" si="606"/>
        <v>0.0002441666667</v>
      </c>
      <c r="P302" s="6">
        <f t="shared" si="606"/>
        <v>0.05949763238</v>
      </c>
      <c r="Q302" s="6">
        <f t="shared" si="606"/>
        <v>0.06708587363</v>
      </c>
      <c r="R302" s="6">
        <f t="shared" si="606"/>
        <v>0.2399448813</v>
      </c>
      <c r="S302" s="6">
        <f t="shared" si="606"/>
        <v>0.1705375727</v>
      </c>
      <c r="T302" s="7">
        <f t="shared" si="5"/>
        <v>1</v>
      </c>
      <c r="U302" s="7">
        <f t="shared" si="6"/>
        <v>1</v>
      </c>
      <c r="V302" s="7">
        <f t="shared" ref="V302:W302" si="607">IF(AVERAGE(T242:T301) &gt; 0.25, 1, 0)</f>
        <v>0</v>
      </c>
      <c r="W302" s="7">
        <f t="shared" si="607"/>
        <v>0</v>
      </c>
      <c r="X302" s="8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ht="22.5" customHeight="1">
      <c r="A303" s="6"/>
      <c r="B303" s="6" t="s">
        <v>42</v>
      </c>
      <c r="C303" s="10">
        <f t="shared" ref="C303:S303" si="608">STDEV(C2:C301)</f>
        <v>0.457417913</v>
      </c>
      <c r="D303" s="10">
        <f t="shared" si="608"/>
        <v>2.07525208</v>
      </c>
      <c r="E303" s="10">
        <f t="shared" si="608"/>
        <v>1.948787273</v>
      </c>
      <c r="F303" s="10">
        <f t="shared" si="608"/>
        <v>0.3255338999</v>
      </c>
      <c r="G303" s="10">
        <f t="shared" si="608"/>
        <v>0.1020791384</v>
      </c>
      <c r="H303" s="10">
        <f t="shared" si="608"/>
        <v>0.132154499</v>
      </c>
      <c r="I303" s="10">
        <f t="shared" si="608"/>
        <v>0.04714373524</v>
      </c>
      <c r="J303" s="10">
        <f t="shared" si="608"/>
        <v>0.001792963291</v>
      </c>
      <c r="K303" s="11">
        <f t="shared" si="608"/>
        <v>0.00242215455</v>
      </c>
      <c r="L303" s="12">
        <f t="shared" si="608"/>
        <v>0.002968765476</v>
      </c>
      <c r="M303" s="12">
        <f t="shared" si="608"/>
        <v>0.001409294626</v>
      </c>
      <c r="N303" s="12">
        <f t="shared" si="608"/>
        <v>0.0007488700332</v>
      </c>
      <c r="O303" s="12">
        <f t="shared" si="608"/>
        <v>0.0009114696348</v>
      </c>
      <c r="P303" s="6">
        <f t="shared" si="608"/>
        <v>0.2251824638</v>
      </c>
      <c r="Q303" s="6">
        <f t="shared" si="608"/>
        <v>0.2838017766</v>
      </c>
      <c r="R303" s="6">
        <f t="shared" si="608"/>
        <v>0.2804364393</v>
      </c>
      <c r="S303" s="6">
        <f t="shared" si="608"/>
        <v>0.3367038778</v>
      </c>
      <c r="T303" s="7">
        <f t="shared" si="5"/>
        <v>1</v>
      </c>
      <c r="U303" s="7">
        <f t="shared" si="6"/>
        <v>1</v>
      </c>
      <c r="V303" s="7">
        <f t="shared" ref="V303:W303" si="609">IF(AVERAGE(T243:T302) &gt; 0.25, 1, 0)</f>
        <v>0</v>
      </c>
      <c r="W303" s="7">
        <f t="shared" si="609"/>
        <v>0</v>
      </c>
      <c r="X303" s="8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ht="22.5" customHeight="1">
      <c r="A304" s="6"/>
      <c r="B304" s="6" t="s">
        <v>43</v>
      </c>
      <c r="C304" s="10">
        <f t="shared" ref="C304:S304" si="610">COUNT(C2:C301)</f>
        <v>300</v>
      </c>
      <c r="D304" s="10">
        <f t="shared" si="610"/>
        <v>300</v>
      </c>
      <c r="E304" s="10">
        <f t="shared" si="610"/>
        <v>300</v>
      </c>
      <c r="F304" s="10">
        <f t="shared" si="610"/>
        <v>300</v>
      </c>
      <c r="G304" s="10">
        <f t="shared" si="610"/>
        <v>300</v>
      </c>
      <c r="H304" s="10">
        <f t="shared" si="610"/>
        <v>300</v>
      </c>
      <c r="I304" s="10">
        <f t="shared" si="610"/>
        <v>300</v>
      </c>
      <c r="J304" s="10">
        <f t="shared" si="610"/>
        <v>300</v>
      </c>
      <c r="K304" s="11">
        <f t="shared" si="610"/>
        <v>300</v>
      </c>
      <c r="L304" s="12">
        <f t="shared" si="610"/>
        <v>300</v>
      </c>
      <c r="M304" s="12">
        <f t="shared" si="610"/>
        <v>300</v>
      </c>
      <c r="N304" s="12">
        <f t="shared" si="610"/>
        <v>300</v>
      </c>
      <c r="O304" s="12">
        <f t="shared" si="610"/>
        <v>300</v>
      </c>
      <c r="P304" s="6">
        <f t="shared" si="610"/>
        <v>300</v>
      </c>
      <c r="Q304" s="6">
        <f t="shared" si="610"/>
        <v>300</v>
      </c>
      <c r="R304" s="6">
        <f t="shared" si="610"/>
        <v>300</v>
      </c>
      <c r="S304" s="6">
        <f t="shared" si="610"/>
        <v>300</v>
      </c>
      <c r="T304" s="7">
        <f t="shared" si="5"/>
        <v>1</v>
      </c>
      <c r="U304" s="7">
        <f t="shared" si="6"/>
        <v>1</v>
      </c>
      <c r="V304" s="7">
        <f t="shared" ref="V304:W304" si="611">IF(AVERAGE(T244:T303) &gt; 0.25, 1, 0)</f>
        <v>0</v>
      </c>
      <c r="W304" s="7">
        <f t="shared" si="611"/>
        <v>0</v>
      </c>
      <c r="X304" s="8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ht="22.5" customHeight="1">
      <c r="A305" s="6"/>
      <c r="B305" s="6" t="s">
        <v>44</v>
      </c>
      <c r="C305" s="10">
        <f t="shared" ref="C305:S305" si="612">MIN(C2:C301)</f>
        <v>-1.02</v>
      </c>
      <c r="D305" s="10">
        <f t="shared" si="612"/>
        <v>-0.45</v>
      </c>
      <c r="E305" s="10">
        <f t="shared" si="612"/>
        <v>-0.93</v>
      </c>
      <c r="F305" s="10">
        <f t="shared" si="612"/>
        <v>-2.3</v>
      </c>
      <c r="G305" s="10">
        <f t="shared" si="612"/>
        <v>-1.52</v>
      </c>
      <c r="H305" s="10">
        <f t="shared" si="612"/>
        <v>-1.34</v>
      </c>
      <c r="I305" s="10">
        <f t="shared" si="612"/>
        <v>33.14</v>
      </c>
      <c r="J305" s="10">
        <f t="shared" si="612"/>
        <v>0</v>
      </c>
      <c r="K305" s="11">
        <f t="shared" si="612"/>
        <v>0</v>
      </c>
      <c r="L305" s="12">
        <f t="shared" si="612"/>
        <v>0</v>
      </c>
      <c r="M305" s="12">
        <f t="shared" si="612"/>
        <v>0</v>
      </c>
      <c r="N305" s="12">
        <f t="shared" si="612"/>
        <v>0</v>
      </c>
      <c r="O305" s="12">
        <f t="shared" si="612"/>
        <v>0</v>
      </c>
      <c r="P305" s="6">
        <f t="shared" si="612"/>
        <v>0</v>
      </c>
      <c r="Q305" s="6">
        <f t="shared" si="612"/>
        <v>0</v>
      </c>
      <c r="R305" s="6">
        <f t="shared" si="612"/>
        <v>-0.8620024614</v>
      </c>
      <c r="S305" s="6">
        <f t="shared" si="612"/>
        <v>0.05099019514</v>
      </c>
      <c r="T305" s="7">
        <f t="shared" si="5"/>
        <v>0</v>
      </c>
      <c r="U305" s="7">
        <f t="shared" si="6"/>
        <v>0</v>
      </c>
      <c r="V305" s="7">
        <f t="shared" ref="V305:W305" si="613">IF(AVERAGE(T245:T304) &gt; 0.25, 1, 0)</f>
        <v>1</v>
      </c>
      <c r="W305" s="7">
        <f t="shared" si="613"/>
        <v>0</v>
      </c>
      <c r="X305" s="8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ht="22.5" customHeight="1">
      <c r="A306" s="6"/>
      <c r="B306" s="6" t="s">
        <v>45</v>
      </c>
      <c r="C306" s="10">
        <f t="shared" ref="C306:S306" si="614">MAX(C2:C302)</f>
        <v>4.3</v>
      </c>
      <c r="D306" s="10">
        <f t="shared" si="614"/>
        <v>10.15</v>
      </c>
      <c r="E306" s="10">
        <f t="shared" si="614"/>
        <v>12.74</v>
      </c>
      <c r="F306" s="10">
        <f t="shared" si="614"/>
        <v>2.46</v>
      </c>
      <c r="G306" s="10">
        <f t="shared" si="614"/>
        <v>0.63</v>
      </c>
      <c r="H306" s="10">
        <f t="shared" si="614"/>
        <v>0.75</v>
      </c>
      <c r="I306" s="10">
        <f t="shared" si="614"/>
        <v>33.36</v>
      </c>
      <c r="J306" s="10">
        <f t="shared" si="614"/>
        <v>0.01945</v>
      </c>
      <c r="K306" s="11">
        <f t="shared" si="614"/>
        <v>0.0285</v>
      </c>
      <c r="L306" s="12">
        <f t="shared" si="614"/>
        <v>0.025</v>
      </c>
      <c r="M306" s="12">
        <f t="shared" si="614"/>
        <v>0.01445</v>
      </c>
      <c r="N306" s="12">
        <f t="shared" si="614"/>
        <v>0.01075</v>
      </c>
      <c r="O306" s="12">
        <f t="shared" si="614"/>
        <v>0.01045</v>
      </c>
      <c r="P306" s="6">
        <f t="shared" si="614"/>
        <v>2.74697386</v>
      </c>
      <c r="Q306" s="6">
        <f t="shared" si="614"/>
        <v>3.286621822</v>
      </c>
      <c r="R306" s="6">
        <f t="shared" si="614"/>
        <v>3.085918671</v>
      </c>
      <c r="S306" s="6">
        <f t="shared" si="614"/>
        <v>2.987390165</v>
      </c>
      <c r="T306" s="7">
        <f t="shared" si="5"/>
        <v>1</v>
      </c>
      <c r="U306" s="7">
        <f t="shared" si="6"/>
        <v>1</v>
      </c>
      <c r="V306" s="7">
        <f t="shared" ref="V306:W306" si="615">IF(AVERAGE(T246:T305) &gt; 0.25, 1, 0)</f>
        <v>1</v>
      </c>
      <c r="W306" s="7">
        <f t="shared" si="615"/>
        <v>0</v>
      </c>
      <c r="X306" s="8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ht="22.5" customHeight="1">
      <c r="A307" s="6"/>
      <c r="B307" s="9">
        <v>0.25</v>
      </c>
      <c r="C307" s="10">
        <f t="shared" ref="C307:S307" si="616">_xlfn.QUARTILE.INC(C2:C301,1)</f>
        <v>0.73</v>
      </c>
      <c r="D307" s="10">
        <f t="shared" si="616"/>
        <v>9.71</v>
      </c>
      <c r="E307" s="10">
        <f t="shared" si="616"/>
        <v>2.1675</v>
      </c>
      <c r="F307" s="10">
        <f t="shared" si="616"/>
        <v>-0.1</v>
      </c>
      <c r="G307" s="10">
        <f t="shared" si="616"/>
        <v>0</v>
      </c>
      <c r="H307" s="10">
        <f t="shared" si="616"/>
        <v>-0.01</v>
      </c>
      <c r="I307" s="10">
        <f t="shared" si="616"/>
        <v>33.27</v>
      </c>
      <c r="J307" s="10">
        <f t="shared" si="616"/>
        <v>0.00005</v>
      </c>
      <c r="K307" s="11">
        <f t="shared" si="616"/>
        <v>0</v>
      </c>
      <c r="L307" s="12">
        <f t="shared" si="616"/>
        <v>0.00005</v>
      </c>
      <c r="M307" s="12">
        <f t="shared" si="616"/>
        <v>0</v>
      </c>
      <c r="N307" s="12">
        <f t="shared" si="616"/>
        <v>0</v>
      </c>
      <c r="O307" s="12">
        <f t="shared" si="616"/>
        <v>0</v>
      </c>
      <c r="P307" s="10">
        <f t="shared" si="616"/>
        <v>0.0004987562112</v>
      </c>
      <c r="Q307" s="10">
        <f t="shared" si="616"/>
        <v>0.004878843327</v>
      </c>
      <c r="R307" s="10">
        <f t="shared" si="616"/>
        <v>0.1989411933</v>
      </c>
      <c r="S307" s="10">
        <f t="shared" si="616"/>
        <v>0.09055385138</v>
      </c>
      <c r="T307" s="7">
        <f t="shared" si="5"/>
        <v>0</v>
      </c>
      <c r="U307" s="7">
        <f t="shared" si="6"/>
        <v>0</v>
      </c>
      <c r="V307" s="7">
        <f t="shared" ref="V307:W307" si="617">IF(AVERAGE(T247:T306) &gt; 0.25, 1, 0)</f>
        <v>1</v>
      </c>
      <c r="W307" s="7">
        <f t="shared" si="617"/>
        <v>0</v>
      </c>
      <c r="X307" s="8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ht="22.5" customHeight="1">
      <c r="A308" s="6"/>
      <c r="B308" s="9">
        <v>0.5</v>
      </c>
      <c r="C308" s="10">
        <f t="shared" ref="C308:S308" si="618">_xlfn.QUARTILE.INC(C2:C301,2)</f>
        <v>0.82</v>
      </c>
      <c r="D308" s="10">
        <f t="shared" si="618"/>
        <v>9.73</v>
      </c>
      <c r="E308" s="10">
        <f t="shared" si="618"/>
        <v>2.21</v>
      </c>
      <c r="F308" s="10">
        <f t="shared" si="618"/>
        <v>-0.1</v>
      </c>
      <c r="G308" s="10">
        <f t="shared" si="618"/>
        <v>0</v>
      </c>
      <c r="H308" s="10">
        <f t="shared" si="618"/>
        <v>-0.01</v>
      </c>
      <c r="I308" s="10">
        <f t="shared" si="618"/>
        <v>33.32</v>
      </c>
      <c r="J308" s="10">
        <f t="shared" si="618"/>
        <v>0.0001</v>
      </c>
      <c r="K308" s="11">
        <f t="shared" si="618"/>
        <v>0.00005</v>
      </c>
      <c r="L308" s="12">
        <f t="shared" si="618"/>
        <v>0.0001</v>
      </c>
      <c r="M308" s="12">
        <f t="shared" si="618"/>
        <v>0.00005</v>
      </c>
      <c r="N308" s="12">
        <f t="shared" si="618"/>
        <v>0</v>
      </c>
      <c r="O308" s="12">
        <f t="shared" si="618"/>
        <v>0.00005</v>
      </c>
      <c r="P308" s="10">
        <f t="shared" si="618"/>
        <v>0.00994490483</v>
      </c>
      <c r="Q308" s="10">
        <f t="shared" si="618"/>
        <v>0.01052542357</v>
      </c>
      <c r="R308" s="10">
        <f t="shared" si="618"/>
        <v>0.207996802</v>
      </c>
      <c r="S308" s="10">
        <f t="shared" si="618"/>
        <v>0.1004987562</v>
      </c>
      <c r="T308" s="7">
        <f t="shared" si="5"/>
        <v>0</v>
      </c>
      <c r="U308" s="7">
        <f t="shared" si="6"/>
        <v>0</v>
      </c>
      <c r="V308" s="7">
        <f t="shared" ref="V308:W308" si="619">IF(AVERAGE(T248:T307) &gt; 0.25, 1, 0)</f>
        <v>1</v>
      </c>
      <c r="W308" s="7">
        <f t="shared" si="619"/>
        <v>0</v>
      </c>
      <c r="X308" s="8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ht="22.5" customHeight="1">
      <c r="A309" s="6"/>
      <c r="B309" s="9">
        <v>0.75</v>
      </c>
      <c r="C309" s="10">
        <f t="shared" ref="C309:S309" si="620">_xlfn.QUARTILE.INC(C2:C301,3)</f>
        <v>0.85</v>
      </c>
      <c r="D309" s="10">
        <f t="shared" si="620"/>
        <v>9.73</v>
      </c>
      <c r="E309" s="10">
        <f t="shared" si="620"/>
        <v>2.27</v>
      </c>
      <c r="F309" s="10">
        <f t="shared" si="620"/>
        <v>-0.09</v>
      </c>
      <c r="G309" s="10">
        <f t="shared" si="620"/>
        <v>0</v>
      </c>
      <c r="H309" s="10">
        <f t="shared" si="620"/>
        <v>-0.01</v>
      </c>
      <c r="I309" s="10">
        <f t="shared" si="620"/>
        <v>33.34</v>
      </c>
      <c r="J309" s="10">
        <f t="shared" si="620"/>
        <v>0.0002</v>
      </c>
      <c r="K309" s="11">
        <f t="shared" si="620"/>
        <v>0.0001</v>
      </c>
      <c r="L309" s="12">
        <f t="shared" si="620"/>
        <v>0.0002</v>
      </c>
      <c r="M309" s="12">
        <f t="shared" si="620"/>
        <v>0.0001</v>
      </c>
      <c r="N309" s="12">
        <f t="shared" si="620"/>
        <v>0</v>
      </c>
      <c r="O309" s="12">
        <f t="shared" si="620"/>
        <v>0.0001</v>
      </c>
      <c r="P309" s="10">
        <f t="shared" si="620"/>
        <v>0.0196079543</v>
      </c>
      <c r="Q309" s="10">
        <f t="shared" si="620"/>
        <v>0.02065219065</v>
      </c>
      <c r="R309" s="10">
        <f t="shared" si="620"/>
        <v>0.2178889992</v>
      </c>
      <c r="S309" s="10">
        <f t="shared" si="620"/>
        <v>0.1019803903</v>
      </c>
      <c r="T309" s="7">
        <f t="shared" si="5"/>
        <v>0</v>
      </c>
      <c r="U309" s="7">
        <f t="shared" si="6"/>
        <v>0</v>
      </c>
      <c r="V309" s="7">
        <f t="shared" ref="V309:W309" si="621">IF(AVERAGE(T249:T308) &gt; 0.25, 1, 0)</f>
        <v>1</v>
      </c>
      <c r="W309" s="7">
        <f t="shared" si="621"/>
        <v>0</v>
      </c>
      <c r="X309" s="8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>
      <c r="C310" s="13"/>
      <c r="D310" s="13"/>
      <c r="E310" s="13"/>
      <c r="F310" s="13"/>
      <c r="G310" s="13"/>
      <c r="H310" s="13"/>
      <c r="I310" s="13"/>
      <c r="J310" s="13"/>
      <c r="K310" s="14"/>
      <c r="L310" s="15"/>
    </row>
    <row r="311">
      <c r="C311" s="13"/>
      <c r="D311" s="13"/>
      <c r="E311" s="13"/>
      <c r="F311" s="13"/>
      <c r="G311" s="13"/>
      <c r="H311" s="13"/>
      <c r="I311" s="13"/>
      <c r="J311" s="13"/>
      <c r="K311" s="14"/>
      <c r="L311" s="15"/>
    </row>
    <row r="312">
      <c r="C312" s="13"/>
      <c r="D312" s="13"/>
      <c r="E312" s="13"/>
      <c r="F312" s="13"/>
      <c r="G312" s="13"/>
      <c r="H312" s="13"/>
      <c r="I312" s="13"/>
      <c r="J312" s="13"/>
      <c r="K312" s="14"/>
      <c r="L312" s="15"/>
    </row>
    <row r="313">
      <c r="C313" s="13"/>
      <c r="D313" s="13"/>
      <c r="E313" s="13"/>
      <c r="F313" s="13"/>
      <c r="G313" s="13"/>
      <c r="H313" s="13"/>
      <c r="I313" s="13"/>
      <c r="J313" s="13"/>
      <c r="K313" s="14"/>
      <c r="L313" s="15"/>
    </row>
    <row r="314">
      <c r="C314" s="13"/>
      <c r="D314" s="13"/>
      <c r="E314" s="13"/>
      <c r="F314" s="13"/>
      <c r="G314" s="13"/>
      <c r="H314" s="13"/>
      <c r="I314" s="13"/>
      <c r="J314" s="13"/>
      <c r="K314" s="14"/>
      <c r="L314" s="15"/>
    </row>
    <row r="315">
      <c r="C315" s="13"/>
      <c r="D315" s="13"/>
      <c r="E315" s="13"/>
      <c r="F315" s="13"/>
      <c r="G315" s="13"/>
      <c r="H315" s="13"/>
      <c r="I315" s="13"/>
      <c r="J315" s="13"/>
      <c r="K315" s="14"/>
      <c r="L315" s="15"/>
    </row>
    <row r="316">
      <c r="C316" s="13"/>
      <c r="D316" s="13"/>
      <c r="E316" s="13"/>
      <c r="F316" s="13"/>
      <c r="G316" s="13"/>
      <c r="H316" s="13"/>
      <c r="I316" s="13"/>
      <c r="J316" s="13"/>
      <c r="K316" s="14"/>
      <c r="L316" s="15"/>
    </row>
    <row r="317">
      <c r="C317" s="13"/>
      <c r="D317" s="13"/>
      <c r="E317" s="13"/>
      <c r="F317" s="13"/>
      <c r="G317" s="13"/>
      <c r="H317" s="13"/>
      <c r="I317" s="13"/>
      <c r="J317" s="13"/>
      <c r="K317" s="14"/>
      <c r="L317" s="15"/>
    </row>
    <row r="318">
      <c r="C318" s="13"/>
      <c r="D318" s="13"/>
      <c r="E318" s="13"/>
      <c r="F318" s="13"/>
      <c r="G318" s="13"/>
      <c r="H318" s="13"/>
      <c r="I318" s="13"/>
      <c r="J318" s="13"/>
      <c r="K318" s="14"/>
      <c r="L318" s="15"/>
    </row>
    <row r="319">
      <c r="C319" s="13"/>
      <c r="D319" s="13"/>
      <c r="E319" s="13"/>
      <c r="F319" s="13"/>
      <c r="G319" s="13"/>
      <c r="H319" s="13"/>
      <c r="I319" s="13"/>
      <c r="J319" s="13"/>
      <c r="K319" s="14"/>
      <c r="L319" s="15"/>
    </row>
    <row r="320">
      <c r="C320" s="13"/>
      <c r="D320" s="13"/>
      <c r="E320" s="13"/>
      <c r="F320" s="13"/>
      <c r="G320" s="13"/>
      <c r="H320" s="13"/>
      <c r="I320" s="13"/>
      <c r="J320" s="13"/>
      <c r="K320" s="14"/>
      <c r="L320" s="15"/>
    </row>
    <row r="321">
      <c r="C321" s="13"/>
      <c r="D321" s="13"/>
      <c r="E321" s="13"/>
      <c r="F321" s="13"/>
      <c r="G321" s="13"/>
      <c r="H321" s="13"/>
      <c r="I321" s="13"/>
      <c r="J321" s="13"/>
      <c r="K321" s="14"/>
      <c r="L321" s="15"/>
    </row>
    <row r="322">
      <c r="C322" s="13"/>
      <c r="D322" s="13"/>
      <c r="E322" s="13"/>
      <c r="F322" s="13"/>
      <c r="G322" s="13"/>
      <c r="H322" s="13"/>
      <c r="I322" s="13"/>
      <c r="J322" s="13"/>
      <c r="K322" s="14"/>
      <c r="L322" s="15"/>
    </row>
    <row r="323">
      <c r="C323" s="13"/>
      <c r="D323" s="13"/>
      <c r="E323" s="13"/>
      <c r="F323" s="13"/>
      <c r="G323" s="13"/>
      <c r="H323" s="13"/>
      <c r="I323" s="13"/>
      <c r="J323" s="13"/>
      <c r="K323" s="14"/>
      <c r="L323" s="15"/>
    </row>
    <row r="324">
      <c r="C324" s="13"/>
      <c r="D324" s="13"/>
      <c r="E324" s="13"/>
      <c r="F324" s="13"/>
      <c r="G324" s="13"/>
      <c r="H324" s="13"/>
      <c r="I324" s="13"/>
      <c r="J324" s="13"/>
      <c r="K324" s="14"/>
      <c r="L324" s="15"/>
    </row>
    <row r="325">
      <c r="C325" s="13"/>
      <c r="D325" s="13"/>
      <c r="E325" s="13"/>
      <c r="F325" s="13"/>
      <c r="G325" s="13"/>
      <c r="H325" s="13"/>
      <c r="I325" s="13"/>
      <c r="J325" s="13"/>
      <c r="K325" s="14"/>
      <c r="L325" s="15"/>
    </row>
    <row r="326">
      <c r="C326" s="13"/>
      <c r="D326" s="13"/>
      <c r="E326" s="13"/>
      <c r="F326" s="13"/>
      <c r="G326" s="13"/>
      <c r="H326" s="13"/>
      <c r="I326" s="13"/>
      <c r="J326" s="13"/>
      <c r="K326" s="14"/>
      <c r="L326" s="15"/>
    </row>
    <row r="327">
      <c r="C327" s="13"/>
      <c r="D327" s="13"/>
      <c r="E327" s="13"/>
      <c r="F327" s="13"/>
      <c r="G327" s="13"/>
      <c r="H327" s="13"/>
      <c r="I327" s="13"/>
      <c r="J327" s="13"/>
      <c r="K327" s="14"/>
      <c r="L327" s="15"/>
    </row>
    <row r="328">
      <c r="C328" s="13"/>
      <c r="D328" s="13"/>
      <c r="E328" s="13"/>
      <c r="F328" s="13"/>
      <c r="G328" s="13"/>
      <c r="H328" s="13"/>
      <c r="I328" s="13"/>
      <c r="J328" s="13"/>
      <c r="K328" s="14"/>
      <c r="L328" s="15"/>
    </row>
  </sheetData>
  <dataValidations>
    <dataValidation type="custom" allowBlank="1" showDropDown="1" sqref="C2:O309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9" width="15.5"/>
    <col customWidth="1" min="20" max="20" width="33.88"/>
    <col customWidth="1" min="21" max="21" width="26.13"/>
    <col customWidth="1" min="22" max="37" width="15.5"/>
  </cols>
  <sheetData>
    <row r="1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2" t="s">
        <v>19</v>
      </c>
      <c r="U1" s="2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ht="22.5" customHeight="1">
      <c r="A2" s="6">
        <v>601.0</v>
      </c>
      <c r="B2" s="6">
        <v>443.0</v>
      </c>
      <c r="C2" s="6">
        <v>1.2</v>
      </c>
      <c r="D2" s="6">
        <v>-0.19</v>
      </c>
      <c r="E2" s="6">
        <v>10.38</v>
      </c>
      <c r="F2" s="6">
        <v>-0.1</v>
      </c>
      <c r="G2" s="6">
        <v>0.0</v>
      </c>
      <c r="H2" s="6">
        <v>-0.01</v>
      </c>
      <c r="I2" s="6">
        <v>33.14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7">
        <f t="shared" ref="R2:R301" si="3">((C2*C2)+(D2*D2)+(E2*E2))^0.5 - 9.8</f>
        <v>0.6508612085</v>
      </c>
      <c r="S2" s="7">
        <f t="shared" ref="S2:S301" si="4">((F2*F2)+(G2*G2)+(H2*H2))^0.5</f>
        <v>0.1004987562</v>
      </c>
      <c r="T2" s="7">
        <f t="shared" ref="T2:T301" si="5">IF(OR(J2&gt;0.0003, K2&gt;0.0003, L2&gt;0.0003), 1, 0)</f>
        <v>0</v>
      </c>
      <c r="U2" s="7">
        <f t="shared" ref="U2:U301" si="6">IF(OR(M2&gt;0.0003, N2&gt;0.0003, O2&gt;0.0003), 1, 0)</f>
        <v>0</v>
      </c>
      <c r="V2" s="7" t="str">
        <f t="shared" ref="V2:W2" si="1">IF(AVERAGE(#REF!) &gt; 0.25, 1, 0)</f>
        <v>#REF!</v>
      </c>
      <c r="W2" s="7" t="str">
        <f t="shared" si="1"/>
        <v>#REF!</v>
      </c>
      <c r="X2" s="8">
        <v>0.0</v>
      </c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ht="22.5" customHeight="1">
      <c r="A3" s="6">
        <v>602.0</v>
      </c>
      <c r="B3" s="6">
        <v>647.0</v>
      </c>
      <c r="C3" s="6">
        <v>1.24</v>
      </c>
      <c r="D3" s="6">
        <v>-0.2</v>
      </c>
      <c r="E3" s="6">
        <v>10.68</v>
      </c>
      <c r="F3" s="6">
        <v>-0.1</v>
      </c>
      <c r="G3" s="6">
        <v>0.0</v>
      </c>
      <c r="H3" s="6">
        <v>-0.01</v>
      </c>
      <c r="I3" s="6">
        <v>33.15</v>
      </c>
      <c r="J3" s="7">
        <f t="shared" ref="J3:O3" si="2">abs(C3-C2)/200</f>
        <v>0.0002</v>
      </c>
      <c r="K3" s="7">
        <f t="shared" si="2"/>
        <v>0.00005</v>
      </c>
      <c r="L3" s="7">
        <f t="shared" si="2"/>
        <v>0.0015</v>
      </c>
      <c r="M3" s="7">
        <f t="shared" si="2"/>
        <v>0</v>
      </c>
      <c r="N3" s="7">
        <f t="shared" si="2"/>
        <v>0</v>
      </c>
      <c r="O3" s="7">
        <f t="shared" si="2"/>
        <v>0</v>
      </c>
      <c r="P3" s="7">
        <f t="shared" ref="P3:P301" si="9">abs(S3 - S2)</f>
        <v>0</v>
      </c>
      <c r="Q3" s="7">
        <f t="shared" ref="Q3:Q301" si="10">abs(R3-R2)</f>
        <v>0.3027428385</v>
      </c>
      <c r="R3" s="7">
        <f t="shared" si="3"/>
        <v>0.953604047</v>
      </c>
      <c r="S3" s="7">
        <f t="shared" si="4"/>
        <v>0.1004987562</v>
      </c>
      <c r="T3" s="7">
        <f t="shared" si="5"/>
        <v>1</v>
      </c>
      <c r="U3" s="7">
        <f t="shared" si="6"/>
        <v>0</v>
      </c>
      <c r="V3" s="7">
        <f t="shared" ref="V3:W3" si="7">IF(AVERAGE(T2) &gt; 0.25, 1, 0)</f>
        <v>0</v>
      </c>
      <c r="W3" s="7">
        <f t="shared" si="7"/>
        <v>0</v>
      </c>
      <c r="X3" s="8">
        <v>0.0</v>
      </c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ht="22.5" customHeight="1">
      <c r="A4" s="6">
        <v>603.0</v>
      </c>
      <c r="B4" s="6">
        <v>851.0</v>
      </c>
      <c r="C4" s="6">
        <v>1.23</v>
      </c>
      <c r="D4" s="6">
        <v>-0.2</v>
      </c>
      <c r="E4" s="6">
        <v>10.7</v>
      </c>
      <c r="F4" s="6">
        <v>-0.1</v>
      </c>
      <c r="G4" s="6">
        <v>0.0</v>
      </c>
      <c r="H4" s="6">
        <v>-0.01</v>
      </c>
      <c r="I4" s="6">
        <v>33.16</v>
      </c>
      <c r="J4" s="7">
        <f t="shared" ref="J4:O4" si="8">abs(C4-C3)/200</f>
        <v>0.00005</v>
      </c>
      <c r="K4" s="7">
        <f t="shared" si="8"/>
        <v>0</v>
      </c>
      <c r="L4" s="7">
        <f t="shared" si="8"/>
        <v>0.0001</v>
      </c>
      <c r="M4" s="7">
        <f t="shared" si="8"/>
        <v>0</v>
      </c>
      <c r="N4" s="7">
        <f t="shared" si="8"/>
        <v>0</v>
      </c>
      <c r="O4" s="7">
        <f t="shared" si="8"/>
        <v>0</v>
      </c>
      <c r="P4" s="7">
        <f t="shared" si="9"/>
        <v>0</v>
      </c>
      <c r="Q4" s="7">
        <f t="shared" si="10"/>
        <v>0.01871696565</v>
      </c>
      <c r="R4" s="7">
        <f t="shared" si="3"/>
        <v>0.9723210127</v>
      </c>
      <c r="S4" s="7">
        <f t="shared" si="4"/>
        <v>0.1004987562</v>
      </c>
      <c r="T4" s="7">
        <f t="shared" si="5"/>
        <v>0</v>
      </c>
      <c r="U4" s="7">
        <f t="shared" si="6"/>
        <v>0</v>
      </c>
      <c r="V4" s="7">
        <f t="shared" ref="V4:W4" si="11">IF(AVERAGE(T2:T3) &gt; 0.25, 1, 0)</f>
        <v>1</v>
      </c>
      <c r="W4" s="7">
        <f t="shared" si="11"/>
        <v>0</v>
      </c>
      <c r="X4" s="8">
        <v>0.0</v>
      </c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ht="22.5" customHeight="1">
      <c r="A5" s="6">
        <v>604.0</v>
      </c>
      <c r="B5" s="6">
        <v>1055.0</v>
      </c>
      <c r="C5" s="6">
        <v>1.24</v>
      </c>
      <c r="D5" s="6">
        <v>-0.2</v>
      </c>
      <c r="E5" s="6">
        <v>10.68</v>
      </c>
      <c r="F5" s="6">
        <v>-0.1</v>
      </c>
      <c r="G5" s="6">
        <v>0.0</v>
      </c>
      <c r="H5" s="6">
        <v>-0.01</v>
      </c>
      <c r="I5" s="6">
        <v>33.16</v>
      </c>
      <c r="J5" s="7">
        <f t="shared" ref="J5:O5" si="12">abs(C5-C4)/200</f>
        <v>0.00005</v>
      </c>
      <c r="K5" s="7">
        <f t="shared" si="12"/>
        <v>0</v>
      </c>
      <c r="L5" s="7">
        <f t="shared" si="12"/>
        <v>0.0001</v>
      </c>
      <c r="M5" s="7">
        <f t="shared" si="12"/>
        <v>0</v>
      </c>
      <c r="N5" s="7">
        <f t="shared" si="12"/>
        <v>0</v>
      </c>
      <c r="O5" s="7">
        <f t="shared" si="12"/>
        <v>0</v>
      </c>
      <c r="P5" s="7">
        <f t="shared" si="9"/>
        <v>0</v>
      </c>
      <c r="Q5" s="7">
        <f t="shared" si="10"/>
        <v>0.01871696565</v>
      </c>
      <c r="R5" s="7">
        <f t="shared" si="3"/>
        <v>0.953604047</v>
      </c>
      <c r="S5" s="7">
        <f t="shared" si="4"/>
        <v>0.1004987562</v>
      </c>
      <c r="T5" s="7">
        <f t="shared" si="5"/>
        <v>0</v>
      </c>
      <c r="U5" s="7">
        <f t="shared" si="6"/>
        <v>0</v>
      </c>
      <c r="V5" s="7">
        <f t="shared" ref="V5:W5" si="13">IF(AVERAGE(T2:T4) &gt; 0.25, 1, 0)</f>
        <v>1</v>
      </c>
      <c r="W5" s="7">
        <f t="shared" si="13"/>
        <v>0</v>
      </c>
      <c r="X5" s="8">
        <v>0.0</v>
      </c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ht="22.5" customHeight="1">
      <c r="A6" s="6">
        <v>605.0</v>
      </c>
      <c r="B6" s="6">
        <v>1259.0</v>
      </c>
      <c r="C6" s="6">
        <v>1.24</v>
      </c>
      <c r="D6" s="6">
        <v>-0.19</v>
      </c>
      <c r="E6" s="6">
        <v>10.69</v>
      </c>
      <c r="F6" s="6">
        <v>-0.1</v>
      </c>
      <c r="G6" s="6">
        <v>0.0</v>
      </c>
      <c r="H6" s="6">
        <v>-0.01</v>
      </c>
      <c r="I6" s="6">
        <v>33.16</v>
      </c>
      <c r="J6" s="7">
        <f t="shared" ref="J6:O6" si="14">abs(C6-C5)/200</f>
        <v>0</v>
      </c>
      <c r="K6" s="7">
        <f t="shared" si="14"/>
        <v>0.00005</v>
      </c>
      <c r="L6" s="7">
        <f t="shared" si="14"/>
        <v>0.00005</v>
      </c>
      <c r="M6" s="7">
        <f t="shared" si="14"/>
        <v>0</v>
      </c>
      <c r="N6" s="7">
        <f t="shared" si="14"/>
        <v>0</v>
      </c>
      <c r="O6" s="7">
        <f t="shared" si="14"/>
        <v>0</v>
      </c>
      <c r="P6" s="7">
        <f t="shared" si="9"/>
        <v>0</v>
      </c>
      <c r="Q6" s="7">
        <f t="shared" si="10"/>
        <v>0.009750448679</v>
      </c>
      <c r="R6" s="7">
        <f t="shared" si="3"/>
        <v>0.9633544957</v>
      </c>
      <c r="S6" s="7">
        <f t="shared" si="4"/>
        <v>0.1004987562</v>
      </c>
      <c r="T6" s="7">
        <f t="shared" si="5"/>
        <v>0</v>
      </c>
      <c r="U6" s="7">
        <f t="shared" si="6"/>
        <v>0</v>
      </c>
      <c r="V6" s="7">
        <f t="shared" ref="V6:W6" si="15">IF(AVERAGE(T2:T5) &gt; 0.25, 1, 0)</f>
        <v>0</v>
      </c>
      <c r="W6" s="7">
        <f t="shared" si="15"/>
        <v>0</v>
      </c>
      <c r="X6" s="8">
        <v>0.0</v>
      </c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ht="22.5" customHeight="1">
      <c r="A7" s="6">
        <v>606.0</v>
      </c>
      <c r="B7" s="6">
        <v>1463.0</v>
      </c>
      <c r="C7" s="6">
        <v>1.24</v>
      </c>
      <c r="D7" s="6">
        <v>-0.2</v>
      </c>
      <c r="E7" s="6">
        <v>10.69</v>
      </c>
      <c r="F7" s="6">
        <v>-0.1</v>
      </c>
      <c r="G7" s="6">
        <v>0.0</v>
      </c>
      <c r="H7" s="6">
        <v>-0.01</v>
      </c>
      <c r="I7" s="6">
        <v>33.16</v>
      </c>
      <c r="J7" s="7">
        <f t="shared" ref="J7:O7" si="16">abs(C7-C6)/200</f>
        <v>0</v>
      </c>
      <c r="K7" s="7">
        <f t="shared" si="16"/>
        <v>0.00005</v>
      </c>
      <c r="L7" s="7">
        <f t="shared" si="16"/>
        <v>0</v>
      </c>
      <c r="M7" s="7">
        <f t="shared" si="16"/>
        <v>0</v>
      </c>
      <c r="N7" s="7">
        <f t="shared" si="16"/>
        <v>0</v>
      </c>
      <c r="O7" s="7">
        <f t="shared" si="16"/>
        <v>0</v>
      </c>
      <c r="P7" s="7">
        <f t="shared" si="9"/>
        <v>0</v>
      </c>
      <c r="Q7" s="7">
        <f t="shared" si="10"/>
        <v>0.0001811687601</v>
      </c>
      <c r="R7" s="7">
        <f t="shared" si="3"/>
        <v>0.9635356645</v>
      </c>
      <c r="S7" s="7">
        <f t="shared" si="4"/>
        <v>0.1004987562</v>
      </c>
      <c r="T7" s="7">
        <f t="shared" si="5"/>
        <v>0</v>
      </c>
      <c r="U7" s="7">
        <f t="shared" si="6"/>
        <v>0</v>
      </c>
      <c r="V7" s="7">
        <f t="shared" ref="V7:W7" si="17">IF(AVERAGE(T2:T6) &gt; 0.25, 1, 0)</f>
        <v>0</v>
      </c>
      <c r="W7" s="7">
        <f t="shared" si="17"/>
        <v>0</v>
      </c>
      <c r="X7" s="8">
        <v>0.0</v>
      </c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ht="22.5" customHeight="1">
      <c r="A8" s="6">
        <v>607.0</v>
      </c>
      <c r="B8" s="6">
        <v>1667.0</v>
      </c>
      <c r="C8" s="6">
        <v>1.24</v>
      </c>
      <c r="D8" s="6">
        <v>-0.21</v>
      </c>
      <c r="E8" s="6">
        <v>10.66</v>
      </c>
      <c r="F8" s="6">
        <v>-0.1</v>
      </c>
      <c r="G8" s="6">
        <v>0.0</v>
      </c>
      <c r="H8" s="6">
        <v>-0.01</v>
      </c>
      <c r="I8" s="6">
        <v>33.17</v>
      </c>
      <c r="J8" s="7">
        <f t="shared" ref="J8:O8" si="18">abs(C8-C7)/200</f>
        <v>0</v>
      </c>
      <c r="K8" s="7">
        <f t="shared" si="18"/>
        <v>0.00005</v>
      </c>
      <c r="L8" s="7">
        <f t="shared" si="18"/>
        <v>0.00015</v>
      </c>
      <c r="M8" s="7">
        <f t="shared" si="18"/>
        <v>0</v>
      </c>
      <c r="N8" s="7">
        <f t="shared" si="18"/>
        <v>0</v>
      </c>
      <c r="O8" s="7">
        <f t="shared" si="18"/>
        <v>0</v>
      </c>
      <c r="P8" s="7">
        <f t="shared" si="9"/>
        <v>0</v>
      </c>
      <c r="Q8" s="7">
        <f t="shared" si="10"/>
        <v>0.02960348654</v>
      </c>
      <c r="R8" s="7">
        <f t="shared" si="3"/>
        <v>0.9339321779</v>
      </c>
      <c r="S8" s="7">
        <f t="shared" si="4"/>
        <v>0.1004987562</v>
      </c>
      <c r="T8" s="7">
        <f t="shared" si="5"/>
        <v>0</v>
      </c>
      <c r="U8" s="7">
        <f t="shared" si="6"/>
        <v>0</v>
      </c>
      <c r="V8" s="7">
        <f t="shared" ref="V8:W8" si="19">IF(AVERAGE(T2:T7) &gt; 0.25, 1, 0)</f>
        <v>0</v>
      </c>
      <c r="W8" s="7">
        <f t="shared" si="19"/>
        <v>0</v>
      </c>
      <c r="X8" s="8">
        <v>0.0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ht="22.5" customHeight="1">
      <c r="A9" s="6">
        <v>608.0</v>
      </c>
      <c r="B9" s="6">
        <v>1871.0</v>
      </c>
      <c r="C9" s="6">
        <v>1.22</v>
      </c>
      <c r="D9" s="6">
        <v>-0.21</v>
      </c>
      <c r="E9" s="6">
        <v>10.67</v>
      </c>
      <c r="F9" s="6">
        <v>-0.1</v>
      </c>
      <c r="G9" s="6">
        <v>0.0</v>
      </c>
      <c r="H9" s="6">
        <v>-0.01</v>
      </c>
      <c r="I9" s="6">
        <v>33.17</v>
      </c>
      <c r="J9" s="7">
        <f t="shared" ref="J9:O9" si="20">abs(C9-C8)/200</f>
        <v>0.0001</v>
      </c>
      <c r="K9" s="7">
        <f t="shared" si="20"/>
        <v>0</v>
      </c>
      <c r="L9" s="7">
        <f t="shared" si="20"/>
        <v>0.00005</v>
      </c>
      <c r="M9" s="7">
        <f t="shared" si="20"/>
        <v>0</v>
      </c>
      <c r="N9" s="7">
        <f t="shared" si="20"/>
        <v>0</v>
      </c>
      <c r="O9" s="7">
        <f t="shared" si="20"/>
        <v>0</v>
      </c>
      <c r="P9" s="7">
        <f t="shared" si="9"/>
        <v>0</v>
      </c>
      <c r="Q9" s="7">
        <f t="shared" si="10"/>
        <v>0.007641263629</v>
      </c>
      <c r="R9" s="7">
        <f t="shared" si="3"/>
        <v>0.9415734415</v>
      </c>
      <c r="S9" s="7">
        <f t="shared" si="4"/>
        <v>0.1004987562</v>
      </c>
      <c r="T9" s="7">
        <f t="shared" si="5"/>
        <v>0</v>
      </c>
      <c r="U9" s="7">
        <f t="shared" si="6"/>
        <v>0</v>
      </c>
      <c r="V9" s="7">
        <f t="shared" ref="V9:W9" si="21">IF(AVERAGE(T2:T8) &gt; 0.25, 1, 0)</f>
        <v>0</v>
      </c>
      <c r="W9" s="7">
        <f t="shared" si="21"/>
        <v>0</v>
      </c>
      <c r="X9" s="8">
        <v>0.0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ht="22.5" customHeight="1">
      <c r="A10" s="6">
        <v>609.0</v>
      </c>
      <c r="B10" s="6">
        <v>2075.0</v>
      </c>
      <c r="C10" s="6">
        <v>1.24</v>
      </c>
      <c r="D10" s="6">
        <v>-0.2</v>
      </c>
      <c r="E10" s="6">
        <v>10.67</v>
      </c>
      <c r="F10" s="6">
        <v>-0.1</v>
      </c>
      <c r="G10" s="6">
        <v>0.0</v>
      </c>
      <c r="H10" s="6">
        <v>-0.01</v>
      </c>
      <c r="I10" s="6">
        <v>33.16</v>
      </c>
      <c r="J10" s="7">
        <f t="shared" ref="J10:O10" si="22">abs(C10-C9)/200</f>
        <v>0.0001</v>
      </c>
      <c r="K10" s="7">
        <f t="shared" si="22"/>
        <v>0.00005</v>
      </c>
      <c r="L10" s="7">
        <f t="shared" si="22"/>
        <v>0</v>
      </c>
      <c r="M10" s="7">
        <f t="shared" si="22"/>
        <v>0</v>
      </c>
      <c r="N10" s="7">
        <f t="shared" si="22"/>
        <v>0</v>
      </c>
      <c r="O10" s="7">
        <f t="shared" si="22"/>
        <v>0</v>
      </c>
      <c r="P10" s="7">
        <f t="shared" si="9"/>
        <v>0</v>
      </c>
      <c r="Q10" s="7">
        <f t="shared" si="10"/>
        <v>0.0020991149</v>
      </c>
      <c r="R10" s="7">
        <f t="shared" si="3"/>
        <v>0.9436725564</v>
      </c>
      <c r="S10" s="7">
        <f t="shared" si="4"/>
        <v>0.1004987562</v>
      </c>
      <c r="T10" s="7">
        <f t="shared" si="5"/>
        <v>0</v>
      </c>
      <c r="U10" s="7">
        <f t="shared" si="6"/>
        <v>0</v>
      </c>
      <c r="V10" s="7">
        <f t="shared" ref="V10:W10" si="23">IF(AVERAGE(T2:T9) &gt; 0.25, 1, 0)</f>
        <v>0</v>
      </c>
      <c r="W10" s="7">
        <f t="shared" si="23"/>
        <v>0</v>
      </c>
      <c r="X10" s="8">
        <v>0.0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ht="22.5" customHeight="1">
      <c r="A11" s="6">
        <v>610.0</v>
      </c>
      <c r="B11" s="6">
        <v>2279.0</v>
      </c>
      <c r="C11" s="6">
        <v>1.23</v>
      </c>
      <c r="D11" s="6">
        <v>-0.2</v>
      </c>
      <c r="E11" s="6">
        <v>10.68</v>
      </c>
      <c r="F11" s="6">
        <v>-0.1</v>
      </c>
      <c r="G11" s="6">
        <v>0.0</v>
      </c>
      <c r="H11" s="6">
        <v>-0.01</v>
      </c>
      <c r="I11" s="6">
        <v>33.17</v>
      </c>
      <c r="J11" s="7">
        <f t="shared" ref="J11:O11" si="24">abs(C11-C10)/200</f>
        <v>0.00005</v>
      </c>
      <c r="K11" s="7">
        <f t="shared" si="24"/>
        <v>0</v>
      </c>
      <c r="L11" s="7">
        <f t="shared" si="24"/>
        <v>0.00005</v>
      </c>
      <c r="M11" s="7">
        <f t="shared" si="24"/>
        <v>0</v>
      </c>
      <c r="N11" s="7">
        <f t="shared" si="24"/>
        <v>0</v>
      </c>
      <c r="O11" s="7">
        <f t="shared" si="24"/>
        <v>0</v>
      </c>
      <c r="P11" s="7">
        <f t="shared" si="9"/>
        <v>0</v>
      </c>
      <c r="Q11" s="7">
        <f t="shared" si="10"/>
        <v>0.008782977065</v>
      </c>
      <c r="R11" s="7">
        <f t="shared" si="3"/>
        <v>0.9524555335</v>
      </c>
      <c r="S11" s="7">
        <f t="shared" si="4"/>
        <v>0.1004987562</v>
      </c>
      <c r="T11" s="7">
        <f t="shared" si="5"/>
        <v>0</v>
      </c>
      <c r="U11" s="7">
        <f t="shared" si="6"/>
        <v>0</v>
      </c>
      <c r="V11" s="7">
        <f t="shared" ref="V11:W11" si="25">IF(AVERAGE(T2:T10) &gt; 0.25, 1, 0)</f>
        <v>0</v>
      </c>
      <c r="W11" s="7">
        <f t="shared" si="25"/>
        <v>0</v>
      </c>
      <c r="X11" s="8">
        <v>0.0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ht="22.5" customHeight="1">
      <c r="A12" s="6">
        <v>611.0</v>
      </c>
      <c r="B12" s="6">
        <v>2483.0</v>
      </c>
      <c r="C12" s="6">
        <v>1.22</v>
      </c>
      <c r="D12" s="6">
        <v>-0.19</v>
      </c>
      <c r="E12" s="6">
        <v>10.67</v>
      </c>
      <c r="F12" s="6">
        <v>-0.1</v>
      </c>
      <c r="G12" s="6">
        <v>0.0</v>
      </c>
      <c r="H12" s="6">
        <v>-0.01</v>
      </c>
      <c r="I12" s="6">
        <v>33.17</v>
      </c>
      <c r="J12" s="7">
        <f t="shared" ref="J12:O12" si="26">abs(C12-C11)/200</f>
        <v>0.00005</v>
      </c>
      <c r="K12" s="7">
        <f t="shared" si="26"/>
        <v>0.00005</v>
      </c>
      <c r="L12" s="7">
        <f t="shared" si="26"/>
        <v>0.00005</v>
      </c>
      <c r="M12" s="7">
        <f t="shared" si="26"/>
        <v>0</v>
      </c>
      <c r="N12" s="7">
        <f t="shared" si="26"/>
        <v>0</v>
      </c>
      <c r="O12" s="7">
        <f t="shared" si="26"/>
        <v>0</v>
      </c>
      <c r="P12" s="7">
        <f t="shared" si="9"/>
        <v>0</v>
      </c>
      <c r="Q12" s="7">
        <f t="shared" si="10"/>
        <v>0.01125448334</v>
      </c>
      <c r="R12" s="7">
        <f t="shared" si="3"/>
        <v>0.9412010502</v>
      </c>
      <c r="S12" s="7">
        <f t="shared" si="4"/>
        <v>0.1004987562</v>
      </c>
      <c r="T12" s="7">
        <f t="shared" si="5"/>
        <v>0</v>
      </c>
      <c r="U12" s="7">
        <f t="shared" si="6"/>
        <v>0</v>
      </c>
      <c r="V12" s="7">
        <f t="shared" ref="V12:W12" si="27">IF(AVERAGE(T2:T11) &gt; 0.25, 1, 0)</f>
        <v>0</v>
      </c>
      <c r="W12" s="7">
        <f t="shared" si="27"/>
        <v>0</v>
      </c>
      <c r="X12" s="8">
        <v>0.0</v>
      </c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ht="22.5" customHeight="1">
      <c r="A13" s="6">
        <v>612.0</v>
      </c>
      <c r="B13" s="6">
        <v>2687.0</v>
      </c>
      <c r="C13" s="6">
        <v>1.23</v>
      </c>
      <c r="D13" s="6">
        <v>-0.21</v>
      </c>
      <c r="E13" s="6">
        <v>10.68</v>
      </c>
      <c r="F13" s="6">
        <v>-0.1</v>
      </c>
      <c r="G13" s="6">
        <v>0.0</v>
      </c>
      <c r="H13" s="6">
        <v>-0.01</v>
      </c>
      <c r="I13" s="6">
        <v>33.17</v>
      </c>
      <c r="J13" s="7">
        <f t="shared" ref="J13:O13" si="28">abs(C13-C12)/200</f>
        <v>0.00005</v>
      </c>
      <c r="K13" s="7">
        <f t="shared" si="28"/>
        <v>0.0001</v>
      </c>
      <c r="L13" s="7">
        <f t="shared" si="28"/>
        <v>0.00005</v>
      </c>
      <c r="M13" s="7">
        <f t="shared" si="28"/>
        <v>0</v>
      </c>
      <c r="N13" s="7">
        <f t="shared" si="28"/>
        <v>0</v>
      </c>
      <c r="O13" s="7">
        <f t="shared" si="28"/>
        <v>0</v>
      </c>
      <c r="P13" s="7">
        <f t="shared" si="9"/>
        <v>0</v>
      </c>
      <c r="Q13" s="7">
        <f t="shared" si="10"/>
        <v>0.01144513578</v>
      </c>
      <c r="R13" s="7">
        <f t="shared" si="3"/>
        <v>0.9526461859</v>
      </c>
      <c r="S13" s="7">
        <f t="shared" si="4"/>
        <v>0.1004987562</v>
      </c>
      <c r="T13" s="7">
        <f t="shared" si="5"/>
        <v>0</v>
      </c>
      <c r="U13" s="7">
        <f t="shared" si="6"/>
        <v>0</v>
      </c>
      <c r="V13" s="7">
        <f t="shared" ref="V13:W13" si="29">IF(AVERAGE(T2:T12) &gt; 0.25, 1, 0)</f>
        <v>0</v>
      </c>
      <c r="W13" s="7">
        <f t="shared" si="29"/>
        <v>0</v>
      </c>
      <c r="X13" s="8">
        <v>0.0</v>
      </c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ht="22.5" customHeight="1">
      <c r="A14" s="6">
        <v>613.0</v>
      </c>
      <c r="B14" s="6">
        <v>2891.0</v>
      </c>
      <c r="C14" s="6">
        <v>1.24</v>
      </c>
      <c r="D14" s="6">
        <v>-0.2</v>
      </c>
      <c r="E14" s="6">
        <v>10.68</v>
      </c>
      <c r="F14" s="6">
        <v>-0.1</v>
      </c>
      <c r="G14" s="6">
        <v>0.0</v>
      </c>
      <c r="H14" s="6">
        <v>-0.01</v>
      </c>
      <c r="I14" s="6">
        <v>33.16</v>
      </c>
      <c r="J14" s="7">
        <f t="shared" ref="J14:O14" si="30">abs(C14-C13)/200</f>
        <v>0.00005</v>
      </c>
      <c r="K14" s="7">
        <f t="shared" si="30"/>
        <v>0.00005</v>
      </c>
      <c r="L14" s="7">
        <f t="shared" si="30"/>
        <v>0</v>
      </c>
      <c r="M14" s="7">
        <f t="shared" si="30"/>
        <v>0</v>
      </c>
      <c r="N14" s="7">
        <f t="shared" si="30"/>
        <v>0</v>
      </c>
      <c r="O14" s="7">
        <f t="shared" si="30"/>
        <v>0</v>
      </c>
      <c r="P14" s="7">
        <f t="shared" si="9"/>
        <v>0</v>
      </c>
      <c r="Q14" s="7">
        <f t="shared" si="10"/>
        <v>0.0009578610765</v>
      </c>
      <c r="R14" s="7">
        <f t="shared" si="3"/>
        <v>0.953604047</v>
      </c>
      <c r="S14" s="7">
        <f t="shared" si="4"/>
        <v>0.1004987562</v>
      </c>
      <c r="T14" s="7">
        <f t="shared" si="5"/>
        <v>0</v>
      </c>
      <c r="U14" s="7">
        <f t="shared" si="6"/>
        <v>0</v>
      </c>
      <c r="V14" s="7">
        <f t="shared" ref="V14:W14" si="31">IF(AVERAGE(T2:T13) &gt; 0.25, 1, 0)</f>
        <v>0</v>
      </c>
      <c r="W14" s="7">
        <f t="shared" si="31"/>
        <v>0</v>
      </c>
      <c r="X14" s="8">
        <v>0.0</v>
      </c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ht="22.5" customHeight="1">
      <c r="A15" s="6">
        <v>614.0</v>
      </c>
      <c r="B15" s="6">
        <v>3095.0</v>
      </c>
      <c r="C15" s="6">
        <v>1.23</v>
      </c>
      <c r="D15" s="6">
        <v>-0.2</v>
      </c>
      <c r="E15" s="6">
        <v>10.68</v>
      </c>
      <c r="F15" s="6">
        <v>-0.1</v>
      </c>
      <c r="G15" s="6">
        <v>0.0</v>
      </c>
      <c r="H15" s="6">
        <v>-0.01</v>
      </c>
      <c r="I15" s="6">
        <v>33.17</v>
      </c>
      <c r="J15" s="7">
        <f t="shared" ref="J15:O15" si="32">abs(C15-C14)/200</f>
        <v>0.00005</v>
      </c>
      <c r="K15" s="7">
        <f t="shared" si="32"/>
        <v>0</v>
      </c>
      <c r="L15" s="7">
        <f t="shared" si="32"/>
        <v>0</v>
      </c>
      <c r="M15" s="7">
        <f t="shared" si="32"/>
        <v>0</v>
      </c>
      <c r="N15" s="7">
        <f t="shared" si="32"/>
        <v>0</v>
      </c>
      <c r="O15" s="7">
        <f t="shared" si="32"/>
        <v>0</v>
      </c>
      <c r="P15" s="7">
        <f t="shared" si="9"/>
        <v>0</v>
      </c>
      <c r="Q15" s="7">
        <f t="shared" si="10"/>
        <v>0.001148513511</v>
      </c>
      <c r="R15" s="7">
        <f t="shared" si="3"/>
        <v>0.9524555335</v>
      </c>
      <c r="S15" s="7">
        <f t="shared" si="4"/>
        <v>0.1004987562</v>
      </c>
      <c r="T15" s="7">
        <f t="shared" si="5"/>
        <v>0</v>
      </c>
      <c r="U15" s="7">
        <f t="shared" si="6"/>
        <v>0</v>
      </c>
      <c r="V15" s="7">
        <f t="shared" ref="V15:W15" si="33">IF(AVERAGE(T2:T14) &gt; 0.25, 1, 0)</f>
        <v>0</v>
      </c>
      <c r="W15" s="7">
        <f t="shared" si="33"/>
        <v>0</v>
      </c>
      <c r="X15" s="8">
        <v>0.0</v>
      </c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ht="22.5" customHeight="1">
      <c r="A16" s="6">
        <v>615.0</v>
      </c>
      <c r="B16" s="6">
        <v>3299.0</v>
      </c>
      <c r="C16" s="6">
        <v>1.23</v>
      </c>
      <c r="D16" s="6">
        <v>-0.21</v>
      </c>
      <c r="E16" s="6">
        <v>10.69</v>
      </c>
      <c r="F16" s="6">
        <v>-0.1</v>
      </c>
      <c r="G16" s="6">
        <v>0.0</v>
      </c>
      <c r="H16" s="6">
        <v>-0.01</v>
      </c>
      <c r="I16" s="6">
        <v>33.17</v>
      </c>
      <c r="J16" s="7">
        <f t="shared" ref="J16:O16" si="34">abs(C16-C15)/200</f>
        <v>0</v>
      </c>
      <c r="K16" s="7">
        <f t="shared" si="34"/>
        <v>0.00005</v>
      </c>
      <c r="L16" s="7">
        <f t="shared" si="34"/>
        <v>0.00005</v>
      </c>
      <c r="M16" s="7">
        <f t="shared" si="34"/>
        <v>0</v>
      </c>
      <c r="N16" s="7">
        <f t="shared" si="34"/>
        <v>0</v>
      </c>
      <c r="O16" s="7">
        <f t="shared" si="34"/>
        <v>0</v>
      </c>
      <c r="P16" s="7">
        <f t="shared" si="9"/>
        <v>0</v>
      </c>
      <c r="Q16" s="7">
        <f t="shared" si="10"/>
        <v>0.01012315378</v>
      </c>
      <c r="R16" s="7">
        <f t="shared" si="3"/>
        <v>0.9625786873</v>
      </c>
      <c r="S16" s="7">
        <f t="shared" si="4"/>
        <v>0.1004987562</v>
      </c>
      <c r="T16" s="7">
        <f t="shared" si="5"/>
        <v>0</v>
      </c>
      <c r="U16" s="7">
        <f t="shared" si="6"/>
        <v>0</v>
      </c>
      <c r="V16" s="7">
        <f t="shared" ref="V16:W16" si="35">IF(AVERAGE(T2:T15) &gt; 0.25, 1, 0)</f>
        <v>0</v>
      </c>
      <c r="W16" s="7">
        <f t="shared" si="35"/>
        <v>0</v>
      </c>
      <c r="X16" s="8">
        <v>0.0</v>
      </c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ht="22.5" customHeight="1">
      <c r="A17" s="6">
        <v>616.0</v>
      </c>
      <c r="B17" s="6">
        <v>3503.0</v>
      </c>
      <c r="C17" s="6">
        <v>1.24</v>
      </c>
      <c r="D17" s="6">
        <v>-0.21</v>
      </c>
      <c r="E17" s="6">
        <v>10.69</v>
      </c>
      <c r="F17" s="6">
        <v>-0.1</v>
      </c>
      <c r="G17" s="6">
        <v>0.0</v>
      </c>
      <c r="H17" s="6">
        <v>-0.01</v>
      </c>
      <c r="I17" s="6">
        <v>33.18</v>
      </c>
      <c r="J17" s="7">
        <f t="shared" ref="J17:O17" si="36">abs(C17-C16)/200</f>
        <v>0.00005</v>
      </c>
      <c r="K17" s="7">
        <f t="shared" si="36"/>
        <v>0</v>
      </c>
      <c r="L17" s="7">
        <f t="shared" si="36"/>
        <v>0</v>
      </c>
      <c r="M17" s="7">
        <f t="shared" si="36"/>
        <v>0</v>
      </c>
      <c r="N17" s="7">
        <f t="shared" si="36"/>
        <v>0</v>
      </c>
      <c r="O17" s="7">
        <f t="shared" si="36"/>
        <v>0</v>
      </c>
      <c r="P17" s="7">
        <f t="shared" si="9"/>
        <v>0</v>
      </c>
      <c r="Q17" s="7">
        <f t="shared" si="10"/>
        <v>0.001147433348</v>
      </c>
      <c r="R17" s="7">
        <f t="shared" si="3"/>
        <v>0.9637261206</v>
      </c>
      <c r="S17" s="7">
        <f t="shared" si="4"/>
        <v>0.1004987562</v>
      </c>
      <c r="T17" s="7">
        <f t="shared" si="5"/>
        <v>0</v>
      </c>
      <c r="U17" s="7">
        <f t="shared" si="6"/>
        <v>0</v>
      </c>
      <c r="V17" s="7">
        <f t="shared" ref="V17:W17" si="37">IF(AVERAGE(T2:T16) &gt; 0.25, 1, 0)</f>
        <v>0</v>
      </c>
      <c r="W17" s="7">
        <f t="shared" si="37"/>
        <v>0</v>
      </c>
      <c r="X17" s="8">
        <v>0.0</v>
      </c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ht="22.5" customHeight="1">
      <c r="A18" s="6">
        <v>617.0</v>
      </c>
      <c r="B18" s="6">
        <v>3707.0</v>
      </c>
      <c r="C18" s="6">
        <v>1.23</v>
      </c>
      <c r="D18" s="6">
        <v>-0.2</v>
      </c>
      <c r="E18" s="6">
        <v>10.69</v>
      </c>
      <c r="F18" s="6">
        <v>-0.1</v>
      </c>
      <c r="G18" s="6">
        <v>0.0</v>
      </c>
      <c r="H18" s="6">
        <v>-0.01</v>
      </c>
      <c r="I18" s="6">
        <v>33.18</v>
      </c>
      <c r="J18" s="7">
        <f t="shared" ref="J18:O18" si="38">abs(C18-C17)/200</f>
        <v>0.00005</v>
      </c>
      <c r="K18" s="7">
        <f t="shared" si="38"/>
        <v>0.00005</v>
      </c>
      <c r="L18" s="7">
        <f t="shared" si="38"/>
        <v>0</v>
      </c>
      <c r="M18" s="7">
        <f t="shared" si="38"/>
        <v>0</v>
      </c>
      <c r="N18" s="7">
        <f t="shared" si="38"/>
        <v>0</v>
      </c>
      <c r="O18" s="7">
        <f t="shared" si="38"/>
        <v>0</v>
      </c>
      <c r="P18" s="7">
        <f t="shared" si="9"/>
        <v>0</v>
      </c>
      <c r="Q18" s="7">
        <f t="shared" si="10"/>
        <v>0.001337909832</v>
      </c>
      <c r="R18" s="7">
        <f t="shared" si="3"/>
        <v>0.9623882108</v>
      </c>
      <c r="S18" s="7">
        <f t="shared" si="4"/>
        <v>0.1004987562</v>
      </c>
      <c r="T18" s="7">
        <f t="shared" si="5"/>
        <v>0</v>
      </c>
      <c r="U18" s="7">
        <f t="shared" si="6"/>
        <v>0</v>
      </c>
      <c r="V18" s="7">
        <f t="shared" ref="V18:W18" si="39">IF(AVERAGE(T2:T17) &gt; 0.25, 1, 0)</f>
        <v>0</v>
      </c>
      <c r="W18" s="7">
        <f t="shared" si="39"/>
        <v>0</v>
      </c>
      <c r="X18" s="8">
        <v>0.0</v>
      </c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ht="22.5" customHeight="1">
      <c r="A19" s="6">
        <v>618.0</v>
      </c>
      <c r="B19" s="6">
        <v>3911.0</v>
      </c>
      <c r="C19" s="6">
        <v>1.24</v>
      </c>
      <c r="D19" s="6">
        <v>-0.19</v>
      </c>
      <c r="E19" s="6">
        <v>10.68</v>
      </c>
      <c r="F19" s="6">
        <v>-0.1</v>
      </c>
      <c r="G19" s="6">
        <v>0.0</v>
      </c>
      <c r="H19" s="6">
        <v>-0.01</v>
      </c>
      <c r="I19" s="6">
        <v>33.18</v>
      </c>
      <c r="J19" s="7">
        <f t="shared" ref="J19:O19" si="40">abs(C19-C18)/200</f>
        <v>0.00005</v>
      </c>
      <c r="K19" s="7">
        <f t="shared" si="40"/>
        <v>0.00005</v>
      </c>
      <c r="L19" s="7">
        <f t="shared" si="40"/>
        <v>0.00005</v>
      </c>
      <c r="M19" s="7">
        <f t="shared" si="40"/>
        <v>0</v>
      </c>
      <c r="N19" s="7">
        <f t="shared" si="40"/>
        <v>0</v>
      </c>
      <c r="O19" s="7">
        <f t="shared" si="40"/>
        <v>0</v>
      </c>
      <c r="P19" s="7">
        <f t="shared" si="9"/>
        <v>0</v>
      </c>
      <c r="Q19" s="7">
        <f t="shared" si="10"/>
        <v>0.008965499869</v>
      </c>
      <c r="R19" s="7">
        <f t="shared" si="3"/>
        <v>0.9534227109</v>
      </c>
      <c r="S19" s="7">
        <f t="shared" si="4"/>
        <v>0.1004987562</v>
      </c>
      <c r="T19" s="7">
        <f t="shared" si="5"/>
        <v>0</v>
      </c>
      <c r="U19" s="7">
        <f t="shared" si="6"/>
        <v>0</v>
      </c>
      <c r="V19" s="7">
        <f t="shared" ref="V19:W19" si="41">IF(AVERAGE(T2:T18) &gt; 0.25, 1, 0)</f>
        <v>0</v>
      </c>
      <c r="W19" s="7">
        <f t="shared" si="41"/>
        <v>0</v>
      </c>
      <c r="X19" s="8">
        <v>0.0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ht="22.5" customHeight="1">
      <c r="A20" s="6">
        <v>619.0</v>
      </c>
      <c r="B20" s="6">
        <v>4115.0</v>
      </c>
      <c r="C20" s="6">
        <v>1.24</v>
      </c>
      <c r="D20" s="6">
        <v>-0.2</v>
      </c>
      <c r="E20" s="6">
        <v>10.68</v>
      </c>
      <c r="F20" s="6">
        <v>-0.1</v>
      </c>
      <c r="G20" s="6">
        <v>0.0</v>
      </c>
      <c r="H20" s="6">
        <v>-0.01</v>
      </c>
      <c r="I20" s="6">
        <v>33.18</v>
      </c>
      <c r="J20" s="7">
        <f t="shared" ref="J20:O20" si="42">abs(C20-C19)/200</f>
        <v>0</v>
      </c>
      <c r="K20" s="7">
        <f t="shared" si="42"/>
        <v>0.00005</v>
      </c>
      <c r="L20" s="7">
        <f t="shared" si="42"/>
        <v>0</v>
      </c>
      <c r="M20" s="7">
        <f t="shared" si="42"/>
        <v>0</v>
      </c>
      <c r="N20" s="7">
        <f t="shared" si="42"/>
        <v>0</v>
      </c>
      <c r="O20" s="7">
        <f t="shared" si="42"/>
        <v>0</v>
      </c>
      <c r="P20" s="7">
        <f t="shared" si="9"/>
        <v>0</v>
      </c>
      <c r="Q20" s="7">
        <f t="shared" si="10"/>
        <v>0.0001813360835</v>
      </c>
      <c r="R20" s="7">
        <f t="shared" si="3"/>
        <v>0.953604047</v>
      </c>
      <c r="S20" s="7">
        <f t="shared" si="4"/>
        <v>0.1004987562</v>
      </c>
      <c r="T20" s="7">
        <f t="shared" si="5"/>
        <v>0</v>
      </c>
      <c r="U20" s="7">
        <f t="shared" si="6"/>
        <v>0</v>
      </c>
      <c r="V20" s="7">
        <f t="shared" ref="V20:W20" si="43">IF(AVERAGE(T2:T19) &gt; 0.25, 1, 0)</f>
        <v>0</v>
      </c>
      <c r="W20" s="7">
        <f t="shared" si="43"/>
        <v>0</v>
      </c>
      <c r="X20" s="8">
        <v>0.0</v>
      </c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ht="22.5" customHeight="1">
      <c r="A21" s="6">
        <v>620.0</v>
      </c>
      <c r="B21" s="6">
        <v>4319.0</v>
      </c>
      <c r="C21" s="6">
        <v>1.22</v>
      </c>
      <c r="D21" s="6">
        <v>-0.21</v>
      </c>
      <c r="E21" s="6">
        <v>10.7</v>
      </c>
      <c r="F21" s="6">
        <v>-0.1</v>
      </c>
      <c r="G21" s="6">
        <v>0.0</v>
      </c>
      <c r="H21" s="6">
        <v>-0.01</v>
      </c>
      <c r="I21" s="6">
        <v>33.18</v>
      </c>
      <c r="J21" s="7">
        <f t="shared" ref="J21:O21" si="44">abs(C21-C20)/200</f>
        <v>0.0001</v>
      </c>
      <c r="K21" s="7">
        <f t="shared" si="44"/>
        <v>0.00005</v>
      </c>
      <c r="L21" s="7">
        <f t="shared" si="44"/>
        <v>0.0001</v>
      </c>
      <c r="M21" s="7">
        <f t="shared" si="44"/>
        <v>0</v>
      </c>
      <c r="N21" s="7">
        <f t="shared" si="44"/>
        <v>0</v>
      </c>
      <c r="O21" s="7">
        <f t="shared" si="44"/>
        <v>0</v>
      </c>
      <c r="P21" s="7">
        <f t="shared" si="9"/>
        <v>0</v>
      </c>
      <c r="Q21" s="7">
        <f t="shared" si="10"/>
        <v>0.01777005288</v>
      </c>
      <c r="R21" s="7">
        <f t="shared" si="3"/>
        <v>0.9713740999</v>
      </c>
      <c r="S21" s="7">
        <f t="shared" si="4"/>
        <v>0.1004987562</v>
      </c>
      <c r="T21" s="7">
        <f t="shared" si="5"/>
        <v>0</v>
      </c>
      <c r="U21" s="7">
        <f t="shared" si="6"/>
        <v>0</v>
      </c>
      <c r="V21" s="7">
        <f t="shared" ref="V21:W21" si="45">IF(AVERAGE(T2:T20) &gt; 0.25, 1, 0)</f>
        <v>0</v>
      </c>
      <c r="W21" s="7">
        <f t="shared" si="45"/>
        <v>0</v>
      </c>
      <c r="X21" s="8">
        <v>0.0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ht="22.5" customHeight="1">
      <c r="A22" s="6">
        <v>621.0</v>
      </c>
      <c r="B22" s="6">
        <v>4523.0</v>
      </c>
      <c r="C22" s="6">
        <v>1.23</v>
      </c>
      <c r="D22" s="6">
        <v>-0.2</v>
      </c>
      <c r="E22" s="6">
        <v>10.67</v>
      </c>
      <c r="F22" s="6">
        <v>-0.1</v>
      </c>
      <c r="G22" s="6">
        <v>0.0</v>
      </c>
      <c r="H22" s="6">
        <v>-0.01</v>
      </c>
      <c r="I22" s="6">
        <v>33.19</v>
      </c>
      <c r="J22" s="7">
        <f t="shared" ref="J22:O22" si="46">abs(C22-C21)/200</f>
        <v>0.00005</v>
      </c>
      <c r="K22" s="7">
        <f t="shared" si="46"/>
        <v>0.00005</v>
      </c>
      <c r="L22" s="7">
        <f t="shared" si="46"/>
        <v>0.00015</v>
      </c>
      <c r="M22" s="7">
        <f t="shared" si="46"/>
        <v>0</v>
      </c>
      <c r="N22" s="7">
        <f t="shared" si="46"/>
        <v>0</v>
      </c>
      <c r="O22" s="7">
        <f t="shared" si="46"/>
        <v>0</v>
      </c>
      <c r="P22" s="7">
        <f t="shared" si="9"/>
        <v>0</v>
      </c>
      <c r="Q22" s="7">
        <f t="shared" si="10"/>
        <v>0.02885111878</v>
      </c>
      <c r="R22" s="7">
        <f t="shared" si="3"/>
        <v>0.9425229811</v>
      </c>
      <c r="S22" s="7">
        <f t="shared" si="4"/>
        <v>0.1004987562</v>
      </c>
      <c r="T22" s="7">
        <f t="shared" si="5"/>
        <v>0</v>
      </c>
      <c r="U22" s="7">
        <f t="shared" si="6"/>
        <v>0</v>
      </c>
      <c r="V22" s="7">
        <f t="shared" ref="V22:W22" si="47">IF(AVERAGE(T2:T21) &gt; 0.25, 1, 0)</f>
        <v>0</v>
      </c>
      <c r="W22" s="7">
        <f t="shared" si="47"/>
        <v>0</v>
      </c>
      <c r="X22" s="8">
        <v>0.0</v>
      </c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ht="22.5" customHeight="1">
      <c r="A23" s="6">
        <v>622.0</v>
      </c>
      <c r="B23" s="6">
        <v>4727.0</v>
      </c>
      <c r="C23" s="6">
        <v>1.23</v>
      </c>
      <c r="D23" s="6">
        <v>-0.19</v>
      </c>
      <c r="E23" s="6">
        <v>10.67</v>
      </c>
      <c r="F23" s="6">
        <v>-0.1</v>
      </c>
      <c r="G23" s="6">
        <v>0.0</v>
      </c>
      <c r="H23" s="6">
        <v>-0.01</v>
      </c>
      <c r="I23" s="6">
        <v>33.18</v>
      </c>
      <c r="J23" s="7">
        <f t="shared" ref="J23:O23" si="48">abs(C23-C22)/200</f>
        <v>0</v>
      </c>
      <c r="K23" s="7">
        <f t="shared" si="48"/>
        <v>0.00005</v>
      </c>
      <c r="L23" s="7">
        <f t="shared" si="48"/>
        <v>0</v>
      </c>
      <c r="M23" s="7">
        <f t="shared" si="48"/>
        <v>0</v>
      </c>
      <c r="N23" s="7">
        <f t="shared" si="48"/>
        <v>0</v>
      </c>
      <c r="O23" s="7">
        <f t="shared" si="48"/>
        <v>0</v>
      </c>
      <c r="P23" s="7">
        <f t="shared" si="9"/>
        <v>0</v>
      </c>
      <c r="Q23" s="7">
        <f t="shared" si="10"/>
        <v>0.0001815231374</v>
      </c>
      <c r="R23" s="7">
        <f t="shared" si="3"/>
        <v>0.942341458</v>
      </c>
      <c r="S23" s="7">
        <f t="shared" si="4"/>
        <v>0.1004987562</v>
      </c>
      <c r="T23" s="7">
        <f t="shared" si="5"/>
        <v>0</v>
      </c>
      <c r="U23" s="7">
        <f t="shared" si="6"/>
        <v>0</v>
      </c>
      <c r="V23" s="7">
        <f t="shared" ref="V23:W23" si="49">IF(AVERAGE(T2:T22) &gt; 0.25, 1, 0)</f>
        <v>0</v>
      </c>
      <c r="W23" s="7">
        <f t="shared" si="49"/>
        <v>0</v>
      </c>
      <c r="X23" s="8">
        <v>0.0</v>
      </c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ht="22.5" customHeight="1">
      <c r="A24" s="6">
        <v>623.0</v>
      </c>
      <c r="B24" s="6">
        <v>4931.0</v>
      </c>
      <c r="C24" s="6">
        <v>1.23</v>
      </c>
      <c r="D24" s="6">
        <v>-0.2</v>
      </c>
      <c r="E24" s="6">
        <v>10.68</v>
      </c>
      <c r="F24" s="6">
        <v>-0.1</v>
      </c>
      <c r="G24" s="6">
        <v>0.0</v>
      </c>
      <c r="H24" s="6">
        <v>-0.01</v>
      </c>
      <c r="I24" s="6">
        <v>33.19</v>
      </c>
      <c r="J24" s="7">
        <f t="shared" ref="J24:O24" si="50">abs(C24-C23)/200</f>
        <v>0</v>
      </c>
      <c r="K24" s="7">
        <f t="shared" si="50"/>
        <v>0.00005</v>
      </c>
      <c r="L24" s="7">
        <f t="shared" si="50"/>
        <v>0.00005</v>
      </c>
      <c r="M24" s="7">
        <f t="shared" si="50"/>
        <v>0</v>
      </c>
      <c r="N24" s="7">
        <f t="shared" si="50"/>
        <v>0</v>
      </c>
      <c r="O24" s="7">
        <f t="shared" si="50"/>
        <v>0</v>
      </c>
      <c r="P24" s="7">
        <f t="shared" si="9"/>
        <v>0</v>
      </c>
      <c r="Q24" s="7">
        <f t="shared" si="10"/>
        <v>0.01011407552</v>
      </c>
      <c r="R24" s="7">
        <f t="shared" si="3"/>
        <v>0.9524555335</v>
      </c>
      <c r="S24" s="7">
        <f t="shared" si="4"/>
        <v>0.1004987562</v>
      </c>
      <c r="T24" s="7">
        <f t="shared" si="5"/>
        <v>0</v>
      </c>
      <c r="U24" s="7">
        <f t="shared" si="6"/>
        <v>0</v>
      </c>
      <c r="V24" s="7">
        <f t="shared" ref="V24:W24" si="51">IF(AVERAGE(T2:T23) &gt; 0.25, 1, 0)</f>
        <v>0</v>
      </c>
      <c r="W24" s="7">
        <f t="shared" si="51"/>
        <v>0</v>
      </c>
      <c r="X24" s="8">
        <v>0.0</v>
      </c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ht="22.5" customHeight="1">
      <c r="A25" s="6">
        <v>624.0</v>
      </c>
      <c r="B25" s="6">
        <v>5135.0</v>
      </c>
      <c r="C25" s="6">
        <v>1.23</v>
      </c>
      <c r="D25" s="6">
        <v>-0.2</v>
      </c>
      <c r="E25" s="6">
        <v>10.67</v>
      </c>
      <c r="F25" s="6">
        <v>-0.1</v>
      </c>
      <c r="G25" s="6">
        <v>0.0</v>
      </c>
      <c r="H25" s="6">
        <v>-0.01</v>
      </c>
      <c r="I25" s="6">
        <v>33.19</v>
      </c>
      <c r="J25" s="7">
        <f t="shared" ref="J25:O25" si="52">abs(C25-C24)/200</f>
        <v>0</v>
      </c>
      <c r="K25" s="7">
        <f t="shared" si="52"/>
        <v>0</v>
      </c>
      <c r="L25" s="7">
        <f t="shared" si="52"/>
        <v>0.00005</v>
      </c>
      <c r="M25" s="7">
        <f t="shared" si="52"/>
        <v>0</v>
      </c>
      <c r="N25" s="7">
        <f t="shared" si="52"/>
        <v>0</v>
      </c>
      <c r="O25" s="7">
        <f t="shared" si="52"/>
        <v>0</v>
      </c>
      <c r="P25" s="7">
        <f t="shared" si="9"/>
        <v>0</v>
      </c>
      <c r="Q25" s="7">
        <f t="shared" si="10"/>
        <v>0.00993255238</v>
      </c>
      <c r="R25" s="7">
        <f t="shared" si="3"/>
        <v>0.9425229811</v>
      </c>
      <c r="S25" s="7">
        <f t="shared" si="4"/>
        <v>0.1004987562</v>
      </c>
      <c r="T25" s="7">
        <f t="shared" si="5"/>
        <v>0</v>
      </c>
      <c r="U25" s="7">
        <f t="shared" si="6"/>
        <v>0</v>
      </c>
      <c r="V25" s="7">
        <f t="shared" ref="V25:W25" si="53">IF(AVERAGE(T2:T24) &gt; 0.25, 1, 0)</f>
        <v>0</v>
      </c>
      <c r="W25" s="7">
        <f t="shared" si="53"/>
        <v>0</v>
      </c>
      <c r="X25" s="8">
        <v>0.0</v>
      </c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ht="22.5" customHeight="1">
      <c r="A26" s="6">
        <v>625.0</v>
      </c>
      <c r="B26" s="6">
        <v>5339.0</v>
      </c>
      <c r="C26" s="6">
        <v>1.23</v>
      </c>
      <c r="D26" s="6">
        <v>-0.2</v>
      </c>
      <c r="E26" s="6">
        <v>10.69</v>
      </c>
      <c r="F26" s="6">
        <v>-0.1</v>
      </c>
      <c r="G26" s="6">
        <v>0.0</v>
      </c>
      <c r="H26" s="6">
        <v>-0.01</v>
      </c>
      <c r="I26" s="6">
        <v>33.18</v>
      </c>
      <c r="J26" s="7">
        <f t="shared" ref="J26:O26" si="54">abs(C26-C25)/200</f>
        <v>0</v>
      </c>
      <c r="K26" s="7">
        <f t="shared" si="54"/>
        <v>0</v>
      </c>
      <c r="L26" s="7">
        <f t="shared" si="54"/>
        <v>0.0001</v>
      </c>
      <c r="M26" s="7">
        <f t="shared" si="54"/>
        <v>0</v>
      </c>
      <c r="N26" s="7">
        <f t="shared" si="54"/>
        <v>0</v>
      </c>
      <c r="O26" s="7">
        <f t="shared" si="54"/>
        <v>0</v>
      </c>
      <c r="P26" s="7">
        <f t="shared" si="9"/>
        <v>0</v>
      </c>
      <c r="Q26" s="7">
        <f t="shared" si="10"/>
        <v>0.01986522968</v>
      </c>
      <c r="R26" s="7">
        <f t="shared" si="3"/>
        <v>0.9623882108</v>
      </c>
      <c r="S26" s="7">
        <f t="shared" si="4"/>
        <v>0.1004987562</v>
      </c>
      <c r="T26" s="7">
        <f t="shared" si="5"/>
        <v>0</v>
      </c>
      <c r="U26" s="7">
        <f t="shared" si="6"/>
        <v>0</v>
      </c>
      <c r="V26" s="7">
        <f t="shared" ref="V26:W26" si="55">IF(AVERAGE(T2:T25) &gt; 0.25, 1, 0)</f>
        <v>0</v>
      </c>
      <c r="W26" s="7">
        <f t="shared" si="55"/>
        <v>0</v>
      </c>
      <c r="X26" s="8">
        <v>0.0</v>
      </c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ht="22.5" customHeight="1">
      <c r="A27" s="6">
        <v>626.0</v>
      </c>
      <c r="B27" s="6">
        <v>5543.0</v>
      </c>
      <c r="C27" s="6">
        <v>1.23</v>
      </c>
      <c r="D27" s="6">
        <v>-0.2</v>
      </c>
      <c r="E27" s="6">
        <v>10.68</v>
      </c>
      <c r="F27" s="6">
        <v>-0.1</v>
      </c>
      <c r="G27" s="6">
        <v>0.0</v>
      </c>
      <c r="H27" s="6">
        <v>-0.01</v>
      </c>
      <c r="I27" s="6">
        <v>33.18</v>
      </c>
      <c r="J27" s="7">
        <f t="shared" ref="J27:O27" si="56">abs(C27-C26)/200</f>
        <v>0</v>
      </c>
      <c r="K27" s="7">
        <f t="shared" si="56"/>
        <v>0</v>
      </c>
      <c r="L27" s="7">
        <f t="shared" si="56"/>
        <v>0.00005</v>
      </c>
      <c r="M27" s="7">
        <f t="shared" si="56"/>
        <v>0</v>
      </c>
      <c r="N27" s="7">
        <f t="shared" si="56"/>
        <v>0</v>
      </c>
      <c r="O27" s="7">
        <f t="shared" si="56"/>
        <v>0</v>
      </c>
      <c r="P27" s="7">
        <f t="shared" si="9"/>
        <v>0</v>
      </c>
      <c r="Q27" s="7">
        <f t="shared" si="10"/>
        <v>0.009932677297</v>
      </c>
      <c r="R27" s="7">
        <f t="shared" si="3"/>
        <v>0.9524555335</v>
      </c>
      <c r="S27" s="7">
        <f t="shared" si="4"/>
        <v>0.1004987562</v>
      </c>
      <c r="T27" s="7">
        <f t="shared" si="5"/>
        <v>0</v>
      </c>
      <c r="U27" s="7">
        <f t="shared" si="6"/>
        <v>0</v>
      </c>
      <c r="V27" s="7">
        <f t="shared" ref="V27:W27" si="57">IF(AVERAGE(T2:T26) &gt; 0.25, 1, 0)</f>
        <v>0</v>
      </c>
      <c r="W27" s="7">
        <f t="shared" si="57"/>
        <v>0</v>
      </c>
      <c r="X27" s="8">
        <v>0.0</v>
      </c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ht="22.5" customHeight="1">
      <c r="A28" s="6">
        <v>627.0</v>
      </c>
      <c r="B28" s="6">
        <v>5747.0</v>
      </c>
      <c r="C28" s="6">
        <v>1.23</v>
      </c>
      <c r="D28" s="6">
        <v>-0.2</v>
      </c>
      <c r="E28" s="6">
        <v>10.68</v>
      </c>
      <c r="F28" s="6">
        <v>-0.1</v>
      </c>
      <c r="G28" s="6">
        <v>0.0</v>
      </c>
      <c r="H28" s="6">
        <v>-0.01</v>
      </c>
      <c r="I28" s="6">
        <v>33.19</v>
      </c>
      <c r="J28" s="7">
        <f t="shared" ref="J28:O28" si="58">abs(C28-C27)/200</f>
        <v>0</v>
      </c>
      <c r="K28" s="7">
        <f t="shared" si="58"/>
        <v>0</v>
      </c>
      <c r="L28" s="7">
        <f t="shared" si="58"/>
        <v>0</v>
      </c>
      <c r="M28" s="7">
        <f t="shared" si="58"/>
        <v>0</v>
      </c>
      <c r="N28" s="7">
        <f t="shared" si="58"/>
        <v>0</v>
      </c>
      <c r="O28" s="7">
        <f t="shared" si="58"/>
        <v>0</v>
      </c>
      <c r="P28" s="7">
        <f t="shared" si="9"/>
        <v>0</v>
      </c>
      <c r="Q28" s="7">
        <f t="shared" si="10"/>
        <v>0</v>
      </c>
      <c r="R28" s="7">
        <f t="shared" si="3"/>
        <v>0.9524555335</v>
      </c>
      <c r="S28" s="7">
        <f t="shared" si="4"/>
        <v>0.1004987562</v>
      </c>
      <c r="T28" s="7">
        <f t="shared" si="5"/>
        <v>0</v>
      </c>
      <c r="U28" s="7">
        <f t="shared" si="6"/>
        <v>0</v>
      </c>
      <c r="V28" s="7">
        <f t="shared" ref="V28:W28" si="59">IF(AVERAGE(T2:T27) &gt; 0.25, 1, 0)</f>
        <v>0</v>
      </c>
      <c r="W28" s="7">
        <f t="shared" si="59"/>
        <v>0</v>
      </c>
      <c r="X28" s="8">
        <v>0.0</v>
      </c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ht="22.5" customHeight="1">
      <c r="A29" s="6">
        <v>628.0</v>
      </c>
      <c r="B29" s="6">
        <v>5951.0</v>
      </c>
      <c r="C29" s="6">
        <v>1.23</v>
      </c>
      <c r="D29" s="6">
        <v>-0.21</v>
      </c>
      <c r="E29" s="6">
        <v>10.68</v>
      </c>
      <c r="F29" s="6">
        <v>-0.1</v>
      </c>
      <c r="G29" s="6">
        <v>0.0</v>
      </c>
      <c r="H29" s="6">
        <v>-0.01</v>
      </c>
      <c r="I29" s="6">
        <v>33.19</v>
      </c>
      <c r="J29" s="7">
        <f t="shared" ref="J29:O29" si="60">abs(C29-C28)/200</f>
        <v>0</v>
      </c>
      <c r="K29" s="7">
        <f t="shared" si="60"/>
        <v>0.00005</v>
      </c>
      <c r="L29" s="7">
        <f t="shared" si="60"/>
        <v>0</v>
      </c>
      <c r="M29" s="7">
        <f t="shared" si="60"/>
        <v>0</v>
      </c>
      <c r="N29" s="7">
        <f t="shared" si="60"/>
        <v>0</v>
      </c>
      <c r="O29" s="7">
        <f t="shared" si="60"/>
        <v>0</v>
      </c>
      <c r="P29" s="7">
        <f t="shared" si="9"/>
        <v>0</v>
      </c>
      <c r="Q29" s="7">
        <f t="shared" si="10"/>
        <v>0.0001906524346</v>
      </c>
      <c r="R29" s="7">
        <f t="shared" si="3"/>
        <v>0.9526461859</v>
      </c>
      <c r="S29" s="7">
        <f t="shared" si="4"/>
        <v>0.1004987562</v>
      </c>
      <c r="T29" s="7">
        <f t="shared" si="5"/>
        <v>0</v>
      </c>
      <c r="U29" s="7">
        <f t="shared" si="6"/>
        <v>0</v>
      </c>
      <c r="V29" s="7">
        <f t="shared" ref="V29:W29" si="61">IF(AVERAGE(T2:T28) &gt; 0.25, 1, 0)</f>
        <v>0</v>
      </c>
      <c r="W29" s="7">
        <f t="shared" si="61"/>
        <v>0</v>
      </c>
      <c r="X29" s="8">
        <v>0.0</v>
      </c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ht="22.5" customHeight="1">
      <c r="A30" s="6">
        <v>629.0</v>
      </c>
      <c r="B30" s="6">
        <v>6155.0</v>
      </c>
      <c r="C30" s="6">
        <v>1.22</v>
      </c>
      <c r="D30" s="6">
        <v>-0.2</v>
      </c>
      <c r="E30" s="6">
        <v>10.68</v>
      </c>
      <c r="F30" s="6">
        <v>-0.1</v>
      </c>
      <c r="G30" s="6">
        <v>0.0</v>
      </c>
      <c r="H30" s="6">
        <v>-0.01</v>
      </c>
      <c r="I30" s="6">
        <v>33.19</v>
      </c>
      <c r="J30" s="7">
        <f t="shared" ref="J30:O30" si="62">abs(C30-C29)/200</f>
        <v>0.00005</v>
      </c>
      <c r="K30" s="7">
        <f t="shared" si="62"/>
        <v>0.00005</v>
      </c>
      <c r="L30" s="7">
        <f t="shared" si="62"/>
        <v>0</v>
      </c>
      <c r="M30" s="7">
        <f t="shared" si="62"/>
        <v>0</v>
      </c>
      <c r="N30" s="7">
        <f t="shared" si="62"/>
        <v>0</v>
      </c>
      <c r="O30" s="7">
        <f t="shared" si="62"/>
        <v>0</v>
      </c>
      <c r="P30" s="7">
        <f t="shared" si="9"/>
        <v>0</v>
      </c>
      <c r="Q30" s="7">
        <f t="shared" si="10"/>
        <v>0.001329987446</v>
      </c>
      <c r="R30" s="7">
        <f t="shared" si="3"/>
        <v>0.9513161985</v>
      </c>
      <c r="S30" s="7">
        <f t="shared" si="4"/>
        <v>0.1004987562</v>
      </c>
      <c r="T30" s="7">
        <f t="shared" si="5"/>
        <v>0</v>
      </c>
      <c r="U30" s="7">
        <f t="shared" si="6"/>
        <v>0</v>
      </c>
      <c r="V30" s="7">
        <f t="shared" ref="V30:W30" si="63">IF(AVERAGE(T2:T29) &gt; 0.25, 1, 0)</f>
        <v>0</v>
      </c>
      <c r="W30" s="7">
        <f t="shared" si="63"/>
        <v>0</v>
      </c>
      <c r="X30" s="8">
        <v>0.0</v>
      </c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ht="22.5" customHeight="1">
      <c r="A31" s="6">
        <v>630.0</v>
      </c>
      <c r="B31" s="6">
        <v>6359.0</v>
      </c>
      <c r="C31" s="6">
        <v>1.24</v>
      </c>
      <c r="D31" s="6">
        <v>-0.2</v>
      </c>
      <c r="E31" s="6">
        <v>10.68</v>
      </c>
      <c r="F31" s="6">
        <v>-0.1</v>
      </c>
      <c r="G31" s="6">
        <v>0.0</v>
      </c>
      <c r="H31" s="6">
        <v>-0.01</v>
      </c>
      <c r="I31" s="6">
        <v>33.18</v>
      </c>
      <c r="J31" s="7">
        <f t="shared" ref="J31:O31" si="64">abs(C31-C30)/200</f>
        <v>0.0001</v>
      </c>
      <c r="K31" s="7">
        <f t="shared" si="64"/>
        <v>0</v>
      </c>
      <c r="L31" s="7">
        <f t="shared" si="64"/>
        <v>0</v>
      </c>
      <c r="M31" s="7">
        <f t="shared" si="64"/>
        <v>0</v>
      </c>
      <c r="N31" s="7">
        <f t="shared" si="64"/>
        <v>0</v>
      </c>
      <c r="O31" s="7">
        <f t="shared" si="64"/>
        <v>0</v>
      </c>
      <c r="P31" s="7">
        <f t="shared" si="9"/>
        <v>0</v>
      </c>
      <c r="Q31" s="7">
        <f t="shared" si="10"/>
        <v>0.002287848522</v>
      </c>
      <c r="R31" s="7">
        <f t="shared" si="3"/>
        <v>0.953604047</v>
      </c>
      <c r="S31" s="7">
        <f t="shared" si="4"/>
        <v>0.1004987562</v>
      </c>
      <c r="T31" s="7">
        <f t="shared" si="5"/>
        <v>0</v>
      </c>
      <c r="U31" s="7">
        <f t="shared" si="6"/>
        <v>0</v>
      </c>
      <c r="V31" s="7">
        <f t="shared" ref="V31:W31" si="65">IF(AVERAGE(T2:T30) &gt; 0.25, 1, 0)</f>
        <v>0</v>
      </c>
      <c r="W31" s="7">
        <f t="shared" si="65"/>
        <v>0</v>
      </c>
      <c r="X31" s="8">
        <v>0.0</v>
      </c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ht="22.5" customHeight="1">
      <c r="A32" s="6">
        <v>631.0</v>
      </c>
      <c r="B32" s="6">
        <v>6563.0</v>
      </c>
      <c r="C32" s="6">
        <v>1.24</v>
      </c>
      <c r="D32" s="6">
        <v>-0.21</v>
      </c>
      <c r="E32" s="6">
        <v>10.69</v>
      </c>
      <c r="F32" s="6">
        <v>-0.1</v>
      </c>
      <c r="G32" s="6">
        <v>0.0</v>
      </c>
      <c r="H32" s="6">
        <v>-0.01</v>
      </c>
      <c r="I32" s="6">
        <v>33.19</v>
      </c>
      <c r="J32" s="7">
        <f t="shared" ref="J32:O32" si="66">abs(C32-C31)/200</f>
        <v>0</v>
      </c>
      <c r="K32" s="7">
        <f t="shared" si="66"/>
        <v>0.00005</v>
      </c>
      <c r="L32" s="7">
        <f t="shared" si="66"/>
        <v>0.00005</v>
      </c>
      <c r="M32" s="7">
        <f t="shared" si="66"/>
        <v>0</v>
      </c>
      <c r="N32" s="7">
        <f t="shared" si="66"/>
        <v>0</v>
      </c>
      <c r="O32" s="7">
        <f t="shared" si="66"/>
        <v>0</v>
      </c>
      <c r="P32" s="7">
        <f t="shared" si="9"/>
        <v>0</v>
      </c>
      <c r="Q32" s="7">
        <f t="shared" si="10"/>
        <v>0.01012207362</v>
      </c>
      <c r="R32" s="7">
        <f t="shared" si="3"/>
        <v>0.9637261206</v>
      </c>
      <c r="S32" s="7">
        <f t="shared" si="4"/>
        <v>0.1004987562</v>
      </c>
      <c r="T32" s="7">
        <f t="shared" si="5"/>
        <v>0</v>
      </c>
      <c r="U32" s="7">
        <f t="shared" si="6"/>
        <v>0</v>
      </c>
      <c r="V32" s="7">
        <f t="shared" ref="V32:W32" si="67">IF(AVERAGE(T2:T31) &gt; 0.25, 1, 0)</f>
        <v>0</v>
      </c>
      <c r="W32" s="7">
        <f t="shared" si="67"/>
        <v>0</v>
      </c>
      <c r="X32" s="8">
        <v>0.0</v>
      </c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ht="22.5" customHeight="1">
      <c r="A33" s="6">
        <v>632.0</v>
      </c>
      <c r="B33" s="6">
        <v>6767.0</v>
      </c>
      <c r="C33" s="6">
        <v>1.24</v>
      </c>
      <c r="D33" s="6">
        <v>-0.2</v>
      </c>
      <c r="E33" s="6">
        <v>10.69</v>
      </c>
      <c r="F33" s="6">
        <v>-0.1</v>
      </c>
      <c r="G33" s="6">
        <v>0.0</v>
      </c>
      <c r="H33" s="6">
        <v>-0.01</v>
      </c>
      <c r="I33" s="6">
        <v>33.19</v>
      </c>
      <c r="J33" s="7">
        <f t="shared" ref="J33:O33" si="68">abs(C33-C32)/200</f>
        <v>0</v>
      </c>
      <c r="K33" s="7">
        <f t="shared" si="68"/>
        <v>0.00005</v>
      </c>
      <c r="L33" s="7">
        <f t="shared" si="68"/>
        <v>0</v>
      </c>
      <c r="M33" s="7">
        <f t="shared" si="68"/>
        <v>0</v>
      </c>
      <c r="N33" s="7">
        <f t="shared" si="68"/>
        <v>0</v>
      </c>
      <c r="O33" s="7">
        <f t="shared" si="68"/>
        <v>0</v>
      </c>
      <c r="P33" s="7">
        <f t="shared" si="9"/>
        <v>0</v>
      </c>
      <c r="Q33" s="7">
        <f t="shared" si="10"/>
        <v>0.0001904561779</v>
      </c>
      <c r="R33" s="7">
        <f t="shared" si="3"/>
        <v>0.9635356645</v>
      </c>
      <c r="S33" s="7">
        <f t="shared" si="4"/>
        <v>0.1004987562</v>
      </c>
      <c r="T33" s="7">
        <f t="shared" si="5"/>
        <v>0</v>
      </c>
      <c r="U33" s="7">
        <f t="shared" si="6"/>
        <v>0</v>
      </c>
      <c r="V33" s="7">
        <f t="shared" ref="V33:W33" si="69">IF(AVERAGE(T2:T32) &gt; 0.25, 1, 0)</f>
        <v>0</v>
      </c>
      <c r="W33" s="7">
        <f t="shared" si="69"/>
        <v>0</v>
      </c>
      <c r="X33" s="8">
        <v>0.0</v>
      </c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ht="22.5" customHeight="1">
      <c r="A34" s="6">
        <v>633.0</v>
      </c>
      <c r="B34" s="6">
        <v>6971.0</v>
      </c>
      <c r="C34" s="6">
        <v>1.24</v>
      </c>
      <c r="D34" s="6">
        <v>-0.2</v>
      </c>
      <c r="E34" s="6">
        <v>10.69</v>
      </c>
      <c r="F34" s="6">
        <v>-0.1</v>
      </c>
      <c r="G34" s="6">
        <v>0.0</v>
      </c>
      <c r="H34" s="6">
        <v>-0.01</v>
      </c>
      <c r="I34" s="6">
        <v>33.18</v>
      </c>
      <c r="J34" s="7">
        <f t="shared" ref="J34:O34" si="70">abs(C34-C33)/200</f>
        <v>0</v>
      </c>
      <c r="K34" s="7">
        <f t="shared" si="70"/>
        <v>0</v>
      </c>
      <c r="L34" s="7">
        <f t="shared" si="70"/>
        <v>0</v>
      </c>
      <c r="M34" s="7">
        <f t="shared" si="70"/>
        <v>0</v>
      </c>
      <c r="N34" s="7">
        <f t="shared" si="70"/>
        <v>0</v>
      </c>
      <c r="O34" s="7">
        <f t="shared" si="70"/>
        <v>0</v>
      </c>
      <c r="P34" s="7">
        <f t="shared" si="9"/>
        <v>0</v>
      </c>
      <c r="Q34" s="7">
        <f t="shared" si="10"/>
        <v>0</v>
      </c>
      <c r="R34" s="7">
        <f t="shared" si="3"/>
        <v>0.9635356645</v>
      </c>
      <c r="S34" s="7">
        <f t="shared" si="4"/>
        <v>0.1004987562</v>
      </c>
      <c r="T34" s="7">
        <f t="shared" si="5"/>
        <v>0</v>
      </c>
      <c r="U34" s="7">
        <f t="shared" si="6"/>
        <v>0</v>
      </c>
      <c r="V34" s="7">
        <f t="shared" ref="V34:W34" si="71">IF(AVERAGE(T2:T33) &gt; 0.25, 1, 0)</f>
        <v>0</v>
      </c>
      <c r="W34" s="7">
        <f t="shared" si="71"/>
        <v>0</v>
      </c>
      <c r="X34" s="8">
        <v>0.0</v>
      </c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ht="22.5" customHeight="1">
      <c r="A35" s="6">
        <v>634.0</v>
      </c>
      <c r="B35" s="6">
        <v>7175.0</v>
      </c>
      <c r="C35" s="6">
        <v>1.23</v>
      </c>
      <c r="D35" s="6">
        <v>-0.2</v>
      </c>
      <c r="E35" s="6">
        <v>10.69</v>
      </c>
      <c r="F35" s="6">
        <v>-0.1</v>
      </c>
      <c r="G35" s="6">
        <v>0.0</v>
      </c>
      <c r="H35" s="6">
        <v>-0.01</v>
      </c>
      <c r="I35" s="6">
        <v>33.18</v>
      </c>
      <c r="J35" s="7">
        <f t="shared" ref="J35:O35" si="72">abs(C35-C34)/200</f>
        <v>0.00005</v>
      </c>
      <c r="K35" s="7">
        <f t="shared" si="72"/>
        <v>0</v>
      </c>
      <c r="L35" s="7">
        <f t="shared" si="72"/>
        <v>0</v>
      </c>
      <c r="M35" s="7">
        <f t="shared" si="72"/>
        <v>0</v>
      </c>
      <c r="N35" s="7">
        <f t="shared" si="72"/>
        <v>0</v>
      </c>
      <c r="O35" s="7">
        <f t="shared" si="72"/>
        <v>0</v>
      </c>
      <c r="P35" s="7">
        <f t="shared" si="9"/>
        <v>0</v>
      </c>
      <c r="Q35" s="7">
        <f t="shared" si="10"/>
        <v>0.001147453654</v>
      </c>
      <c r="R35" s="7">
        <f t="shared" si="3"/>
        <v>0.9623882108</v>
      </c>
      <c r="S35" s="7">
        <f t="shared" si="4"/>
        <v>0.1004987562</v>
      </c>
      <c r="T35" s="7">
        <f t="shared" si="5"/>
        <v>0</v>
      </c>
      <c r="U35" s="7">
        <f t="shared" si="6"/>
        <v>0</v>
      </c>
      <c r="V35" s="7">
        <f t="shared" ref="V35:W35" si="73">IF(AVERAGE(T2:T34) &gt; 0.25, 1, 0)</f>
        <v>0</v>
      </c>
      <c r="W35" s="7">
        <f t="shared" si="73"/>
        <v>0</v>
      </c>
      <c r="X35" s="8">
        <v>0.0</v>
      </c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22.5" customHeight="1">
      <c r="A36" s="6">
        <v>635.0</v>
      </c>
      <c r="B36" s="6">
        <v>7379.0</v>
      </c>
      <c r="C36" s="6">
        <v>1.24</v>
      </c>
      <c r="D36" s="6">
        <v>-0.2</v>
      </c>
      <c r="E36" s="6">
        <v>10.69</v>
      </c>
      <c r="F36" s="6">
        <v>-0.1</v>
      </c>
      <c r="G36" s="6">
        <v>0.0</v>
      </c>
      <c r="H36" s="6">
        <v>-0.01</v>
      </c>
      <c r="I36" s="6">
        <v>33.19</v>
      </c>
      <c r="J36" s="7">
        <f t="shared" ref="J36:O36" si="74">abs(C36-C35)/200</f>
        <v>0.00005</v>
      </c>
      <c r="K36" s="7">
        <f t="shared" si="74"/>
        <v>0</v>
      </c>
      <c r="L36" s="7">
        <f t="shared" si="74"/>
        <v>0</v>
      </c>
      <c r="M36" s="7">
        <f t="shared" si="74"/>
        <v>0</v>
      </c>
      <c r="N36" s="7">
        <f t="shared" si="74"/>
        <v>0</v>
      </c>
      <c r="O36" s="7">
        <f t="shared" si="74"/>
        <v>0</v>
      </c>
      <c r="P36" s="7">
        <f t="shared" si="9"/>
        <v>0</v>
      </c>
      <c r="Q36" s="7">
        <f t="shared" si="10"/>
        <v>0.001147453654</v>
      </c>
      <c r="R36" s="7">
        <f t="shared" si="3"/>
        <v>0.9635356645</v>
      </c>
      <c r="S36" s="7">
        <f t="shared" si="4"/>
        <v>0.1004987562</v>
      </c>
      <c r="T36" s="7">
        <f t="shared" si="5"/>
        <v>0</v>
      </c>
      <c r="U36" s="7">
        <f t="shared" si="6"/>
        <v>0</v>
      </c>
      <c r="V36" s="7">
        <f t="shared" ref="V36:W36" si="75">IF(AVERAGE(T2:T35) &gt; 0.25, 1, 0)</f>
        <v>0</v>
      </c>
      <c r="W36" s="7">
        <f t="shared" si="75"/>
        <v>0</v>
      </c>
      <c r="X36" s="8">
        <v>0.0</v>
      </c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22.5" customHeight="1">
      <c r="A37" s="6">
        <v>636.0</v>
      </c>
      <c r="B37" s="6">
        <v>7583.0</v>
      </c>
      <c r="C37" s="6">
        <v>1.23</v>
      </c>
      <c r="D37" s="6">
        <v>-0.2</v>
      </c>
      <c r="E37" s="6">
        <v>10.69</v>
      </c>
      <c r="F37" s="6">
        <v>-0.1</v>
      </c>
      <c r="G37" s="6">
        <v>0.0</v>
      </c>
      <c r="H37" s="6">
        <v>-0.01</v>
      </c>
      <c r="I37" s="6">
        <v>33.19</v>
      </c>
      <c r="J37" s="7">
        <f t="shared" ref="J37:O37" si="76">abs(C37-C36)/200</f>
        <v>0.00005</v>
      </c>
      <c r="K37" s="7">
        <f t="shared" si="76"/>
        <v>0</v>
      </c>
      <c r="L37" s="7">
        <f t="shared" si="76"/>
        <v>0</v>
      </c>
      <c r="M37" s="7">
        <f t="shared" si="76"/>
        <v>0</v>
      </c>
      <c r="N37" s="7">
        <f t="shared" si="76"/>
        <v>0</v>
      </c>
      <c r="O37" s="7">
        <f t="shared" si="76"/>
        <v>0</v>
      </c>
      <c r="P37" s="7">
        <f t="shared" si="9"/>
        <v>0</v>
      </c>
      <c r="Q37" s="7">
        <f t="shared" si="10"/>
        <v>0.001147453654</v>
      </c>
      <c r="R37" s="7">
        <f t="shared" si="3"/>
        <v>0.9623882108</v>
      </c>
      <c r="S37" s="7">
        <f t="shared" si="4"/>
        <v>0.1004987562</v>
      </c>
      <c r="T37" s="7">
        <f t="shared" si="5"/>
        <v>0</v>
      </c>
      <c r="U37" s="7">
        <f t="shared" si="6"/>
        <v>0</v>
      </c>
      <c r="V37" s="7">
        <f t="shared" ref="V37:W37" si="77">IF(AVERAGE(T2:T36) &gt; 0.25, 1, 0)</f>
        <v>0</v>
      </c>
      <c r="W37" s="7">
        <f t="shared" si="77"/>
        <v>0</v>
      </c>
      <c r="X37" s="8">
        <v>0.0</v>
      </c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22.5" customHeight="1">
      <c r="A38" s="6">
        <v>637.0</v>
      </c>
      <c r="B38" s="6">
        <v>7787.0</v>
      </c>
      <c r="C38" s="6">
        <v>1.24</v>
      </c>
      <c r="D38" s="6">
        <v>-0.2</v>
      </c>
      <c r="E38" s="6">
        <v>10.68</v>
      </c>
      <c r="F38" s="6">
        <v>-0.1</v>
      </c>
      <c r="G38" s="6">
        <v>0.0</v>
      </c>
      <c r="H38" s="6">
        <v>-0.01</v>
      </c>
      <c r="I38" s="6">
        <v>33.19</v>
      </c>
      <c r="J38" s="7">
        <f t="shared" ref="J38:O38" si="78">abs(C38-C37)/200</f>
        <v>0.00005</v>
      </c>
      <c r="K38" s="7">
        <f t="shared" si="78"/>
        <v>0</v>
      </c>
      <c r="L38" s="7">
        <f t="shared" si="78"/>
        <v>0.00005</v>
      </c>
      <c r="M38" s="7">
        <f t="shared" si="78"/>
        <v>0</v>
      </c>
      <c r="N38" s="7">
        <f t="shared" si="78"/>
        <v>0</v>
      </c>
      <c r="O38" s="7">
        <f t="shared" si="78"/>
        <v>0</v>
      </c>
      <c r="P38" s="7">
        <f t="shared" si="9"/>
        <v>0</v>
      </c>
      <c r="Q38" s="7">
        <f t="shared" si="10"/>
        <v>0.008784163785</v>
      </c>
      <c r="R38" s="7">
        <f t="shared" si="3"/>
        <v>0.953604047</v>
      </c>
      <c r="S38" s="7">
        <f t="shared" si="4"/>
        <v>0.1004987562</v>
      </c>
      <c r="T38" s="7">
        <f t="shared" si="5"/>
        <v>0</v>
      </c>
      <c r="U38" s="7">
        <f t="shared" si="6"/>
        <v>0</v>
      </c>
      <c r="V38" s="7">
        <f t="shared" ref="V38:W38" si="79">IF(AVERAGE(T2:T37) &gt; 0.25, 1, 0)</f>
        <v>0</v>
      </c>
      <c r="W38" s="7">
        <f t="shared" si="79"/>
        <v>0</v>
      </c>
      <c r="X38" s="8">
        <v>0.0</v>
      </c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22.5" customHeight="1">
      <c r="A39" s="6">
        <v>638.0</v>
      </c>
      <c r="B39" s="6">
        <v>7991.0</v>
      </c>
      <c r="C39" s="6">
        <v>1.23</v>
      </c>
      <c r="D39" s="6">
        <v>-0.2</v>
      </c>
      <c r="E39" s="6">
        <v>10.69</v>
      </c>
      <c r="F39" s="6">
        <v>-0.1</v>
      </c>
      <c r="G39" s="6">
        <v>0.0</v>
      </c>
      <c r="H39" s="6">
        <v>-0.01</v>
      </c>
      <c r="I39" s="6">
        <v>33.18</v>
      </c>
      <c r="J39" s="7">
        <f t="shared" ref="J39:O39" si="80">abs(C39-C38)/200</f>
        <v>0.00005</v>
      </c>
      <c r="K39" s="7">
        <f t="shared" si="80"/>
        <v>0</v>
      </c>
      <c r="L39" s="7">
        <f t="shared" si="80"/>
        <v>0.00005</v>
      </c>
      <c r="M39" s="7">
        <f t="shared" si="80"/>
        <v>0</v>
      </c>
      <c r="N39" s="7">
        <f t="shared" si="80"/>
        <v>0</v>
      </c>
      <c r="O39" s="7">
        <f t="shared" si="80"/>
        <v>0</v>
      </c>
      <c r="P39" s="7">
        <f t="shared" si="9"/>
        <v>0</v>
      </c>
      <c r="Q39" s="7">
        <f t="shared" si="10"/>
        <v>0.008784163785</v>
      </c>
      <c r="R39" s="7">
        <f t="shared" si="3"/>
        <v>0.9623882108</v>
      </c>
      <c r="S39" s="7">
        <f t="shared" si="4"/>
        <v>0.1004987562</v>
      </c>
      <c r="T39" s="7">
        <f t="shared" si="5"/>
        <v>0</v>
      </c>
      <c r="U39" s="7">
        <f t="shared" si="6"/>
        <v>0</v>
      </c>
      <c r="V39" s="7">
        <f t="shared" ref="V39:W39" si="81">IF(AVERAGE(T2:T38) &gt; 0.25, 1, 0)</f>
        <v>0</v>
      </c>
      <c r="W39" s="7">
        <f t="shared" si="81"/>
        <v>0</v>
      </c>
      <c r="X39" s="8">
        <v>0.0</v>
      </c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22.5" customHeight="1">
      <c r="A40" s="6">
        <v>639.0</v>
      </c>
      <c r="B40" s="6">
        <v>8195.0</v>
      </c>
      <c r="C40" s="6">
        <v>1.23</v>
      </c>
      <c r="D40" s="6">
        <v>-0.2</v>
      </c>
      <c r="E40" s="6">
        <v>10.68</v>
      </c>
      <c r="F40" s="6">
        <v>-0.1</v>
      </c>
      <c r="G40" s="6">
        <v>0.0</v>
      </c>
      <c r="H40" s="6">
        <v>-0.01</v>
      </c>
      <c r="I40" s="6">
        <v>33.18</v>
      </c>
      <c r="J40" s="7">
        <f t="shared" ref="J40:O40" si="82">abs(C40-C39)/200</f>
        <v>0</v>
      </c>
      <c r="K40" s="7">
        <f t="shared" si="82"/>
        <v>0</v>
      </c>
      <c r="L40" s="7">
        <f t="shared" si="82"/>
        <v>0.00005</v>
      </c>
      <c r="M40" s="7">
        <f t="shared" si="82"/>
        <v>0</v>
      </c>
      <c r="N40" s="7">
        <f t="shared" si="82"/>
        <v>0</v>
      </c>
      <c r="O40" s="7">
        <f t="shared" si="82"/>
        <v>0</v>
      </c>
      <c r="P40" s="7">
        <f t="shared" si="9"/>
        <v>0</v>
      </c>
      <c r="Q40" s="7">
        <f t="shared" si="10"/>
        <v>0.009932677297</v>
      </c>
      <c r="R40" s="7">
        <f t="shared" si="3"/>
        <v>0.9524555335</v>
      </c>
      <c r="S40" s="7">
        <f t="shared" si="4"/>
        <v>0.1004987562</v>
      </c>
      <c r="T40" s="7">
        <f t="shared" si="5"/>
        <v>0</v>
      </c>
      <c r="U40" s="7">
        <f t="shared" si="6"/>
        <v>0</v>
      </c>
      <c r="V40" s="7">
        <f t="shared" ref="V40:W40" si="83">IF(AVERAGE(T2:T39) &gt; 0.25, 1, 0)</f>
        <v>0</v>
      </c>
      <c r="W40" s="7">
        <f t="shared" si="83"/>
        <v>0</v>
      </c>
      <c r="X40" s="8">
        <v>0.0</v>
      </c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22.5" customHeight="1">
      <c r="A41" s="6">
        <v>640.0</v>
      </c>
      <c r="B41" s="6">
        <v>8399.0</v>
      </c>
      <c r="C41" s="6">
        <v>1.23</v>
      </c>
      <c r="D41" s="6">
        <v>-0.2</v>
      </c>
      <c r="E41" s="6">
        <v>10.68</v>
      </c>
      <c r="F41" s="6">
        <v>-0.1</v>
      </c>
      <c r="G41" s="6">
        <v>0.0</v>
      </c>
      <c r="H41" s="6">
        <v>-0.01</v>
      </c>
      <c r="I41" s="6">
        <v>33.18</v>
      </c>
      <c r="J41" s="7">
        <f t="shared" ref="J41:O41" si="84">abs(C41-C40)/200</f>
        <v>0</v>
      </c>
      <c r="K41" s="7">
        <f t="shared" si="84"/>
        <v>0</v>
      </c>
      <c r="L41" s="7">
        <f t="shared" si="84"/>
        <v>0</v>
      </c>
      <c r="M41" s="7">
        <f t="shared" si="84"/>
        <v>0</v>
      </c>
      <c r="N41" s="7">
        <f t="shared" si="84"/>
        <v>0</v>
      </c>
      <c r="O41" s="7">
        <f t="shared" si="84"/>
        <v>0</v>
      </c>
      <c r="P41" s="7">
        <f t="shared" si="9"/>
        <v>0</v>
      </c>
      <c r="Q41" s="7">
        <f t="shared" si="10"/>
        <v>0</v>
      </c>
      <c r="R41" s="7">
        <f t="shared" si="3"/>
        <v>0.9524555335</v>
      </c>
      <c r="S41" s="7">
        <f t="shared" si="4"/>
        <v>0.1004987562</v>
      </c>
      <c r="T41" s="7">
        <f t="shared" si="5"/>
        <v>0</v>
      </c>
      <c r="U41" s="7">
        <f t="shared" si="6"/>
        <v>0</v>
      </c>
      <c r="V41" s="7">
        <f t="shared" ref="V41:W41" si="85">IF(AVERAGE(T2:T40) &gt; 0.25, 1, 0)</f>
        <v>0</v>
      </c>
      <c r="W41" s="7">
        <f t="shared" si="85"/>
        <v>0</v>
      </c>
      <c r="X41" s="8">
        <v>0.0</v>
      </c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22.5" customHeight="1">
      <c r="A42" s="6">
        <v>641.0</v>
      </c>
      <c r="B42" s="6">
        <v>8603.0</v>
      </c>
      <c r="C42" s="6">
        <v>1.24</v>
      </c>
      <c r="D42" s="6">
        <v>-0.2</v>
      </c>
      <c r="E42" s="6">
        <v>10.68</v>
      </c>
      <c r="F42" s="6">
        <v>-0.1</v>
      </c>
      <c r="G42" s="6">
        <v>0.0</v>
      </c>
      <c r="H42" s="6">
        <v>-0.01</v>
      </c>
      <c r="I42" s="6">
        <v>33.18</v>
      </c>
      <c r="J42" s="7">
        <f t="shared" ref="J42:O42" si="86">abs(C42-C41)/200</f>
        <v>0.00005</v>
      </c>
      <c r="K42" s="7">
        <f t="shared" si="86"/>
        <v>0</v>
      </c>
      <c r="L42" s="7">
        <f t="shared" si="86"/>
        <v>0</v>
      </c>
      <c r="M42" s="7">
        <f t="shared" si="86"/>
        <v>0</v>
      </c>
      <c r="N42" s="7">
        <f t="shared" si="86"/>
        <v>0</v>
      </c>
      <c r="O42" s="7">
        <f t="shared" si="86"/>
        <v>0</v>
      </c>
      <c r="P42" s="7">
        <f t="shared" si="9"/>
        <v>0</v>
      </c>
      <c r="Q42" s="7">
        <f t="shared" si="10"/>
        <v>0.001148513511</v>
      </c>
      <c r="R42" s="7">
        <f t="shared" si="3"/>
        <v>0.953604047</v>
      </c>
      <c r="S42" s="7">
        <f t="shared" si="4"/>
        <v>0.1004987562</v>
      </c>
      <c r="T42" s="7">
        <f t="shared" si="5"/>
        <v>0</v>
      </c>
      <c r="U42" s="7">
        <f t="shared" si="6"/>
        <v>0</v>
      </c>
      <c r="V42" s="7">
        <f t="shared" ref="V42:W42" si="87">IF(AVERAGE(T2:T41) &gt; 0.25, 1, 0)</f>
        <v>0</v>
      </c>
      <c r="W42" s="7">
        <f t="shared" si="87"/>
        <v>0</v>
      </c>
      <c r="X42" s="8">
        <v>0.0</v>
      </c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22.5" customHeight="1">
      <c r="A43" s="6">
        <v>642.0</v>
      </c>
      <c r="B43" s="6">
        <v>8807.0</v>
      </c>
      <c r="C43" s="6">
        <v>1.23</v>
      </c>
      <c r="D43" s="6">
        <v>-0.21</v>
      </c>
      <c r="E43" s="6">
        <v>10.68</v>
      </c>
      <c r="F43" s="6">
        <v>-0.1</v>
      </c>
      <c r="G43" s="6">
        <v>0.0</v>
      </c>
      <c r="H43" s="6">
        <v>-0.01</v>
      </c>
      <c r="I43" s="6">
        <v>33.19</v>
      </c>
      <c r="J43" s="7">
        <f t="shared" ref="J43:O43" si="88">abs(C43-C42)/200</f>
        <v>0.00005</v>
      </c>
      <c r="K43" s="7">
        <f t="shared" si="88"/>
        <v>0.00005</v>
      </c>
      <c r="L43" s="7">
        <f t="shared" si="88"/>
        <v>0</v>
      </c>
      <c r="M43" s="7">
        <f t="shared" si="88"/>
        <v>0</v>
      </c>
      <c r="N43" s="7">
        <f t="shared" si="88"/>
        <v>0</v>
      </c>
      <c r="O43" s="7">
        <f t="shared" si="88"/>
        <v>0</v>
      </c>
      <c r="P43" s="7">
        <f t="shared" si="9"/>
        <v>0</v>
      </c>
      <c r="Q43" s="7">
        <f t="shared" si="10"/>
        <v>0.0009578610765</v>
      </c>
      <c r="R43" s="7">
        <f t="shared" si="3"/>
        <v>0.9526461859</v>
      </c>
      <c r="S43" s="7">
        <f t="shared" si="4"/>
        <v>0.1004987562</v>
      </c>
      <c r="T43" s="7">
        <f t="shared" si="5"/>
        <v>0</v>
      </c>
      <c r="U43" s="7">
        <f t="shared" si="6"/>
        <v>0</v>
      </c>
      <c r="V43" s="7">
        <f t="shared" ref="V43:W43" si="89">IF(AVERAGE(T2:T42) &gt; 0.25, 1, 0)</f>
        <v>0</v>
      </c>
      <c r="W43" s="7">
        <f t="shared" si="89"/>
        <v>0</v>
      </c>
      <c r="X43" s="8">
        <v>0.0</v>
      </c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22.5" customHeight="1">
      <c r="A44" s="6">
        <v>643.0</v>
      </c>
      <c r="B44" s="6">
        <v>9011.0</v>
      </c>
      <c r="C44" s="6">
        <v>1.24</v>
      </c>
      <c r="D44" s="6">
        <v>-0.2</v>
      </c>
      <c r="E44" s="6">
        <v>10.67</v>
      </c>
      <c r="F44" s="6">
        <v>-0.1</v>
      </c>
      <c r="G44" s="6">
        <v>0.0</v>
      </c>
      <c r="H44" s="6">
        <v>-0.01</v>
      </c>
      <c r="I44" s="6">
        <v>33.19</v>
      </c>
      <c r="J44" s="7">
        <f t="shared" ref="J44:O44" si="90">abs(C44-C43)/200</f>
        <v>0.00005</v>
      </c>
      <c r="K44" s="7">
        <f t="shared" si="90"/>
        <v>0.00005</v>
      </c>
      <c r="L44" s="7">
        <f t="shared" si="90"/>
        <v>0.00005</v>
      </c>
      <c r="M44" s="7">
        <f t="shared" si="90"/>
        <v>0</v>
      </c>
      <c r="N44" s="7">
        <f t="shared" si="90"/>
        <v>0</v>
      </c>
      <c r="O44" s="7">
        <f t="shared" si="90"/>
        <v>0</v>
      </c>
      <c r="P44" s="7">
        <f t="shared" si="9"/>
        <v>0</v>
      </c>
      <c r="Q44" s="7">
        <f t="shared" si="10"/>
        <v>0.0089736295</v>
      </c>
      <c r="R44" s="7">
        <f t="shared" si="3"/>
        <v>0.9436725564</v>
      </c>
      <c r="S44" s="7">
        <f t="shared" si="4"/>
        <v>0.1004987562</v>
      </c>
      <c r="T44" s="7">
        <f t="shared" si="5"/>
        <v>0</v>
      </c>
      <c r="U44" s="7">
        <f t="shared" si="6"/>
        <v>0</v>
      </c>
      <c r="V44" s="7">
        <f t="shared" ref="V44:W44" si="91">IF(AVERAGE(T2:T43) &gt; 0.25, 1, 0)</f>
        <v>0</v>
      </c>
      <c r="W44" s="7">
        <f t="shared" si="91"/>
        <v>0</v>
      </c>
      <c r="X44" s="8">
        <v>0.0</v>
      </c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22.5" customHeight="1">
      <c r="A45" s="6">
        <v>644.0</v>
      </c>
      <c r="B45" s="6">
        <v>9215.0</v>
      </c>
      <c r="C45" s="6">
        <v>1.23</v>
      </c>
      <c r="D45" s="6">
        <v>-0.2</v>
      </c>
      <c r="E45" s="6">
        <v>10.67</v>
      </c>
      <c r="F45" s="6">
        <v>-0.1</v>
      </c>
      <c r="G45" s="6">
        <v>0.0</v>
      </c>
      <c r="H45" s="6">
        <v>-0.01</v>
      </c>
      <c r="I45" s="6">
        <v>33.19</v>
      </c>
      <c r="J45" s="7">
        <f t="shared" ref="J45:O45" si="92">abs(C45-C44)/200</f>
        <v>0.00005</v>
      </c>
      <c r="K45" s="7">
        <f t="shared" si="92"/>
        <v>0</v>
      </c>
      <c r="L45" s="7">
        <f t="shared" si="92"/>
        <v>0</v>
      </c>
      <c r="M45" s="7">
        <f t="shared" si="92"/>
        <v>0</v>
      </c>
      <c r="N45" s="7">
        <f t="shared" si="92"/>
        <v>0</v>
      </c>
      <c r="O45" s="7">
        <f t="shared" si="92"/>
        <v>0</v>
      </c>
      <c r="P45" s="7">
        <f t="shared" si="9"/>
        <v>0</v>
      </c>
      <c r="Q45" s="7">
        <f t="shared" si="10"/>
        <v>0.001149575315</v>
      </c>
      <c r="R45" s="7">
        <f t="shared" si="3"/>
        <v>0.9425229811</v>
      </c>
      <c r="S45" s="7">
        <f t="shared" si="4"/>
        <v>0.1004987562</v>
      </c>
      <c r="T45" s="7">
        <f t="shared" si="5"/>
        <v>0</v>
      </c>
      <c r="U45" s="7">
        <f t="shared" si="6"/>
        <v>0</v>
      </c>
      <c r="V45" s="7">
        <f t="shared" ref="V45:W45" si="93">IF(AVERAGE(T2:T44) &gt; 0.25, 1, 0)</f>
        <v>0</v>
      </c>
      <c r="W45" s="7">
        <f t="shared" si="93"/>
        <v>0</v>
      </c>
      <c r="X45" s="8">
        <v>0.0</v>
      </c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22.5" customHeight="1">
      <c r="A46" s="6">
        <v>645.0</v>
      </c>
      <c r="B46" s="6">
        <v>9419.0</v>
      </c>
      <c r="C46" s="6">
        <v>1.24</v>
      </c>
      <c r="D46" s="6">
        <v>-0.2</v>
      </c>
      <c r="E46" s="6">
        <v>10.69</v>
      </c>
      <c r="F46" s="6">
        <v>-0.1</v>
      </c>
      <c r="G46" s="6">
        <v>0.0</v>
      </c>
      <c r="H46" s="6">
        <v>-0.01</v>
      </c>
      <c r="I46" s="6">
        <v>33.18</v>
      </c>
      <c r="J46" s="7">
        <f t="shared" ref="J46:O46" si="94">abs(C46-C45)/200</f>
        <v>0.00005</v>
      </c>
      <c r="K46" s="7">
        <f t="shared" si="94"/>
        <v>0</v>
      </c>
      <c r="L46" s="7">
        <f t="shared" si="94"/>
        <v>0.0001</v>
      </c>
      <c r="M46" s="7">
        <f t="shared" si="94"/>
        <v>0</v>
      </c>
      <c r="N46" s="7">
        <f t="shared" si="94"/>
        <v>0</v>
      </c>
      <c r="O46" s="7">
        <f t="shared" si="94"/>
        <v>0</v>
      </c>
      <c r="P46" s="7">
        <f t="shared" si="9"/>
        <v>0</v>
      </c>
      <c r="Q46" s="7">
        <f t="shared" si="10"/>
        <v>0.02101268333</v>
      </c>
      <c r="R46" s="7">
        <f t="shared" si="3"/>
        <v>0.9635356645</v>
      </c>
      <c r="S46" s="7">
        <f t="shared" si="4"/>
        <v>0.1004987562</v>
      </c>
      <c r="T46" s="7">
        <f t="shared" si="5"/>
        <v>0</v>
      </c>
      <c r="U46" s="7">
        <f t="shared" si="6"/>
        <v>0</v>
      </c>
      <c r="V46" s="7">
        <f t="shared" ref="V46:W46" si="95">IF(AVERAGE(T2:T45) &gt; 0.25, 1, 0)</f>
        <v>0</v>
      </c>
      <c r="W46" s="7">
        <f t="shared" si="95"/>
        <v>0</v>
      </c>
      <c r="X46" s="8">
        <v>0.0</v>
      </c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22.5" customHeight="1">
      <c r="A47" s="6">
        <v>646.0</v>
      </c>
      <c r="B47" s="6">
        <v>9623.0</v>
      </c>
      <c r="C47" s="6">
        <v>1.23</v>
      </c>
      <c r="D47" s="6">
        <v>-0.2</v>
      </c>
      <c r="E47" s="6">
        <v>10.68</v>
      </c>
      <c r="F47" s="6">
        <v>-0.1</v>
      </c>
      <c r="G47" s="6">
        <v>0.0</v>
      </c>
      <c r="H47" s="6">
        <v>-0.01</v>
      </c>
      <c r="I47" s="6">
        <v>33.19</v>
      </c>
      <c r="J47" s="7">
        <f t="shared" ref="J47:O47" si="96">abs(C47-C46)/200</f>
        <v>0.00005</v>
      </c>
      <c r="K47" s="7">
        <f t="shared" si="96"/>
        <v>0</v>
      </c>
      <c r="L47" s="7">
        <f t="shared" si="96"/>
        <v>0.00005</v>
      </c>
      <c r="M47" s="7">
        <f t="shared" si="96"/>
        <v>0</v>
      </c>
      <c r="N47" s="7">
        <f t="shared" si="96"/>
        <v>0</v>
      </c>
      <c r="O47" s="7">
        <f t="shared" si="96"/>
        <v>0</v>
      </c>
      <c r="P47" s="7">
        <f t="shared" si="9"/>
        <v>0</v>
      </c>
      <c r="Q47" s="7">
        <f t="shared" si="10"/>
        <v>0.01108013095</v>
      </c>
      <c r="R47" s="7">
        <f t="shared" si="3"/>
        <v>0.9524555335</v>
      </c>
      <c r="S47" s="7">
        <f t="shared" si="4"/>
        <v>0.1004987562</v>
      </c>
      <c r="T47" s="7">
        <f t="shared" si="5"/>
        <v>0</v>
      </c>
      <c r="U47" s="7">
        <f t="shared" si="6"/>
        <v>0</v>
      </c>
      <c r="V47" s="7">
        <f t="shared" ref="V47:W47" si="97">IF(AVERAGE(T2:T46) &gt; 0.25, 1, 0)</f>
        <v>0</v>
      </c>
      <c r="W47" s="7">
        <f t="shared" si="97"/>
        <v>0</v>
      </c>
      <c r="X47" s="8">
        <v>0.0</v>
      </c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22.5" customHeight="1">
      <c r="A48" s="6">
        <v>647.0</v>
      </c>
      <c r="B48" s="6">
        <v>9827.0</v>
      </c>
      <c r="C48" s="6">
        <v>1.24</v>
      </c>
      <c r="D48" s="6">
        <v>-0.21</v>
      </c>
      <c r="E48" s="6">
        <v>10.69</v>
      </c>
      <c r="F48" s="6">
        <v>-0.1</v>
      </c>
      <c r="G48" s="6">
        <v>0.0</v>
      </c>
      <c r="H48" s="6">
        <v>-0.01</v>
      </c>
      <c r="I48" s="6">
        <v>33.2</v>
      </c>
      <c r="J48" s="7">
        <f t="shared" ref="J48:O48" si="98">abs(C48-C47)/200</f>
        <v>0.00005</v>
      </c>
      <c r="K48" s="7">
        <f t="shared" si="98"/>
        <v>0.00005</v>
      </c>
      <c r="L48" s="7">
        <f t="shared" si="98"/>
        <v>0.00005</v>
      </c>
      <c r="M48" s="7">
        <f t="shared" si="98"/>
        <v>0</v>
      </c>
      <c r="N48" s="7">
        <f t="shared" si="98"/>
        <v>0</v>
      </c>
      <c r="O48" s="7">
        <f t="shared" si="98"/>
        <v>0</v>
      </c>
      <c r="P48" s="7">
        <f t="shared" si="9"/>
        <v>0</v>
      </c>
      <c r="Q48" s="7">
        <f t="shared" si="10"/>
        <v>0.01127058713</v>
      </c>
      <c r="R48" s="7">
        <f t="shared" si="3"/>
        <v>0.9637261206</v>
      </c>
      <c r="S48" s="7">
        <f t="shared" si="4"/>
        <v>0.1004987562</v>
      </c>
      <c r="T48" s="7">
        <f t="shared" si="5"/>
        <v>0</v>
      </c>
      <c r="U48" s="7">
        <f t="shared" si="6"/>
        <v>0</v>
      </c>
      <c r="V48" s="7">
        <f t="shared" ref="V48:W48" si="99">IF(AVERAGE(T2:T47) &gt; 0.25, 1, 0)</f>
        <v>0</v>
      </c>
      <c r="W48" s="7">
        <f t="shared" si="99"/>
        <v>0</v>
      </c>
      <c r="X48" s="8">
        <v>0.0</v>
      </c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22.5" customHeight="1">
      <c r="A49" s="6">
        <v>648.0</v>
      </c>
      <c r="B49" s="6">
        <v>10031.0</v>
      </c>
      <c r="C49" s="6">
        <v>1.23</v>
      </c>
      <c r="D49" s="6">
        <v>-0.21</v>
      </c>
      <c r="E49" s="6">
        <v>10.67</v>
      </c>
      <c r="F49" s="6">
        <v>-0.1</v>
      </c>
      <c r="G49" s="6">
        <v>0.0</v>
      </c>
      <c r="H49" s="6">
        <v>-0.01</v>
      </c>
      <c r="I49" s="6">
        <v>33.2</v>
      </c>
      <c r="J49" s="7">
        <f t="shared" ref="J49:O49" si="100">abs(C49-C48)/200</f>
        <v>0.00005</v>
      </c>
      <c r="K49" s="7">
        <f t="shared" si="100"/>
        <v>0</v>
      </c>
      <c r="L49" s="7">
        <f t="shared" si="100"/>
        <v>0.0001</v>
      </c>
      <c r="M49" s="7">
        <f t="shared" si="100"/>
        <v>0</v>
      </c>
      <c r="N49" s="7">
        <f t="shared" si="100"/>
        <v>0</v>
      </c>
      <c r="O49" s="7">
        <f t="shared" si="100"/>
        <v>0</v>
      </c>
      <c r="P49" s="7">
        <f t="shared" si="9"/>
        <v>0</v>
      </c>
      <c r="Q49" s="7">
        <f t="shared" si="10"/>
        <v>0.0210123108</v>
      </c>
      <c r="R49" s="7">
        <f t="shared" si="3"/>
        <v>0.9427138098</v>
      </c>
      <c r="S49" s="7">
        <f t="shared" si="4"/>
        <v>0.1004987562</v>
      </c>
      <c r="T49" s="7">
        <f t="shared" si="5"/>
        <v>0</v>
      </c>
      <c r="U49" s="7">
        <f t="shared" si="6"/>
        <v>0</v>
      </c>
      <c r="V49" s="7">
        <f t="shared" ref="V49:W49" si="101">IF(AVERAGE(T2:T48) &gt; 0.25, 1, 0)</f>
        <v>0</v>
      </c>
      <c r="W49" s="7">
        <f t="shared" si="101"/>
        <v>0</v>
      </c>
      <c r="X49" s="8">
        <v>0.0</v>
      </c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22.5" customHeight="1">
      <c r="A50" s="6">
        <v>649.0</v>
      </c>
      <c r="B50" s="6">
        <v>10235.0</v>
      </c>
      <c r="C50" s="6">
        <v>1.24</v>
      </c>
      <c r="D50" s="6">
        <v>-0.19</v>
      </c>
      <c r="E50" s="6">
        <v>10.67</v>
      </c>
      <c r="F50" s="6">
        <v>-0.1</v>
      </c>
      <c r="G50" s="6">
        <v>0.0</v>
      </c>
      <c r="H50" s="6">
        <v>-0.01</v>
      </c>
      <c r="I50" s="6">
        <v>33.2</v>
      </c>
      <c r="J50" s="7">
        <f t="shared" ref="J50:O50" si="102">abs(C50-C49)/200</f>
        <v>0.00005</v>
      </c>
      <c r="K50" s="7">
        <f t="shared" si="102"/>
        <v>0.0001</v>
      </c>
      <c r="L50" s="7">
        <f t="shared" si="102"/>
        <v>0</v>
      </c>
      <c r="M50" s="7">
        <f t="shared" si="102"/>
        <v>0</v>
      </c>
      <c r="N50" s="7">
        <f t="shared" si="102"/>
        <v>0</v>
      </c>
      <c r="O50" s="7">
        <f t="shared" si="102"/>
        <v>0</v>
      </c>
      <c r="P50" s="7">
        <f t="shared" si="9"/>
        <v>0</v>
      </c>
      <c r="Q50" s="7">
        <f t="shared" si="10"/>
        <v>0.0007772428917</v>
      </c>
      <c r="R50" s="7">
        <f t="shared" si="3"/>
        <v>0.9434910527</v>
      </c>
      <c r="S50" s="7">
        <f t="shared" si="4"/>
        <v>0.1004987562</v>
      </c>
      <c r="T50" s="7">
        <f t="shared" si="5"/>
        <v>0</v>
      </c>
      <c r="U50" s="7">
        <f t="shared" si="6"/>
        <v>0</v>
      </c>
      <c r="V50" s="7">
        <f t="shared" ref="V50:W50" si="103">IF(AVERAGE(T2:T49) &gt; 0.25, 1, 0)</f>
        <v>0</v>
      </c>
      <c r="W50" s="7">
        <f t="shared" si="103"/>
        <v>0</v>
      </c>
      <c r="X50" s="8">
        <v>0.0</v>
      </c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22.5" customHeight="1">
      <c r="A51" s="6">
        <v>650.0</v>
      </c>
      <c r="B51" s="6">
        <v>10439.0</v>
      </c>
      <c r="C51" s="6">
        <v>1.24</v>
      </c>
      <c r="D51" s="6">
        <v>-0.21</v>
      </c>
      <c r="E51" s="6">
        <v>10.69</v>
      </c>
      <c r="F51" s="6">
        <v>-0.1</v>
      </c>
      <c r="G51" s="6">
        <v>0.0</v>
      </c>
      <c r="H51" s="6">
        <v>-0.01</v>
      </c>
      <c r="I51" s="6">
        <v>33.19</v>
      </c>
      <c r="J51" s="7">
        <f t="shared" ref="J51:O51" si="104">abs(C51-C50)/200</f>
        <v>0</v>
      </c>
      <c r="K51" s="7">
        <f t="shared" si="104"/>
        <v>0.0001</v>
      </c>
      <c r="L51" s="7">
        <f t="shared" si="104"/>
        <v>0.0001</v>
      </c>
      <c r="M51" s="7">
        <f t="shared" si="104"/>
        <v>0</v>
      </c>
      <c r="N51" s="7">
        <f t="shared" si="104"/>
        <v>0</v>
      </c>
      <c r="O51" s="7">
        <f t="shared" si="104"/>
        <v>0</v>
      </c>
      <c r="P51" s="7">
        <f t="shared" si="9"/>
        <v>0</v>
      </c>
      <c r="Q51" s="7">
        <f t="shared" si="10"/>
        <v>0.02023506791</v>
      </c>
      <c r="R51" s="7">
        <f t="shared" si="3"/>
        <v>0.9637261206</v>
      </c>
      <c r="S51" s="7">
        <f t="shared" si="4"/>
        <v>0.1004987562</v>
      </c>
      <c r="T51" s="7">
        <f t="shared" si="5"/>
        <v>0</v>
      </c>
      <c r="U51" s="7">
        <f t="shared" si="6"/>
        <v>0</v>
      </c>
      <c r="V51" s="7">
        <f t="shared" ref="V51:W51" si="105">IF(AVERAGE(T2:T50) &gt; 0.25, 1, 0)</f>
        <v>0</v>
      </c>
      <c r="W51" s="7">
        <f t="shared" si="105"/>
        <v>0</v>
      </c>
      <c r="X51" s="8">
        <v>0.0</v>
      </c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22.5" customHeight="1">
      <c r="A52" s="6">
        <v>651.0</v>
      </c>
      <c r="B52" s="6">
        <v>10643.0</v>
      </c>
      <c r="C52" s="6">
        <v>1.24</v>
      </c>
      <c r="D52" s="6">
        <v>-0.2</v>
      </c>
      <c r="E52" s="6">
        <v>10.69</v>
      </c>
      <c r="F52" s="6">
        <v>-0.1</v>
      </c>
      <c r="G52" s="6">
        <v>0.0</v>
      </c>
      <c r="H52" s="6">
        <v>-0.01</v>
      </c>
      <c r="I52" s="6">
        <v>33.2</v>
      </c>
      <c r="J52" s="7">
        <f t="shared" ref="J52:O52" si="106">abs(C52-C51)/200</f>
        <v>0</v>
      </c>
      <c r="K52" s="7">
        <f t="shared" si="106"/>
        <v>0.00005</v>
      </c>
      <c r="L52" s="7">
        <f t="shared" si="106"/>
        <v>0</v>
      </c>
      <c r="M52" s="7">
        <f t="shared" si="106"/>
        <v>0</v>
      </c>
      <c r="N52" s="7">
        <f t="shared" si="106"/>
        <v>0</v>
      </c>
      <c r="O52" s="7">
        <f t="shared" si="106"/>
        <v>0</v>
      </c>
      <c r="P52" s="7">
        <f t="shared" si="9"/>
        <v>0</v>
      </c>
      <c r="Q52" s="7">
        <f t="shared" si="10"/>
        <v>0.0001904561779</v>
      </c>
      <c r="R52" s="7">
        <f t="shared" si="3"/>
        <v>0.9635356645</v>
      </c>
      <c r="S52" s="7">
        <f t="shared" si="4"/>
        <v>0.1004987562</v>
      </c>
      <c r="T52" s="7">
        <f t="shared" si="5"/>
        <v>0</v>
      </c>
      <c r="U52" s="7">
        <f t="shared" si="6"/>
        <v>0</v>
      </c>
      <c r="V52" s="7">
        <f t="shared" ref="V52:W52" si="107">IF(AVERAGE(T2:T51) &gt; 0.25, 1, 0)</f>
        <v>0</v>
      </c>
      <c r="W52" s="7">
        <f t="shared" si="107"/>
        <v>0</v>
      </c>
      <c r="X52" s="8">
        <v>0.0</v>
      </c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22.5" customHeight="1">
      <c r="A53" s="6">
        <v>652.0</v>
      </c>
      <c r="B53" s="6">
        <v>10847.0</v>
      </c>
      <c r="C53" s="6">
        <v>1.23</v>
      </c>
      <c r="D53" s="6">
        <v>-0.2</v>
      </c>
      <c r="E53" s="6">
        <v>10.7</v>
      </c>
      <c r="F53" s="6">
        <v>-0.1</v>
      </c>
      <c r="G53" s="6">
        <v>0.0</v>
      </c>
      <c r="H53" s="6">
        <v>-0.01</v>
      </c>
      <c r="I53" s="6">
        <v>33.19</v>
      </c>
      <c r="J53" s="7">
        <f t="shared" ref="J53:O53" si="108">abs(C53-C52)/200</f>
        <v>0.00005</v>
      </c>
      <c r="K53" s="7">
        <f t="shared" si="108"/>
        <v>0</v>
      </c>
      <c r="L53" s="7">
        <f t="shared" si="108"/>
        <v>0.00005</v>
      </c>
      <c r="M53" s="7">
        <f t="shared" si="108"/>
        <v>0</v>
      </c>
      <c r="N53" s="7">
        <f t="shared" si="108"/>
        <v>0</v>
      </c>
      <c r="O53" s="7">
        <f t="shared" si="108"/>
        <v>0</v>
      </c>
      <c r="P53" s="7">
        <f t="shared" si="9"/>
        <v>0</v>
      </c>
      <c r="Q53" s="7">
        <f t="shared" si="10"/>
        <v>0.008785348214</v>
      </c>
      <c r="R53" s="7">
        <f t="shared" si="3"/>
        <v>0.9723210127</v>
      </c>
      <c r="S53" s="7">
        <f t="shared" si="4"/>
        <v>0.1004987562</v>
      </c>
      <c r="T53" s="7">
        <f t="shared" si="5"/>
        <v>0</v>
      </c>
      <c r="U53" s="7">
        <f t="shared" si="6"/>
        <v>0</v>
      </c>
      <c r="V53" s="7">
        <f t="shared" ref="V53:W53" si="109">IF(AVERAGE(T2:T52) &gt; 0.25, 1, 0)</f>
        <v>0</v>
      </c>
      <c r="W53" s="7">
        <f t="shared" si="109"/>
        <v>0</v>
      </c>
      <c r="X53" s="8">
        <v>0.0</v>
      </c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22.5" customHeight="1">
      <c r="A54" s="6">
        <v>653.0</v>
      </c>
      <c r="B54" s="6">
        <v>11051.0</v>
      </c>
      <c r="C54" s="6">
        <v>1.24</v>
      </c>
      <c r="D54" s="6">
        <v>-0.2</v>
      </c>
      <c r="E54" s="6">
        <v>10.68</v>
      </c>
      <c r="F54" s="6">
        <v>-0.1</v>
      </c>
      <c r="G54" s="6">
        <v>0.0</v>
      </c>
      <c r="H54" s="6">
        <v>-0.01</v>
      </c>
      <c r="I54" s="6">
        <v>33.19</v>
      </c>
      <c r="J54" s="7">
        <f t="shared" ref="J54:O54" si="110">abs(C54-C53)/200</f>
        <v>0.00005</v>
      </c>
      <c r="K54" s="7">
        <f t="shared" si="110"/>
        <v>0</v>
      </c>
      <c r="L54" s="7">
        <f t="shared" si="110"/>
        <v>0.0001</v>
      </c>
      <c r="M54" s="7">
        <f t="shared" si="110"/>
        <v>0</v>
      </c>
      <c r="N54" s="7">
        <f t="shared" si="110"/>
        <v>0</v>
      </c>
      <c r="O54" s="7">
        <f t="shared" si="110"/>
        <v>0</v>
      </c>
      <c r="P54" s="7">
        <f t="shared" si="9"/>
        <v>0</v>
      </c>
      <c r="Q54" s="7">
        <f t="shared" si="10"/>
        <v>0.01871696565</v>
      </c>
      <c r="R54" s="7">
        <f t="shared" si="3"/>
        <v>0.953604047</v>
      </c>
      <c r="S54" s="7">
        <f t="shared" si="4"/>
        <v>0.1004987562</v>
      </c>
      <c r="T54" s="7">
        <f t="shared" si="5"/>
        <v>0</v>
      </c>
      <c r="U54" s="7">
        <f t="shared" si="6"/>
        <v>0</v>
      </c>
      <c r="V54" s="7">
        <f t="shared" ref="V54:W54" si="111">IF(AVERAGE(T2:T53) &gt; 0.25, 1, 0)</f>
        <v>0</v>
      </c>
      <c r="W54" s="7">
        <f t="shared" si="111"/>
        <v>0</v>
      </c>
      <c r="X54" s="8">
        <v>0.0</v>
      </c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22.5" customHeight="1">
      <c r="A55" s="6">
        <v>654.0</v>
      </c>
      <c r="B55" s="6">
        <v>11255.0</v>
      </c>
      <c r="C55" s="6">
        <v>1.22</v>
      </c>
      <c r="D55" s="6">
        <v>-0.2</v>
      </c>
      <c r="E55" s="6">
        <v>10.67</v>
      </c>
      <c r="F55" s="6">
        <v>-0.1</v>
      </c>
      <c r="G55" s="6">
        <v>0.0</v>
      </c>
      <c r="H55" s="6">
        <v>-0.01</v>
      </c>
      <c r="I55" s="6">
        <v>33.2</v>
      </c>
      <c r="J55" s="7">
        <f t="shared" ref="J55:O55" si="112">abs(C55-C54)/200</f>
        <v>0.0001</v>
      </c>
      <c r="K55" s="7">
        <f t="shared" si="112"/>
        <v>0</v>
      </c>
      <c r="L55" s="7">
        <f t="shared" si="112"/>
        <v>0.00005</v>
      </c>
      <c r="M55" s="7">
        <f t="shared" si="112"/>
        <v>0</v>
      </c>
      <c r="N55" s="7">
        <f t="shared" si="112"/>
        <v>0</v>
      </c>
      <c r="O55" s="7">
        <f t="shared" si="112"/>
        <v>0</v>
      </c>
      <c r="P55" s="7">
        <f t="shared" si="9"/>
        <v>0</v>
      </c>
      <c r="Q55" s="7">
        <f t="shared" si="10"/>
        <v>0.01222145444</v>
      </c>
      <c r="R55" s="7">
        <f t="shared" si="3"/>
        <v>0.9413825926</v>
      </c>
      <c r="S55" s="7">
        <f t="shared" si="4"/>
        <v>0.1004987562</v>
      </c>
      <c r="T55" s="7">
        <f t="shared" si="5"/>
        <v>0</v>
      </c>
      <c r="U55" s="7">
        <f t="shared" si="6"/>
        <v>0</v>
      </c>
      <c r="V55" s="7">
        <f t="shared" ref="V55:W55" si="113">IF(AVERAGE(T2:T54) &gt; 0.25, 1, 0)</f>
        <v>0</v>
      </c>
      <c r="W55" s="7">
        <f t="shared" si="113"/>
        <v>0</v>
      </c>
      <c r="X55" s="8">
        <v>0.0</v>
      </c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22.5" customHeight="1">
      <c r="A56" s="6">
        <v>655.0</v>
      </c>
      <c r="B56" s="6">
        <v>11459.0</v>
      </c>
      <c r="C56" s="6">
        <v>1.23</v>
      </c>
      <c r="D56" s="6">
        <v>-0.21</v>
      </c>
      <c r="E56" s="6">
        <v>10.69</v>
      </c>
      <c r="F56" s="6">
        <v>-0.1</v>
      </c>
      <c r="G56" s="6">
        <v>0.0</v>
      </c>
      <c r="H56" s="6">
        <v>-0.01</v>
      </c>
      <c r="I56" s="6">
        <v>33.19</v>
      </c>
      <c r="J56" s="7">
        <f t="shared" ref="J56:O56" si="114">abs(C56-C55)/200</f>
        <v>0.00005</v>
      </c>
      <c r="K56" s="7">
        <f t="shared" si="114"/>
        <v>0.00005</v>
      </c>
      <c r="L56" s="7">
        <f t="shared" si="114"/>
        <v>0.0001</v>
      </c>
      <c r="M56" s="7">
        <f t="shared" si="114"/>
        <v>0</v>
      </c>
      <c r="N56" s="7">
        <f t="shared" si="114"/>
        <v>0</v>
      </c>
      <c r="O56" s="7">
        <f t="shared" si="114"/>
        <v>0</v>
      </c>
      <c r="P56" s="7">
        <f t="shared" si="9"/>
        <v>0</v>
      </c>
      <c r="Q56" s="7">
        <f t="shared" si="10"/>
        <v>0.02119609471</v>
      </c>
      <c r="R56" s="7">
        <f t="shared" si="3"/>
        <v>0.9625786873</v>
      </c>
      <c r="S56" s="7">
        <f t="shared" si="4"/>
        <v>0.1004987562</v>
      </c>
      <c r="T56" s="7">
        <f t="shared" si="5"/>
        <v>0</v>
      </c>
      <c r="U56" s="7">
        <f t="shared" si="6"/>
        <v>0</v>
      </c>
      <c r="V56" s="7">
        <f t="shared" ref="V56:W56" si="115">IF(AVERAGE(T2:T55) &gt; 0.25, 1, 0)</f>
        <v>0</v>
      </c>
      <c r="W56" s="7">
        <f t="shared" si="115"/>
        <v>0</v>
      </c>
      <c r="X56" s="8">
        <v>0.0</v>
      </c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22.5" customHeight="1">
      <c r="A57" s="6">
        <v>656.0</v>
      </c>
      <c r="B57" s="6">
        <v>11663.0</v>
      </c>
      <c r="C57" s="6">
        <v>1.24</v>
      </c>
      <c r="D57" s="6">
        <v>-0.19</v>
      </c>
      <c r="E57" s="6">
        <v>10.68</v>
      </c>
      <c r="F57" s="6">
        <v>-0.1</v>
      </c>
      <c r="G57" s="6">
        <v>0.0</v>
      </c>
      <c r="H57" s="6">
        <v>-0.01</v>
      </c>
      <c r="I57" s="6">
        <v>33.19</v>
      </c>
      <c r="J57" s="7">
        <f t="shared" ref="J57:O57" si="116">abs(C57-C56)/200</f>
        <v>0.00005</v>
      </c>
      <c r="K57" s="7">
        <f t="shared" si="116"/>
        <v>0.0001</v>
      </c>
      <c r="L57" s="7">
        <f t="shared" si="116"/>
        <v>0.00005</v>
      </c>
      <c r="M57" s="7">
        <f t="shared" si="116"/>
        <v>0</v>
      </c>
      <c r="N57" s="7">
        <f t="shared" si="116"/>
        <v>0</v>
      </c>
      <c r="O57" s="7">
        <f t="shared" si="116"/>
        <v>0</v>
      </c>
      <c r="P57" s="7">
        <f t="shared" si="9"/>
        <v>0</v>
      </c>
      <c r="Q57" s="7">
        <f t="shared" si="10"/>
        <v>0.009155976352</v>
      </c>
      <c r="R57" s="7">
        <f t="shared" si="3"/>
        <v>0.9534227109</v>
      </c>
      <c r="S57" s="7">
        <f t="shared" si="4"/>
        <v>0.1004987562</v>
      </c>
      <c r="T57" s="7">
        <f t="shared" si="5"/>
        <v>0</v>
      </c>
      <c r="U57" s="7">
        <f t="shared" si="6"/>
        <v>0</v>
      </c>
      <c r="V57" s="7">
        <f t="shared" ref="V57:W57" si="117">IF(AVERAGE(T2:T56) &gt; 0.25, 1, 0)</f>
        <v>0</v>
      </c>
      <c r="W57" s="7">
        <f t="shared" si="117"/>
        <v>0</v>
      </c>
      <c r="X57" s="8">
        <v>0.0</v>
      </c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22.5" customHeight="1">
      <c r="A58" s="6">
        <v>657.0</v>
      </c>
      <c r="B58" s="6">
        <v>11867.0</v>
      </c>
      <c r="C58" s="6">
        <v>1.23</v>
      </c>
      <c r="D58" s="6">
        <v>-0.2</v>
      </c>
      <c r="E58" s="6">
        <v>10.68</v>
      </c>
      <c r="F58" s="6">
        <v>-0.1</v>
      </c>
      <c r="G58" s="6">
        <v>0.0</v>
      </c>
      <c r="H58" s="6">
        <v>-0.01</v>
      </c>
      <c r="I58" s="6">
        <v>33.19</v>
      </c>
      <c r="J58" s="7">
        <f t="shared" ref="J58:O58" si="118">abs(C58-C57)/200</f>
        <v>0.00005</v>
      </c>
      <c r="K58" s="7">
        <f t="shared" si="118"/>
        <v>0.00005</v>
      </c>
      <c r="L58" s="7">
        <f t="shared" si="118"/>
        <v>0</v>
      </c>
      <c r="M58" s="7">
        <f t="shared" si="118"/>
        <v>0</v>
      </c>
      <c r="N58" s="7">
        <f t="shared" si="118"/>
        <v>0</v>
      </c>
      <c r="O58" s="7">
        <f t="shared" si="118"/>
        <v>0</v>
      </c>
      <c r="P58" s="7">
        <f t="shared" si="9"/>
        <v>0</v>
      </c>
      <c r="Q58" s="7">
        <f t="shared" si="10"/>
        <v>0.0009671774277</v>
      </c>
      <c r="R58" s="7">
        <f t="shared" si="3"/>
        <v>0.9524555335</v>
      </c>
      <c r="S58" s="7">
        <f t="shared" si="4"/>
        <v>0.1004987562</v>
      </c>
      <c r="T58" s="7">
        <f t="shared" si="5"/>
        <v>0</v>
      </c>
      <c r="U58" s="7">
        <f t="shared" si="6"/>
        <v>0</v>
      </c>
      <c r="V58" s="7">
        <f t="shared" ref="V58:W58" si="119">IF(AVERAGE(T2:T57) &gt; 0.25, 1, 0)</f>
        <v>0</v>
      </c>
      <c r="W58" s="7">
        <f t="shared" si="119"/>
        <v>0</v>
      </c>
      <c r="X58" s="8">
        <v>0.0</v>
      </c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22.5" customHeight="1">
      <c r="A59" s="6">
        <v>658.0</v>
      </c>
      <c r="B59" s="6">
        <v>12071.0</v>
      </c>
      <c r="C59" s="6">
        <v>1.23</v>
      </c>
      <c r="D59" s="6">
        <v>-0.21</v>
      </c>
      <c r="E59" s="6">
        <v>10.68</v>
      </c>
      <c r="F59" s="6">
        <v>-0.1</v>
      </c>
      <c r="G59" s="6">
        <v>0.0</v>
      </c>
      <c r="H59" s="6">
        <v>-0.01</v>
      </c>
      <c r="I59" s="6">
        <v>33.18</v>
      </c>
      <c r="J59" s="7">
        <f t="shared" ref="J59:O59" si="120">abs(C59-C58)/200</f>
        <v>0</v>
      </c>
      <c r="K59" s="7">
        <f t="shared" si="120"/>
        <v>0.00005</v>
      </c>
      <c r="L59" s="7">
        <f t="shared" si="120"/>
        <v>0</v>
      </c>
      <c r="M59" s="7">
        <f t="shared" si="120"/>
        <v>0</v>
      </c>
      <c r="N59" s="7">
        <f t="shared" si="120"/>
        <v>0</v>
      </c>
      <c r="O59" s="7">
        <f t="shared" si="120"/>
        <v>0</v>
      </c>
      <c r="P59" s="7">
        <f t="shared" si="9"/>
        <v>0</v>
      </c>
      <c r="Q59" s="7">
        <f t="shared" si="10"/>
        <v>0.0001906524346</v>
      </c>
      <c r="R59" s="7">
        <f t="shared" si="3"/>
        <v>0.9526461859</v>
      </c>
      <c r="S59" s="7">
        <f t="shared" si="4"/>
        <v>0.1004987562</v>
      </c>
      <c r="T59" s="7">
        <f t="shared" si="5"/>
        <v>0</v>
      </c>
      <c r="U59" s="7">
        <f t="shared" si="6"/>
        <v>0</v>
      </c>
      <c r="V59" s="7">
        <f t="shared" ref="V59:W59" si="121">IF(AVERAGE(T2:T58) &gt; 0.25, 1, 0)</f>
        <v>0</v>
      </c>
      <c r="W59" s="7">
        <f t="shared" si="121"/>
        <v>0</v>
      </c>
      <c r="X59" s="8">
        <v>0.0</v>
      </c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22.5" customHeight="1">
      <c r="A60" s="6">
        <v>659.0</v>
      </c>
      <c r="B60" s="6">
        <v>12275.0</v>
      </c>
      <c r="C60" s="6">
        <v>1.23</v>
      </c>
      <c r="D60" s="6">
        <v>-0.19</v>
      </c>
      <c r="E60" s="6">
        <v>10.68</v>
      </c>
      <c r="F60" s="6">
        <v>-0.1</v>
      </c>
      <c r="G60" s="6">
        <v>0.0</v>
      </c>
      <c r="H60" s="6">
        <v>-0.01</v>
      </c>
      <c r="I60" s="6">
        <v>33.19</v>
      </c>
      <c r="J60" s="7">
        <f t="shared" ref="J60:O60" si="122">abs(C60-C59)/200</f>
        <v>0</v>
      </c>
      <c r="K60" s="7">
        <f t="shared" si="122"/>
        <v>0.0001</v>
      </c>
      <c r="L60" s="7">
        <f t="shared" si="122"/>
        <v>0</v>
      </c>
      <c r="M60" s="7">
        <f t="shared" si="122"/>
        <v>0</v>
      </c>
      <c r="N60" s="7">
        <f t="shared" si="122"/>
        <v>0</v>
      </c>
      <c r="O60" s="7">
        <f t="shared" si="122"/>
        <v>0</v>
      </c>
      <c r="P60" s="7">
        <f t="shared" si="9"/>
        <v>0</v>
      </c>
      <c r="Q60" s="7">
        <f t="shared" si="10"/>
        <v>0.0003720078877</v>
      </c>
      <c r="R60" s="7">
        <f t="shared" si="3"/>
        <v>0.9522741781</v>
      </c>
      <c r="S60" s="7">
        <f t="shared" si="4"/>
        <v>0.1004987562</v>
      </c>
      <c r="T60" s="7">
        <f t="shared" si="5"/>
        <v>0</v>
      </c>
      <c r="U60" s="7">
        <f t="shared" si="6"/>
        <v>0</v>
      </c>
      <c r="V60" s="7">
        <f t="shared" ref="V60:W60" si="123">IF(AVERAGE(T2:T59) &gt; 0.25, 1, 0)</f>
        <v>0</v>
      </c>
      <c r="W60" s="7">
        <f t="shared" si="123"/>
        <v>0</v>
      </c>
      <c r="X60" s="8">
        <v>0.0</v>
      </c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22.5" customHeight="1">
      <c r="A61" s="6">
        <v>660.0</v>
      </c>
      <c r="B61" s="6">
        <v>12479.0</v>
      </c>
      <c r="C61" s="6">
        <v>1.23</v>
      </c>
      <c r="D61" s="6">
        <v>-0.19</v>
      </c>
      <c r="E61" s="6">
        <v>10.68</v>
      </c>
      <c r="F61" s="6">
        <v>-0.1</v>
      </c>
      <c r="G61" s="6">
        <v>0.0</v>
      </c>
      <c r="H61" s="6">
        <v>-0.01</v>
      </c>
      <c r="I61" s="6">
        <v>33.18</v>
      </c>
      <c r="J61" s="7">
        <f t="shared" ref="J61:O61" si="124">abs(C61-C60)/200</f>
        <v>0</v>
      </c>
      <c r="K61" s="7">
        <f t="shared" si="124"/>
        <v>0</v>
      </c>
      <c r="L61" s="7">
        <f t="shared" si="124"/>
        <v>0</v>
      </c>
      <c r="M61" s="7">
        <f t="shared" si="124"/>
        <v>0</v>
      </c>
      <c r="N61" s="7">
        <f t="shared" si="124"/>
        <v>0</v>
      </c>
      <c r="O61" s="7">
        <f t="shared" si="124"/>
        <v>0</v>
      </c>
      <c r="P61" s="7">
        <f t="shared" si="9"/>
        <v>0</v>
      </c>
      <c r="Q61" s="7">
        <f t="shared" si="10"/>
        <v>0</v>
      </c>
      <c r="R61" s="7">
        <f t="shared" si="3"/>
        <v>0.9522741781</v>
      </c>
      <c r="S61" s="7">
        <f t="shared" si="4"/>
        <v>0.1004987562</v>
      </c>
      <c r="T61" s="7">
        <f t="shared" si="5"/>
        <v>0</v>
      </c>
      <c r="U61" s="7">
        <f t="shared" si="6"/>
        <v>0</v>
      </c>
      <c r="V61" s="7">
        <f t="shared" ref="V61:W61" si="125">IF(AVERAGE(T2:T60) &gt; 0.25, 1, 0)</f>
        <v>0</v>
      </c>
      <c r="W61" s="7">
        <f t="shared" si="125"/>
        <v>0</v>
      </c>
      <c r="X61" s="8">
        <v>0.0</v>
      </c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22.5" customHeight="1">
      <c r="A62" s="6">
        <v>661.0</v>
      </c>
      <c r="B62" s="6">
        <v>12683.0</v>
      </c>
      <c r="C62" s="6">
        <v>1.23</v>
      </c>
      <c r="D62" s="6">
        <v>-0.2</v>
      </c>
      <c r="E62" s="6">
        <v>10.68</v>
      </c>
      <c r="F62" s="6">
        <v>-0.1</v>
      </c>
      <c r="G62" s="6">
        <v>0.0</v>
      </c>
      <c r="H62" s="6">
        <v>-0.01</v>
      </c>
      <c r="I62" s="6">
        <v>33.19</v>
      </c>
      <c r="J62" s="7">
        <f t="shared" ref="J62:O62" si="126">abs(C62-C61)/200</f>
        <v>0</v>
      </c>
      <c r="K62" s="7">
        <f t="shared" si="126"/>
        <v>0.00005</v>
      </c>
      <c r="L62" s="7">
        <f t="shared" si="126"/>
        <v>0</v>
      </c>
      <c r="M62" s="7">
        <f t="shared" si="126"/>
        <v>0</v>
      </c>
      <c r="N62" s="7">
        <f t="shared" si="126"/>
        <v>0</v>
      </c>
      <c r="O62" s="7">
        <f t="shared" si="126"/>
        <v>0</v>
      </c>
      <c r="P62" s="7">
        <f t="shared" si="9"/>
        <v>0</v>
      </c>
      <c r="Q62" s="7">
        <f t="shared" si="10"/>
        <v>0.0001813554531</v>
      </c>
      <c r="R62" s="7">
        <f t="shared" si="3"/>
        <v>0.9524555335</v>
      </c>
      <c r="S62" s="7">
        <f t="shared" si="4"/>
        <v>0.1004987562</v>
      </c>
      <c r="T62" s="7">
        <f t="shared" si="5"/>
        <v>0</v>
      </c>
      <c r="U62" s="7">
        <f t="shared" si="6"/>
        <v>0</v>
      </c>
      <c r="V62" s="7">
        <f t="shared" ref="V62:W62" si="127">IF(AVERAGE(T2:T61) &gt; 0.25, 1, 0)</f>
        <v>0</v>
      </c>
      <c r="W62" s="7">
        <f t="shared" si="127"/>
        <v>0</v>
      </c>
      <c r="X62" s="8">
        <v>0.0</v>
      </c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22.5" customHeight="1">
      <c r="A63" s="6">
        <v>662.0</v>
      </c>
      <c r="B63" s="6">
        <v>12887.0</v>
      </c>
      <c r="C63" s="6">
        <v>1.24</v>
      </c>
      <c r="D63" s="6">
        <v>-0.2</v>
      </c>
      <c r="E63" s="6">
        <v>10.67</v>
      </c>
      <c r="F63" s="6">
        <v>-0.1</v>
      </c>
      <c r="G63" s="6">
        <v>0.0</v>
      </c>
      <c r="H63" s="6">
        <v>-0.01</v>
      </c>
      <c r="I63" s="6">
        <v>33.18</v>
      </c>
      <c r="J63" s="7">
        <f t="shared" ref="J63:O63" si="128">abs(C63-C62)/200</f>
        <v>0.00005</v>
      </c>
      <c r="K63" s="7">
        <f t="shared" si="128"/>
        <v>0</v>
      </c>
      <c r="L63" s="7">
        <f t="shared" si="128"/>
        <v>0.00005</v>
      </c>
      <c r="M63" s="7">
        <f t="shared" si="128"/>
        <v>0</v>
      </c>
      <c r="N63" s="7">
        <f t="shared" si="128"/>
        <v>0</v>
      </c>
      <c r="O63" s="7">
        <f t="shared" si="128"/>
        <v>0</v>
      </c>
      <c r="P63" s="7">
        <f t="shared" si="9"/>
        <v>0</v>
      </c>
      <c r="Q63" s="7">
        <f t="shared" si="10"/>
        <v>0.008782977065</v>
      </c>
      <c r="R63" s="7">
        <f t="shared" si="3"/>
        <v>0.9436725564</v>
      </c>
      <c r="S63" s="7">
        <f t="shared" si="4"/>
        <v>0.1004987562</v>
      </c>
      <c r="T63" s="7">
        <f t="shared" si="5"/>
        <v>0</v>
      </c>
      <c r="U63" s="7">
        <f t="shared" si="6"/>
        <v>0</v>
      </c>
      <c r="V63" s="7">
        <f t="shared" ref="V63:W63" si="129">IF(AVERAGE(T3:T62) &gt; 0.25, 1, 0)</f>
        <v>0</v>
      </c>
      <c r="W63" s="7">
        <f t="shared" si="129"/>
        <v>0</v>
      </c>
      <c r="X63" s="8">
        <v>0.0</v>
      </c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22.5" customHeight="1">
      <c r="A64" s="6">
        <v>663.0</v>
      </c>
      <c r="B64" s="6">
        <v>13091.0</v>
      </c>
      <c r="C64" s="6">
        <v>1.23</v>
      </c>
      <c r="D64" s="6">
        <v>-0.2</v>
      </c>
      <c r="E64" s="6">
        <v>10.69</v>
      </c>
      <c r="F64" s="6">
        <v>-0.1</v>
      </c>
      <c r="G64" s="6">
        <v>0.0</v>
      </c>
      <c r="H64" s="6">
        <v>-0.01</v>
      </c>
      <c r="I64" s="6">
        <v>33.18</v>
      </c>
      <c r="J64" s="7">
        <f t="shared" ref="J64:O64" si="130">abs(C64-C63)/200</f>
        <v>0.00005</v>
      </c>
      <c r="K64" s="7">
        <f t="shared" si="130"/>
        <v>0</v>
      </c>
      <c r="L64" s="7">
        <f t="shared" si="130"/>
        <v>0.0001</v>
      </c>
      <c r="M64" s="7">
        <f t="shared" si="130"/>
        <v>0</v>
      </c>
      <c r="N64" s="7">
        <f t="shared" si="130"/>
        <v>0</v>
      </c>
      <c r="O64" s="7">
        <f t="shared" si="130"/>
        <v>0</v>
      </c>
      <c r="P64" s="7">
        <f t="shared" si="9"/>
        <v>0</v>
      </c>
      <c r="Q64" s="7">
        <f t="shared" si="10"/>
        <v>0.01871565436</v>
      </c>
      <c r="R64" s="7">
        <f t="shared" si="3"/>
        <v>0.9623882108</v>
      </c>
      <c r="S64" s="7">
        <f t="shared" si="4"/>
        <v>0.1004987562</v>
      </c>
      <c r="T64" s="7">
        <f t="shared" si="5"/>
        <v>0</v>
      </c>
      <c r="U64" s="7">
        <f t="shared" si="6"/>
        <v>0</v>
      </c>
      <c r="V64" s="7">
        <f t="shared" ref="V64:W64" si="131">IF(AVERAGE(T4:T63) &gt; 0.25, 1, 0)</f>
        <v>0</v>
      </c>
      <c r="W64" s="7">
        <f t="shared" si="131"/>
        <v>0</v>
      </c>
      <c r="X64" s="8">
        <v>0.0</v>
      </c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22.5" customHeight="1">
      <c r="A65" s="6">
        <v>664.0</v>
      </c>
      <c r="B65" s="6">
        <v>13295.0</v>
      </c>
      <c r="C65" s="6">
        <v>1.23</v>
      </c>
      <c r="D65" s="6">
        <v>-0.19</v>
      </c>
      <c r="E65" s="6">
        <v>10.68</v>
      </c>
      <c r="F65" s="6">
        <v>-0.1</v>
      </c>
      <c r="G65" s="6">
        <v>0.0</v>
      </c>
      <c r="H65" s="6">
        <v>-0.01</v>
      </c>
      <c r="I65" s="6">
        <v>33.18</v>
      </c>
      <c r="J65" s="7">
        <f t="shared" ref="J65:O65" si="132">abs(C65-C64)/200</f>
        <v>0</v>
      </c>
      <c r="K65" s="7">
        <f t="shared" si="132"/>
        <v>0.00005</v>
      </c>
      <c r="L65" s="7">
        <f t="shared" si="132"/>
        <v>0.00005</v>
      </c>
      <c r="M65" s="7">
        <f t="shared" si="132"/>
        <v>0</v>
      </c>
      <c r="N65" s="7">
        <f t="shared" si="132"/>
        <v>0</v>
      </c>
      <c r="O65" s="7">
        <f t="shared" si="132"/>
        <v>0</v>
      </c>
      <c r="P65" s="7">
        <f t="shared" si="9"/>
        <v>0</v>
      </c>
      <c r="Q65" s="7">
        <f t="shared" si="10"/>
        <v>0.01011403275</v>
      </c>
      <c r="R65" s="7">
        <f t="shared" si="3"/>
        <v>0.9522741781</v>
      </c>
      <c r="S65" s="7">
        <f t="shared" si="4"/>
        <v>0.1004987562</v>
      </c>
      <c r="T65" s="7">
        <f t="shared" si="5"/>
        <v>0</v>
      </c>
      <c r="U65" s="7">
        <f t="shared" si="6"/>
        <v>0</v>
      </c>
      <c r="V65" s="7">
        <f t="shared" ref="V65:W65" si="133">IF(AVERAGE(T5:T64) &gt; 0.25, 1, 0)</f>
        <v>0</v>
      </c>
      <c r="W65" s="7">
        <f t="shared" si="133"/>
        <v>0</v>
      </c>
      <c r="X65" s="8">
        <v>0.0</v>
      </c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22.5" customHeight="1">
      <c r="A66" s="6">
        <v>665.0</v>
      </c>
      <c r="B66" s="6">
        <v>13499.0</v>
      </c>
      <c r="C66" s="6">
        <v>1.23</v>
      </c>
      <c r="D66" s="6">
        <v>-0.2</v>
      </c>
      <c r="E66" s="6">
        <v>10.67</v>
      </c>
      <c r="F66" s="6">
        <v>-0.1</v>
      </c>
      <c r="G66" s="6">
        <v>0.0</v>
      </c>
      <c r="H66" s="6">
        <v>-0.01</v>
      </c>
      <c r="I66" s="6">
        <v>33.18</v>
      </c>
      <c r="J66" s="7">
        <f t="shared" ref="J66:O66" si="134">abs(C66-C65)/200</f>
        <v>0</v>
      </c>
      <c r="K66" s="7">
        <f t="shared" si="134"/>
        <v>0.00005</v>
      </c>
      <c r="L66" s="7">
        <f t="shared" si="134"/>
        <v>0.00005</v>
      </c>
      <c r="M66" s="7">
        <f t="shared" si="134"/>
        <v>0</v>
      </c>
      <c r="N66" s="7">
        <f t="shared" si="134"/>
        <v>0</v>
      </c>
      <c r="O66" s="7">
        <f t="shared" si="134"/>
        <v>0</v>
      </c>
      <c r="P66" s="7">
        <f t="shared" si="9"/>
        <v>0</v>
      </c>
      <c r="Q66" s="7">
        <f t="shared" si="10"/>
        <v>0.009751196927</v>
      </c>
      <c r="R66" s="7">
        <f t="shared" si="3"/>
        <v>0.9425229811</v>
      </c>
      <c r="S66" s="7">
        <f t="shared" si="4"/>
        <v>0.1004987562</v>
      </c>
      <c r="T66" s="7">
        <f t="shared" si="5"/>
        <v>0</v>
      </c>
      <c r="U66" s="7">
        <f t="shared" si="6"/>
        <v>0</v>
      </c>
      <c r="V66" s="7">
        <f t="shared" ref="V66:W66" si="135">IF(AVERAGE(T6:T65) &gt; 0.25, 1, 0)</f>
        <v>0</v>
      </c>
      <c r="W66" s="7">
        <f t="shared" si="135"/>
        <v>0</v>
      </c>
      <c r="X66" s="8">
        <v>0.0</v>
      </c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22.5" customHeight="1">
      <c r="A67" s="6">
        <v>666.0</v>
      </c>
      <c r="B67" s="6">
        <v>13703.0</v>
      </c>
      <c r="C67" s="6">
        <v>1.23</v>
      </c>
      <c r="D67" s="6">
        <v>-0.21</v>
      </c>
      <c r="E67" s="6">
        <v>10.68</v>
      </c>
      <c r="F67" s="6">
        <v>-0.1</v>
      </c>
      <c r="G67" s="6">
        <v>0.0</v>
      </c>
      <c r="H67" s="6">
        <v>-0.01</v>
      </c>
      <c r="I67" s="6">
        <v>33.19</v>
      </c>
      <c r="J67" s="7">
        <f t="shared" ref="J67:O67" si="136">abs(C67-C66)/200</f>
        <v>0</v>
      </c>
      <c r="K67" s="7">
        <f t="shared" si="136"/>
        <v>0.00005</v>
      </c>
      <c r="L67" s="7">
        <f t="shared" si="136"/>
        <v>0.00005</v>
      </c>
      <c r="M67" s="7">
        <f t="shared" si="136"/>
        <v>0</v>
      </c>
      <c r="N67" s="7">
        <f t="shared" si="136"/>
        <v>0</v>
      </c>
      <c r="O67" s="7">
        <f t="shared" si="136"/>
        <v>0</v>
      </c>
      <c r="P67" s="7">
        <f t="shared" si="9"/>
        <v>0</v>
      </c>
      <c r="Q67" s="7">
        <f t="shared" si="10"/>
        <v>0.01012320481</v>
      </c>
      <c r="R67" s="7">
        <f t="shared" si="3"/>
        <v>0.9526461859</v>
      </c>
      <c r="S67" s="7">
        <f t="shared" si="4"/>
        <v>0.1004987562</v>
      </c>
      <c r="T67" s="7">
        <f t="shared" si="5"/>
        <v>0</v>
      </c>
      <c r="U67" s="7">
        <f t="shared" si="6"/>
        <v>0</v>
      </c>
      <c r="V67" s="7">
        <f t="shared" ref="V67:W67" si="137">IF(AVERAGE(T7:T66) &gt; 0.25, 1, 0)</f>
        <v>0</v>
      </c>
      <c r="W67" s="7">
        <f t="shared" si="137"/>
        <v>0</v>
      </c>
      <c r="X67" s="8">
        <v>0.0</v>
      </c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22.5" customHeight="1">
      <c r="A68" s="6">
        <v>667.0</v>
      </c>
      <c r="B68" s="6">
        <v>13907.0</v>
      </c>
      <c r="C68" s="6">
        <v>1.24</v>
      </c>
      <c r="D68" s="6">
        <v>-0.2</v>
      </c>
      <c r="E68" s="6">
        <v>10.69</v>
      </c>
      <c r="F68" s="6">
        <v>-0.1</v>
      </c>
      <c r="G68" s="6">
        <v>0.0</v>
      </c>
      <c r="H68" s="6">
        <v>-0.01</v>
      </c>
      <c r="I68" s="6">
        <v>33.17</v>
      </c>
      <c r="J68" s="7">
        <f t="shared" ref="J68:O68" si="138">abs(C68-C67)/200</f>
        <v>0.00005</v>
      </c>
      <c r="K68" s="7">
        <f t="shared" si="138"/>
        <v>0.00005</v>
      </c>
      <c r="L68" s="7">
        <f t="shared" si="138"/>
        <v>0.00005</v>
      </c>
      <c r="M68" s="7">
        <f t="shared" si="138"/>
        <v>0</v>
      </c>
      <c r="N68" s="7">
        <f t="shared" si="138"/>
        <v>0</v>
      </c>
      <c r="O68" s="7">
        <f t="shared" si="138"/>
        <v>0</v>
      </c>
      <c r="P68" s="7">
        <f t="shared" si="9"/>
        <v>0</v>
      </c>
      <c r="Q68" s="7">
        <f t="shared" si="10"/>
        <v>0.01088947852</v>
      </c>
      <c r="R68" s="7">
        <f t="shared" si="3"/>
        <v>0.9635356645</v>
      </c>
      <c r="S68" s="7">
        <f t="shared" si="4"/>
        <v>0.1004987562</v>
      </c>
      <c r="T68" s="7">
        <f t="shared" si="5"/>
        <v>0</v>
      </c>
      <c r="U68" s="7">
        <f t="shared" si="6"/>
        <v>0</v>
      </c>
      <c r="V68" s="7">
        <f t="shared" ref="V68:W68" si="139">IF(AVERAGE(T8:T67) &gt; 0.25, 1, 0)</f>
        <v>0</v>
      </c>
      <c r="W68" s="7">
        <f t="shared" si="139"/>
        <v>0</v>
      </c>
      <c r="X68" s="8">
        <v>0.0</v>
      </c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22.5" customHeight="1">
      <c r="A69" s="6">
        <v>668.0</v>
      </c>
      <c r="B69" s="6">
        <v>14111.0</v>
      </c>
      <c r="C69" s="6">
        <v>1.23</v>
      </c>
      <c r="D69" s="6">
        <v>-0.2</v>
      </c>
      <c r="E69" s="6">
        <v>10.68</v>
      </c>
      <c r="F69" s="6">
        <v>-0.1</v>
      </c>
      <c r="G69" s="6">
        <v>0.0</v>
      </c>
      <c r="H69" s="6">
        <v>-0.01</v>
      </c>
      <c r="I69" s="6">
        <v>33.17</v>
      </c>
      <c r="J69" s="7">
        <f t="shared" ref="J69:O69" si="140">abs(C69-C68)/200</f>
        <v>0.00005</v>
      </c>
      <c r="K69" s="7">
        <f t="shared" si="140"/>
        <v>0</v>
      </c>
      <c r="L69" s="7">
        <f t="shared" si="140"/>
        <v>0.00005</v>
      </c>
      <c r="M69" s="7">
        <f t="shared" si="140"/>
        <v>0</v>
      </c>
      <c r="N69" s="7">
        <f t="shared" si="140"/>
        <v>0</v>
      </c>
      <c r="O69" s="7">
        <f t="shared" si="140"/>
        <v>0</v>
      </c>
      <c r="P69" s="7">
        <f t="shared" si="9"/>
        <v>0</v>
      </c>
      <c r="Q69" s="7">
        <f t="shared" si="10"/>
        <v>0.01108013095</v>
      </c>
      <c r="R69" s="7">
        <f t="shared" si="3"/>
        <v>0.9524555335</v>
      </c>
      <c r="S69" s="7">
        <f t="shared" si="4"/>
        <v>0.1004987562</v>
      </c>
      <c r="T69" s="7">
        <f t="shared" si="5"/>
        <v>0</v>
      </c>
      <c r="U69" s="7">
        <f t="shared" si="6"/>
        <v>0</v>
      </c>
      <c r="V69" s="7">
        <f t="shared" ref="V69:W69" si="141">IF(AVERAGE(T9:T68) &gt; 0.25, 1, 0)</f>
        <v>0</v>
      </c>
      <c r="W69" s="7">
        <f t="shared" si="141"/>
        <v>0</v>
      </c>
      <c r="X69" s="8">
        <v>0.0</v>
      </c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22.5" customHeight="1">
      <c r="A70" s="6">
        <v>669.0</v>
      </c>
      <c r="B70" s="6">
        <v>14315.0</v>
      </c>
      <c r="C70" s="6">
        <v>1.23</v>
      </c>
      <c r="D70" s="6">
        <v>-0.2</v>
      </c>
      <c r="E70" s="6">
        <v>10.68</v>
      </c>
      <c r="F70" s="6">
        <v>-0.1</v>
      </c>
      <c r="G70" s="6">
        <v>0.0</v>
      </c>
      <c r="H70" s="6">
        <v>-0.01</v>
      </c>
      <c r="I70" s="6">
        <v>33.19</v>
      </c>
      <c r="J70" s="7">
        <f t="shared" ref="J70:O70" si="142">abs(C70-C69)/200</f>
        <v>0</v>
      </c>
      <c r="K70" s="7">
        <f t="shared" si="142"/>
        <v>0</v>
      </c>
      <c r="L70" s="7">
        <f t="shared" si="142"/>
        <v>0</v>
      </c>
      <c r="M70" s="7">
        <f t="shared" si="142"/>
        <v>0</v>
      </c>
      <c r="N70" s="7">
        <f t="shared" si="142"/>
        <v>0</v>
      </c>
      <c r="O70" s="7">
        <f t="shared" si="142"/>
        <v>0</v>
      </c>
      <c r="P70" s="7">
        <f t="shared" si="9"/>
        <v>0</v>
      </c>
      <c r="Q70" s="7">
        <f t="shared" si="10"/>
        <v>0</v>
      </c>
      <c r="R70" s="7">
        <f t="shared" si="3"/>
        <v>0.9524555335</v>
      </c>
      <c r="S70" s="7">
        <f t="shared" si="4"/>
        <v>0.1004987562</v>
      </c>
      <c r="T70" s="7">
        <f t="shared" si="5"/>
        <v>0</v>
      </c>
      <c r="U70" s="7">
        <f t="shared" si="6"/>
        <v>0</v>
      </c>
      <c r="V70" s="7">
        <f t="shared" ref="V70:W70" si="143">IF(AVERAGE(T10:T69) &gt; 0.25, 1, 0)</f>
        <v>0</v>
      </c>
      <c r="W70" s="7">
        <f t="shared" si="143"/>
        <v>0</v>
      </c>
      <c r="X70" s="8">
        <v>0.0</v>
      </c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22.5" customHeight="1">
      <c r="A71" s="6">
        <v>670.0</v>
      </c>
      <c r="B71" s="6">
        <v>14519.0</v>
      </c>
      <c r="C71" s="6">
        <v>1.24</v>
      </c>
      <c r="D71" s="6">
        <v>-0.2</v>
      </c>
      <c r="E71" s="6">
        <v>10.68</v>
      </c>
      <c r="F71" s="6">
        <v>-0.1</v>
      </c>
      <c r="G71" s="6">
        <v>0.0</v>
      </c>
      <c r="H71" s="6">
        <v>-0.01</v>
      </c>
      <c r="I71" s="6">
        <v>33.19</v>
      </c>
      <c r="J71" s="7">
        <f t="shared" ref="J71:O71" si="144">abs(C71-C70)/200</f>
        <v>0.00005</v>
      </c>
      <c r="K71" s="7">
        <f t="shared" si="144"/>
        <v>0</v>
      </c>
      <c r="L71" s="7">
        <f t="shared" si="144"/>
        <v>0</v>
      </c>
      <c r="M71" s="7">
        <f t="shared" si="144"/>
        <v>0</v>
      </c>
      <c r="N71" s="7">
        <f t="shared" si="144"/>
        <v>0</v>
      </c>
      <c r="O71" s="7">
        <f t="shared" si="144"/>
        <v>0</v>
      </c>
      <c r="P71" s="7">
        <f t="shared" si="9"/>
        <v>0</v>
      </c>
      <c r="Q71" s="7">
        <f t="shared" si="10"/>
        <v>0.001148513511</v>
      </c>
      <c r="R71" s="7">
        <f t="shared" si="3"/>
        <v>0.953604047</v>
      </c>
      <c r="S71" s="7">
        <f t="shared" si="4"/>
        <v>0.1004987562</v>
      </c>
      <c r="T71" s="7">
        <f t="shared" si="5"/>
        <v>0</v>
      </c>
      <c r="U71" s="7">
        <f t="shared" si="6"/>
        <v>0</v>
      </c>
      <c r="V71" s="7">
        <f t="shared" ref="V71:W71" si="145">IF(AVERAGE(T11:T70) &gt; 0.25, 1, 0)</f>
        <v>0</v>
      </c>
      <c r="W71" s="7">
        <f t="shared" si="145"/>
        <v>0</v>
      </c>
      <c r="X71" s="8">
        <v>0.0</v>
      </c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22.5" customHeight="1">
      <c r="A72" s="6">
        <v>671.0</v>
      </c>
      <c r="B72" s="6">
        <v>14723.0</v>
      </c>
      <c r="C72" s="6">
        <v>1.23</v>
      </c>
      <c r="D72" s="6">
        <v>-0.2</v>
      </c>
      <c r="E72" s="6">
        <v>10.68</v>
      </c>
      <c r="F72" s="6">
        <v>-0.1</v>
      </c>
      <c r="G72" s="6">
        <v>0.0</v>
      </c>
      <c r="H72" s="6">
        <v>-0.01</v>
      </c>
      <c r="I72" s="6">
        <v>33.19</v>
      </c>
      <c r="J72" s="7">
        <f t="shared" ref="J72:O72" si="146">abs(C72-C71)/200</f>
        <v>0.00005</v>
      </c>
      <c r="K72" s="7">
        <f t="shared" si="146"/>
        <v>0</v>
      </c>
      <c r="L72" s="7">
        <f t="shared" si="146"/>
        <v>0</v>
      </c>
      <c r="M72" s="7">
        <f t="shared" si="146"/>
        <v>0</v>
      </c>
      <c r="N72" s="7">
        <f t="shared" si="146"/>
        <v>0</v>
      </c>
      <c r="O72" s="7">
        <f t="shared" si="146"/>
        <v>0</v>
      </c>
      <c r="P72" s="7">
        <f t="shared" si="9"/>
        <v>0</v>
      </c>
      <c r="Q72" s="7">
        <f t="shared" si="10"/>
        <v>0.001148513511</v>
      </c>
      <c r="R72" s="7">
        <f t="shared" si="3"/>
        <v>0.9524555335</v>
      </c>
      <c r="S72" s="7">
        <f t="shared" si="4"/>
        <v>0.1004987562</v>
      </c>
      <c r="T72" s="7">
        <f t="shared" si="5"/>
        <v>0</v>
      </c>
      <c r="U72" s="7">
        <f t="shared" si="6"/>
        <v>0</v>
      </c>
      <c r="V72" s="7">
        <f t="shared" ref="V72:W72" si="147">IF(AVERAGE(T12:T71) &gt; 0.25, 1, 0)</f>
        <v>0</v>
      </c>
      <c r="W72" s="7">
        <f t="shared" si="147"/>
        <v>0</v>
      </c>
      <c r="X72" s="8">
        <v>0.0</v>
      </c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22.5" customHeight="1">
      <c r="A73" s="6">
        <v>672.0</v>
      </c>
      <c r="B73" s="6">
        <v>14927.0</v>
      </c>
      <c r="C73" s="6">
        <v>1.23</v>
      </c>
      <c r="D73" s="6">
        <v>-0.2</v>
      </c>
      <c r="E73" s="6">
        <v>10.69</v>
      </c>
      <c r="F73" s="6">
        <v>-0.1</v>
      </c>
      <c r="G73" s="6">
        <v>0.0</v>
      </c>
      <c r="H73" s="6">
        <v>-0.01</v>
      </c>
      <c r="I73" s="6">
        <v>33.17</v>
      </c>
      <c r="J73" s="7">
        <f t="shared" ref="J73:O73" si="148">abs(C73-C72)/200</f>
        <v>0</v>
      </c>
      <c r="K73" s="7">
        <f t="shared" si="148"/>
        <v>0</v>
      </c>
      <c r="L73" s="7">
        <f t="shared" si="148"/>
        <v>0.00005</v>
      </c>
      <c r="M73" s="7">
        <f t="shared" si="148"/>
        <v>0</v>
      </c>
      <c r="N73" s="7">
        <f t="shared" si="148"/>
        <v>0</v>
      </c>
      <c r="O73" s="7">
        <f t="shared" si="148"/>
        <v>0</v>
      </c>
      <c r="P73" s="7">
        <f t="shared" si="9"/>
        <v>0</v>
      </c>
      <c r="Q73" s="7">
        <f t="shared" si="10"/>
        <v>0.009932677297</v>
      </c>
      <c r="R73" s="7">
        <f t="shared" si="3"/>
        <v>0.9623882108</v>
      </c>
      <c r="S73" s="7">
        <f t="shared" si="4"/>
        <v>0.1004987562</v>
      </c>
      <c r="T73" s="7">
        <f t="shared" si="5"/>
        <v>0</v>
      </c>
      <c r="U73" s="7">
        <f t="shared" si="6"/>
        <v>0</v>
      </c>
      <c r="V73" s="7">
        <f t="shared" ref="V73:W73" si="149">IF(AVERAGE(T13:T72) &gt; 0.25, 1, 0)</f>
        <v>0</v>
      </c>
      <c r="W73" s="7">
        <f t="shared" si="149"/>
        <v>0</v>
      </c>
      <c r="X73" s="8">
        <v>0.0</v>
      </c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22.5" customHeight="1">
      <c r="A74" s="6">
        <v>673.0</v>
      </c>
      <c r="B74" s="6">
        <v>15131.0</v>
      </c>
      <c r="C74" s="6">
        <v>1.23</v>
      </c>
      <c r="D74" s="6">
        <v>-0.2</v>
      </c>
      <c r="E74" s="6">
        <v>10.69</v>
      </c>
      <c r="F74" s="6">
        <v>-0.1</v>
      </c>
      <c r="G74" s="6">
        <v>0.0</v>
      </c>
      <c r="H74" s="6">
        <v>-0.01</v>
      </c>
      <c r="I74" s="6">
        <v>33.19</v>
      </c>
      <c r="J74" s="7">
        <f t="shared" ref="J74:O74" si="150">abs(C74-C73)/200</f>
        <v>0</v>
      </c>
      <c r="K74" s="7">
        <f t="shared" si="150"/>
        <v>0</v>
      </c>
      <c r="L74" s="7">
        <f t="shared" si="150"/>
        <v>0</v>
      </c>
      <c r="M74" s="7">
        <f t="shared" si="150"/>
        <v>0</v>
      </c>
      <c r="N74" s="7">
        <f t="shared" si="150"/>
        <v>0</v>
      </c>
      <c r="O74" s="7">
        <f t="shared" si="150"/>
        <v>0</v>
      </c>
      <c r="P74" s="7">
        <f t="shared" si="9"/>
        <v>0</v>
      </c>
      <c r="Q74" s="7">
        <f t="shared" si="10"/>
        <v>0</v>
      </c>
      <c r="R74" s="7">
        <f t="shared" si="3"/>
        <v>0.9623882108</v>
      </c>
      <c r="S74" s="7">
        <f t="shared" si="4"/>
        <v>0.1004987562</v>
      </c>
      <c r="T74" s="7">
        <f t="shared" si="5"/>
        <v>0</v>
      </c>
      <c r="U74" s="7">
        <f t="shared" si="6"/>
        <v>0</v>
      </c>
      <c r="V74" s="7">
        <f t="shared" ref="V74:W74" si="151">IF(AVERAGE(T14:T73) &gt; 0.25, 1, 0)</f>
        <v>0</v>
      </c>
      <c r="W74" s="7">
        <f t="shared" si="151"/>
        <v>0</v>
      </c>
      <c r="X74" s="8">
        <v>0.0</v>
      </c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22.5" customHeight="1">
      <c r="A75" s="6">
        <v>674.0</v>
      </c>
      <c r="B75" s="6">
        <v>15335.0</v>
      </c>
      <c r="C75" s="6">
        <v>1.22</v>
      </c>
      <c r="D75" s="6">
        <v>-0.2</v>
      </c>
      <c r="E75" s="6">
        <v>10.68</v>
      </c>
      <c r="F75" s="6">
        <v>-0.1</v>
      </c>
      <c r="G75" s="6">
        <v>0.0</v>
      </c>
      <c r="H75" s="6">
        <v>-0.01</v>
      </c>
      <c r="I75" s="6">
        <v>33.19</v>
      </c>
      <c r="J75" s="7">
        <f t="shared" ref="J75:O75" si="152">abs(C75-C74)/200</f>
        <v>0.00005</v>
      </c>
      <c r="K75" s="7">
        <f t="shared" si="152"/>
        <v>0</v>
      </c>
      <c r="L75" s="7">
        <f t="shared" si="152"/>
        <v>0.00005</v>
      </c>
      <c r="M75" s="7">
        <f t="shared" si="152"/>
        <v>0</v>
      </c>
      <c r="N75" s="7">
        <f t="shared" si="152"/>
        <v>0</v>
      </c>
      <c r="O75" s="7">
        <f t="shared" si="152"/>
        <v>0</v>
      </c>
      <c r="P75" s="7">
        <f t="shared" si="9"/>
        <v>0</v>
      </c>
      <c r="Q75" s="7">
        <f t="shared" si="10"/>
        <v>0.01107201231</v>
      </c>
      <c r="R75" s="7">
        <f t="shared" si="3"/>
        <v>0.9513161985</v>
      </c>
      <c r="S75" s="7">
        <f t="shared" si="4"/>
        <v>0.1004987562</v>
      </c>
      <c r="T75" s="7">
        <f t="shared" si="5"/>
        <v>0</v>
      </c>
      <c r="U75" s="7">
        <f t="shared" si="6"/>
        <v>0</v>
      </c>
      <c r="V75" s="7">
        <f t="shared" ref="V75:W75" si="153">IF(AVERAGE(T15:T74) &gt; 0.25, 1, 0)</f>
        <v>0</v>
      </c>
      <c r="W75" s="7">
        <f t="shared" si="153"/>
        <v>0</v>
      </c>
      <c r="X75" s="8">
        <v>0.0</v>
      </c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22.5" customHeight="1">
      <c r="A76" s="6">
        <v>675.0</v>
      </c>
      <c r="B76" s="6">
        <v>15539.0</v>
      </c>
      <c r="C76" s="6">
        <v>1.23</v>
      </c>
      <c r="D76" s="6">
        <v>-0.2</v>
      </c>
      <c r="E76" s="6">
        <v>10.68</v>
      </c>
      <c r="F76" s="6">
        <v>-0.1</v>
      </c>
      <c r="G76" s="6">
        <v>0.0</v>
      </c>
      <c r="H76" s="6">
        <v>-0.01</v>
      </c>
      <c r="I76" s="6">
        <v>33.19</v>
      </c>
      <c r="J76" s="7">
        <f t="shared" ref="J76:O76" si="154">abs(C76-C75)/200</f>
        <v>0.00005</v>
      </c>
      <c r="K76" s="7">
        <f t="shared" si="154"/>
        <v>0</v>
      </c>
      <c r="L76" s="7">
        <f t="shared" si="154"/>
        <v>0</v>
      </c>
      <c r="M76" s="7">
        <f t="shared" si="154"/>
        <v>0</v>
      </c>
      <c r="N76" s="7">
        <f t="shared" si="154"/>
        <v>0</v>
      </c>
      <c r="O76" s="7">
        <f t="shared" si="154"/>
        <v>0</v>
      </c>
      <c r="P76" s="7">
        <f t="shared" si="9"/>
        <v>0</v>
      </c>
      <c r="Q76" s="7">
        <f t="shared" si="10"/>
        <v>0.001139335011</v>
      </c>
      <c r="R76" s="7">
        <f t="shared" si="3"/>
        <v>0.9524555335</v>
      </c>
      <c r="S76" s="7">
        <f t="shared" si="4"/>
        <v>0.1004987562</v>
      </c>
      <c r="T76" s="7">
        <f t="shared" si="5"/>
        <v>0</v>
      </c>
      <c r="U76" s="7">
        <f t="shared" si="6"/>
        <v>0</v>
      </c>
      <c r="V76" s="7">
        <f t="shared" ref="V76:W76" si="155">IF(AVERAGE(T16:T75) &gt; 0.25, 1, 0)</f>
        <v>0</v>
      </c>
      <c r="W76" s="7">
        <f t="shared" si="155"/>
        <v>0</v>
      </c>
      <c r="X76" s="8">
        <v>0.0</v>
      </c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22.5" customHeight="1">
      <c r="A77" s="6">
        <v>676.0</v>
      </c>
      <c r="B77" s="6">
        <v>15743.0</v>
      </c>
      <c r="C77" s="6">
        <v>1.24</v>
      </c>
      <c r="D77" s="6">
        <v>-0.2</v>
      </c>
      <c r="E77" s="6">
        <v>10.68</v>
      </c>
      <c r="F77" s="6">
        <v>-0.1</v>
      </c>
      <c r="G77" s="6">
        <v>0.0</v>
      </c>
      <c r="H77" s="6">
        <v>-0.01</v>
      </c>
      <c r="I77" s="6">
        <v>33.18</v>
      </c>
      <c r="J77" s="7">
        <f t="shared" ref="J77:O77" si="156">abs(C77-C76)/200</f>
        <v>0.00005</v>
      </c>
      <c r="K77" s="7">
        <f t="shared" si="156"/>
        <v>0</v>
      </c>
      <c r="L77" s="7">
        <f t="shared" si="156"/>
        <v>0</v>
      </c>
      <c r="M77" s="7">
        <f t="shared" si="156"/>
        <v>0</v>
      </c>
      <c r="N77" s="7">
        <f t="shared" si="156"/>
        <v>0</v>
      </c>
      <c r="O77" s="7">
        <f t="shared" si="156"/>
        <v>0</v>
      </c>
      <c r="P77" s="7">
        <f t="shared" si="9"/>
        <v>0</v>
      </c>
      <c r="Q77" s="7">
        <f t="shared" si="10"/>
        <v>0.001148513511</v>
      </c>
      <c r="R77" s="7">
        <f t="shared" si="3"/>
        <v>0.953604047</v>
      </c>
      <c r="S77" s="7">
        <f t="shared" si="4"/>
        <v>0.1004987562</v>
      </c>
      <c r="T77" s="7">
        <f t="shared" si="5"/>
        <v>0</v>
      </c>
      <c r="U77" s="7">
        <f t="shared" si="6"/>
        <v>0</v>
      </c>
      <c r="V77" s="7">
        <f t="shared" ref="V77:W77" si="157">IF(AVERAGE(T17:T76) &gt; 0.25, 1, 0)</f>
        <v>0</v>
      </c>
      <c r="W77" s="7">
        <f t="shared" si="157"/>
        <v>0</v>
      </c>
      <c r="X77" s="8">
        <v>0.0</v>
      </c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22.5" customHeight="1">
      <c r="A78" s="6">
        <v>677.0</v>
      </c>
      <c r="B78" s="6">
        <v>15947.0</v>
      </c>
      <c r="C78" s="6">
        <v>1.24</v>
      </c>
      <c r="D78" s="6">
        <v>-0.2</v>
      </c>
      <c r="E78" s="6">
        <v>10.68</v>
      </c>
      <c r="F78" s="6">
        <v>-0.1</v>
      </c>
      <c r="G78" s="6">
        <v>0.0</v>
      </c>
      <c r="H78" s="6">
        <v>-0.01</v>
      </c>
      <c r="I78" s="6">
        <v>33.19</v>
      </c>
      <c r="J78" s="7">
        <f t="shared" ref="J78:O78" si="158">abs(C78-C77)/200</f>
        <v>0</v>
      </c>
      <c r="K78" s="7">
        <f t="shared" si="158"/>
        <v>0</v>
      </c>
      <c r="L78" s="7">
        <f t="shared" si="158"/>
        <v>0</v>
      </c>
      <c r="M78" s="7">
        <f t="shared" si="158"/>
        <v>0</v>
      </c>
      <c r="N78" s="7">
        <f t="shared" si="158"/>
        <v>0</v>
      </c>
      <c r="O78" s="7">
        <f t="shared" si="158"/>
        <v>0</v>
      </c>
      <c r="P78" s="7">
        <f t="shared" si="9"/>
        <v>0</v>
      </c>
      <c r="Q78" s="7">
        <f t="shared" si="10"/>
        <v>0</v>
      </c>
      <c r="R78" s="7">
        <f t="shared" si="3"/>
        <v>0.953604047</v>
      </c>
      <c r="S78" s="7">
        <f t="shared" si="4"/>
        <v>0.1004987562</v>
      </c>
      <c r="T78" s="7">
        <f t="shared" si="5"/>
        <v>0</v>
      </c>
      <c r="U78" s="7">
        <f t="shared" si="6"/>
        <v>0</v>
      </c>
      <c r="V78" s="7">
        <f t="shared" ref="V78:W78" si="159">IF(AVERAGE(T18:T77) &gt; 0.25, 1, 0)</f>
        <v>0</v>
      </c>
      <c r="W78" s="7">
        <f t="shared" si="159"/>
        <v>0</v>
      </c>
      <c r="X78" s="8">
        <v>0.0</v>
      </c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22.5" customHeight="1">
      <c r="A79" s="6">
        <v>678.0</v>
      </c>
      <c r="B79" s="6">
        <v>16151.0</v>
      </c>
      <c r="C79" s="6">
        <v>1.23</v>
      </c>
      <c r="D79" s="6">
        <v>-0.19</v>
      </c>
      <c r="E79" s="6">
        <v>10.69</v>
      </c>
      <c r="F79" s="6">
        <v>-0.1</v>
      </c>
      <c r="G79" s="6">
        <v>0.0</v>
      </c>
      <c r="H79" s="6">
        <v>-0.01</v>
      </c>
      <c r="I79" s="6">
        <v>33.19</v>
      </c>
      <c r="J79" s="7">
        <f t="shared" ref="J79:O79" si="160">abs(C79-C78)/200</f>
        <v>0.00005</v>
      </c>
      <c r="K79" s="7">
        <f t="shared" si="160"/>
        <v>0.00005</v>
      </c>
      <c r="L79" s="7">
        <f t="shared" si="160"/>
        <v>0.00005</v>
      </c>
      <c r="M79" s="7">
        <f t="shared" si="160"/>
        <v>0</v>
      </c>
      <c r="N79" s="7">
        <f t="shared" si="160"/>
        <v>0</v>
      </c>
      <c r="O79" s="7">
        <f t="shared" si="160"/>
        <v>0</v>
      </c>
      <c r="P79" s="7">
        <f t="shared" si="9"/>
        <v>0</v>
      </c>
      <c r="Q79" s="7">
        <f t="shared" si="10"/>
        <v>0.008602975709</v>
      </c>
      <c r="R79" s="7">
        <f t="shared" si="3"/>
        <v>0.9622070227</v>
      </c>
      <c r="S79" s="7">
        <f t="shared" si="4"/>
        <v>0.1004987562</v>
      </c>
      <c r="T79" s="7">
        <f t="shared" si="5"/>
        <v>0</v>
      </c>
      <c r="U79" s="7">
        <f t="shared" si="6"/>
        <v>0</v>
      </c>
      <c r="V79" s="7">
        <f t="shared" ref="V79:W79" si="161">IF(AVERAGE(T19:T78) &gt; 0.25, 1, 0)</f>
        <v>0</v>
      </c>
      <c r="W79" s="7">
        <f t="shared" si="161"/>
        <v>0</v>
      </c>
      <c r="X79" s="8">
        <v>0.0</v>
      </c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22.5" customHeight="1">
      <c r="A80" s="6">
        <v>679.0</v>
      </c>
      <c r="B80" s="6">
        <v>16355.0</v>
      </c>
      <c r="C80" s="6">
        <v>1.23</v>
      </c>
      <c r="D80" s="6">
        <v>-0.19</v>
      </c>
      <c r="E80" s="6">
        <v>10.69</v>
      </c>
      <c r="F80" s="6">
        <v>-0.1</v>
      </c>
      <c r="G80" s="6">
        <v>0.0</v>
      </c>
      <c r="H80" s="6">
        <v>-0.01</v>
      </c>
      <c r="I80" s="6">
        <v>33.19</v>
      </c>
      <c r="J80" s="7">
        <f t="shared" ref="J80:O80" si="162">abs(C80-C79)/200</f>
        <v>0</v>
      </c>
      <c r="K80" s="7">
        <f t="shared" si="162"/>
        <v>0</v>
      </c>
      <c r="L80" s="7">
        <f t="shared" si="162"/>
        <v>0</v>
      </c>
      <c r="M80" s="7">
        <f t="shared" si="162"/>
        <v>0</v>
      </c>
      <c r="N80" s="7">
        <f t="shared" si="162"/>
        <v>0</v>
      </c>
      <c r="O80" s="7">
        <f t="shared" si="162"/>
        <v>0</v>
      </c>
      <c r="P80" s="7">
        <f t="shared" si="9"/>
        <v>0</v>
      </c>
      <c r="Q80" s="7">
        <f t="shared" si="10"/>
        <v>0</v>
      </c>
      <c r="R80" s="7">
        <f t="shared" si="3"/>
        <v>0.9622070227</v>
      </c>
      <c r="S80" s="7">
        <f t="shared" si="4"/>
        <v>0.1004987562</v>
      </c>
      <c r="T80" s="7">
        <f t="shared" si="5"/>
        <v>0</v>
      </c>
      <c r="U80" s="7">
        <f t="shared" si="6"/>
        <v>0</v>
      </c>
      <c r="V80" s="7">
        <f t="shared" ref="V80:W80" si="163">IF(AVERAGE(T20:T79) &gt; 0.25, 1, 0)</f>
        <v>0</v>
      </c>
      <c r="W80" s="7">
        <f t="shared" si="163"/>
        <v>0</v>
      </c>
      <c r="X80" s="8">
        <v>0.0</v>
      </c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22.5" customHeight="1">
      <c r="A81" s="6">
        <v>680.0</v>
      </c>
      <c r="B81" s="6">
        <v>16559.0</v>
      </c>
      <c r="C81" s="6">
        <v>1.24</v>
      </c>
      <c r="D81" s="6">
        <v>-0.2</v>
      </c>
      <c r="E81" s="6">
        <v>10.68</v>
      </c>
      <c r="F81" s="6">
        <v>-0.1</v>
      </c>
      <c r="G81" s="6">
        <v>0.0</v>
      </c>
      <c r="H81" s="6">
        <v>-0.01</v>
      </c>
      <c r="I81" s="6">
        <v>33.19</v>
      </c>
      <c r="J81" s="7">
        <f t="shared" ref="J81:O81" si="164">abs(C81-C80)/200</f>
        <v>0.00005</v>
      </c>
      <c r="K81" s="7">
        <f t="shared" si="164"/>
        <v>0.00005</v>
      </c>
      <c r="L81" s="7">
        <f t="shared" si="164"/>
        <v>0.00005</v>
      </c>
      <c r="M81" s="7">
        <f t="shared" si="164"/>
        <v>0</v>
      </c>
      <c r="N81" s="7">
        <f t="shared" si="164"/>
        <v>0</v>
      </c>
      <c r="O81" s="7">
        <f t="shared" si="164"/>
        <v>0</v>
      </c>
      <c r="P81" s="7">
        <f t="shared" si="9"/>
        <v>0</v>
      </c>
      <c r="Q81" s="7">
        <f t="shared" si="10"/>
        <v>0.008602975709</v>
      </c>
      <c r="R81" s="7">
        <f t="shared" si="3"/>
        <v>0.953604047</v>
      </c>
      <c r="S81" s="7">
        <f t="shared" si="4"/>
        <v>0.1004987562</v>
      </c>
      <c r="T81" s="7">
        <f t="shared" si="5"/>
        <v>0</v>
      </c>
      <c r="U81" s="7">
        <f t="shared" si="6"/>
        <v>0</v>
      </c>
      <c r="V81" s="7">
        <f t="shared" ref="V81:W81" si="165">IF(AVERAGE(T21:T80) &gt; 0.25, 1, 0)</f>
        <v>0</v>
      </c>
      <c r="W81" s="7">
        <f t="shared" si="165"/>
        <v>0</v>
      </c>
      <c r="X81" s="8">
        <v>0.0</v>
      </c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22.5" customHeight="1">
      <c r="A82" s="6">
        <v>681.0</v>
      </c>
      <c r="B82" s="6">
        <v>16763.0</v>
      </c>
      <c r="C82" s="6">
        <v>1.24</v>
      </c>
      <c r="D82" s="6">
        <v>-0.2</v>
      </c>
      <c r="E82" s="6">
        <v>10.68</v>
      </c>
      <c r="F82" s="6">
        <v>-0.1</v>
      </c>
      <c r="G82" s="6">
        <v>0.0</v>
      </c>
      <c r="H82" s="6">
        <v>-0.01</v>
      </c>
      <c r="I82" s="6">
        <v>33.2</v>
      </c>
      <c r="J82" s="7">
        <f t="shared" ref="J82:O82" si="166">abs(C82-C81)/200</f>
        <v>0</v>
      </c>
      <c r="K82" s="7">
        <f t="shared" si="166"/>
        <v>0</v>
      </c>
      <c r="L82" s="7">
        <f t="shared" si="166"/>
        <v>0</v>
      </c>
      <c r="M82" s="7">
        <f t="shared" si="166"/>
        <v>0</v>
      </c>
      <c r="N82" s="7">
        <f t="shared" si="166"/>
        <v>0</v>
      </c>
      <c r="O82" s="7">
        <f t="shared" si="166"/>
        <v>0</v>
      </c>
      <c r="P82" s="7">
        <f t="shared" si="9"/>
        <v>0</v>
      </c>
      <c r="Q82" s="7">
        <f t="shared" si="10"/>
        <v>0</v>
      </c>
      <c r="R82" s="7">
        <f t="shared" si="3"/>
        <v>0.953604047</v>
      </c>
      <c r="S82" s="7">
        <f t="shared" si="4"/>
        <v>0.1004987562</v>
      </c>
      <c r="T82" s="7">
        <f t="shared" si="5"/>
        <v>0</v>
      </c>
      <c r="U82" s="7">
        <f t="shared" si="6"/>
        <v>0</v>
      </c>
      <c r="V82" s="7">
        <f t="shared" ref="V82:W82" si="167">IF(AVERAGE(T22:T81) &gt; 0.25, 1, 0)</f>
        <v>0</v>
      </c>
      <c r="W82" s="7">
        <f t="shared" si="167"/>
        <v>0</v>
      </c>
      <c r="X82" s="8">
        <v>0.0</v>
      </c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ht="22.5" customHeight="1">
      <c r="A83" s="6">
        <v>682.0</v>
      </c>
      <c r="B83" s="6">
        <v>16967.0</v>
      </c>
      <c r="C83" s="6">
        <v>1.22</v>
      </c>
      <c r="D83" s="6">
        <v>-0.2</v>
      </c>
      <c r="E83" s="6">
        <v>10.68</v>
      </c>
      <c r="F83" s="6">
        <v>-0.1</v>
      </c>
      <c r="G83" s="6">
        <v>0.0</v>
      </c>
      <c r="H83" s="6">
        <v>-0.01</v>
      </c>
      <c r="I83" s="6">
        <v>33.18</v>
      </c>
      <c r="J83" s="7">
        <f t="shared" ref="J83:O83" si="168">abs(C83-C82)/200</f>
        <v>0.0001</v>
      </c>
      <c r="K83" s="7">
        <f t="shared" si="168"/>
        <v>0</v>
      </c>
      <c r="L83" s="7">
        <f t="shared" si="168"/>
        <v>0</v>
      </c>
      <c r="M83" s="7">
        <f t="shared" si="168"/>
        <v>0</v>
      </c>
      <c r="N83" s="7">
        <f t="shared" si="168"/>
        <v>0</v>
      </c>
      <c r="O83" s="7">
        <f t="shared" si="168"/>
        <v>0</v>
      </c>
      <c r="P83" s="7">
        <f t="shared" si="9"/>
        <v>0</v>
      </c>
      <c r="Q83" s="7">
        <f t="shared" si="10"/>
        <v>0.002287848522</v>
      </c>
      <c r="R83" s="7">
        <f t="shared" si="3"/>
        <v>0.9513161985</v>
      </c>
      <c r="S83" s="7">
        <f t="shared" si="4"/>
        <v>0.1004987562</v>
      </c>
      <c r="T83" s="7">
        <f t="shared" si="5"/>
        <v>0</v>
      </c>
      <c r="U83" s="7">
        <f t="shared" si="6"/>
        <v>0</v>
      </c>
      <c r="V83" s="7">
        <f t="shared" ref="V83:W83" si="169">IF(AVERAGE(T23:T82) &gt; 0.25, 1, 0)</f>
        <v>0</v>
      </c>
      <c r="W83" s="7">
        <f t="shared" si="169"/>
        <v>0</v>
      </c>
      <c r="X83" s="8">
        <v>0.0</v>
      </c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ht="22.5" customHeight="1">
      <c r="A84" s="6">
        <v>683.0</v>
      </c>
      <c r="B84" s="6">
        <v>17171.0</v>
      </c>
      <c r="C84" s="6">
        <v>1.22</v>
      </c>
      <c r="D84" s="6">
        <v>-0.2</v>
      </c>
      <c r="E84" s="6">
        <v>10.68</v>
      </c>
      <c r="F84" s="6">
        <v>-0.1</v>
      </c>
      <c r="G84" s="6">
        <v>0.0</v>
      </c>
      <c r="H84" s="6">
        <v>-0.01</v>
      </c>
      <c r="I84" s="6">
        <v>33.19</v>
      </c>
      <c r="J84" s="7">
        <f t="shared" ref="J84:O84" si="170">abs(C84-C83)/200</f>
        <v>0</v>
      </c>
      <c r="K84" s="7">
        <f t="shared" si="170"/>
        <v>0</v>
      </c>
      <c r="L84" s="7">
        <f t="shared" si="170"/>
        <v>0</v>
      </c>
      <c r="M84" s="7">
        <f t="shared" si="170"/>
        <v>0</v>
      </c>
      <c r="N84" s="7">
        <f t="shared" si="170"/>
        <v>0</v>
      </c>
      <c r="O84" s="7">
        <f t="shared" si="170"/>
        <v>0</v>
      </c>
      <c r="P84" s="7">
        <f t="shared" si="9"/>
        <v>0</v>
      </c>
      <c r="Q84" s="7">
        <f t="shared" si="10"/>
        <v>0</v>
      </c>
      <c r="R84" s="7">
        <f t="shared" si="3"/>
        <v>0.9513161985</v>
      </c>
      <c r="S84" s="7">
        <f t="shared" si="4"/>
        <v>0.1004987562</v>
      </c>
      <c r="T84" s="7">
        <f t="shared" si="5"/>
        <v>0</v>
      </c>
      <c r="U84" s="7">
        <f t="shared" si="6"/>
        <v>0</v>
      </c>
      <c r="V84" s="7">
        <f t="shared" ref="V84:W84" si="171">IF(AVERAGE(T24:T83) &gt; 0.25, 1, 0)</f>
        <v>0</v>
      </c>
      <c r="W84" s="7">
        <f t="shared" si="171"/>
        <v>0</v>
      </c>
      <c r="X84" s="8">
        <v>0.0</v>
      </c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ht="22.5" customHeight="1">
      <c r="A85" s="6">
        <v>684.0</v>
      </c>
      <c r="B85" s="6">
        <v>17375.0</v>
      </c>
      <c r="C85" s="6">
        <v>1.24</v>
      </c>
      <c r="D85" s="6">
        <v>-0.2</v>
      </c>
      <c r="E85" s="6">
        <v>10.68</v>
      </c>
      <c r="F85" s="6">
        <v>-0.1</v>
      </c>
      <c r="G85" s="6">
        <v>0.0</v>
      </c>
      <c r="H85" s="6">
        <v>-0.01</v>
      </c>
      <c r="I85" s="6">
        <v>33.2</v>
      </c>
      <c r="J85" s="7">
        <f t="shared" ref="J85:O85" si="172">abs(C85-C84)/200</f>
        <v>0.0001</v>
      </c>
      <c r="K85" s="7">
        <f t="shared" si="172"/>
        <v>0</v>
      </c>
      <c r="L85" s="7">
        <f t="shared" si="172"/>
        <v>0</v>
      </c>
      <c r="M85" s="7">
        <f t="shared" si="172"/>
        <v>0</v>
      </c>
      <c r="N85" s="7">
        <f t="shared" si="172"/>
        <v>0</v>
      </c>
      <c r="O85" s="7">
        <f t="shared" si="172"/>
        <v>0</v>
      </c>
      <c r="P85" s="7">
        <f t="shared" si="9"/>
        <v>0</v>
      </c>
      <c r="Q85" s="7">
        <f t="shared" si="10"/>
        <v>0.002287848522</v>
      </c>
      <c r="R85" s="7">
        <f t="shared" si="3"/>
        <v>0.953604047</v>
      </c>
      <c r="S85" s="7">
        <f t="shared" si="4"/>
        <v>0.1004987562</v>
      </c>
      <c r="T85" s="7">
        <f t="shared" si="5"/>
        <v>0</v>
      </c>
      <c r="U85" s="7">
        <f t="shared" si="6"/>
        <v>0</v>
      </c>
      <c r="V85" s="7">
        <f t="shared" ref="V85:W85" si="173">IF(AVERAGE(T25:T84) &gt; 0.25, 1, 0)</f>
        <v>0</v>
      </c>
      <c r="W85" s="7">
        <f t="shared" si="173"/>
        <v>0</v>
      </c>
      <c r="X85" s="8">
        <v>0.0</v>
      </c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ht="22.5" customHeight="1">
      <c r="A86" s="6">
        <v>685.0</v>
      </c>
      <c r="B86" s="6">
        <v>17579.0</v>
      </c>
      <c r="C86" s="6">
        <v>1.23</v>
      </c>
      <c r="D86" s="6">
        <v>-0.19</v>
      </c>
      <c r="E86" s="6">
        <v>10.69</v>
      </c>
      <c r="F86" s="6">
        <v>-0.1</v>
      </c>
      <c r="G86" s="6">
        <v>0.0</v>
      </c>
      <c r="H86" s="6">
        <v>-0.01</v>
      </c>
      <c r="I86" s="6">
        <v>33.19</v>
      </c>
      <c r="J86" s="7">
        <f t="shared" ref="J86:O86" si="174">abs(C86-C85)/200</f>
        <v>0.00005</v>
      </c>
      <c r="K86" s="7">
        <f t="shared" si="174"/>
        <v>0.00005</v>
      </c>
      <c r="L86" s="7">
        <f t="shared" si="174"/>
        <v>0.00005</v>
      </c>
      <c r="M86" s="7">
        <f t="shared" si="174"/>
        <v>0</v>
      </c>
      <c r="N86" s="7">
        <f t="shared" si="174"/>
        <v>0</v>
      </c>
      <c r="O86" s="7">
        <f t="shared" si="174"/>
        <v>0</v>
      </c>
      <c r="P86" s="7">
        <f t="shared" si="9"/>
        <v>0</v>
      </c>
      <c r="Q86" s="7">
        <f t="shared" si="10"/>
        <v>0.008602975709</v>
      </c>
      <c r="R86" s="7">
        <f t="shared" si="3"/>
        <v>0.9622070227</v>
      </c>
      <c r="S86" s="7">
        <f t="shared" si="4"/>
        <v>0.1004987562</v>
      </c>
      <c r="T86" s="7">
        <f t="shared" si="5"/>
        <v>0</v>
      </c>
      <c r="U86" s="7">
        <f t="shared" si="6"/>
        <v>0</v>
      </c>
      <c r="V86" s="7">
        <f t="shared" ref="V86:W86" si="175">IF(AVERAGE(T26:T85) &gt; 0.25, 1, 0)</f>
        <v>0</v>
      </c>
      <c r="W86" s="7">
        <f t="shared" si="175"/>
        <v>0</v>
      </c>
      <c r="X86" s="8">
        <v>0.0</v>
      </c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ht="22.5" customHeight="1">
      <c r="A87" s="6">
        <v>686.0</v>
      </c>
      <c r="B87" s="6">
        <v>17783.0</v>
      </c>
      <c r="C87" s="6">
        <v>1.24</v>
      </c>
      <c r="D87" s="6">
        <v>-0.21</v>
      </c>
      <c r="E87" s="6">
        <v>10.67</v>
      </c>
      <c r="F87" s="6">
        <v>-0.1</v>
      </c>
      <c r="G87" s="6">
        <v>0.0</v>
      </c>
      <c r="H87" s="6">
        <v>-0.01</v>
      </c>
      <c r="I87" s="6">
        <v>33.19</v>
      </c>
      <c r="J87" s="7">
        <f t="shared" ref="J87:O87" si="176">abs(C87-C86)/200</f>
        <v>0.00005</v>
      </c>
      <c r="K87" s="7">
        <f t="shared" si="176"/>
        <v>0.0001</v>
      </c>
      <c r="L87" s="7">
        <f t="shared" si="176"/>
        <v>0.0001</v>
      </c>
      <c r="M87" s="7">
        <f t="shared" si="176"/>
        <v>0</v>
      </c>
      <c r="N87" s="7">
        <f t="shared" si="176"/>
        <v>0</v>
      </c>
      <c r="O87" s="7">
        <f t="shared" si="176"/>
        <v>0</v>
      </c>
      <c r="P87" s="7">
        <f t="shared" si="9"/>
        <v>0</v>
      </c>
      <c r="Q87" s="7">
        <f t="shared" si="10"/>
        <v>0.01834365799</v>
      </c>
      <c r="R87" s="7">
        <f t="shared" si="3"/>
        <v>0.9438633647</v>
      </c>
      <c r="S87" s="7">
        <f t="shared" si="4"/>
        <v>0.1004987562</v>
      </c>
      <c r="T87" s="7">
        <f t="shared" si="5"/>
        <v>0</v>
      </c>
      <c r="U87" s="7">
        <f t="shared" si="6"/>
        <v>0</v>
      </c>
      <c r="V87" s="7">
        <f t="shared" ref="V87:W87" si="177">IF(AVERAGE(T27:T86) &gt; 0.25, 1, 0)</f>
        <v>0</v>
      </c>
      <c r="W87" s="7">
        <f t="shared" si="177"/>
        <v>0</v>
      </c>
      <c r="X87" s="8">
        <v>0.0</v>
      </c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ht="22.5" customHeight="1">
      <c r="A88" s="6">
        <v>687.0</v>
      </c>
      <c r="B88" s="6">
        <v>17987.0</v>
      </c>
      <c r="C88" s="6">
        <v>1.24</v>
      </c>
      <c r="D88" s="6">
        <v>-0.2</v>
      </c>
      <c r="E88" s="6">
        <v>10.68</v>
      </c>
      <c r="F88" s="6">
        <v>-0.1</v>
      </c>
      <c r="G88" s="6">
        <v>0.0</v>
      </c>
      <c r="H88" s="6">
        <v>-0.01</v>
      </c>
      <c r="I88" s="6">
        <v>33.2</v>
      </c>
      <c r="J88" s="7">
        <f t="shared" ref="J88:O88" si="178">abs(C88-C87)/200</f>
        <v>0</v>
      </c>
      <c r="K88" s="7">
        <f t="shared" si="178"/>
        <v>0.00005</v>
      </c>
      <c r="L88" s="7">
        <f t="shared" si="178"/>
        <v>0.00005</v>
      </c>
      <c r="M88" s="7">
        <f t="shared" si="178"/>
        <v>0</v>
      </c>
      <c r="N88" s="7">
        <f t="shared" si="178"/>
        <v>0</v>
      </c>
      <c r="O88" s="7">
        <f t="shared" si="178"/>
        <v>0</v>
      </c>
      <c r="P88" s="7">
        <f t="shared" si="9"/>
        <v>0</v>
      </c>
      <c r="Q88" s="7">
        <f t="shared" si="10"/>
        <v>0.009740682285</v>
      </c>
      <c r="R88" s="7">
        <f t="shared" si="3"/>
        <v>0.953604047</v>
      </c>
      <c r="S88" s="7">
        <f t="shared" si="4"/>
        <v>0.1004987562</v>
      </c>
      <c r="T88" s="7">
        <f t="shared" si="5"/>
        <v>0</v>
      </c>
      <c r="U88" s="7">
        <f t="shared" si="6"/>
        <v>0</v>
      </c>
      <c r="V88" s="7">
        <f t="shared" ref="V88:W88" si="179">IF(AVERAGE(T28:T87) &gt; 0.25, 1, 0)</f>
        <v>0</v>
      </c>
      <c r="W88" s="7">
        <f t="shared" si="179"/>
        <v>0</v>
      </c>
      <c r="X88" s="8">
        <v>0.0</v>
      </c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ht="22.5" customHeight="1">
      <c r="A89" s="6">
        <v>688.0</v>
      </c>
      <c r="B89" s="6">
        <v>18191.0</v>
      </c>
      <c r="C89" s="6">
        <v>1.23</v>
      </c>
      <c r="D89" s="6">
        <v>-0.2</v>
      </c>
      <c r="E89" s="6">
        <v>10.69</v>
      </c>
      <c r="F89" s="6">
        <v>-0.1</v>
      </c>
      <c r="G89" s="6">
        <v>0.0</v>
      </c>
      <c r="H89" s="6">
        <v>-0.01</v>
      </c>
      <c r="I89" s="6">
        <v>33.21</v>
      </c>
      <c r="J89" s="7">
        <f t="shared" ref="J89:O89" si="180">abs(C89-C88)/200</f>
        <v>0.00005</v>
      </c>
      <c r="K89" s="7">
        <f t="shared" si="180"/>
        <v>0</v>
      </c>
      <c r="L89" s="7">
        <f t="shared" si="180"/>
        <v>0.00005</v>
      </c>
      <c r="M89" s="7">
        <f t="shared" si="180"/>
        <v>0</v>
      </c>
      <c r="N89" s="7">
        <f t="shared" si="180"/>
        <v>0</v>
      </c>
      <c r="O89" s="7">
        <f t="shared" si="180"/>
        <v>0</v>
      </c>
      <c r="P89" s="7">
        <f t="shared" si="9"/>
        <v>0</v>
      </c>
      <c r="Q89" s="7">
        <f t="shared" si="10"/>
        <v>0.008784163785</v>
      </c>
      <c r="R89" s="7">
        <f t="shared" si="3"/>
        <v>0.9623882108</v>
      </c>
      <c r="S89" s="7">
        <f t="shared" si="4"/>
        <v>0.1004987562</v>
      </c>
      <c r="T89" s="7">
        <f t="shared" si="5"/>
        <v>0</v>
      </c>
      <c r="U89" s="7">
        <f t="shared" si="6"/>
        <v>0</v>
      </c>
      <c r="V89" s="7">
        <f t="shared" ref="V89:W89" si="181">IF(AVERAGE(T29:T88) &gt; 0.25, 1, 0)</f>
        <v>0</v>
      </c>
      <c r="W89" s="7">
        <f t="shared" si="181"/>
        <v>0</v>
      </c>
      <c r="X89" s="8">
        <v>0.0</v>
      </c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ht="22.5" customHeight="1">
      <c r="A90" s="6">
        <v>689.0</v>
      </c>
      <c r="B90" s="6">
        <v>18395.0</v>
      </c>
      <c r="C90" s="6">
        <v>1.24</v>
      </c>
      <c r="D90" s="6">
        <v>-0.2</v>
      </c>
      <c r="E90" s="6">
        <v>10.67</v>
      </c>
      <c r="F90" s="6">
        <v>-0.1</v>
      </c>
      <c r="G90" s="6">
        <v>0.0</v>
      </c>
      <c r="H90" s="6">
        <v>-0.01</v>
      </c>
      <c r="I90" s="6">
        <v>33.2</v>
      </c>
      <c r="J90" s="7">
        <f t="shared" ref="J90:O90" si="182">abs(C90-C89)/200</f>
        <v>0.00005</v>
      </c>
      <c r="K90" s="7">
        <f t="shared" si="182"/>
        <v>0</v>
      </c>
      <c r="L90" s="7">
        <f t="shared" si="182"/>
        <v>0.0001</v>
      </c>
      <c r="M90" s="7">
        <f t="shared" si="182"/>
        <v>0</v>
      </c>
      <c r="N90" s="7">
        <f t="shared" si="182"/>
        <v>0</v>
      </c>
      <c r="O90" s="7">
        <f t="shared" si="182"/>
        <v>0</v>
      </c>
      <c r="P90" s="7">
        <f t="shared" si="9"/>
        <v>0</v>
      </c>
      <c r="Q90" s="7">
        <f t="shared" si="10"/>
        <v>0.01871565436</v>
      </c>
      <c r="R90" s="7">
        <f t="shared" si="3"/>
        <v>0.9436725564</v>
      </c>
      <c r="S90" s="7">
        <f t="shared" si="4"/>
        <v>0.1004987562</v>
      </c>
      <c r="T90" s="7">
        <f t="shared" si="5"/>
        <v>0</v>
      </c>
      <c r="U90" s="7">
        <f t="shared" si="6"/>
        <v>0</v>
      </c>
      <c r="V90" s="7">
        <f t="shared" ref="V90:W90" si="183">IF(AVERAGE(T30:T89) &gt; 0.25, 1, 0)</f>
        <v>0</v>
      </c>
      <c r="W90" s="7">
        <f t="shared" si="183"/>
        <v>0</v>
      </c>
      <c r="X90" s="8">
        <v>0.0</v>
      </c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ht="22.5" customHeight="1">
      <c r="A91" s="6">
        <v>690.0</v>
      </c>
      <c r="B91" s="6">
        <v>18599.0</v>
      </c>
      <c r="C91" s="6">
        <v>1.23</v>
      </c>
      <c r="D91" s="6">
        <v>-0.19</v>
      </c>
      <c r="E91" s="6">
        <v>10.67</v>
      </c>
      <c r="F91" s="6">
        <v>-0.1</v>
      </c>
      <c r="G91" s="6">
        <v>0.0</v>
      </c>
      <c r="H91" s="6">
        <v>-0.01</v>
      </c>
      <c r="I91" s="6">
        <v>33.2</v>
      </c>
      <c r="J91" s="7">
        <f t="shared" ref="J91:O91" si="184">abs(C91-C90)/200</f>
        <v>0.00005</v>
      </c>
      <c r="K91" s="7">
        <f t="shared" si="184"/>
        <v>0.00005</v>
      </c>
      <c r="L91" s="7">
        <f t="shared" si="184"/>
        <v>0</v>
      </c>
      <c r="M91" s="7">
        <f t="shared" si="184"/>
        <v>0</v>
      </c>
      <c r="N91" s="7">
        <f t="shared" si="184"/>
        <v>0</v>
      </c>
      <c r="O91" s="7">
        <f t="shared" si="184"/>
        <v>0</v>
      </c>
      <c r="P91" s="7">
        <f t="shared" si="9"/>
        <v>0</v>
      </c>
      <c r="Q91" s="7">
        <f t="shared" si="10"/>
        <v>0.001331098452</v>
      </c>
      <c r="R91" s="7">
        <f t="shared" si="3"/>
        <v>0.942341458</v>
      </c>
      <c r="S91" s="7">
        <f t="shared" si="4"/>
        <v>0.1004987562</v>
      </c>
      <c r="T91" s="7">
        <f t="shared" si="5"/>
        <v>0</v>
      </c>
      <c r="U91" s="7">
        <f t="shared" si="6"/>
        <v>0</v>
      </c>
      <c r="V91" s="7">
        <f t="shared" ref="V91:W91" si="185">IF(AVERAGE(T31:T90) &gt; 0.25, 1, 0)</f>
        <v>0</v>
      </c>
      <c r="W91" s="7">
        <f t="shared" si="185"/>
        <v>0</v>
      </c>
      <c r="X91" s="8">
        <v>0.0</v>
      </c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ht="22.5" customHeight="1">
      <c r="A92" s="6">
        <v>691.0</v>
      </c>
      <c r="B92" s="6">
        <v>18803.0</v>
      </c>
      <c r="C92" s="6">
        <v>1.23</v>
      </c>
      <c r="D92" s="6">
        <v>-0.2</v>
      </c>
      <c r="E92" s="6">
        <v>10.69</v>
      </c>
      <c r="F92" s="6">
        <v>-0.1</v>
      </c>
      <c r="G92" s="6">
        <v>0.0</v>
      </c>
      <c r="H92" s="6">
        <v>-0.01</v>
      </c>
      <c r="I92" s="6">
        <v>33.19</v>
      </c>
      <c r="J92" s="7">
        <f t="shared" ref="J92:O92" si="186">abs(C92-C91)/200</f>
        <v>0</v>
      </c>
      <c r="K92" s="7">
        <f t="shared" si="186"/>
        <v>0.00005</v>
      </c>
      <c r="L92" s="7">
        <f t="shared" si="186"/>
        <v>0.0001</v>
      </c>
      <c r="M92" s="7">
        <f t="shared" si="186"/>
        <v>0</v>
      </c>
      <c r="N92" s="7">
        <f t="shared" si="186"/>
        <v>0</v>
      </c>
      <c r="O92" s="7">
        <f t="shared" si="186"/>
        <v>0</v>
      </c>
      <c r="P92" s="7">
        <f t="shared" si="9"/>
        <v>0</v>
      </c>
      <c r="Q92" s="7">
        <f t="shared" si="10"/>
        <v>0.02004675281</v>
      </c>
      <c r="R92" s="7">
        <f t="shared" si="3"/>
        <v>0.9623882108</v>
      </c>
      <c r="S92" s="7">
        <f t="shared" si="4"/>
        <v>0.1004987562</v>
      </c>
      <c r="T92" s="7">
        <f t="shared" si="5"/>
        <v>0</v>
      </c>
      <c r="U92" s="7">
        <f t="shared" si="6"/>
        <v>0</v>
      </c>
      <c r="V92" s="7">
        <f t="shared" ref="V92:W92" si="187">IF(AVERAGE(T32:T91) &gt; 0.25, 1, 0)</f>
        <v>0</v>
      </c>
      <c r="W92" s="7">
        <f t="shared" si="187"/>
        <v>0</v>
      </c>
      <c r="X92" s="8">
        <v>0.0</v>
      </c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ht="22.5" customHeight="1">
      <c r="A93" s="6">
        <v>692.0</v>
      </c>
      <c r="B93" s="6">
        <v>19007.0</v>
      </c>
      <c r="C93" s="6">
        <v>1.22</v>
      </c>
      <c r="D93" s="6">
        <v>-0.19</v>
      </c>
      <c r="E93" s="6">
        <v>10.68</v>
      </c>
      <c r="F93" s="6">
        <v>-0.1</v>
      </c>
      <c r="G93" s="6">
        <v>0.0</v>
      </c>
      <c r="H93" s="6">
        <v>-0.01</v>
      </c>
      <c r="I93" s="6">
        <v>33.19</v>
      </c>
      <c r="J93" s="7">
        <f t="shared" ref="J93:O93" si="188">abs(C93-C92)/200</f>
        <v>0.00005</v>
      </c>
      <c r="K93" s="7">
        <f t="shared" si="188"/>
        <v>0.00005</v>
      </c>
      <c r="L93" s="7">
        <f t="shared" si="188"/>
        <v>0.00005</v>
      </c>
      <c r="M93" s="7">
        <f t="shared" si="188"/>
        <v>0</v>
      </c>
      <c r="N93" s="7">
        <f t="shared" si="188"/>
        <v>0</v>
      </c>
      <c r="O93" s="7">
        <f t="shared" si="188"/>
        <v>0</v>
      </c>
      <c r="P93" s="7">
        <f t="shared" si="9"/>
        <v>0</v>
      </c>
      <c r="Q93" s="7">
        <f t="shared" si="10"/>
        <v>0.01125338698</v>
      </c>
      <c r="R93" s="7">
        <f t="shared" si="3"/>
        <v>0.9511348238</v>
      </c>
      <c r="S93" s="7">
        <f t="shared" si="4"/>
        <v>0.1004987562</v>
      </c>
      <c r="T93" s="7">
        <f t="shared" si="5"/>
        <v>0</v>
      </c>
      <c r="U93" s="7">
        <f t="shared" si="6"/>
        <v>0</v>
      </c>
      <c r="V93" s="7">
        <f t="shared" ref="V93:W93" si="189">IF(AVERAGE(T33:T92) &gt; 0.25, 1, 0)</f>
        <v>0</v>
      </c>
      <c r="W93" s="7">
        <f t="shared" si="189"/>
        <v>0</v>
      </c>
      <c r="X93" s="8">
        <v>0.0</v>
      </c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ht="22.5" customHeight="1">
      <c r="A94" s="6">
        <v>693.0</v>
      </c>
      <c r="B94" s="6">
        <v>19211.0</v>
      </c>
      <c r="C94" s="6">
        <v>1.24</v>
      </c>
      <c r="D94" s="6">
        <v>-0.2</v>
      </c>
      <c r="E94" s="6">
        <v>10.68</v>
      </c>
      <c r="F94" s="6">
        <v>-0.1</v>
      </c>
      <c r="G94" s="6">
        <v>0.0</v>
      </c>
      <c r="H94" s="6">
        <v>-0.01</v>
      </c>
      <c r="I94" s="6">
        <v>33.19</v>
      </c>
      <c r="J94" s="7">
        <f t="shared" ref="J94:O94" si="190">abs(C94-C93)/200</f>
        <v>0.0001</v>
      </c>
      <c r="K94" s="7">
        <f t="shared" si="190"/>
        <v>0.00005</v>
      </c>
      <c r="L94" s="7">
        <f t="shared" si="190"/>
        <v>0</v>
      </c>
      <c r="M94" s="7">
        <f t="shared" si="190"/>
        <v>0</v>
      </c>
      <c r="N94" s="7">
        <f t="shared" si="190"/>
        <v>0</v>
      </c>
      <c r="O94" s="7">
        <f t="shared" si="190"/>
        <v>0</v>
      </c>
      <c r="P94" s="7">
        <f t="shared" si="9"/>
        <v>0</v>
      </c>
      <c r="Q94" s="7">
        <f t="shared" si="10"/>
        <v>0.002469223194</v>
      </c>
      <c r="R94" s="7">
        <f t="shared" si="3"/>
        <v>0.953604047</v>
      </c>
      <c r="S94" s="7">
        <f t="shared" si="4"/>
        <v>0.1004987562</v>
      </c>
      <c r="T94" s="7">
        <f t="shared" si="5"/>
        <v>0</v>
      </c>
      <c r="U94" s="7">
        <f t="shared" si="6"/>
        <v>0</v>
      </c>
      <c r="V94" s="7">
        <f t="shared" ref="V94:W94" si="191">IF(AVERAGE(T34:T93) &gt; 0.25, 1, 0)</f>
        <v>0</v>
      </c>
      <c r="W94" s="7">
        <f t="shared" si="191"/>
        <v>0</v>
      </c>
      <c r="X94" s="8">
        <v>0.0</v>
      </c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ht="22.5" customHeight="1">
      <c r="A95" s="6">
        <v>694.0</v>
      </c>
      <c r="B95" s="6">
        <v>19415.0</v>
      </c>
      <c r="C95" s="6">
        <v>1.23</v>
      </c>
      <c r="D95" s="6">
        <v>-0.2</v>
      </c>
      <c r="E95" s="6">
        <v>10.68</v>
      </c>
      <c r="F95" s="6">
        <v>-0.1</v>
      </c>
      <c r="G95" s="6">
        <v>0.0</v>
      </c>
      <c r="H95" s="6">
        <v>-0.01</v>
      </c>
      <c r="I95" s="6">
        <v>33.19</v>
      </c>
      <c r="J95" s="7">
        <f t="shared" ref="J95:O95" si="192">abs(C95-C94)/200</f>
        <v>0.00005</v>
      </c>
      <c r="K95" s="7">
        <f t="shared" si="192"/>
        <v>0</v>
      </c>
      <c r="L95" s="7">
        <f t="shared" si="192"/>
        <v>0</v>
      </c>
      <c r="M95" s="7">
        <f t="shared" si="192"/>
        <v>0</v>
      </c>
      <c r="N95" s="7">
        <f t="shared" si="192"/>
        <v>0</v>
      </c>
      <c r="O95" s="7">
        <f t="shared" si="192"/>
        <v>0</v>
      </c>
      <c r="P95" s="7">
        <f t="shared" si="9"/>
        <v>0</v>
      </c>
      <c r="Q95" s="7">
        <f t="shared" si="10"/>
        <v>0.001148513511</v>
      </c>
      <c r="R95" s="7">
        <f t="shared" si="3"/>
        <v>0.9524555335</v>
      </c>
      <c r="S95" s="7">
        <f t="shared" si="4"/>
        <v>0.1004987562</v>
      </c>
      <c r="T95" s="7">
        <f t="shared" si="5"/>
        <v>0</v>
      </c>
      <c r="U95" s="7">
        <f t="shared" si="6"/>
        <v>0</v>
      </c>
      <c r="V95" s="7">
        <f t="shared" ref="V95:W95" si="193">IF(AVERAGE(T35:T94) &gt; 0.25, 1, 0)</f>
        <v>0</v>
      </c>
      <c r="W95" s="7">
        <f t="shared" si="193"/>
        <v>0</v>
      </c>
      <c r="X95" s="8">
        <v>0.0</v>
      </c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ht="22.5" customHeight="1">
      <c r="A96" s="6">
        <v>695.0</v>
      </c>
      <c r="B96" s="6">
        <v>19619.0</v>
      </c>
      <c r="C96" s="6">
        <v>1.23</v>
      </c>
      <c r="D96" s="6">
        <v>-0.2</v>
      </c>
      <c r="E96" s="6">
        <v>10.67</v>
      </c>
      <c r="F96" s="6">
        <v>-0.1</v>
      </c>
      <c r="G96" s="6">
        <v>0.0</v>
      </c>
      <c r="H96" s="6">
        <v>-0.01</v>
      </c>
      <c r="I96" s="6">
        <v>33.2</v>
      </c>
      <c r="J96" s="7">
        <f t="shared" ref="J96:O96" si="194">abs(C96-C95)/200</f>
        <v>0</v>
      </c>
      <c r="K96" s="7">
        <f t="shared" si="194"/>
        <v>0</v>
      </c>
      <c r="L96" s="7">
        <f t="shared" si="194"/>
        <v>0.00005</v>
      </c>
      <c r="M96" s="7">
        <f t="shared" si="194"/>
        <v>0</v>
      </c>
      <c r="N96" s="7">
        <f t="shared" si="194"/>
        <v>0</v>
      </c>
      <c r="O96" s="7">
        <f t="shared" si="194"/>
        <v>0</v>
      </c>
      <c r="P96" s="7">
        <f t="shared" si="9"/>
        <v>0</v>
      </c>
      <c r="Q96" s="7">
        <f t="shared" si="10"/>
        <v>0.00993255238</v>
      </c>
      <c r="R96" s="7">
        <f t="shared" si="3"/>
        <v>0.9425229811</v>
      </c>
      <c r="S96" s="7">
        <f t="shared" si="4"/>
        <v>0.1004987562</v>
      </c>
      <c r="T96" s="7">
        <f t="shared" si="5"/>
        <v>0</v>
      </c>
      <c r="U96" s="7">
        <f t="shared" si="6"/>
        <v>0</v>
      </c>
      <c r="V96" s="7">
        <f t="shared" ref="V96:W96" si="195">IF(AVERAGE(T36:T95) &gt; 0.25, 1, 0)</f>
        <v>0</v>
      </c>
      <c r="W96" s="7">
        <f t="shared" si="195"/>
        <v>0</v>
      </c>
      <c r="X96" s="8">
        <v>0.0</v>
      </c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ht="22.5" customHeight="1">
      <c r="A97" s="6">
        <v>696.0</v>
      </c>
      <c r="B97" s="6">
        <v>19823.0</v>
      </c>
      <c r="C97" s="6">
        <v>1.23</v>
      </c>
      <c r="D97" s="6">
        <v>-0.2</v>
      </c>
      <c r="E97" s="6">
        <v>10.69</v>
      </c>
      <c r="F97" s="6">
        <v>-0.1</v>
      </c>
      <c r="G97" s="6">
        <v>0.0</v>
      </c>
      <c r="H97" s="6">
        <v>-0.01</v>
      </c>
      <c r="I97" s="6">
        <v>33.18</v>
      </c>
      <c r="J97" s="7">
        <f t="shared" ref="J97:O97" si="196">abs(C97-C96)/200</f>
        <v>0</v>
      </c>
      <c r="K97" s="7">
        <f t="shared" si="196"/>
        <v>0</v>
      </c>
      <c r="L97" s="7">
        <f t="shared" si="196"/>
        <v>0.0001</v>
      </c>
      <c r="M97" s="7">
        <f t="shared" si="196"/>
        <v>0</v>
      </c>
      <c r="N97" s="7">
        <f t="shared" si="196"/>
        <v>0</v>
      </c>
      <c r="O97" s="7">
        <f t="shared" si="196"/>
        <v>0</v>
      </c>
      <c r="P97" s="7">
        <f t="shared" si="9"/>
        <v>0</v>
      </c>
      <c r="Q97" s="7">
        <f t="shared" si="10"/>
        <v>0.01986522968</v>
      </c>
      <c r="R97" s="7">
        <f t="shared" si="3"/>
        <v>0.9623882108</v>
      </c>
      <c r="S97" s="7">
        <f t="shared" si="4"/>
        <v>0.1004987562</v>
      </c>
      <c r="T97" s="7">
        <f t="shared" si="5"/>
        <v>0</v>
      </c>
      <c r="U97" s="7">
        <f t="shared" si="6"/>
        <v>0</v>
      </c>
      <c r="V97" s="7">
        <f t="shared" ref="V97:W97" si="197">IF(AVERAGE(T37:T96) &gt; 0.25, 1, 0)</f>
        <v>0</v>
      </c>
      <c r="W97" s="7">
        <f t="shared" si="197"/>
        <v>0</v>
      </c>
      <c r="X97" s="8">
        <v>0.0</v>
      </c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ht="22.5" customHeight="1">
      <c r="A98" s="6">
        <v>697.0</v>
      </c>
      <c r="B98" s="6">
        <v>20027.0</v>
      </c>
      <c r="C98" s="6">
        <v>1.23</v>
      </c>
      <c r="D98" s="6">
        <v>-0.2</v>
      </c>
      <c r="E98" s="6">
        <v>10.68</v>
      </c>
      <c r="F98" s="6">
        <v>-0.1</v>
      </c>
      <c r="G98" s="6">
        <v>0.0</v>
      </c>
      <c r="H98" s="6">
        <v>-0.01</v>
      </c>
      <c r="I98" s="6">
        <v>33.19</v>
      </c>
      <c r="J98" s="7">
        <f t="shared" ref="J98:O98" si="198">abs(C98-C97)/200</f>
        <v>0</v>
      </c>
      <c r="K98" s="7">
        <f t="shared" si="198"/>
        <v>0</v>
      </c>
      <c r="L98" s="7">
        <f t="shared" si="198"/>
        <v>0.00005</v>
      </c>
      <c r="M98" s="7">
        <f t="shared" si="198"/>
        <v>0</v>
      </c>
      <c r="N98" s="7">
        <f t="shared" si="198"/>
        <v>0</v>
      </c>
      <c r="O98" s="7">
        <f t="shared" si="198"/>
        <v>0</v>
      </c>
      <c r="P98" s="7">
        <f t="shared" si="9"/>
        <v>0</v>
      </c>
      <c r="Q98" s="7">
        <f t="shared" si="10"/>
        <v>0.009932677297</v>
      </c>
      <c r="R98" s="7">
        <f t="shared" si="3"/>
        <v>0.9524555335</v>
      </c>
      <c r="S98" s="7">
        <f t="shared" si="4"/>
        <v>0.1004987562</v>
      </c>
      <c r="T98" s="7">
        <f t="shared" si="5"/>
        <v>0</v>
      </c>
      <c r="U98" s="7">
        <f t="shared" si="6"/>
        <v>0</v>
      </c>
      <c r="V98" s="7">
        <f t="shared" ref="V98:W98" si="199">IF(AVERAGE(T38:T97) &gt; 0.25, 1, 0)</f>
        <v>0</v>
      </c>
      <c r="W98" s="7">
        <f t="shared" si="199"/>
        <v>0</v>
      </c>
      <c r="X98" s="8">
        <v>0.0</v>
      </c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ht="22.5" customHeight="1">
      <c r="A99" s="6">
        <v>698.0</v>
      </c>
      <c r="B99" s="6">
        <v>20231.0</v>
      </c>
      <c r="C99" s="6">
        <v>1.24</v>
      </c>
      <c r="D99" s="6">
        <v>-0.2</v>
      </c>
      <c r="E99" s="6">
        <v>10.67</v>
      </c>
      <c r="F99" s="6">
        <v>-0.1</v>
      </c>
      <c r="G99" s="6">
        <v>0.0</v>
      </c>
      <c r="H99" s="6">
        <v>-0.01</v>
      </c>
      <c r="I99" s="6">
        <v>33.2</v>
      </c>
      <c r="J99" s="7">
        <f t="shared" ref="J99:O99" si="200">abs(C99-C98)/200</f>
        <v>0.00005</v>
      </c>
      <c r="K99" s="7">
        <f t="shared" si="200"/>
        <v>0</v>
      </c>
      <c r="L99" s="7">
        <f t="shared" si="200"/>
        <v>0.00005</v>
      </c>
      <c r="M99" s="7">
        <f t="shared" si="200"/>
        <v>0</v>
      </c>
      <c r="N99" s="7">
        <f t="shared" si="200"/>
        <v>0</v>
      </c>
      <c r="O99" s="7">
        <f t="shared" si="200"/>
        <v>0</v>
      </c>
      <c r="P99" s="7">
        <f t="shared" si="9"/>
        <v>0</v>
      </c>
      <c r="Q99" s="7">
        <f t="shared" si="10"/>
        <v>0.008782977065</v>
      </c>
      <c r="R99" s="7">
        <f t="shared" si="3"/>
        <v>0.9436725564</v>
      </c>
      <c r="S99" s="7">
        <f t="shared" si="4"/>
        <v>0.1004987562</v>
      </c>
      <c r="T99" s="7">
        <f t="shared" si="5"/>
        <v>0</v>
      </c>
      <c r="U99" s="7">
        <f t="shared" si="6"/>
        <v>0</v>
      </c>
      <c r="V99" s="7">
        <f t="shared" ref="V99:W99" si="201">IF(AVERAGE(T39:T98) &gt; 0.25, 1, 0)</f>
        <v>0</v>
      </c>
      <c r="W99" s="7">
        <f t="shared" si="201"/>
        <v>0</v>
      </c>
      <c r="X99" s="8">
        <v>0.0</v>
      </c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ht="22.5" customHeight="1">
      <c r="A100" s="6">
        <v>699.0</v>
      </c>
      <c r="B100" s="6">
        <v>20435.0</v>
      </c>
      <c r="C100" s="6">
        <v>1.23</v>
      </c>
      <c r="D100" s="6">
        <v>-0.19</v>
      </c>
      <c r="E100" s="6">
        <v>10.68</v>
      </c>
      <c r="F100" s="6">
        <v>-0.1</v>
      </c>
      <c r="G100" s="6">
        <v>0.0</v>
      </c>
      <c r="H100" s="6">
        <v>-0.01</v>
      </c>
      <c r="I100" s="6">
        <v>33.2</v>
      </c>
      <c r="J100" s="7">
        <f t="shared" ref="J100:O100" si="202">abs(C100-C99)/200</f>
        <v>0.00005</v>
      </c>
      <c r="K100" s="7">
        <f t="shared" si="202"/>
        <v>0.00005</v>
      </c>
      <c r="L100" s="7">
        <f t="shared" si="202"/>
        <v>0.00005</v>
      </c>
      <c r="M100" s="7">
        <f t="shared" si="202"/>
        <v>0</v>
      </c>
      <c r="N100" s="7">
        <f t="shared" si="202"/>
        <v>0</v>
      </c>
      <c r="O100" s="7">
        <f t="shared" si="202"/>
        <v>0</v>
      </c>
      <c r="P100" s="7">
        <f t="shared" si="9"/>
        <v>0</v>
      </c>
      <c r="Q100" s="7">
        <f t="shared" si="10"/>
        <v>0.008601621612</v>
      </c>
      <c r="R100" s="7">
        <f t="shared" si="3"/>
        <v>0.9522741781</v>
      </c>
      <c r="S100" s="7">
        <f t="shared" si="4"/>
        <v>0.1004987562</v>
      </c>
      <c r="T100" s="7">
        <f t="shared" si="5"/>
        <v>0</v>
      </c>
      <c r="U100" s="7">
        <f t="shared" si="6"/>
        <v>0</v>
      </c>
      <c r="V100" s="7">
        <f t="shared" ref="V100:W100" si="203">IF(AVERAGE(T40:T99) &gt; 0.25, 1, 0)</f>
        <v>0</v>
      </c>
      <c r="W100" s="7">
        <f t="shared" si="203"/>
        <v>0</v>
      </c>
      <c r="X100" s="8">
        <v>0.0</v>
      </c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ht="22.5" customHeight="1">
      <c r="A101" s="6">
        <v>700.0</v>
      </c>
      <c r="B101" s="6">
        <v>20639.0</v>
      </c>
      <c r="C101" s="6">
        <v>1.23</v>
      </c>
      <c r="D101" s="6">
        <v>-0.2</v>
      </c>
      <c r="E101" s="6">
        <v>10.68</v>
      </c>
      <c r="F101" s="6">
        <v>-0.1</v>
      </c>
      <c r="G101" s="6">
        <v>0.0</v>
      </c>
      <c r="H101" s="6">
        <v>-0.01</v>
      </c>
      <c r="I101" s="6">
        <v>33.2</v>
      </c>
      <c r="J101" s="7">
        <f t="shared" ref="J101:O101" si="204">abs(C101-C100)/200</f>
        <v>0</v>
      </c>
      <c r="K101" s="7">
        <f t="shared" si="204"/>
        <v>0.00005</v>
      </c>
      <c r="L101" s="7">
        <f t="shared" si="204"/>
        <v>0</v>
      </c>
      <c r="M101" s="7">
        <f t="shared" si="204"/>
        <v>0</v>
      </c>
      <c r="N101" s="7">
        <f t="shared" si="204"/>
        <v>0</v>
      </c>
      <c r="O101" s="7">
        <f t="shared" si="204"/>
        <v>0</v>
      </c>
      <c r="P101" s="7">
        <f t="shared" si="9"/>
        <v>0</v>
      </c>
      <c r="Q101" s="7">
        <f t="shared" si="10"/>
        <v>0.0001813554531</v>
      </c>
      <c r="R101" s="7">
        <f t="shared" si="3"/>
        <v>0.9524555335</v>
      </c>
      <c r="S101" s="7">
        <f t="shared" si="4"/>
        <v>0.1004987562</v>
      </c>
      <c r="T101" s="7">
        <f t="shared" si="5"/>
        <v>0</v>
      </c>
      <c r="U101" s="7">
        <f t="shared" si="6"/>
        <v>0</v>
      </c>
      <c r="V101" s="7">
        <f t="shared" ref="V101:W101" si="205">IF(AVERAGE(T41:T100) &gt; 0.25, 1, 0)</f>
        <v>0</v>
      </c>
      <c r="W101" s="7">
        <f t="shared" si="205"/>
        <v>0</v>
      </c>
      <c r="X101" s="8">
        <v>0.0</v>
      </c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ht="22.5" customHeight="1">
      <c r="A102" s="6">
        <v>701.0</v>
      </c>
      <c r="B102" s="6">
        <v>20843.0</v>
      </c>
      <c r="C102" s="6">
        <v>1.23</v>
      </c>
      <c r="D102" s="6">
        <v>-0.2</v>
      </c>
      <c r="E102" s="6">
        <v>10.68</v>
      </c>
      <c r="F102" s="6">
        <v>-0.1</v>
      </c>
      <c r="G102" s="6">
        <v>0.0</v>
      </c>
      <c r="H102" s="6">
        <v>-0.01</v>
      </c>
      <c r="I102" s="6">
        <v>33.2</v>
      </c>
      <c r="J102" s="7">
        <f t="shared" ref="J102:O102" si="206">abs(C102-C101)/200</f>
        <v>0</v>
      </c>
      <c r="K102" s="7">
        <f t="shared" si="206"/>
        <v>0</v>
      </c>
      <c r="L102" s="7">
        <f t="shared" si="206"/>
        <v>0</v>
      </c>
      <c r="M102" s="7">
        <f t="shared" si="206"/>
        <v>0</v>
      </c>
      <c r="N102" s="7">
        <f t="shared" si="206"/>
        <v>0</v>
      </c>
      <c r="O102" s="7">
        <f t="shared" si="206"/>
        <v>0</v>
      </c>
      <c r="P102" s="7">
        <f t="shared" si="9"/>
        <v>0</v>
      </c>
      <c r="Q102" s="7">
        <f t="shared" si="10"/>
        <v>0</v>
      </c>
      <c r="R102" s="7">
        <f t="shared" si="3"/>
        <v>0.9524555335</v>
      </c>
      <c r="S102" s="7">
        <f t="shared" si="4"/>
        <v>0.1004987562</v>
      </c>
      <c r="T102" s="7">
        <f t="shared" si="5"/>
        <v>0</v>
      </c>
      <c r="U102" s="7">
        <f t="shared" si="6"/>
        <v>0</v>
      </c>
      <c r="V102" s="7">
        <f t="shared" ref="V102:W102" si="207">IF(AVERAGE(T42:T101) &gt; 0.25, 1, 0)</f>
        <v>0</v>
      </c>
      <c r="W102" s="7">
        <f t="shared" si="207"/>
        <v>0</v>
      </c>
      <c r="X102" s="8">
        <v>0.0</v>
      </c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ht="22.5" customHeight="1">
      <c r="A103" s="6">
        <v>702.0</v>
      </c>
      <c r="B103" s="6">
        <v>21047.0</v>
      </c>
      <c r="C103" s="6">
        <v>1.23</v>
      </c>
      <c r="D103" s="6">
        <v>-0.2</v>
      </c>
      <c r="E103" s="6">
        <v>10.68</v>
      </c>
      <c r="F103" s="6">
        <v>-0.1</v>
      </c>
      <c r="G103" s="6">
        <v>0.0</v>
      </c>
      <c r="H103" s="6">
        <v>-0.01</v>
      </c>
      <c r="I103" s="6">
        <v>33.19</v>
      </c>
      <c r="J103" s="7">
        <f t="shared" ref="J103:O103" si="208">abs(C103-C102)/200</f>
        <v>0</v>
      </c>
      <c r="K103" s="7">
        <f t="shared" si="208"/>
        <v>0</v>
      </c>
      <c r="L103" s="7">
        <f t="shared" si="208"/>
        <v>0</v>
      </c>
      <c r="M103" s="7">
        <f t="shared" si="208"/>
        <v>0</v>
      </c>
      <c r="N103" s="7">
        <f t="shared" si="208"/>
        <v>0</v>
      </c>
      <c r="O103" s="7">
        <f t="shared" si="208"/>
        <v>0</v>
      </c>
      <c r="P103" s="7">
        <f t="shared" si="9"/>
        <v>0</v>
      </c>
      <c r="Q103" s="7">
        <f t="shared" si="10"/>
        <v>0</v>
      </c>
      <c r="R103" s="7">
        <f t="shared" si="3"/>
        <v>0.9524555335</v>
      </c>
      <c r="S103" s="7">
        <f t="shared" si="4"/>
        <v>0.1004987562</v>
      </c>
      <c r="T103" s="7">
        <f t="shared" si="5"/>
        <v>0</v>
      </c>
      <c r="U103" s="7">
        <f t="shared" si="6"/>
        <v>0</v>
      </c>
      <c r="V103" s="7">
        <f t="shared" ref="V103:W103" si="209">IF(AVERAGE(T43:T102) &gt; 0.25, 1, 0)</f>
        <v>0</v>
      </c>
      <c r="W103" s="7">
        <f t="shared" si="209"/>
        <v>0</v>
      </c>
      <c r="X103" s="8">
        <v>0.0</v>
      </c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ht="22.5" customHeight="1">
      <c r="A104" s="6">
        <v>703.0</v>
      </c>
      <c r="B104" s="6">
        <v>21251.0</v>
      </c>
      <c r="C104" s="6">
        <v>1.23</v>
      </c>
      <c r="D104" s="6">
        <v>-0.2</v>
      </c>
      <c r="E104" s="6">
        <v>10.67</v>
      </c>
      <c r="F104" s="6">
        <v>-0.1</v>
      </c>
      <c r="G104" s="6">
        <v>0.0</v>
      </c>
      <c r="H104" s="6">
        <v>-0.01</v>
      </c>
      <c r="I104" s="6">
        <v>33.19</v>
      </c>
      <c r="J104" s="7">
        <f t="shared" ref="J104:O104" si="210">abs(C104-C103)/200</f>
        <v>0</v>
      </c>
      <c r="K104" s="7">
        <f t="shared" si="210"/>
        <v>0</v>
      </c>
      <c r="L104" s="7">
        <f t="shared" si="210"/>
        <v>0.00005</v>
      </c>
      <c r="M104" s="7">
        <f t="shared" si="210"/>
        <v>0</v>
      </c>
      <c r="N104" s="7">
        <f t="shared" si="210"/>
        <v>0</v>
      </c>
      <c r="O104" s="7">
        <f t="shared" si="210"/>
        <v>0</v>
      </c>
      <c r="P104" s="7">
        <f t="shared" si="9"/>
        <v>0</v>
      </c>
      <c r="Q104" s="7">
        <f t="shared" si="10"/>
        <v>0.00993255238</v>
      </c>
      <c r="R104" s="7">
        <f t="shared" si="3"/>
        <v>0.9425229811</v>
      </c>
      <c r="S104" s="7">
        <f t="shared" si="4"/>
        <v>0.1004987562</v>
      </c>
      <c r="T104" s="7">
        <f t="shared" si="5"/>
        <v>0</v>
      </c>
      <c r="U104" s="7">
        <f t="shared" si="6"/>
        <v>0</v>
      </c>
      <c r="V104" s="7">
        <f t="shared" ref="V104:W104" si="211">IF(AVERAGE(T44:T103) &gt; 0.25, 1, 0)</f>
        <v>0</v>
      </c>
      <c r="W104" s="7">
        <f t="shared" si="211"/>
        <v>0</v>
      </c>
      <c r="X104" s="8">
        <v>0.0</v>
      </c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ht="22.5" customHeight="1">
      <c r="A105" s="6">
        <v>704.0</v>
      </c>
      <c r="B105" s="6">
        <v>21455.0</v>
      </c>
      <c r="C105" s="6">
        <v>1.24</v>
      </c>
      <c r="D105" s="6">
        <v>-0.2</v>
      </c>
      <c r="E105" s="6">
        <v>10.67</v>
      </c>
      <c r="F105" s="6">
        <v>-0.1</v>
      </c>
      <c r="G105" s="6">
        <v>0.0</v>
      </c>
      <c r="H105" s="6">
        <v>-0.01</v>
      </c>
      <c r="I105" s="6">
        <v>33.2</v>
      </c>
      <c r="J105" s="7">
        <f t="shared" ref="J105:O105" si="212">abs(C105-C104)/200</f>
        <v>0.00005</v>
      </c>
      <c r="K105" s="7">
        <f t="shared" si="212"/>
        <v>0</v>
      </c>
      <c r="L105" s="7">
        <f t="shared" si="212"/>
        <v>0</v>
      </c>
      <c r="M105" s="7">
        <f t="shared" si="212"/>
        <v>0</v>
      </c>
      <c r="N105" s="7">
        <f t="shared" si="212"/>
        <v>0</v>
      </c>
      <c r="O105" s="7">
        <f t="shared" si="212"/>
        <v>0</v>
      </c>
      <c r="P105" s="7">
        <f t="shared" si="9"/>
        <v>0</v>
      </c>
      <c r="Q105" s="7">
        <f t="shared" si="10"/>
        <v>0.001149575315</v>
      </c>
      <c r="R105" s="7">
        <f t="shared" si="3"/>
        <v>0.9436725564</v>
      </c>
      <c r="S105" s="7">
        <f t="shared" si="4"/>
        <v>0.1004987562</v>
      </c>
      <c r="T105" s="7">
        <f t="shared" si="5"/>
        <v>0</v>
      </c>
      <c r="U105" s="7">
        <f t="shared" si="6"/>
        <v>0</v>
      </c>
      <c r="V105" s="7">
        <f t="shared" ref="V105:W105" si="213">IF(AVERAGE(T45:T104) &gt; 0.25, 1, 0)</f>
        <v>0</v>
      </c>
      <c r="W105" s="7">
        <f t="shared" si="213"/>
        <v>0</v>
      </c>
      <c r="X105" s="8">
        <v>0.0</v>
      </c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ht="22.5" customHeight="1">
      <c r="A106" s="6">
        <v>705.0</v>
      </c>
      <c r="B106" s="6">
        <v>21659.0</v>
      </c>
      <c r="C106" s="6">
        <v>1.23</v>
      </c>
      <c r="D106" s="6">
        <v>-0.21</v>
      </c>
      <c r="E106" s="6">
        <v>10.68</v>
      </c>
      <c r="F106" s="6">
        <v>-0.1</v>
      </c>
      <c r="G106" s="6">
        <v>0.0</v>
      </c>
      <c r="H106" s="6">
        <v>-0.01</v>
      </c>
      <c r="I106" s="6">
        <v>33.21</v>
      </c>
      <c r="J106" s="7">
        <f t="shared" ref="J106:O106" si="214">abs(C106-C105)/200</f>
        <v>0.00005</v>
      </c>
      <c r="K106" s="7">
        <f t="shared" si="214"/>
        <v>0.00005</v>
      </c>
      <c r="L106" s="7">
        <f t="shared" si="214"/>
        <v>0.00005</v>
      </c>
      <c r="M106" s="7">
        <f t="shared" si="214"/>
        <v>0</v>
      </c>
      <c r="N106" s="7">
        <f t="shared" si="214"/>
        <v>0</v>
      </c>
      <c r="O106" s="7">
        <f t="shared" si="214"/>
        <v>0</v>
      </c>
      <c r="P106" s="7">
        <f t="shared" si="9"/>
        <v>0</v>
      </c>
      <c r="Q106" s="7">
        <f t="shared" si="10"/>
        <v>0.0089736295</v>
      </c>
      <c r="R106" s="7">
        <f t="shared" si="3"/>
        <v>0.9526461859</v>
      </c>
      <c r="S106" s="7">
        <f t="shared" si="4"/>
        <v>0.1004987562</v>
      </c>
      <c r="T106" s="7">
        <f t="shared" si="5"/>
        <v>0</v>
      </c>
      <c r="U106" s="7">
        <f t="shared" si="6"/>
        <v>0</v>
      </c>
      <c r="V106" s="7">
        <f t="shared" ref="V106:W106" si="215">IF(AVERAGE(T46:T105) &gt; 0.25, 1, 0)</f>
        <v>0</v>
      </c>
      <c r="W106" s="7">
        <f t="shared" si="215"/>
        <v>0</v>
      </c>
      <c r="X106" s="8">
        <v>0.0</v>
      </c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ht="22.5" customHeight="1">
      <c r="A107" s="6">
        <v>706.0</v>
      </c>
      <c r="B107" s="6">
        <v>21863.0</v>
      </c>
      <c r="C107" s="6">
        <v>1.24</v>
      </c>
      <c r="D107" s="6">
        <v>-0.2</v>
      </c>
      <c r="E107" s="6">
        <v>10.68</v>
      </c>
      <c r="F107" s="6">
        <v>-0.1</v>
      </c>
      <c r="G107" s="6">
        <v>0.0</v>
      </c>
      <c r="H107" s="6">
        <v>-0.01</v>
      </c>
      <c r="I107" s="6">
        <v>33.2</v>
      </c>
      <c r="J107" s="7">
        <f t="shared" ref="J107:O107" si="216">abs(C107-C106)/200</f>
        <v>0.00005</v>
      </c>
      <c r="K107" s="7">
        <f t="shared" si="216"/>
        <v>0.00005</v>
      </c>
      <c r="L107" s="7">
        <f t="shared" si="216"/>
        <v>0</v>
      </c>
      <c r="M107" s="7">
        <f t="shared" si="216"/>
        <v>0</v>
      </c>
      <c r="N107" s="7">
        <f t="shared" si="216"/>
        <v>0</v>
      </c>
      <c r="O107" s="7">
        <f t="shared" si="216"/>
        <v>0</v>
      </c>
      <c r="P107" s="7">
        <f t="shared" si="9"/>
        <v>0</v>
      </c>
      <c r="Q107" s="7">
        <f t="shared" si="10"/>
        <v>0.0009578610765</v>
      </c>
      <c r="R107" s="7">
        <f t="shared" si="3"/>
        <v>0.953604047</v>
      </c>
      <c r="S107" s="7">
        <f t="shared" si="4"/>
        <v>0.1004987562</v>
      </c>
      <c r="T107" s="7">
        <f t="shared" si="5"/>
        <v>0</v>
      </c>
      <c r="U107" s="7">
        <f t="shared" si="6"/>
        <v>0</v>
      </c>
      <c r="V107" s="7">
        <f t="shared" ref="V107:W107" si="217">IF(AVERAGE(T47:T106) &gt; 0.25, 1, 0)</f>
        <v>0</v>
      </c>
      <c r="W107" s="7">
        <f t="shared" si="217"/>
        <v>0</v>
      </c>
      <c r="X107" s="8">
        <v>0.0</v>
      </c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ht="22.5" customHeight="1">
      <c r="A108" s="6">
        <v>707.0</v>
      </c>
      <c r="B108" s="6">
        <v>22067.0</v>
      </c>
      <c r="C108" s="6">
        <v>1.24</v>
      </c>
      <c r="D108" s="6">
        <v>-0.2</v>
      </c>
      <c r="E108" s="6">
        <v>10.67</v>
      </c>
      <c r="F108" s="6">
        <v>-0.1</v>
      </c>
      <c r="G108" s="6">
        <v>0.0</v>
      </c>
      <c r="H108" s="6">
        <v>-0.01</v>
      </c>
      <c r="I108" s="6">
        <v>33.2</v>
      </c>
      <c r="J108" s="7">
        <f t="shared" ref="J108:O108" si="218">abs(C108-C107)/200</f>
        <v>0</v>
      </c>
      <c r="K108" s="7">
        <f t="shared" si="218"/>
        <v>0</v>
      </c>
      <c r="L108" s="7">
        <f t="shared" si="218"/>
        <v>0.00005</v>
      </c>
      <c r="M108" s="7">
        <f t="shared" si="218"/>
        <v>0</v>
      </c>
      <c r="N108" s="7">
        <f t="shared" si="218"/>
        <v>0</v>
      </c>
      <c r="O108" s="7">
        <f t="shared" si="218"/>
        <v>0</v>
      </c>
      <c r="P108" s="7">
        <f t="shared" si="9"/>
        <v>0</v>
      </c>
      <c r="Q108" s="7">
        <f t="shared" si="10"/>
        <v>0.009931490576</v>
      </c>
      <c r="R108" s="7">
        <f t="shared" si="3"/>
        <v>0.9436725564</v>
      </c>
      <c r="S108" s="7">
        <f t="shared" si="4"/>
        <v>0.1004987562</v>
      </c>
      <c r="T108" s="7">
        <f t="shared" si="5"/>
        <v>0</v>
      </c>
      <c r="U108" s="7">
        <f t="shared" si="6"/>
        <v>0</v>
      </c>
      <c r="V108" s="7">
        <f t="shared" ref="V108:W108" si="219">IF(AVERAGE(T48:T107) &gt; 0.25, 1, 0)</f>
        <v>0</v>
      </c>
      <c r="W108" s="7">
        <f t="shared" si="219"/>
        <v>0</v>
      </c>
      <c r="X108" s="8">
        <v>0.0</v>
      </c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ht="22.5" customHeight="1">
      <c r="A109" s="6">
        <v>708.0</v>
      </c>
      <c r="B109" s="6">
        <v>22271.0</v>
      </c>
      <c r="C109" s="6">
        <v>1.22</v>
      </c>
      <c r="D109" s="6">
        <v>-0.2</v>
      </c>
      <c r="E109" s="6">
        <v>10.68</v>
      </c>
      <c r="F109" s="6">
        <v>-0.1</v>
      </c>
      <c r="G109" s="6">
        <v>0.0</v>
      </c>
      <c r="H109" s="6">
        <v>-0.01</v>
      </c>
      <c r="I109" s="6">
        <v>33.19</v>
      </c>
      <c r="J109" s="7">
        <f t="shared" ref="J109:O109" si="220">abs(C109-C108)/200</f>
        <v>0.0001</v>
      </c>
      <c r="K109" s="7">
        <f t="shared" si="220"/>
        <v>0</v>
      </c>
      <c r="L109" s="7">
        <f t="shared" si="220"/>
        <v>0.00005</v>
      </c>
      <c r="M109" s="7">
        <f t="shared" si="220"/>
        <v>0</v>
      </c>
      <c r="N109" s="7">
        <f t="shared" si="220"/>
        <v>0</v>
      </c>
      <c r="O109" s="7">
        <f t="shared" si="220"/>
        <v>0</v>
      </c>
      <c r="P109" s="7">
        <f t="shared" si="9"/>
        <v>0</v>
      </c>
      <c r="Q109" s="7">
        <f t="shared" si="10"/>
        <v>0.007643642054</v>
      </c>
      <c r="R109" s="7">
        <f t="shared" si="3"/>
        <v>0.9513161985</v>
      </c>
      <c r="S109" s="7">
        <f t="shared" si="4"/>
        <v>0.1004987562</v>
      </c>
      <c r="T109" s="7">
        <f t="shared" si="5"/>
        <v>0</v>
      </c>
      <c r="U109" s="7">
        <f t="shared" si="6"/>
        <v>0</v>
      </c>
      <c r="V109" s="7">
        <f t="shared" ref="V109:W109" si="221">IF(AVERAGE(T49:T108) &gt; 0.25, 1, 0)</f>
        <v>0</v>
      </c>
      <c r="W109" s="7">
        <f t="shared" si="221"/>
        <v>0</v>
      </c>
      <c r="X109" s="8">
        <v>0.0</v>
      </c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ht="22.5" customHeight="1">
      <c r="A110" s="6">
        <v>709.0</v>
      </c>
      <c r="B110" s="6">
        <v>22475.0</v>
      </c>
      <c r="C110" s="6">
        <v>1.23</v>
      </c>
      <c r="D110" s="6">
        <v>-0.2</v>
      </c>
      <c r="E110" s="6">
        <v>10.69</v>
      </c>
      <c r="F110" s="6">
        <v>-0.1</v>
      </c>
      <c r="G110" s="6">
        <v>0.0</v>
      </c>
      <c r="H110" s="6">
        <v>-0.01</v>
      </c>
      <c r="I110" s="6">
        <v>33.21</v>
      </c>
      <c r="J110" s="7">
        <f t="shared" ref="J110:O110" si="222">abs(C110-C109)/200</f>
        <v>0.00005</v>
      </c>
      <c r="K110" s="7">
        <f t="shared" si="222"/>
        <v>0</v>
      </c>
      <c r="L110" s="7">
        <f t="shared" si="222"/>
        <v>0.00005</v>
      </c>
      <c r="M110" s="7">
        <f t="shared" si="222"/>
        <v>0</v>
      </c>
      <c r="N110" s="7">
        <f t="shared" si="222"/>
        <v>0</v>
      </c>
      <c r="O110" s="7">
        <f t="shared" si="222"/>
        <v>0</v>
      </c>
      <c r="P110" s="7">
        <f t="shared" si="9"/>
        <v>0</v>
      </c>
      <c r="Q110" s="7">
        <f t="shared" si="10"/>
        <v>0.01107201231</v>
      </c>
      <c r="R110" s="7">
        <f t="shared" si="3"/>
        <v>0.9623882108</v>
      </c>
      <c r="S110" s="7">
        <f t="shared" si="4"/>
        <v>0.1004987562</v>
      </c>
      <c r="T110" s="7">
        <f t="shared" si="5"/>
        <v>0</v>
      </c>
      <c r="U110" s="7">
        <f t="shared" si="6"/>
        <v>0</v>
      </c>
      <c r="V110" s="7">
        <f t="shared" ref="V110:W110" si="223">IF(AVERAGE(T50:T109) &gt; 0.25, 1, 0)</f>
        <v>0</v>
      </c>
      <c r="W110" s="7">
        <f t="shared" si="223"/>
        <v>0</v>
      </c>
      <c r="X110" s="8">
        <v>0.0</v>
      </c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ht="22.5" customHeight="1">
      <c r="A111" s="6">
        <v>710.0</v>
      </c>
      <c r="B111" s="6">
        <v>22679.0</v>
      </c>
      <c r="C111" s="6">
        <v>1.24</v>
      </c>
      <c r="D111" s="6">
        <v>-0.2</v>
      </c>
      <c r="E111" s="6">
        <v>10.69</v>
      </c>
      <c r="F111" s="6">
        <v>-0.1</v>
      </c>
      <c r="G111" s="6">
        <v>0.0</v>
      </c>
      <c r="H111" s="6">
        <v>-0.01</v>
      </c>
      <c r="I111" s="6">
        <v>33.2</v>
      </c>
      <c r="J111" s="7">
        <f t="shared" ref="J111:O111" si="224">abs(C111-C110)/200</f>
        <v>0.00005</v>
      </c>
      <c r="K111" s="7">
        <f t="shared" si="224"/>
        <v>0</v>
      </c>
      <c r="L111" s="7">
        <f t="shared" si="224"/>
        <v>0</v>
      </c>
      <c r="M111" s="7">
        <f t="shared" si="224"/>
        <v>0</v>
      </c>
      <c r="N111" s="7">
        <f t="shared" si="224"/>
        <v>0</v>
      </c>
      <c r="O111" s="7">
        <f t="shared" si="224"/>
        <v>0</v>
      </c>
      <c r="P111" s="7">
        <f t="shared" si="9"/>
        <v>0</v>
      </c>
      <c r="Q111" s="7">
        <f t="shared" si="10"/>
        <v>0.001147453654</v>
      </c>
      <c r="R111" s="7">
        <f t="shared" si="3"/>
        <v>0.9635356645</v>
      </c>
      <c r="S111" s="7">
        <f t="shared" si="4"/>
        <v>0.1004987562</v>
      </c>
      <c r="T111" s="7">
        <f t="shared" si="5"/>
        <v>0</v>
      </c>
      <c r="U111" s="7">
        <f t="shared" si="6"/>
        <v>0</v>
      </c>
      <c r="V111" s="7">
        <f t="shared" ref="V111:W111" si="225">IF(AVERAGE(T51:T110) &gt; 0.25, 1, 0)</f>
        <v>0</v>
      </c>
      <c r="W111" s="7">
        <f t="shared" si="225"/>
        <v>0</v>
      </c>
      <c r="X111" s="8">
        <v>0.0</v>
      </c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ht="22.5" customHeight="1">
      <c r="A112" s="6">
        <v>711.0</v>
      </c>
      <c r="B112" s="6">
        <v>22883.0</v>
      </c>
      <c r="C112" s="6">
        <v>1.23</v>
      </c>
      <c r="D112" s="6">
        <v>-0.2</v>
      </c>
      <c r="E112" s="6">
        <v>10.68</v>
      </c>
      <c r="F112" s="6">
        <v>-0.1</v>
      </c>
      <c r="G112" s="6">
        <v>0.0</v>
      </c>
      <c r="H112" s="6">
        <v>-0.01</v>
      </c>
      <c r="I112" s="6">
        <v>33.21</v>
      </c>
      <c r="J112" s="7">
        <f t="shared" ref="J112:O112" si="226">abs(C112-C111)/200</f>
        <v>0.00005</v>
      </c>
      <c r="K112" s="7">
        <f t="shared" si="226"/>
        <v>0</v>
      </c>
      <c r="L112" s="7">
        <f t="shared" si="226"/>
        <v>0.00005</v>
      </c>
      <c r="M112" s="7">
        <f t="shared" si="226"/>
        <v>0</v>
      </c>
      <c r="N112" s="7">
        <f t="shared" si="226"/>
        <v>0</v>
      </c>
      <c r="O112" s="7">
        <f t="shared" si="226"/>
        <v>0</v>
      </c>
      <c r="P112" s="7">
        <f t="shared" si="9"/>
        <v>0</v>
      </c>
      <c r="Q112" s="7">
        <f t="shared" si="10"/>
        <v>0.01108013095</v>
      </c>
      <c r="R112" s="7">
        <f t="shared" si="3"/>
        <v>0.9524555335</v>
      </c>
      <c r="S112" s="7">
        <f t="shared" si="4"/>
        <v>0.1004987562</v>
      </c>
      <c r="T112" s="7">
        <f t="shared" si="5"/>
        <v>0</v>
      </c>
      <c r="U112" s="7">
        <f t="shared" si="6"/>
        <v>0</v>
      </c>
      <c r="V112" s="7">
        <f t="shared" ref="V112:W112" si="227">IF(AVERAGE(T52:T111) &gt; 0.25, 1, 0)</f>
        <v>0</v>
      </c>
      <c r="W112" s="7">
        <f t="shared" si="227"/>
        <v>0</v>
      </c>
      <c r="X112" s="8">
        <v>0.0</v>
      </c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ht="22.5" customHeight="1">
      <c r="A113" s="6">
        <v>712.0</v>
      </c>
      <c r="B113" s="6">
        <v>23087.0</v>
      </c>
      <c r="C113" s="6">
        <v>1.23</v>
      </c>
      <c r="D113" s="6">
        <v>-0.2</v>
      </c>
      <c r="E113" s="6">
        <v>10.68</v>
      </c>
      <c r="F113" s="6">
        <v>-0.1</v>
      </c>
      <c r="G113" s="6">
        <v>0.0</v>
      </c>
      <c r="H113" s="6">
        <v>-0.01</v>
      </c>
      <c r="I113" s="6">
        <v>33.21</v>
      </c>
      <c r="J113" s="7">
        <f t="shared" ref="J113:O113" si="228">abs(C113-C112)/200</f>
        <v>0</v>
      </c>
      <c r="K113" s="7">
        <f t="shared" si="228"/>
        <v>0</v>
      </c>
      <c r="L113" s="7">
        <f t="shared" si="228"/>
        <v>0</v>
      </c>
      <c r="M113" s="7">
        <f t="shared" si="228"/>
        <v>0</v>
      </c>
      <c r="N113" s="7">
        <f t="shared" si="228"/>
        <v>0</v>
      </c>
      <c r="O113" s="7">
        <f t="shared" si="228"/>
        <v>0</v>
      </c>
      <c r="P113" s="7">
        <f t="shared" si="9"/>
        <v>0</v>
      </c>
      <c r="Q113" s="7">
        <f t="shared" si="10"/>
        <v>0</v>
      </c>
      <c r="R113" s="7">
        <f t="shared" si="3"/>
        <v>0.9524555335</v>
      </c>
      <c r="S113" s="7">
        <f t="shared" si="4"/>
        <v>0.1004987562</v>
      </c>
      <c r="T113" s="7">
        <f t="shared" si="5"/>
        <v>0</v>
      </c>
      <c r="U113" s="7">
        <f t="shared" si="6"/>
        <v>0</v>
      </c>
      <c r="V113" s="7">
        <f t="shared" ref="V113:W113" si="229">IF(AVERAGE(T53:T112) &gt; 0.25, 1, 0)</f>
        <v>0</v>
      </c>
      <c r="W113" s="7">
        <f t="shared" si="229"/>
        <v>0</v>
      </c>
      <c r="X113" s="8">
        <v>0.0</v>
      </c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ht="22.5" customHeight="1">
      <c r="A114" s="6">
        <v>713.0</v>
      </c>
      <c r="B114" s="6">
        <v>23291.0</v>
      </c>
      <c r="C114" s="6">
        <v>1.24</v>
      </c>
      <c r="D114" s="6">
        <v>-0.2</v>
      </c>
      <c r="E114" s="6">
        <v>10.66</v>
      </c>
      <c r="F114" s="6">
        <v>-0.1</v>
      </c>
      <c r="G114" s="6">
        <v>0.0</v>
      </c>
      <c r="H114" s="6">
        <v>-0.01</v>
      </c>
      <c r="I114" s="6">
        <v>33.2</v>
      </c>
      <c r="J114" s="7">
        <f t="shared" ref="J114:O114" si="230">abs(C114-C113)/200</f>
        <v>0.00005</v>
      </c>
      <c r="K114" s="7">
        <f t="shared" si="230"/>
        <v>0</v>
      </c>
      <c r="L114" s="7">
        <f t="shared" si="230"/>
        <v>0.0001</v>
      </c>
      <c r="M114" s="7">
        <f t="shared" si="230"/>
        <v>0</v>
      </c>
      <c r="N114" s="7">
        <f t="shared" si="230"/>
        <v>0</v>
      </c>
      <c r="O114" s="7">
        <f t="shared" si="230"/>
        <v>0</v>
      </c>
      <c r="P114" s="7">
        <f t="shared" si="9"/>
        <v>0</v>
      </c>
      <c r="Q114" s="7">
        <f t="shared" si="10"/>
        <v>0.01871434043</v>
      </c>
      <c r="R114" s="7">
        <f t="shared" si="3"/>
        <v>0.9337411931</v>
      </c>
      <c r="S114" s="7">
        <f t="shared" si="4"/>
        <v>0.1004987562</v>
      </c>
      <c r="T114" s="7">
        <f t="shared" si="5"/>
        <v>0</v>
      </c>
      <c r="U114" s="7">
        <f t="shared" si="6"/>
        <v>0</v>
      </c>
      <c r="V114" s="7">
        <f t="shared" ref="V114:W114" si="231">IF(AVERAGE(T54:T113) &gt; 0.25, 1, 0)</f>
        <v>0</v>
      </c>
      <c r="W114" s="7">
        <f t="shared" si="231"/>
        <v>0</v>
      </c>
      <c r="X114" s="8">
        <v>0.0</v>
      </c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ht="22.5" customHeight="1">
      <c r="A115" s="6">
        <v>714.0</v>
      </c>
      <c r="B115" s="6">
        <v>23495.0</v>
      </c>
      <c r="C115" s="6">
        <v>1.24</v>
      </c>
      <c r="D115" s="6">
        <v>-0.2</v>
      </c>
      <c r="E115" s="6">
        <v>10.69</v>
      </c>
      <c r="F115" s="6">
        <v>-0.1</v>
      </c>
      <c r="G115" s="6">
        <v>0.0</v>
      </c>
      <c r="H115" s="6">
        <v>-0.01</v>
      </c>
      <c r="I115" s="6">
        <v>33.2</v>
      </c>
      <c r="J115" s="7">
        <f t="shared" ref="J115:O115" si="232">abs(C115-C114)/200</f>
        <v>0</v>
      </c>
      <c r="K115" s="7">
        <f t="shared" si="232"/>
        <v>0</v>
      </c>
      <c r="L115" s="7">
        <f t="shared" si="232"/>
        <v>0.00015</v>
      </c>
      <c r="M115" s="7">
        <f t="shared" si="232"/>
        <v>0</v>
      </c>
      <c r="N115" s="7">
        <f t="shared" si="232"/>
        <v>0</v>
      </c>
      <c r="O115" s="7">
        <f t="shared" si="232"/>
        <v>0</v>
      </c>
      <c r="P115" s="7">
        <f t="shared" si="9"/>
        <v>0</v>
      </c>
      <c r="Q115" s="7">
        <f t="shared" si="10"/>
        <v>0.02979447138</v>
      </c>
      <c r="R115" s="7">
        <f t="shared" si="3"/>
        <v>0.9635356645</v>
      </c>
      <c r="S115" s="7">
        <f t="shared" si="4"/>
        <v>0.1004987562</v>
      </c>
      <c r="T115" s="7">
        <f t="shared" si="5"/>
        <v>0</v>
      </c>
      <c r="U115" s="7">
        <f t="shared" si="6"/>
        <v>0</v>
      </c>
      <c r="V115" s="7">
        <f t="shared" ref="V115:W115" si="233">IF(AVERAGE(T55:T114) &gt; 0.25, 1, 0)</f>
        <v>0</v>
      </c>
      <c r="W115" s="7">
        <f t="shared" si="233"/>
        <v>0</v>
      </c>
      <c r="X115" s="8">
        <v>0.0</v>
      </c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ht="22.5" customHeight="1">
      <c r="A116" s="6">
        <v>715.0</v>
      </c>
      <c r="B116" s="6">
        <v>23699.0</v>
      </c>
      <c r="C116" s="6">
        <v>1.23</v>
      </c>
      <c r="D116" s="6">
        <v>-0.2</v>
      </c>
      <c r="E116" s="6">
        <v>10.68</v>
      </c>
      <c r="F116" s="6">
        <v>-0.1</v>
      </c>
      <c r="G116" s="6">
        <v>0.0</v>
      </c>
      <c r="H116" s="6">
        <v>-0.01</v>
      </c>
      <c r="I116" s="6">
        <v>33.21</v>
      </c>
      <c r="J116" s="7">
        <f t="shared" ref="J116:O116" si="234">abs(C116-C115)/200</f>
        <v>0.00005</v>
      </c>
      <c r="K116" s="7">
        <f t="shared" si="234"/>
        <v>0</v>
      </c>
      <c r="L116" s="7">
        <f t="shared" si="234"/>
        <v>0.00005</v>
      </c>
      <c r="M116" s="7">
        <f t="shared" si="234"/>
        <v>0</v>
      </c>
      <c r="N116" s="7">
        <f t="shared" si="234"/>
        <v>0</v>
      </c>
      <c r="O116" s="7">
        <f t="shared" si="234"/>
        <v>0</v>
      </c>
      <c r="P116" s="7">
        <f t="shared" si="9"/>
        <v>0</v>
      </c>
      <c r="Q116" s="7">
        <f t="shared" si="10"/>
        <v>0.01108013095</v>
      </c>
      <c r="R116" s="7">
        <f t="shared" si="3"/>
        <v>0.9524555335</v>
      </c>
      <c r="S116" s="7">
        <f t="shared" si="4"/>
        <v>0.1004987562</v>
      </c>
      <c r="T116" s="7">
        <f t="shared" si="5"/>
        <v>0</v>
      </c>
      <c r="U116" s="7">
        <f t="shared" si="6"/>
        <v>0</v>
      </c>
      <c r="V116" s="7">
        <f t="shared" ref="V116:W116" si="235">IF(AVERAGE(T56:T115) &gt; 0.25, 1, 0)</f>
        <v>0</v>
      </c>
      <c r="W116" s="7">
        <f t="shared" si="235"/>
        <v>0</v>
      </c>
      <c r="X116" s="8">
        <v>0.0</v>
      </c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ht="22.5" customHeight="1">
      <c r="A117" s="6">
        <v>716.0</v>
      </c>
      <c r="B117" s="6">
        <v>23903.0</v>
      </c>
      <c r="C117" s="6">
        <v>1.23</v>
      </c>
      <c r="D117" s="6">
        <v>-0.2</v>
      </c>
      <c r="E117" s="6">
        <v>10.68</v>
      </c>
      <c r="F117" s="6">
        <v>-0.1</v>
      </c>
      <c r="G117" s="6">
        <v>0.0</v>
      </c>
      <c r="H117" s="6">
        <v>-0.01</v>
      </c>
      <c r="I117" s="6">
        <v>33.21</v>
      </c>
      <c r="J117" s="7">
        <f t="shared" ref="J117:O117" si="236">abs(C117-C116)/200</f>
        <v>0</v>
      </c>
      <c r="K117" s="7">
        <f t="shared" si="236"/>
        <v>0</v>
      </c>
      <c r="L117" s="7">
        <f t="shared" si="236"/>
        <v>0</v>
      </c>
      <c r="M117" s="7">
        <f t="shared" si="236"/>
        <v>0</v>
      </c>
      <c r="N117" s="7">
        <f t="shared" si="236"/>
        <v>0</v>
      </c>
      <c r="O117" s="7">
        <f t="shared" si="236"/>
        <v>0</v>
      </c>
      <c r="P117" s="7">
        <f t="shared" si="9"/>
        <v>0</v>
      </c>
      <c r="Q117" s="7">
        <f t="shared" si="10"/>
        <v>0</v>
      </c>
      <c r="R117" s="7">
        <f t="shared" si="3"/>
        <v>0.9524555335</v>
      </c>
      <c r="S117" s="7">
        <f t="shared" si="4"/>
        <v>0.1004987562</v>
      </c>
      <c r="T117" s="7">
        <f t="shared" si="5"/>
        <v>0</v>
      </c>
      <c r="U117" s="7">
        <f t="shared" si="6"/>
        <v>0</v>
      </c>
      <c r="V117" s="7">
        <f t="shared" ref="V117:W117" si="237">IF(AVERAGE(T57:T116) &gt; 0.25, 1, 0)</f>
        <v>0</v>
      </c>
      <c r="W117" s="7">
        <f t="shared" si="237"/>
        <v>0</v>
      </c>
      <c r="X117" s="8">
        <v>0.0</v>
      </c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ht="22.5" customHeight="1">
      <c r="A118" s="6">
        <v>717.0</v>
      </c>
      <c r="B118" s="6">
        <v>24107.0</v>
      </c>
      <c r="C118" s="6">
        <v>1.24</v>
      </c>
      <c r="D118" s="6">
        <v>-0.2</v>
      </c>
      <c r="E118" s="6">
        <v>10.69</v>
      </c>
      <c r="F118" s="6">
        <v>-0.1</v>
      </c>
      <c r="G118" s="6">
        <v>0.0</v>
      </c>
      <c r="H118" s="6">
        <v>-0.01</v>
      </c>
      <c r="I118" s="6">
        <v>33.21</v>
      </c>
      <c r="J118" s="7">
        <f t="shared" ref="J118:O118" si="238">abs(C118-C117)/200</f>
        <v>0.00005</v>
      </c>
      <c r="K118" s="7">
        <f t="shared" si="238"/>
        <v>0</v>
      </c>
      <c r="L118" s="7">
        <f t="shared" si="238"/>
        <v>0.00005</v>
      </c>
      <c r="M118" s="7">
        <f t="shared" si="238"/>
        <v>0</v>
      </c>
      <c r="N118" s="7">
        <f t="shared" si="238"/>
        <v>0</v>
      </c>
      <c r="O118" s="7">
        <f t="shared" si="238"/>
        <v>0</v>
      </c>
      <c r="P118" s="7">
        <f t="shared" si="9"/>
        <v>0</v>
      </c>
      <c r="Q118" s="7">
        <f t="shared" si="10"/>
        <v>0.01108013095</v>
      </c>
      <c r="R118" s="7">
        <f t="shared" si="3"/>
        <v>0.9635356645</v>
      </c>
      <c r="S118" s="7">
        <f t="shared" si="4"/>
        <v>0.1004987562</v>
      </c>
      <c r="T118" s="7">
        <f t="shared" si="5"/>
        <v>0</v>
      </c>
      <c r="U118" s="7">
        <f t="shared" si="6"/>
        <v>0</v>
      </c>
      <c r="V118" s="7">
        <f t="shared" ref="V118:W118" si="239">IF(AVERAGE(T58:T117) &gt; 0.25, 1, 0)</f>
        <v>0</v>
      </c>
      <c r="W118" s="7">
        <f t="shared" si="239"/>
        <v>0</v>
      </c>
      <c r="X118" s="8">
        <v>0.0</v>
      </c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ht="22.5" customHeight="1">
      <c r="A119" s="6">
        <v>718.0</v>
      </c>
      <c r="B119" s="6">
        <v>24311.0</v>
      </c>
      <c r="C119" s="6">
        <v>1.23</v>
      </c>
      <c r="D119" s="6">
        <v>-0.21</v>
      </c>
      <c r="E119" s="6">
        <v>10.68</v>
      </c>
      <c r="F119" s="6">
        <v>-0.1</v>
      </c>
      <c r="G119" s="6">
        <v>0.0</v>
      </c>
      <c r="H119" s="6">
        <v>-0.01</v>
      </c>
      <c r="I119" s="6">
        <v>33.21</v>
      </c>
      <c r="J119" s="7">
        <f t="shared" ref="J119:O119" si="240">abs(C119-C118)/200</f>
        <v>0.00005</v>
      </c>
      <c r="K119" s="7">
        <f t="shared" si="240"/>
        <v>0.00005</v>
      </c>
      <c r="L119" s="7">
        <f t="shared" si="240"/>
        <v>0.00005</v>
      </c>
      <c r="M119" s="7">
        <f t="shared" si="240"/>
        <v>0</v>
      </c>
      <c r="N119" s="7">
        <f t="shared" si="240"/>
        <v>0</v>
      </c>
      <c r="O119" s="7">
        <f t="shared" si="240"/>
        <v>0</v>
      </c>
      <c r="P119" s="7">
        <f t="shared" si="9"/>
        <v>0</v>
      </c>
      <c r="Q119" s="7">
        <f t="shared" si="10"/>
        <v>0.01088947852</v>
      </c>
      <c r="R119" s="7">
        <f t="shared" si="3"/>
        <v>0.9526461859</v>
      </c>
      <c r="S119" s="7">
        <f t="shared" si="4"/>
        <v>0.1004987562</v>
      </c>
      <c r="T119" s="7">
        <f t="shared" si="5"/>
        <v>0</v>
      </c>
      <c r="U119" s="7">
        <f t="shared" si="6"/>
        <v>0</v>
      </c>
      <c r="V119" s="7">
        <f t="shared" ref="V119:W119" si="241">IF(AVERAGE(T59:T118) &gt; 0.25, 1, 0)</f>
        <v>0</v>
      </c>
      <c r="W119" s="7">
        <f t="shared" si="241"/>
        <v>0</v>
      </c>
      <c r="X119" s="8">
        <v>0.0</v>
      </c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ht="22.5" customHeight="1">
      <c r="A120" s="6">
        <v>719.0</v>
      </c>
      <c r="B120" s="6">
        <v>24515.0</v>
      </c>
      <c r="C120" s="6">
        <v>1.24</v>
      </c>
      <c r="D120" s="6">
        <v>-0.2</v>
      </c>
      <c r="E120" s="6">
        <v>10.69</v>
      </c>
      <c r="F120" s="6">
        <v>-0.1</v>
      </c>
      <c r="G120" s="6">
        <v>0.0</v>
      </c>
      <c r="H120" s="6">
        <v>-0.01</v>
      </c>
      <c r="I120" s="6">
        <v>33.19</v>
      </c>
      <c r="J120" s="7">
        <f t="shared" ref="J120:O120" si="242">abs(C120-C119)/200</f>
        <v>0.00005</v>
      </c>
      <c r="K120" s="7">
        <f t="shared" si="242"/>
        <v>0.00005</v>
      </c>
      <c r="L120" s="7">
        <f t="shared" si="242"/>
        <v>0.00005</v>
      </c>
      <c r="M120" s="7">
        <f t="shared" si="242"/>
        <v>0</v>
      </c>
      <c r="N120" s="7">
        <f t="shared" si="242"/>
        <v>0</v>
      </c>
      <c r="O120" s="7">
        <f t="shared" si="242"/>
        <v>0</v>
      </c>
      <c r="P120" s="7">
        <f t="shared" si="9"/>
        <v>0</v>
      </c>
      <c r="Q120" s="7">
        <f t="shared" si="10"/>
        <v>0.01088947852</v>
      </c>
      <c r="R120" s="7">
        <f t="shared" si="3"/>
        <v>0.9635356645</v>
      </c>
      <c r="S120" s="7">
        <f t="shared" si="4"/>
        <v>0.1004987562</v>
      </c>
      <c r="T120" s="7">
        <f t="shared" si="5"/>
        <v>0</v>
      </c>
      <c r="U120" s="7">
        <f t="shared" si="6"/>
        <v>0</v>
      </c>
      <c r="V120" s="7">
        <f t="shared" ref="V120:W120" si="243">IF(AVERAGE(T60:T119) &gt; 0.25, 1, 0)</f>
        <v>0</v>
      </c>
      <c r="W120" s="7">
        <f t="shared" si="243"/>
        <v>0</v>
      </c>
      <c r="X120" s="8">
        <v>0.0</v>
      </c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ht="22.5" customHeight="1">
      <c r="A121" s="6">
        <v>720.0</v>
      </c>
      <c r="B121" s="6">
        <v>24719.0</v>
      </c>
      <c r="C121" s="6">
        <v>1.23</v>
      </c>
      <c r="D121" s="6">
        <v>-0.2</v>
      </c>
      <c r="E121" s="6">
        <v>10.68</v>
      </c>
      <c r="F121" s="6">
        <v>-0.1</v>
      </c>
      <c r="G121" s="6">
        <v>0.0</v>
      </c>
      <c r="H121" s="6">
        <v>-0.01</v>
      </c>
      <c r="I121" s="6">
        <v>33.2</v>
      </c>
      <c r="J121" s="7">
        <f t="shared" ref="J121:O121" si="244">abs(C121-C120)/200</f>
        <v>0.00005</v>
      </c>
      <c r="K121" s="7">
        <f t="shared" si="244"/>
        <v>0</v>
      </c>
      <c r="L121" s="7">
        <f t="shared" si="244"/>
        <v>0.00005</v>
      </c>
      <c r="M121" s="7">
        <f t="shared" si="244"/>
        <v>0</v>
      </c>
      <c r="N121" s="7">
        <f t="shared" si="244"/>
        <v>0</v>
      </c>
      <c r="O121" s="7">
        <f t="shared" si="244"/>
        <v>0</v>
      </c>
      <c r="P121" s="7">
        <f t="shared" si="9"/>
        <v>0</v>
      </c>
      <c r="Q121" s="7">
        <f t="shared" si="10"/>
        <v>0.01108013095</v>
      </c>
      <c r="R121" s="7">
        <f t="shared" si="3"/>
        <v>0.9524555335</v>
      </c>
      <c r="S121" s="7">
        <f t="shared" si="4"/>
        <v>0.1004987562</v>
      </c>
      <c r="T121" s="7">
        <f t="shared" si="5"/>
        <v>0</v>
      </c>
      <c r="U121" s="7">
        <f t="shared" si="6"/>
        <v>0</v>
      </c>
      <c r="V121" s="7">
        <f t="shared" ref="V121:W121" si="245">IF(AVERAGE(T61:T120) &gt; 0.25, 1, 0)</f>
        <v>0</v>
      </c>
      <c r="W121" s="7">
        <f t="shared" si="245"/>
        <v>0</v>
      </c>
      <c r="X121" s="8">
        <v>0.0</v>
      </c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ht="22.5" customHeight="1">
      <c r="A122" s="6">
        <v>721.0</v>
      </c>
      <c r="B122" s="6">
        <v>24923.0</v>
      </c>
      <c r="C122" s="6">
        <v>1.23</v>
      </c>
      <c r="D122" s="6">
        <v>-0.2</v>
      </c>
      <c r="E122" s="6">
        <v>10.68</v>
      </c>
      <c r="F122" s="6">
        <v>-0.1</v>
      </c>
      <c r="G122" s="6">
        <v>0.0</v>
      </c>
      <c r="H122" s="6">
        <v>-0.01</v>
      </c>
      <c r="I122" s="6">
        <v>33.19</v>
      </c>
      <c r="J122" s="7">
        <f t="shared" ref="J122:O122" si="246">abs(C122-C121)/200</f>
        <v>0</v>
      </c>
      <c r="K122" s="7">
        <f t="shared" si="246"/>
        <v>0</v>
      </c>
      <c r="L122" s="7">
        <f t="shared" si="246"/>
        <v>0</v>
      </c>
      <c r="M122" s="7">
        <f t="shared" si="246"/>
        <v>0</v>
      </c>
      <c r="N122" s="7">
        <f t="shared" si="246"/>
        <v>0</v>
      </c>
      <c r="O122" s="7">
        <f t="shared" si="246"/>
        <v>0</v>
      </c>
      <c r="P122" s="7">
        <f t="shared" si="9"/>
        <v>0</v>
      </c>
      <c r="Q122" s="7">
        <f t="shared" si="10"/>
        <v>0</v>
      </c>
      <c r="R122" s="7">
        <f t="shared" si="3"/>
        <v>0.9524555335</v>
      </c>
      <c r="S122" s="7">
        <f t="shared" si="4"/>
        <v>0.1004987562</v>
      </c>
      <c r="T122" s="7">
        <f t="shared" si="5"/>
        <v>0</v>
      </c>
      <c r="U122" s="7">
        <f t="shared" si="6"/>
        <v>0</v>
      </c>
      <c r="V122" s="7">
        <f t="shared" ref="V122:W122" si="247">IF(AVERAGE(T62:T121) &gt; 0.25, 1, 0)</f>
        <v>0</v>
      </c>
      <c r="W122" s="7">
        <f t="shared" si="247"/>
        <v>0</v>
      </c>
      <c r="X122" s="8">
        <v>0.0</v>
      </c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ht="22.5" customHeight="1">
      <c r="A123" s="6">
        <v>722.0</v>
      </c>
      <c r="B123" s="6">
        <v>25127.0</v>
      </c>
      <c r="C123" s="6">
        <v>1.24</v>
      </c>
      <c r="D123" s="6">
        <v>-0.2</v>
      </c>
      <c r="E123" s="6">
        <v>10.69</v>
      </c>
      <c r="F123" s="6">
        <v>-0.1</v>
      </c>
      <c r="G123" s="6">
        <v>0.0</v>
      </c>
      <c r="H123" s="6">
        <v>-0.01</v>
      </c>
      <c r="I123" s="6">
        <v>33.2</v>
      </c>
      <c r="J123" s="7">
        <f t="shared" ref="J123:O123" si="248">abs(C123-C122)/200</f>
        <v>0.00005</v>
      </c>
      <c r="K123" s="7">
        <f t="shared" si="248"/>
        <v>0</v>
      </c>
      <c r="L123" s="7">
        <f t="shared" si="248"/>
        <v>0.00005</v>
      </c>
      <c r="M123" s="7">
        <f t="shared" si="248"/>
        <v>0</v>
      </c>
      <c r="N123" s="7">
        <f t="shared" si="248"/>
        <v>0</v>
      </c>
      <c r="O123" s="7">
        <f t="shared" si="248"/>
        <v>0</v>
      </c>
      <c r="P123" s="7">
        <f t="shared" si="9"/>
        <v>0</v>
      </c>
      <c r="Q123" s="7">
        <f t="shared" si="10"/>
        <v>0.01108013095</v>
      </c>
      <c r="R123" s="7">
        <f t="shared" si="3"/>
        <v>0.9635356645</v>
      </c>
      <c r="S123" s="7">
        <f t="shared" si="4"/>
        <v>0.1004987562</v>
      </c>
      <c r="T123" s="7">
        <f t="shared" si="5"/>
        <v>0</v>
      </c>
      <c r="U123" s="7">
        <f t="shared" si="6"/>
        <v>0</v>
      </c>
      <c r="V123" s="7">
        <f t="shared" ref="V123:W123" si="249">IF(AVERAGE(T63:T122) &gt; 0.25, 1, 0)</f>
        <v>0</v>
      </c>
      <c r="W123" s="7">
        <f t="shared" si="249"/>
        <v>0</v>
      </c>
      <c r="X123" s="8">
        <v>0.0</v>
      </c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ht="22.5" customHeight="1">
      <c r="A124" s="6">
        <v>723.0</v>
      </c>
      <c r="B124" s="6">
        <v>25331.0</v>
      </c>
      <c r="C124" s="6">
        <v>1.23</v>
      </c>
      <c r="D124" s="6">
        <v>-0.2</v>
      </c>
      <c r="E124" s="6">
        <v>10.68</v>
      </c>
      <c r="F124" s="6">
        <v>-0.1</v>
      </c>
      <c r="G124" s="6">
        <v>0.0</v>
      </c>
      <c r="H124" s="6">
        <v>-0.01</v>
      </c>
      <c r="I124" s="6">
        <v>33.19</v>
      </c>
      <c r="J124" s="7">
        <f t="shared" ref="J124:O124" si="250">abs(C124-C123)/200</f>
        <v>0.00005</v>
      </c>
      <c r="K124" s="7">
        <f t="shared" si="250"/>
        <v>0</v>
      </c>
      <c r="L124" s="7">
        <f t="shared" si="250"/>
        <v>0.00005</v>
      </c>
      <c r="M124" s="7">
        <f t="shared" si="250"/>
        <v>0</v>
      </c>
      <c r="N124" s="7">
        <f t="shared" si="250"/>
        <v>0</v>
      </c>
      <c r="O124" s="7">
        <f t="shared" si="250"/>
        <v>0</v>
      </c>
      <c r="P124" s="7">
        <f t="shared" si="9"/>
        <v>0</v>
      </c>
      <c r="Q124" s="7">
        <f t="shared" si="10"/>
        <v>0.01108013095</v>
      </c>
      <c r="R124" s="7">
        <f t="shared" si="3"/>
        <v>0.9524555335</v>
      </c>
      <c r="S124" s="7">
        <f t="shared" si="4"/>
        <v>0.1004987562</v>
      </c>
      <c r="T124" s="7">
        <f t="shared" si="5"/>
        <v>0</v>
      </c>
      <c r="U124" s="7">
        <f t="shared" si="6"/>
        <v>0</v>
      </c>
      <c r="V124" s="7">
        <f t="shared" ref="V124:W124" si="251">IF(AVERAGE(T64:T123) &gt; 0.25, 1, 0)</f>
        <v>0</v>
      </c>
      <c r="W124" s="7">
        <f t="shared" si="251"/>
        <v>0</v>
      </c>
      <c r="X124" s="8">
        <v>0.0</v>
      </c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ht="22.5" customHeight="1">
      <c r="A125" s="6">
        <v>724.0</v>
      </c>
      <c r="B125" s="6">
        <v>25535.0</v>
      </c>
      <c r="C125" s="6">
        <v>1.23</v>
      </c>
      <c r="D125" s="6">
        <v>-0.19</v>
      </c>
      <c r="E125" s="6">
        <v>10.67</v>
      </c>
      <c r="F125" s="6">
        <v>-0.1</v>
      </c>
      <c r="G125" s="6">
        <v>0.0</v>
      </c>
      <c r="H125" s="6">
        <v>-0.01</v>
      </c>
      <c r="I125" s="6">
        <v>33.2</v>
      </c>
      <c r="J125" s="7">
        <f t="shared" ref="J125:O125" si="252">abs(C125-C124)/200</f>
        <v>0</v>
      </c>
      <c r="K125" s="7">
        <f t="shared" si="252"/>
        <v>0.00005</v>
      </c>
      <c r="L125" s="7">
        <f t="shared" si="252"/>
        <v>0.00005</v>
      </c>
      <c r="M125" s="7">
        <f t="shared" si="252"/>
        <v>0</v>
      </c>
      <c r="N125" s="7">
        <f t="shared" si="252"/>
        <v>0</v>
      </c>
      <c r="O125" s="7">
        <f t="shared" si="252"/>
        <v>0</v>
      </c>
      <c r="P125" s="7">
        <f t="shared" si="9"/>
        <v>0</v>
      </c>
      <c r="Q125" s="7">
        <f t="shared" si="10"/>
        <v>0.01011407552</v>
      </c>
      <c r="R125" s="7">
        <f t="shared" si="3"/>
        <v>0.942341458</v>
      </c>
      <c r="S125" s="7">
        <f t="shared" si="4"/>
        <v>0.1004987562</v>
      </c>
      <c r="T125" s="7">
        <f t="shared" si="5"/>
        <v>0</v>
      </c>
      <c r="U125" s="7">
        <f t="shared" si="6"/>
        <v>0</v>
      </c>
      <c r="V125" s="7">
        <f t="shared" ref="V125:W125" si="253">IF(AVERAGE(T65:T124) &gt; 0.25, 1, 0)</f>
        <v>0</v>
      </c>
      <c r="W125" s="7">
        <f t="shared" si="253"/>
        <v>0</v>
      </c>
      <c r="X125" s="8">
        <v>0.0</v>
      </c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ht="22.5" customHeight="1">
      <c r="A126" s="6">
        <v>725.0</v>
      </c>
      <c r="B126" s="6">
        <v>25739.0</v>
      </c>
      <c r="C126" s="6">
        <v>1.24</v>
      </c>
      <c r="D126" s="6">
        <v>-0.19</v>
      </c>
      <c r="E126" s="6">
        <v>10.68</v>
      </c>
      <c r="F126" s="6">
        <v>-0.1</v>
      </c>
      <c r="G126" s="6">
        <v>0.0</v>
      </c>
      <c r="H126" s="6">
        <v>-0.01</v>
      </c>
      <c r="I126" s="6">
        <v>33.19</v>
      </c>
      <c r="J126" s="7">
        <f t="shared" ref="J126:O126" si="254">abs(C126-C125)/200</f>
        <v>0.00005</v>
      </c>
      <c r="K126" s="7">
        <f t="shared" si="254"/>
        <v>0</v>
      </c>
      <c r="L126" s="7">
        <f t="shared" si="254"/>
        <v>0.00005</v>
      </c>
      <c r="M126" s="7">
        <f t="shared" si="254"/>
        <v>0</v>
      </c>
      <c r="N126" s="7">
        <f t="shared" si="254"/>
        <v>0</v>
      </c>
      <c r="O126" s="7">
        <f t="shared" si="254"/>
        <v>0</v>
      </c>
      <c r="P126" s="7">
        <f t="shared" si="9"/>
        <v>0</v>
      </c>
      <c r="Q126" s="7">
        <f t="shared" si="10"/>
        <v>0.01108125294</v>
      </c>
      <c r="R126" s="7">
        <f t="shared" si="3"/>
        <v>0.9534227109</v>
      </c>
      <c r="S126" s="7">
        <f t="shared" si="4"/>
        <v>0.1004987562</v>
      </c>
      <c r="T126" s="7">
        <f t="shared" si="5"/>
        <v>0</v>
      </c>
      <c r="U126" s="7">
        <f t="shared" si="6"/>
        <v>0</v>
      </c>
      <c r="V126" s="7">
        <f t="shared" ref="V126:W126" si="255">IF(AVERAGE(T66:T125) &gt; 0.25, 1, 0)</f>
        <v>0</v>
      </c>
      <c r="W126" s="7">
        <f t="shared" si="255"/>
        <v>0</v>
      </c>
      <c r="X126" s="8">
        <v>0.0</v>
      </c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ht="22.5" customHeight="1">
      <c r="A127" s="6">
        <v>726.0</v>
      </c>
      <c r="B127" s="6">
        <v>25943.0</v>
      </c>
      <c r="C127" s="6">
        <v>1.23</v>
      </c>
      <c r="D127" s="6">
        <v>-0.19</v>
      </c>
      <c r="E127" s="6">
        <v>10.69</v>
      </c>
      <c r="F127" s="6">
        <v>-0.1</v>
      </c>
      <c r="G127" s="6">
        <v>0.0</v>
      </c>
      <c r="H127" s="6">
        <v>-0.01</v>
      </c>
      <c r="I127" s="6">
        <v>33.19</v>
      </c>
      <c r="J127" s="7">
        <f t="shared" ref="J127:O127" si="256">abs(C127-C126)/200</f>
        <v>0.00005</v>
      </c>
      <c r="K127" s="7">
        <f t="shared" si="256"/>
        <v>0</v>
      </c>
      <c r="L127" s="7">
        <f t="shared" si="256"/>
        <v>0.00005</v>
      </c>
      <c r="M127" s="7">
        <f t="shared" si="256"/>
        <v>0</v>
      </c>
      <c r="N127" s="7">
        <f t="shared" si="256"/>
        <v>0</v>
      </c>
      <c r="O127" s="7">
        <f t="shared" si="256"/>
        <v>0</v>
      </c>
      <c r="P127" s="7">
        <f t="shared" si="9"/>
        <v>0</v>
      </c>
      <c r="Q127" s="7">
        <f t="shared" si="10"/>
        <v>0.008784311793</v>
      </c>
      <c r="R127" s="7">
        <f t="shared" si="3"/>
        <v>0.9622070227</v>
      </c>
      <c r="S127" s="7">
        <f t="shared" si="4"/>
        <v>0.1004987562</v>
      </c>
      <c r="T127" s="7">
        <f t="shared" si="5"/>
        <v>0</v>
      </c>
      <c r="U127" s="7">
        <f t="shared" si="6"/>
        <v>0</v>
      </c>
      <c r="V127" s="7">
        <f t="shared" ref="V127:W127" si="257">IF(AVERAGE(T67:T126) &gt; 0.25, 1, 0)</f>
        <v>0</v>
      </c>
      <c r="W127" s="7">
        <f t="shared" si="257"/>
        <v>0</v>
      </c>
      <c r="X127" s="8">
        <v>0.0</v>
      </c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ht="22.5" customHeight="1">
      <c r="A128" s="6">
        <v>727.0</v>
      </c>
      <c r="B128" s="6">
        <v>26147.0</v>
      </c>
      <c r="C128" s="6">
        <v>1.23</v>
      </c>
      <c r="D128" s="6">
        <v>-0.19</v>
      </c>
      <c r="E128" s="6">
        <v>10.68</v>
      </c>
      <c r="F128" s="6">
        <v>-0.1</v>
      </c>
      <c r="G128" s="6">
        <v>0.0</v>
      </c>
      <c r="H128" s="6">
        <v>-0.01</v>
      </c>
      <c r="I128" s="6">
        <v>33.19</v>
      </c>
      <c r="J128" s="7">
        <f t="shared" ref="J128:O128" si="258">abs(C128-C127)/200</f>
        <v>0</v>
      </c>
      <c r="K128" s="7">
        <f t="shared" si="258"/>
        <v>0</v>
      </c>
      <c r="L128" s="7">
        <f t="shared" si="258"/>
        <v>0.00005</v>
      </c>
      <c r="M128" s="7">
        <f t="shared" si="258"/>
        <v>0</v>
      </c>
      <c r="N128" s="7">
        <f t="shared" si="258"/>
        <v>0</v>
      </c>
      <c r="O128" s="7">
        <f t="shared" si="258"/>
        <v>0</v>
      </c>
      <c r="P128" s="7">
        <f t="shared" si="9"/>
        <v>0</v>
      </c>
      <c r="Q128" s="7">
        <f t="shared" si="10"/>
        <v>0.009932844674</v>
      </c>
      <c r="R128" s="7">
        <f t="shared" si="3"/>
        <v>0.9522741781</v>
      </c>
      <c r="S128" s="7">
        <f t="shared" si="4"/>
        <v>0.1004987562</v>
      </c>
      <c r="T128" s="7">
        <f t="shared" si="5"/>
        <v>0</v>
      </c>
      <c r="U128" s="7">
        <f t="shared" si="6"/>
        <v>0</v>
      </c>
      <c r="V128" s="7">
        <f t="shared" ref="V128:W128" si="259">IF(AVERAGE(T68:T127) &gt; 0.25, 1, 0)</f>
        <v>0</v>
      </c>
      <c r="W128" s="7">
        <f t="shared" si="259"/>
        <v>0</v>
      </c>
      <c r="X128" s="8">
        <v>0.0</v>
      </c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ht="22.5" customHeight="1">
      <c r="A129" s="6">
        <v>728.0</v>
      </c>
      <c r="B129" s="6">
        <v>26351.0</v>
      </c>
      <c r="C129" s="6">
        <v>1.23</v>
      </c>
      <c r="D129" s="6">
        <v>-0.2</v>
      </c>
      <c r="E129" s="6">
        <v>10.69</v>
      </c>
      <c r="F129" s="6">
        <v>-0.1</v>
      </c>
      <c r="G129" s="6">
        <v>0.0</v>
      </c>
      <c r="H129" s="6">
        <v>-0.01</v>
      </c>
      <c r="I129" s="6">
        <v>33.19</v>
      </c>
      <c r="J129" s="7">
        <f t="shared" ref="J129:O129" si="260">abs(C129-C128)/200</f>
        <v>0</v>
      </c>
      <c r="K129" s="7">
        <f t="shared" si="260"/>
        <v>0.00005</v>
      </c>
      <c r="L129" s="7">
        <f t="shared" si="260"/>
        <v>0.00005</v>
      </c>
      <c r="M129" s="7">
        <f t="shared" si="260"/>
        <v>0</v>
      </c>
      <c r="N129" s="7">
        <f t="shared" si="260"/>
        <v>0</v>
      </c>
      <c r="O129" s="7">
        <f t="shared" si="260"/>
        <v>0</v>
      </c>
      <c r="P129" s="7">
        <f t="shared" si="9"/>
        <v>0</v>
      </c>
      <c r="Q129" s="7">
        <f t="shared" si="10"/>
        <v>0.01011403275</v>
      </c>
      <c r="R129" s="7">
        <f t="shared" si="3"/>
        <v>0.9623882108</v>
      </c>
      <c r="S129" s="7">
        <f t="shared" si="4"/>
        <v>0.1004987562</v>
      </c>
      <c r="T129" s="7">
        <f t="shared" si="5"/>
        <v>0</v>
      </c>
      <c r="U129" s="7">
        <f t="shared" si="6"/>
        <v>0</v>
      </c>
      <c r="V129" s="7">
        <f t="shared" ref="V129:W129" si="261">IF(AVERAGE(T69:T128) &gt; 0.25, 1, 0)</f>
        <v>0</v>
      </c>
      <c r="W129" s="7">
        <f t="shared" si="261"/>
        <v>0</v>
      </c>
      <c r="X129" s="8">
        <v>0.0</v>
      </c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ht="22.5" customHeight="1">
      <c r="A130" s="6">
        <v>729.0</v>
      </c>
      <c r="B130" s="6">
        <v>26555.0</v>
      </c>
      <c r="C130" s="6">
        <v>1.23</v>
      </c>
      <c r="D130" s="6">
        <v>-0.21</v>
      </c>
      <c r="E130" s="6">
        <v>10.68</v>
      </c>
      <c r="F130" s="6">
        <v>-0.1</v>
      </c>
      <c r="G130" s="6">
        <v>0.0</v>
      </c>
      <c r="H130" s="6">
        <v>-0.01</v>
      </c>
      <c r="I130" s="6">
        <v>33.18</v>
      </c>
      <c r="J130" s="7">
        <f t="shared" ref="J130:O130" si="262">abs(C130-C129)/200</f>
        <v>0</v>
      </c>
      <c r="K130" s="7">
        <f t="shared" si="262"/>
        <v>0.00005</v>
      </c>
      <c r="L130" s="7">
        <f t="shared" si="262"/>
        <v>0.00005</v>
      </c>
      <c r="M130" s="7">
        <f t="shared" si="262"/>
        <v>0</v>
      </c>
      <c r="N130" s="7">
        <f t="shared" si="262"/>
        <v>0</v>
      </c>
      <c r="O130" s="7">
        <f t="shared" si="262"/>
        <v>0</v>
      </c>
      <c r="P130" s="7">
        <f t="shared" si="9"/>
        <v>0</v>
      </c>
      <c r="Q130" s="7">
        <f t="shared" si="10"/>
        <v>0.009742024862</v>
      </c>
      <c r="R130" s="7">
        <f t="shared" si="3"/>
        <v>0.9526461859</v>
      </c>
      <c r="S130" s="7">
        <f t="shared" si="4"/>
        <v>0.1004987562</v>
      </c>
      <c r="T130" s="7">
        <f t="shared" si="5"/>
        <v>0</v>
      </c>
      <c r="U130" s="7">
        <f t="shared" si="6"/>
        <v>0</v>
      </c>
      <c r="V130" s="7">
        <f t="shared" ref="V130:W130" si="263">IF(AVERAGE(T70:T129) &gt; 0.25, 1, 0)</f>
        <v>0</v>
      </c>
      <c r="W130" s="7">
        <f t="shared" si="263"/>
        <v>0</v>
      </c>
      <c r="X130" s="8">
        <v>0.0</v>
      </c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ht="22.5" customHeight="1">
      <c r="A131" s="6">
        <v>730.0</v>
      </c>
      <c r="B131" s="6">
        <v>26759.0</v>
      </c>
      <c r="C131" s="6">
        <v>1.22</v>
      </c>
      <c r="D131" s="6">
        <v>-0.21</v>
      </c>
      <c r="E131" s="6">
        <v>10.68</v>
      </c>
      <c r="F131" s="6">
        <v>-0.1</v>
      </c>
      <c r="G131" s="6">
        <v>0.0</v>
      </c>
      <c r="H131" s="6">
        <v>-0.01</v>
      </c>
      <c r="I131" s="6">
        <v>33.19</v>
      </c>
      <c r="J131" s="7">
        <f t="shared" ref="J131:O131" si="264">abs(C131-C130)/200</f>
        <v>0.00005</v>
      </c>
      <c r="K131" s="7">
        <f t="shared" si="264"/>
        <v>0</v>
      </c>
      <c r="L131" s="7">
        <f t="shared" si="264"/>
        <v>0</v>
      </c>
      <c r="M131" s="7">
        <f t="shared" si="264"/>
        <v>0</v>
      </c>
      <c r="N131" s="7">
        <f t="shared" si="264"/>
        <v>0</v>
      </c>
      <c r="O131" s="7">
        <f t="shared" si="264"/>
        <v>0</v>
      </c>
      <c r="P131" s="7">
        <f t="shared" si="9"/>
        <v>0</v>
      </c>
      <c r="Q131" s="7">
        <f t="shared" si="10"/>
        <v>0.001139314807</v>
      </c>
      <c r="R131" s="7">
        <f t="shared" si="3"/>
        <v>0.9515068711</v>
      </c>
      <c r="S131" s="7">
        <f t="shared" si="4"/>
        <v>0.1004987562</v>
      </c>
      <c r="T131" s="7">
        <f t="shared" si="5"/>
        <v>0</v>
      </c>
      <c r="U131" s="7">
        <f t="shared" si="6"/>
        <v>0</v>
      </c>
      <c r="V131" s="7">
        <f t="shared" ref="V131:W131" si="265">IF(AVERAGE(T71:T130) &gt; 0.25, 1, 0)</f>
        <v>0</v>
      </c>
      <c r="W131" s="7">
        <f t="shared" si="265"/>
        <v>0</v>
      </c>
      <c r="X131" s="8">
        <v>0.0</v>
      </c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ht="22.5" customHeight="1">
      <c r="A132" s="6">
        <v>731.0</v>
      </c>
      <c r="B132" s="6">
        <v>26963.0</v>
      </c>
      <c r="C132" s="6">
        <v>1.23</v>
      </c>
      <c r="D132" s="6">
        <v>-0.2</v>
      </c>
      <c r="E132" s="6">
        <v>10.69</v>
      </c>
      <c r="F132" s="6">
        <v>-0.1</v>
      </c>
      <c r="G132" s="6">
        <v>0.0</v>
      </c>
      <c r="H132" s="6">
        <v>-0.01</v>
      </c>
      <c r="I132" s="6">
        <v>33.2</v>
      </c>
      <c r="J132" s="7">
        <f t="shared" ref="J132:O132" si="266">abs(C132-C131)/200</f>
        <v>0.00005</v>
      </c>
      <c r="K132" s="7">
        <f t="shared" si="266"/>
        <v>0.00005</v>
      </c>
      <c r="L132" s="7">
        <f t="shared" si="266"/>
        <v>0.00005</v>
      </c>
      <c r="M132" s="7">
        <f t="shared" si="266"/>
        <v>0</v>
      </c>
      <c r="N132" s="7">
        <f t="shared" si="266"/>
        <v>0</v>
      </c>
      <c r="O132" s="7">
        <f t="shared" si="266"/>
        <v>0</v>
      </c>
      <c r="P132" s="7">
        <f t="shared" si="9"/>
        <v>0</v>
      </c>
      <c r="Q132" s="7">
        <f t="shared" si="10"/>
        <v>0.01088133967</v>
      </c>
      <c r="R132" s="7">
        <f t="shared" si="3"/>
        <v>0.9623882108</v>
      </c>
      <c r="S132" s="7">
        <f t="shared" si="4"/>
        <v>0.1004987562</v>
      </c>
      <c r="T132" s="7">
        <f t="shared" si="5"/>
        <v>0</v>
      </c>
      <c r="U132" s="7">
        <f t="shared" si="6"/>
        <v>0</v>
      </c>
      <c r="V132" s="7">
        <f t="shared" ref="V132:W132" si="267">IF(AVERAGE(T72:T131) &gt; 0.25, 1, 0)</f>
        <v>0</v>
      </c>
      <c r="W132" s="7">
        <f t="shared" si="267"/>
        <v>0</v>
      </c>
      <c r="X132" s="8">
        <v>0.0</v>
      </c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ht="22.5" customHeight="1">
      <c r="A133" s="6">
        <v>732.0</v>
      </c>
      <c r="B133" s="6">
        <v>27167.0</v>
      </c>
      <c r="C133" s="6">
        <v>1.23</v>
      </c>
      <c r="D133" s="6">
        <v>-0.2</v>
      </c>
      <c r="E133" s="6">
        <v>10.68</v>
      </c>
      <c r="F133" s="6">
        <v>-0.1</v>
      </c>
      <c r="G133" s="6">
        <v>0.0</v>
      </c>
      <c r="H133" s="6">
        <v>-0.01</v>
      </c>
      <c r="I133" s="6">
        <v>33.19</v>
      </c>
      <c r="J133" s="7">
        <f t="shared" ref="J133:O133" si="268">abs(C133-C132)/200</f>
        <v>0</v>
      </c>
      <c r="K133" s="7">
        <f t="shared" si="268"/>
        <v>0</v>
      </c>
      <c r="L133" s="7">
        <f t="shared" si="268"/>
        <v>0.00005</v>
      </c>
      <c r="M133" s="7">
        <f t="shared" si="268"/>
        <v>0</v>
      </c>
      <c r="N133" s="7">
        <f t="shared" si="268"/>
        <v>0</v>
      </c>
      <c r="O133" s="7">
        <f t="shared" si="268"/>
        <v>0</v>
      </c>
      <c r="P133" s="7">
        <f t="shared" si="9"/>
        <v>0</v>
      </c>
      <c r="Q133" s="7">
        <f t="shared" si="10"/>
        <v>0.009932677297</v>
      </c>
      <c r="R133" s="7">
        <f t="shared" si="3"/>
        <v>0.9524555335</v>
      </c>
      <c r="S133" s="7">
        <f t="shared" si="4"/>
        <v>0.1004987562</v>
      </c>
      <c r="T133" s="7">
        <f t="shared" si="5"/>
        <v>0</v>
      </c>
      <c r="U133" s="7">
        <f t="shared" si="6"/>
        <v>0</v>
      </c>
      <c r="V133" s="7">
        <f t="shared" ref="V133:W133" si="269">IF(AVERAGE(T73:T132) &gt; 0.25, 1, 0)</f>
        <v>0</v>
      </c>
      <c r="W133" s="7">
        <f t="shared" si="269"/>
        <v>0</v>
      </c>
      <c r="X133" s="8">
        <v>0.0</v>
      </c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ht="22.5" customHeight="1">
      <c r="A134" s="6">
        <v>733.0</v>
      </c>
      <c r="B134" s="6">
        <v>27371.0</v>
      </c>
      <c r="C134" s="6">
        <v>1.23</v>
      </c>
      <c r="D134" s="6">
        <v>-0.2</v>
      </c>
      <c r="E134" s="6">
        <v>10.67</v>
      </c>
      <c r="F134" s="6">
        <v>-0.1</v>
      </c>
      <c r="G134" s="6">
        <v>0.0</v>
      </c>
      <c r="H134" s="6">
        <v>-0.01</v>
      </c>
      <c r="I134" s="6">
        <v>33.19</v>
      </c>
      <c r="J134" s="7">
        <f t="shared" ref="J134:O134" si="270">abs(C134-C133)/200</f>
        <v>0</v>
      </c>
      <c r="K134" s="7">
        <f t="shared" si="270"/>
        <v>0</v>
      </c>
      <c r="L134" s="7">
        <f t="shared" si="270"/>
        <v>0.00005</v>
      </c>
      <c r="M134" s="7">
        <f t="shared" si="270"/>
        <v>0</v>
      </c>
      <c r="N134" s="7">
        <f t="shared" si="270"/>
        <v>0</v>
      </c>
      <c r="O134" s="7">
        <f t="shared" si="270"/>
        <v>0</v>
      </c>
      <c r="P134" s="7">
        <f t="shared" si="9"/>
        <v>0</v>
      </c>
      <c r="Q134" s="7">
        <f t="shared" si="10"/>
        <v>0.00993255238</v>
      </c>
      <c r="R134" s="7">
        <f t="shared" si="3"/>
        <v>0.9425229811</v>
      </c>
      <c r="S134" s="7">
        <f t="shared" si="4"/>
        <v>0.1004987562</v>
      </c>
      <c r="T134" s="7">
        <f t="shared" si="5"/>
        <v>0</v>
      </c>
      <c r="U134" s="7">
        <f t="shared" si="6"/>
        <v>0</v>
      </c>
      <c r="V134" s="7">
        <f t="shared" ref="V134:W134" si="271">IF(AVERAGE(T74:T133) &gt; 0.25, 1, 0)</f>
        <v>0</v>
      </c>
      <c r="W134" s="7">
        <f t="shared" si="271"/>
        <v>0</v>
      </c>
      <c r="X134" s="8">
        <v>0.0</v>
      </c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ht="22.5" customHeight="1">
      <c r="A135" s="6">
        <v>734.0</v>
      </c>
      <c r="B135" s="6">
        <v>27575.0</v>
      </c>
      <c r="C135" s="6">
        <v>1.23</v>
      </c>
      <c r="D135" s="6">
        <v>-0.2</v>
      </c>
      <c r="E135" s="6">
        <v>10.69</v>
      </c>
      <c r="F135" s="6">
        <v>-0.1</v>
      </c>
      <c r="G135" s="6">
        <v>0.0</v>
      </c>
      <c r="H135" s="6">
        <v>-0.01</v>
      </c>
      <c r="I135" s="6">
        <v>33.19</v>
      </c>
      <c r="J135" s="7">
        <f t="shared" ref="J135:O135" si="272">abs(C135-C134)/200</f>
        <v>0</v>
      </c>
      <c r="K135" s="7">
        <f t="shared" si="272"/>
        <v>0</v>
      </c>
      <c r="L135" s="7">
        <f t="shared" si="272"/>
        <v>0.0001</v>
      </c>
      <c r="M135" s="7">
        <f t="shared" si="272"/>
        <v>0</v>
      </c>
      <c r="N135" s="7">
        <f t="shared" si="272"/>
        <v>0</v>
      </c>
      <c r="O135" s="7">
        <f t="shared" si="272"/>
        <v>0</v>
      </c>
      <c r="P135" s="7">
        <f t="shared" si="9"/>
        <v>0</v>
      </c>
      <c r="Q135" s="7">
        <f t="shared" si="10"/>
        <v>0.01986522968</v>
      </c>
      <c r="R135" s="7">
        <f t="shared" si="3"/>
        <v>0.9623882108</v>
      </c>
      <c r="S135" s="7">
        <f t="shared" si="4"/>
        <v>0.1004987562</v>
      </c>
      <c r="T135" s="7">
        <f t="shared" si="5"/>
        <v>0</v>
      </c>
      <c r="U135" s="7">
        <f t="shared" si="6"/>
        <v>0</v>
      </c>
      <c r="V135" s="7">
        <f t="shared" ref="V135:W135" si="273">IF(AVERAGE(T75:T134) &gt; 0.25, 1, 0)</f>
        <v>0</v>
      </c>
      <c r="W135" s="7">
        <f t="shared" si="273"/>
        <v>0</v>
      </c>
      <c r="X135" s="8">
        <v>0.0</v>
      </c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ht="22.5" customHeight="1">
      <c r="A136" s="6">
        <v>735.0</v>
      </c>
      <c r="B136" s="6">
        <v>27779.0</v>
      </c>
      <c r="C136" s="6">
        <v>1.24</v>
      </c>
      <c r="D136" s="6">
        <v>-0.19</v>
      </c>
      <c r="E136" s="6">
        <v>10.67</v>
      </c>
      <c r="F136" s="6">
        <v>-0.1</v>
      </c>
      <c r="G136" s="6">
        <v>0.0</v>
      </c>
      <c r="H136" s="6">
        <v>-0.01</v>
      </c>
      <c r="I136" s="6">
        <v>33.19</v>
      </c>
      <c r="J136" s="7">
        <f t="shared" ref="J136:O136" si="274">abs(C136-C135)/200</f>
        <v>0.00005</v>
      </c>
      <c r="K136" s="7">
        <f t="shared" si="274"/>
        <v>0.00005</v>
      </c>
      <c r="L136" s="7">
        <f t="shared" si="274"/>
        <v>0.0001</v>
      </c>
      <c r="M136" s="7">
        <f t="shared" si="274"/>
        <v>0</v>
      </c>
      <c r="N136" s="7">
        <f t="shared" si="274"/>
        <v>0</v>
      </c>
      <c r="O136" s="7">
        <f t="shared" si="274"/>
        <v>0</v>
      </c>
      <c r="P136" s="7">
        <f t="shared" si="9"/>
        <v>0</v>
      </c>
      <c r="Q136" s="7">
        <f t="shared" si="10"/>
        <v>0.01889715808</v>
      </c>
      <c r="R136" s="7">
        <f t="shared" si="3"/>
        <v>0.9434910527</v>
      </c>
      <c r="S136" s="7">
        <f t="shared" si="4"/>
        <v>0.1004987562</v>
      </c>
      <c r="T136" s="7">
        <f t="shared" si="5"/>
        <v>0</v>
      </c>
      <c r="U136" s="7">
        <f t="shared" si="6"/>
        <v>0</v>
      </c>
      <c r="V136" s="7">
        <f t="shared" ref="V136:W136" si="275">IF(AVERAGE(T76:T135) &gt; 0.25, 1, 0)</f>
        <v>0</v>
      </c>
      <c r="W136" s="7">
        <f t="shared" si="275"/>
        <v>0</v>
      </c>
      <c r="X136" s="8">
        <v>0.0</v>
      </c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ht="22.5" customHeight="1">
      <c r="A137" s="6">
        <v>736.0</v>
      </c>
      <c r="B137" s="6">
        <v>27983.0</v>
      </c>
      <c r="C137" s="6">
        <v>1.24</v>
      </c>
      <c r="D137" s="6">
        <v>-0.2</v>
      </c>
      <c r="E137" s="6">
        <v>10.67</v>
      </c>
      <c r="F137" s="6">
        <v>-0.1</v>
      </c>
      <c r="G137" s="6">
        <v>0.0</v>
      </c>
      <c r="H137" s="6">
        <v>-0.01</v>
      </c>
      <c r="I137" s="6">
        <v>33.21</v>
      </c>
      <c r="J137" s="7">
        <f t="shared" ref="J137:O137" si="276">abs(C137-C136)/200</f>
        <v>0</v>
      </c>
      <c r="K137" s="7">
        <f t="shared" si="276"/>
        <v>0.00005</v>
      </c>
      <c r="L137" s="7">
        <f t="shared" si="276"/>
        <v>0</v>
      </c>
      <c r="M137" s="7">
        <f t="shared" si="276"/>
        <v>0</v>
      </c>
      <c r="N137" s="7">
        <f t="shared" si="276"/>
        <v>0</v>
      </c>
      <c r="O137" s="7">
        <f t="shared" si="276"/>
        <v>0</v>
      </c>
      <c r="P137" s="7">
        <f t="shared" si="9"/>
        <v>0</v>
      </c>
      <c r="Q137" s="7">
        <f t="shared" si="10"/>
        <v>0.0001815037141</v>
      </c>
      <c r="R137" s="7">
        <f t="shared" si="3"/>
        <v>0.9436725564</v>
      </c>
      <c r="S137" s="7">
        <f t="shared" si="4"/>
        <v>0.1004987562</v>
      </c>
      <c r="T137" s="7">
        <f t="shared" si="5"/>
        <v>0</v>
      </c>
      <c r="U137" s="7">
        <f t="shared" si="6"/>
        <v>0</v>
      </c>
      <c r="V137" s="7">
        <f t="shared" ref="V137:W137" si="277">IF(AVERAGE(T77:T136) &gt; 0.25, 1, 0)</f>
        <v>0</v>
      </c>
      <c r="W137" s="7">
        <f t="shared" si="277"/>
        <v>0</v>
      </c>
      <c r="X137" s="8">
        <v>0.0</v>
      </c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ht="22.5" customHeight="1">
      <c r="A138" s="6">
        <v>737.0</v>
      </c>
      <c r="B138" s="6">
        <v>28187.0</v>
      </c>
      <c r="C138" s="6">
        <v>1.24</v>
      </c>
      <c r="D138" s="6">
        <v>-0.2</v>
      </c>
      <c r="E138" s="6">
        <v>10.68</v>
      </c>
      <c r="F138" s="6">
        <v>-0.1</v>
      </c>
      <c r="G138" s="6">
        <v>0.0</v>
      </c>
      <c r="H138" s="6">
        <v>-0.01</v>
      </c>
      <c r="I138" s="6">
        <v>33.19</v>
      </c>
      <c r="J138" s="7">
        <f t="shared" ref="J138:O138" si="278">abs(C138-C137)/200</f>
        <v>0</v>
      </c>
      <c r="K138" s="7">
        <f t="shared" si="278"/>
        <v>0</v>
      </c>
      <c r="L138" s="7">
        <f t="shared" si="278"/>
        <v>0.00005</v>
      </c>
      <c r="M138" s="7">
        <f t="shared" si="278"/>
        <v>0</v>
      </c>
      <c r="N138" s="7">
        <f t="shared" si="278"/>
        <v>0</v>
      </c>
      <c r="O138" s="7">
        <f t="shared" si="278"/>
        <v>0</v>
      </c>
      <c r="P138" s="7">
        <f t="shared" si="9"/>
        <v>0</v>
      </c>
      <c r="Q138" s="7">
        <f t="shared" si="10"/>
        <v>0.009931490576</v>
      </c>
      <c r="R138" s="7">
        <f t="shared" si="3"/>
        <v>0.953604047</v>
      </c>
      <c r="S138" s="7">
        <f t="shared" si="4"/>
        <v>0.1004987562</v>
      </c>
      <c r="T138" s="7">
        <f t="shared" si="5"/>
        <v>0</v>
      </c>
      <c r="U138" s="7">
        <f t="shared" si="6"/>
        <v>0</v>
      </c>
      <c r="V138" s="7">
        <f t="shared" ref="V138:W138" si="279">IF(AVERAGE(T78:T137) &gt; 0.25, 1, 0)</f>
        <v>0</v>
      </c>
      <c r="W138" s="7">
        <f t="shared" si="279"/>
        <v>0</v>
      </c>
      <c r="X138" s="8">
        <v>0.0</v>
      </c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ht="22.5" customHeight="1">
      <c r="A139" s="6">
        <v>738.0</v>
      </c>
      <c r="B139" s="6">
        <v>28391.0</v>
      </c>
      <c r="C139" s="6">
        <v>1.23</v>
      </c>
      <c r="D139" s="6">
        <v>-0.2</v>
      </c>
      <c r="E139" s="6">
        <v>10.69</v>
      </c>
      <c r="F139" s="6">
        <v>-0.1</v>
      </c>
      <c r="G139" s="6">
        <v>0.0</v>
      </c>
      <c r="H139" s="6">
        <v>-0.01</v>
      </c>
      <c r="I139" s="6">
        <v>33.19</v>
      </c>
      <c r="J139" s="7">
        <f t="shared" ref="J139:O139" si="280">abs(C139-C138)/200</f>
        <v>0.00005</v>
      </c>
      <c r="K139" s="7">
        <f t="shared" si="280"/>
        <v>0</v>
      </c>
      <c r="L139" s="7">
        <f t="shared" si="280"/>
        <v>0.00005</v>
      </c>
      <c r="M139" s="7">
        <f t="shared" si="280"/>
        <v>0</v>
      </c>
      <c r="N139" s="7">
        <f t="shared" si="280"/>
        <v>0</v>
      </c>
      <c r="O139" s="7">
        <f t="shared" si="280"/>
        <v>0</v>
      </c>
      <c r="P139" s="7">
        <f t="shared" si="9"/>
        <v>0</v>
      </c>
      <c r="Q139" s="7">
        <f t="shared" si="10"/>
        <v>0.008784163785</v>
      </c>
      <c r="R139" s="7">
        <f t="shared" si="3"/>
        <v>0.9623882108</v>
      </c>
      <c r="S139" s="7">
        <f t="shared" si="4"/>
        <v>0.1004987562</v>
      </c>
      <c r="T139" s="7">
        <f t="shared" si="5"/>
        <v>0</v>
      </c>
      <c r="U139" s="7">
        <f t="shared" si="6"/>
        <v>0</v>
      </c>
      <c r="V139" s="7">
        <f t="shared" ref="V139:W139" si="281">IF(AVERAGE(T79:T138) &gt; 0.25, 1, 0)</f>
        <v>0</v>
      </c>
      <c r="W139" s="7">
        <f t="shared" si="281"/>
        <v>0</v>
      </c>
      <c r="X139" s="8">
        <v>0.0</v>
      </c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ht="22.5" customHeight="1">
      <c r="A140" s="6">
        <v>739.0</v>
      </c>
      <c r="B140" s="6">
        <v>28595.0</v>
      </c>
      <c r="C140" s="6">
        <v>1.23</v>
      </c>
      <c r="D140" s="6">
        <v>-0.21</v>
      </c>
      <c r="E140" s="6">
        <v>10.69</v>
      </c>
      <c r="F140" s="6">
        <v>-0.1</v>
      </c>
      <c r="G140" s="6">
        <v>0.0</v>
      </c>
      <c r="H140" s="6">
        <v>-0.01</v>
      </c>
      <c r="I140" s="6">
        <v>33.19</v>
      </c>
      <c r="J140" s="7">
        <f t="shared" ref="J140:O140" si="282">abs(C140-C139)/200</f>
        <v>0</v>
      </c>
      <c r="K140" s="7">
        <f t="shared" si="282"/>
        <v>0.00005</v>
      </c>
      <c r="L140" s="7">
        <f t="shared" si="282"/>
        <v>0</v>
      </c>
      <c r="M140" s="7">
        <f t="shared" si="282"/>
        <v>0</v>
      </c>
      <c r="N140" s="7">
        <f t="shared" si="282"/>
        <v>0</v>
      </c>
      <c r="O140" s="7">
        <f t="shared" si="282"/>
        <v>0</v>
      </c>
      <c r="P140" s="7">
        <f t="shared" si="9"/>
        <v>0</v>
      </c>
      <c r="Q140" s="7">
        <f t="shared" si="10"/>
        <v>0.0001904764834</v>
      </c>
      <c r="R140" s="7">
        <f t="shared" si="3"/>
        <v>0.9625786873</v>
      </c>
      <c r="S140" s="7">
        <f t="shared" si="4"/>
        <v>0.1004987562</v>
      </c>
      <c r="T140" s="7">
        <f t="shared" si="5"/>
        <v>0</v>
      </c>
      <c r="U140" s="7">
        <f t="shared" si="6"/>
        <v>0</v>
      </c>
      <c r="V140" s="7">
        <f t="shared" ref="V140:W140" si="283">IF(AVERAGE(T80:T139) &gt; 0.25, 1, 0)</f>
        <v>0</v>
      </c>
      <c r="W140" s="7">
        <f t="shared" si="283"/>
        <v>0</v>
      </c>
      <c r="X140" s="8">
        <v>0.0</v>
      </c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ht="22.5" customHeight="1">
      <c r="A141" s="6">
        <v>740.0</v>
      </c>
      <c r="B141" s="6">
        <v>28799.0</v>
      </c>
      <c r="C141" s="6">
        <v>1.24</v>
      </c>
      <c r="D141" s="6">
        <v>-0.21</v>
      </c>
      <c r="E141" s="6">
        <v>10.69</v>
      </c>
      <c r="F141" s="6">
        <v>-0.1</v>
      </c>
      <c r="G141" s="6">
        <v>0.0</v>
      </c>
      <c r="H141" s="6">
        <v>-0.01</v>
      </c>
      <c r="I141" s="6">
        <v>33.21</v>
      </c>
      <c r="J141" s="7">
        <f t="shared" ref="J141:O141" si="284">abs(C141-C140)/200</f>
        <v>0.00005</v>
      </c>
      <c r="K141" s="7">
        <f t="shared" si="284"/>
        <v>0</v>
      </c>
      <c r="L141" s="7">
        <f t="shared" si="284"/>
        <v>0</v>
      </c>
      <c r="M141" s="7">
        <f t="shared" si="284"/>
        <v>0</v>
      </c>
      <c r="N141" s="7">
        <f t="shared" si="284"/>
        <v>0</v>
      </c>
      <c r="O141" s="7">
        <f t="shared" si="284"/>
        <v>0</v>
      </c>
      <c r="P141" s="7">
        <f t="shared" si="9"/>
        <v>0</v>
      </c>
      <c r="Q141" s="7">
        <f t="shared" si="10"/>
        <v>0.001147433348</v>
      </c>
      <c r="R141" s="7">
        <f t="shared" si="3"/>
        <v>0.9637261206</v>
      </c>
      <c r="S141" s="7">
        <f t="shared" si="4"/>
        <v>0.1004987562</v>
      </c>
      <c r="T141" s="7">
        <f t="shared" si="5"/>
        <v>0</v>
      </c>
      <c r="U141" s="7">
        <f t="shared" si="6"/>
        <v>0</v>
      </c>
      <c r="V141" s="7">
        <f t="shared" ref="V141:W141" si="285">IF(AVERAGE(T81:T140) &gt; 0.25, 1, 0)</f>
        <v>0</v>
      </c>
      <c r="W141" s="7">
        <f t="shared" si="285"/>
        <v>0</v>
      </c>
      <c r="X141" s="8">
        <v>0.0</v>
      </c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ht="22.5" customHeight="1">
      <c r="A142" s="6">
        <v>741.0</v>
      </c>
      <c r="B142" s="6">
        <v>29003.0</v>
      </c>
      <c r="C142" s="6">
        <v>1.24</v>
      </c>
      <c r="D142" s="6">
        <v>-0.2</v>
      </c>
      <c r="E142" s="6">
        <v>10.69</v>
      </c>
      <c r="F142" s="6">
        <v>-0.1</v>
      </c>
      <c r="G142" s="6">
        <v>0.0</v>
      </c>
      <c r="H142" s="6">
        <v>-0.01</v>
      </c>
      <c r="I142" s="6">
        <v>33.2</v>
      </c>
      <c r="J142" s="7">
        <f t="shared" ref="J142:O142" si="286">abs(C142-C141)/200</f>
        <v>0</v>
      </c>
      <c r="K142" s="7">
        <f t="shared" si="286"/>
        <v>0.00005</v>
      </c>
      <c r="L142" s="7">
        <f t="shared" si="286"/>
        <v>0</v>
      </c>
      <c r="M142" s="7">
        <f t="shared" si="286"/>
        <v>0</v>
      </c>
      <c r="N142" s="7">
        <f t="shared" si="286"/>
        <v>0</v>
      </c>
      <c r="O142" s="7">
        <f t="shared" si="286"/>
        <v>0</v>
      </c>
      <c r="P142" s="7">
        <f t="shared" si="9"/>
        <v>0</v>
      </c>
      <c r="Q142" s="7">
        <f t="shared" si="10"/>
        <v>0.0001904561779</v>
      </c>
      <c r="R142" s="7">
        <f t="shared" si="3"/>
        <v>0.9635356645</v>
      </c>
      <c r="S142" s="7">
        <f t="shared" si="4"/>
        <v>0.1004987562</v>
      </c>
      <c r="T142" s="7">
        <f t="shared" si="5"/>
        <v>0</v>
      </c>
      <c r="U142" s="7">
        <f t="shared" si="6"/>
        <v>0</v>
      </c>
      <c r="V142" s="7">
        <f t="shared" ref="V142:W142" si="287">IF(AVERAGE(T82:T141) &gt; 0.25, 1, 0)</f>
        <v>0</v>
      </c>
      <c r="W142" s="7">
        <f t="shared" si="287"/>
        <v>0</v>
      </c>
      <c r="X142" s="8">
        <v>0.0</v>
      </c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ht="22.5" customHeight="1">
      <c r="A143" s="6">
        <v>742.0</v>
      </c>
      <c r="B143" s="6">
        <v>29207.0</v>
      </c>
      <c r="C143" s="6">
        <v>1.23</v>
      </c>
      <c r="D143" s="6">
        <v>-0.2</v>
      </c>
      <c r="E143" s="6">
        <v>10.68</v>
      </c>
      <c r="F143" s="6">
        <v>-0.1</v>
      </c>
      <c r="G143" s="6">
        <v>0.0</v>
      </c>
      <c r="H143" s="6">
        <v>-0.01</v>
      </c>
      <c r="I143" s="6">
        <v>33.19</v>
      </c>
      <c r="J143" s="7">
        <f t="shared" ref="J143:O143" si="288">abs(C143-C142)/200</f>
        <v>0.00005</v>
      </c>
      <c r="K143" s="7">
        <f t="shared" si="288"/>
        <v>0</v>
      </c>
      <c r="L143" s="7">
        <f t="shared" si="288"/>
        <v>0.00005</v>
      </c>
      <c r="M143" s="7">
        <f t="shared" si="288"/>
        <v>0</v>
      </c>
      <c r="N143" s="7">
        <f t="shared" si="288"/>
        <v>0</v>
      </c>
      <c r="O143" s="7">
        <f t="shared" si="288"/>
        <v>0</v>
      </c>
      <c r="P143" s="7">
        <f t="shared" si="9"/>
        <v>0</v>
      </c>
      <c r="Q143" s="7">
        <f t="shared" si="10"/>
        <v>0.01108013095</v>
      </c>
      <c r="R143" s="7">
        <f t="shared" si="3"/>
        <v>0.9524555335</v>
      </c>
      <c r="S143" s="7">
        <f t="shared" si="4"/>
        <v>0.1004987562</v>
      </c>
      <c r="T143" s="7">
        <f t="shared" si="5"/>
        <v>0</v>
      </c>
      <c r="U143" s="7">
        <f t="shared" si="6"/>
        <v>0</v>
      </c>
      <c r="V143" s="7">
        <f t="shared" ref="V143:W143" si="289">IF(AVERAGE(T83:T142) &gt; 0.25, 1, 0)</f>
        <v>0</v>
      </c>
      <c r="W143" s="7">
        <f t="shared" si="289"/>
        <v>0</v>
      </c>
      <c r="X143" s="8">
        <v>0.0</v>
      </c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ht="22.5" customHeight="1">
      <c r="A144" s="6">
        <v>743.0</v>
      </c>
      <c r="B144" s="6">
        <v>29411.0</v>
      </c>
      <c r="C144" s="6">
        <v>1.23</v>
      </c>
      <c r="D144" s="6">
        <v>-0.2</v>
      </c>
      <c r="E144" s="6">
        <v>10.68</v>
      </c>
      <c r="F144" s="6">
        <v>-0.1</v>
      </c>
      <c r="G144" s="6">
        <v>0.0</v>
      </c>
      <c r="H144" s="6">
        <v>-0.01</v>
      </c>
      <c r="I144" s="6">
        <v>33.2</v>
      </c>
      <c r="J144" s="7">
        <f t="shared" ref="J144:O144" si="290">abs(C144-C143)/200</f>
        <v>0</v>
      </c>
      <c r="K144" s="7">
        <f t="shared" si="290"/>
        <v>0</v>
      </c>
      <c r="L144" s="7">
        <f t="shared" si="290"/>
        <v>0</v>
      </c>
      <c r="M144" s="7">
        <f t="shared" si="290"/>
        <v>0</v>
      </c>
      <c r="N144" s="7">
        <f t="shared" si="290"/>
        <v>0</v>
      </c>
      <c r="O144" s="7">
        <f t="shared" si="290"/>
        <v>0</v>
      </c>
      <c r="P144" s="7">
        <f t="shared" si="9"/>
        <v>0</v>
      </c>
      <c r="Q144" s="7">
        <f t="shared" si="10"/>
        <v>0</v>
      </c>
      <c r="R144" s="7">
        <f t="shared" si="3"/>
        <v>0.9524555335</v>
      </c>
      <c r="S144" s="7">
        <f t="shared" si="4"/>
        <v>0.1004987562</v>
      </c>
      <c r="T144" s="7">
        <f t="shared" si="5"/>
        <v>0</v>
      </c>
      <c r="U144" s="7">
        <f t="shared" si="6"/>
        <v>0</v>
      </c>
      <c r="V144" s="7">
        <f t="shared" ref="V144:W144" si="291">IF(AVERAGE(T84:T143) &gt; 0.25, 1, 0)</f>
        <v>0</v>
      </c>
      <c r="W144" s="7">
        <f t="shared" si="291"/>
        <v>0</v>
      </c>
      <c r="X144" s="8">
        <v>0.0</v>
      </c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ht="22.5" customHeight="1">
      <c r="A145" s="6">
        <v>744.0</v>
      </c>
      <c r="B145" s="6">
        <v>29615.0</v>
      </c>
      <c r="C145" s="6">
        <v>1.23</v>
      </c>
      <c r="D145" s="6">
        <v>-0.2</v>
      </c>
      <c r="E145" s="6">
        <v>10.68</v>
      </c>
      <c r="F145" s="6">
        <v>-0.1</v>
      </c>
      <c r="G145" s="6">
        <v>0.0</v>
      </c>
      <c r="H145" s="6">
        <v>-0.01</v>
      </c>
      <c r="I145" s="6">
        <v>33.2</v>
      </c>
      <c r="J145" s="7">
        <f t="shared" ref="J145:O145" si="292">abs(C145-C144)/200</f>
        <v>0</v>
      </c>
      <c r="K145" s="7">
        <f t="shared" si="292"/>
        <v>0</v>
      </c>
      <c r="L145" s="7">
        <f t="shared" si="292"/>
        <v>0</v>
      </c>
      <c r="M145" s="7">
        <f t="shared" si="292"/>
        <v>0</v>
      </c>
      <c r="N145" s="7">
        <f t="shared" si="292"/>
        <v>0</v>
      </c>
      <c r="O145" s="7">
        <f t="shared" si="292"/>
        <v>0</v>
      </c>
      <c r="P145" s="7">
        <f t="shared" si="9"/>
        <v>0</v>
      </c>
      <c r="Q145" s="7">
        <f t="shared" si="10"/>
        <v>0</v>
      </c>
      <c r="R145" s="7">
        <f t="shared" si="3"/>
        <v>0.9524555335</v>
      </c>
      <c r="S145" s="7">
        <f t="shared" si="4"/>
        <v>0.1004987562</v>
      </c>
      <c r="T145" s="7">
        <f t="shared" si="5"/>
        <v>0</v>
      </c>
      <c r="U145" s="7">
        <f t="shared" si="6"/>
        <v>0</v>
      </c>
      <c r="V145" s="7">
        <f t="shared" ref="V145:W145" si="293">IF(AVERAGE(T85:T144) &gt; 0.25, 1, 0)</f>
        <v>0</v>
      </c>
      <c r="W145" s="7">
        <f t="shared" si="293"/>
        <v>0</v>
      </c>
      <c r="X145" s="8">
        <v>0.0</v>
      </c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ht="22.5" customHeight="1">
      <c r="A146" s="6">
        <v>745.0</v>
      </c>
      <c r="B146" s="6">
        <v>29819.0</v>
      </c>
      <c r="C146" s="6">
        <v>1.24</v>
      </c>
      <c r="D146" s="6">
        <v>-0.21</v>
      </c>
      <c r="E146" s="6">
        <v>10.67</v>
      </c>
      <c r="F146" s="6">
        <v>-0.1</v>
      </c>
      <c r="G146" s="6">
        <v>0.0</v>
      </c>
      <c r="H146" s="6">
        <v>-0.01</v>
      </c>
      <c r="I146" s="6">
        <v>33.2</v>
      </c>
      <c r="J146" s="7">
        <f t="shared" ref="J146:O146" si="294">abs(C146-C145)/200</f>
        <v>0.00005</v>
      </c>
      <c r="K146" s="7">
        <f t="shared" si="294"/>
        <v>0.00005</v>
      </c>
      <c r="L146" s="7">
        <f t="shared" si="294"/>
        <v>0.00005</v>
      </c>
      <c r="M146" s="7">
        <f t="shared" si="294"/>
        <v>0</v>
      </c>
      <c r="N146" s="7">
        <f t="shared" si="294"/>
        <v>0</v>
      </c>
      <c r="O146" s="7">
        <f t="shared" si="294"/>
        <v>0</v>
      </c>
      <c r="P146" s="7">
        <f t="shared" si="9"/>
        <v>0</v>
      </c>
      <c r="Q146" s="7">
        <f t="shared" si="10"/>
        <v>0.008592168774</v>
      </c>
      <c r="R146" s="7">
        <f t="shared" si="3"/>
        <v>0.9438633647</v>
      </c>
      <c r="S146" s="7">
        <f t="shared" si="4"/>
        <v>0.1004987562</v>
      </c>
      <c r="T146" s="7">
        <f t="shared" si="5"/>
        <v>0</v>
      </c>
      <c r="U146" s="7">
        <f t="shared" si="6"/>
        <v>0</v>
      </c>
      <c r="V146" s="7">
        <f t="shared" ref="V146:W146" si="295">IF(AVERAGE(T86:T145) &gt; 0.25, 1, 0)</f>
        <v>0</v>
      </c>
      <c r="W146" s="7">
        <f t="shared" si="295"/>
        <v>0</v>
      </c>
      <c r="X146" s="8">
        <v>0.0</v>
      </c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ht="22.5" customHeight="1">
      <c r="A147" s="6">
        <v>746.0</v>
      </c>
      <c r="B147" s="6">
        <v>30023.0</v>
      </c>
      <c r="C147" s="6">
        <v>1.23</v>
      </c>
      <c r="D147" s="6">
        <v>-0.2</v>
      </c>
      <c r="E147" s="6">
        <v>10.68</v>
      </c>
      <c r="F147" s="6">
        <v>-0.1</v>
      </c>
      <c r="G147" s="6">
        <v>0.0</v>
      </c>
      <c r="H147" s="6">
        <v>-0.01</v>
      </c>
      <c r="I147" s="6">
        <v>33.2</v>
      </c>
      <c r="J147" s="7">
        <f t="shared" ref="J147:O147" si="296">abs(C147-C146)/200</f>
        <v>0.00005</v>
      </c>
      <c r="K147" s="7">
        <f t="shared" si="296"/>
        <v>0.00005</v>
      </c>
      <c r="L147" s="7">
        <f t="shared" si="296"/>
        <v>0.00005</v>
      </c>
      <c r="M147" s="7">
        <f t="shared" si="296"/>
        <v>0</v>
      </c>
      <c r="N147" s="7">
        <f t="shared" si="296"/>
        <v>0</v>
      </c>
      <c r="O147" s="7">
        <f t="shared" si="296"/>
        <v>0</v>
      </c>
      <c r="P147" s="7">
        <f t="shared" si="9"/>
        <v>0</v>
      </c>
      <c r="Q147" s="7">
        <f t="shared" si="10"/>
        <v>0.008592168774</v>
      </c>
      <c r="R147" s="7">
        <f t="shared" si="3"/>
        <v>0.9524555335</v>
      </c>
      <c r="S147" s="7">
        <f t="shared" si="4"/>
        <v>0.1004987562</v>
      </c>
      <c r="T147" s="7">
        <f t="shared" si="5"/>
        <v>0</v>
      </c>
      <c r="U147" s="7">
        <f t="shared" si="6"/>
        <v>0</v>
      </c>
      <c r="V147" s="7">
        <f t="shared" ref="V147:W147" si="297">IF(AVERAGE(T87:T146) &gt; 0.25, 1, 0)</f>
        <v>0</v>
      </c>
      <c r="W147" s="7">
        <f t="shared" si="297"/>
        <v>0</v>
      </c>
      <c r="X147" s="8">
        <v>0.0</v>
      </c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ht="22.5" customHeight="1">
      <c r="A148" s="6">
        <v>747.0</v>
      </c>
      <c r="B148" s="6">
        <v>30227.0</v>
      </c>
      <c r="C148" s="6">
        <v>1.24</v>
      </c>
      <c r="D148" s="6">
        <v>-0.2</v>
      </c>
      <c r="E148" s="6">
        <v>10.68</v>
      </c>
      <c r="F148" s="6">
        <v>-0.1</v>
      </c>
      <c r="G148" s="6">
        <v>0.0</v>
      </c>
      <c r="H148" s="6">
        <v>-0.01</v>
      </c>
      <c r="I148" s="6">
        <v>33.19</v>
      </c>
      <c r="J148" s="7">
        <f t="shared" ref="J148:O148" si="298">abs(C148-C147)/200</f>
        <v>0.00005</v>
      </c>
      <c r="K148" s="7">
        <f t="shared" si="298"/>
        <v>0</v>
      </c>
      <c r="L148" s="7">
        <f t="shared" si="298"/>
        <v>0</v>
      </c>
      <c r="M148" s="7">
        <f t="shared" si="298"/>
        <v>0</v>
      </c>
      <c r="N148" s="7">
        <f t="shared" si="298"/>
        <v>0</v>
      </c>
      <c r="O148" s="7">
        <f t="shared" si="298"/>
        <v>0</v>
      </c>
      <c r="P148" s="7">
        <f t="shared" si="9"/>
        <v>0</v>
      </c>
      <c r="Q148" s="7">
        <f t="shared" si="10"/>
        <v>0.001148513511</v>
      </c>
      <c r="R148" s="7">
        <f t="shared" si="3"/>
        <v>0.953604047</v>
      </c>
      <c r="S148" s="7">
        <f t="shared" si="4"/>
        <v>0.1004987562</v>
      </c>
      <c r="T148" s="7">
        <f t="shared" si="5"/>
        <v>0</v>
      </c>
      <c r="U148" s="7">
        <f t="shared" si="6"/>
        <v>0</v>
      </c>
      <c r="V148" s="7">
        <f t="shared" ref="V148:W148" si="299">IF(AVERAGE(T88:T147) &gt; 0.25, 1, 0)</f>
        <v>0</v>
      </c>
      <c r="W148" s="7">
        <f t="shared" si="299"/>
        <v>0</v>
      </c>
      <c r="X148" s="8">
        <v>0.0</v>
      </c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ht="22.5" customHeight="1">
      <c r="A149" s="6">
        <v>748.0</v>
      </c>
      <c r="B149" s="6">
        <v>30431.0</v>
      </c>
      <c r="C149" s="6">
        <v>1.22</v>
      </c>
      <c r="D149" s="6">
        <v>-0.2</v>
      </c>
      <c r="E149" s="6">
        <v>10.69</v>
      </c>
      <c r="F149" s="6">
        <v>-0.1</v>
      </c>
      <c r="G149" s="6">
        <v>0.0</v>
      </c>
      <c r="H149" s="6">
        <v>-0.01</v>
      </c>
      <c r="I149" s="6">
        <v>33.2</v>
      </c>
      <c r="J149" s="7">
        <f t="shared" ref="J149:O149" si="300">abs(C149-C148)/200</f>
        <v>0.0001</v>
      </c>
      <c r="K149" s="7">
        <f t="shared" si="300"/>
        <v>0</v>
      </c>
      <c r="L149" s="7">
        <f t="shared" si="300"/>
        <v>0.00005</v>
      </c>
      <c r="M149" s="7">
        <f t="shared" si="300"/>
        <v>0</v>
      </c>
      <c r="N149" s="7">
        <f t="shared" si="300"/>
        <v>0</v>
      </c>
      <c r="O149" s="7">
        <f t="shared" si="300"/>
        <v>0</v>
      </c>
      <c r="P149" s="7">
        <f t="shared" si="9"/>
        <v>0</v>
      </c>
      <c r="Q149" s="7">
        <f t="shared" si="10"/>
        <v>0.007645880386</v>
      </c>
      <c r="R149" s="7">
        <f t="shared" si="3"/>
        <v>0.9612499274</v>
      </c>
      <c r="S149" s="7">
        <f t="shared" si="4"/>
        <v>0.1004987562</v>
      </c>
      <c r="T149" s="7">
        <f t="shared" si="5"/>
        <v>0</v>
      </c>
      <c r="U149" s="7">
        <f t="shared" si="6"/>
        <v>0</v>
      </c>
      <c r="V149" s="7">
        <f t="shared" ref="V149:W149" si="301">IF(AVERAGE(T89:T148) &gt; 0.25, 1, 0)</f>
        <v>0</v>
      </c>
      <c r="W149" s="7">
        <f t="shared" si="301"/>
        <v>0</v>
      </c>
      <c r="X149" s="8">
        <v>0.0</v>
      </c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ht="22.5" customHeight="1">
      <c r="A150" s="6">
        <v>749.0</v>
      </c>
      <c r="B150" s="6">
        <v>30635.0</v>
      </c>
      <c r="C150" s="6">
        <v>1.23</v>
      </c>
      <c r="D150" s="6">
        <v>-0.2</v>
      </c>
      <c r="E150" s="6">
        <v>10.68</v>
      </c>
      <c r="F150" s="6">
        <v>-0.1</v>
      </c>
      <c r="G150" s="6">
        <v>0.0</v>
      </c>
      <c r="H150" s="6">
        <v>-0.01</v>
      </c>
      <c r="I150" s="6">
        <v>33.19</v>
      </c>
      <c r="J150" s="7">
        <f t="shared" ref="J150:O150" si="302">abs(C150-C149)/200</f>
        <v>0.00005</v>
      </c>
      <c r="K150" s="7">
        <f t="shared" si="302"/>
        <v>0</v>
      </c>
      <c r="L150" s="7">
        <f t="shared" si="302"/>
        <v>0.00005</v>
      </c>
      <c r="M150" s="7">
        <f t="shared" si="302"/>
        <v>0</v>
      </c>
      <c r="N150" s="7">
        <f t="shared" si="302"/>
        <v>0</v>
      </c>
      <c r="O150" s="7">
        <f t="shared" si="302"/>
        <v>0</v>
      </c>
      <c r="P150" s="7">
        <f t="shared" si="9"/>
        <v>0</v>
      </c>
      <c r="Q150" s="7">
        <f t="shared" si="10"/>
        <v>0.008794393897</v>
      </c>
      <c r="R150" s="7">
        <f t="shared" si="3"/>
        <v>0.9524555335</v>
      </c>
      <c r="S150" s="7">
        <f t="shared" si="4"/>
        <v>0.1004987562</v>
      </c>
      <c r="T150" s="7">
        <f t="shared" si="5"/>
        <v>0</v>
      </c>
      <c r="U150" s="7">
        <f t="shared" si="6"/>
        <v>0</v>
      </c>
      <c r="V150" s="7">
        <f t="shared" ref="V150:W150" si="303">IF(AVERAGE(T90:T149) &gt; 0.25, 1, 0)</f>
        <v>0</v>
      </c>
      <c r="W150" s="7">
        <f t="shared" si="303"/>
        <v>0</v>
      </c>
      <c r="X150" s="8">
        <v>0.0</v>
      </c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ht="22.5" customHeight="1">
      <c r="A151" s="6">
        <v>750.0</v>
      </c>
      <c r="B151" s="6">
        <v>30839.0</v>
      </c>
      <c r="C151" s="6">
        <v>1.23</v>
      </c>
      <c r="D151" s="6">
        <v>-0.19</v>
      </c>
      <c r="E151" s="6">
        <v>10.68</v>
      </c>
      <c r="F151" s="6">
        <v>-0.1</v>
      </c>
      <c r="G151" s="6">
        <v>0.0</v>
      </c>
      <c r="H151" s="6">
        <v>-0.01</v>
      </c>
      <c r="I151" s="6">
        <v>33.19</v>
      </c>
      <c r="J151" s="7">
        <f t="shared" ref="J151:O151" si="304">abs(C151-C150)/200</f>
        <v>0</v>
      </c>
      <c r="K151" s="7">
        <f t="shared" si="304"/>
        <v>0.00005</v>
      </c>
      <c r="L151" s="7">
        <f t="shared" si="304"/>
        <v>0</v>
      </c>
      <c r="M151" s="7">
        <f t="shared" si="304"/>
        <v>0</v>
      </c>
      <c r="N151" s="7">
        <f t="shared" si="304"/>
        <v>0</v>
      </c>
      <c r="O151" s="7">
        <f t="shared" si="304"/>
        <v>0</v>
      </c>
      <c r="P151" s="7">
        <f t="shared" si="9"/>
        <v>0</v>
      </c>
      <c r="Q151" s="7">
        <f t="shared" si="10"/>
        <v>0.0001813554531</v>
      </c>
      <c r="R151" s="7">
        <f t="shared" si="3"/>
        <v>0.9522741781</v>
      </c>
      <c r="S151" s="7">
        <f t="shared" si="4"/>
        <v>0.1004987562</v>
      </c>
      <c r="T151" s="7">
        <f t="shared" si="5"/>
        <v>0</v>
      </c>
      <c r="U151" s="7">
        <f t="shared" si="6"/>
        <v>0</v>
      </c>
      <c r="V151" s="7">
        <f t="shared" ref="V151:W151" si="305">IF(AVERAGE(T91:T150) &gt; 0.25, 1, 0)</f>
        <v>0</v>
      </c>
      <c r="W151" s="7">
        <f t="shared" si="305"/>
        <v>0</v>
      </c>
      <c r="X151" s="8">
        <v>0.0</v>
      </c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ht="22.5" customHeight="1">
      <c r="A152" s="6">
        <v>751.0</v>
      </c>
      <c r="B152" s="6">
        <v>31043.0</v>
      </c>
      <c r="C152" s="6">
        <v>1.24</v>
      </c>
      <c r="D152" s="6">
        <v>-0.19</v>
      </c>
      <c r="E152" s="6">
        <v>10.69</v>
      </c>
      <c r="F152" s="6">
        <v>-0.1</v>
      </c>
      <c r="G152" s="6">
        <v>0.0</v>
      </c>
      <c r="H152" s="6">
        <v>-0.01</v>
      </c>
      <c r="I152" s="6">
        <v>33.19</v>
      </c>
      <c r="J152" s="7">
        <f t="shared" ref="J152:O152" si="306">abs(C152-C151)/200</f>
        <v>0.00005</v>
      </c>
      <c r="K152" s="7">
        <f t="shared" si="306"/>
        <v>0</v>
      </c>
      <c r="L152" s="7">
        <f t="shared" si="306"/>
        <v>0.00005</v>
      </c>
      <c r="M152" s="7">
        <f t="shared" si="306"/>
        <v>0</v>
      </c>
      <c r="N152" s="7">
        <f t="shared" si="306"/>
        <v>0</v>
      </c>
      <c r="O152" s="7">
        <f t="shared" si="306"/>
        <v>0</v>
      </c>
      <c r="P152" s="7">
        <f t="shared" si="9"/>
        <v>0</v>
      </c>
      <c r="Q152" s="7">
        <f t="shared" si="10"/>
        <v>0.01108031764</v>
      </c>
      <c r="R152" s="7">
        <f t="shared" si="3"/>
        <v>0.9633544957</v>
      </c>
      <c r="S152" s="7">
        <f t="shared" si="4"/>
        <v>0.1004987562</v>
      </c>
      <c r="T152" s="7">
        <f t="shared" si="5"/>
        <v>0</v>
      </c>
      <c r="U152" s="7">
        <f t="shared" si="6"/>
        <v>0</v>
      </c>
      <c r="V152" s="7">
        <f t="shared" ref="V152:W152" si="307">IF(AVERAGE(T92:T151) &gt; 0.25, 1, 0)</f>
        <v>0</v>
      </c>
      <c r="W152" s="7">
        <f t="shared" si="307"/>
        <v>0</v>
      </c>
      <c r="X152" s="8">
        <v>0.0</v>
      </c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ht="22.5" customHeight="1">
      <c r="A153" s="6">
        <v>752.0</v>
      </c>
      <c r="B153" s="6">
        <v>31247.0</v>
      </c>
      <c r="C153" s="6">
        <v>1.23</v>
      </c>
      <c r="D153" s="6">
        <v>-0.2</v>
      </c>
      <c r="E153" s="6">
        <v>10.68</v>
      </c>
      <c r="F153" s="6">
        <v>-0.1</v>
      </c>
      <c r="G153" s="6">
        <v>0.0</v>
      </c>
      <c r="H153" s="6">
        <v>-0.01</v>
      </c>
      <c r="I153" s="6">
        <v>33.2</v>
      </c>
      <c r="J153" s="7">
        <f t="shared" ref="J153:O153" si="308">abs(C153-C152)/200</f>
        <v>0.00005</v>
      </c>
      <c r="K153" s="7">
        <f t="shared" si="308"/>
        <v>0.00005</v>
      </c>
      <c r="L153" s="7">
        <f t="shared" si="308"/>
        <v>0.00005</v>
      </c>
      <c r="M153" s="7">
        <f t="shared" si="308"/>
        <v>0</v>
      </c>
      <c r="N153" s="7">
        <f t="shared" si="308"/>
        <v>0</v>
      </c>
      <c r="O153" s="7">
        <f t="shared" si="308"/>
        <v>0</v>
      </c>
      <c r="P153" s="7">
        <f t="shared" si="9"/>
        <v>0</v>
      </c>
      <c r="Q153" s="7">
        <f t="shared" si="10"/>
        <v>0.01089896219</v>
      </c>
      <c r="R153" s="7">
        <f t="shared" si="3"/>
        <v>0.9524555335</v>
      </c>
      <c r="S153" s="7">
        <f t="shared" si="4"/>
        <v>0.1004987562</v>
      </c>
      <c r="T153" s="7">
        <f t="shared" si="5"/>
        <v>0</v>
      </c>
      <c r="U153" s="7">
        <f t="shared" si="6"/>
        <v>0</v>
      </c>
      <c r="V153" s="7">
        <f t="shared" ref="V153:W153" si="309">IF(AVERAGE(T93:T152) &gt; 0.25, 1, 0)</f>
        <v>0</v>
      </c>
      <c r="W153" s="7">
        <f t="shared" si="309"/>
        <v>0</v>
      </c>
      <c r="X153" s="8">
        <v>0.0</v>
      </c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ht="22.5" customHeight="1">
      <c r="A154" s="6">
        <v>753.0</v>
      </c>
      <c r="B154" s="6">
        <v>31451.0</v>
      </c>
      <c r="C154" s="6">
        <v>1.23</v>
      </c>
      <c r="D154" s="6">
        <v>-0.2</v>
      </c>
      <c r="E154" s="6">
        <v>10.68</v>
      </c>
      <c r="F154" s="6">
        <v>-0.1</v>
      </c>
      <c r="G154" s="6">
        <v>0.0</v>
      </c>
      <c r="H154" s="6">
        <v>-0.01</v>
      </c>
      <c r="I154" s="6">
        <v>33.2</v>
      </c>
      <c r="J154" s="7">
        <f t="shared" ref="J154:O154" si="310">abs(C154-C153)/200</f>
        <v>0</v>
      </c>
      <c r="K154" s="7">
        <f t="shared" si="310"/>
        <v>0</v>
      </c>
      <c r="L154" s="7">
        <f t="shared" si="310"/>
        <v>0</v>
      </c>
      <c r="M154" s="7">
        <f t="shared" si="310"/>
        <v>0</v>
      </c>
      <c r="N154" s="7">
        <f t="shared" si="310"/>
        <v>0</v>
      </c>
      <c r="O154" s="7">
        <f t="shared" si="310"/>
        <v>0</v>
      </c>
      <c r="P154" s="7">
        <f t="shared" si="9"/>
        <v>0</v>
      </c>
      <c r="Q154" s="7">
        <f t="shared" si="10"/>
        <v>0</v>
      </c>
      <c r="R154" s="7">
        <f t="shared" si="3"/>
        <v>0.9524555335</v>
      </c>
      <c r="S154" s="7">
        <f t="shared" si="4"/>
        <v>0.1004987562</v>
      </c>
      <c r="T154" s="7">
        <f t="shared" si="5"/>
        <v>0</v>
      </c>
      <c r="U154" s="7">
        <f t="shared" si="6"/>
        <v>0</v>
      </c>
      <c r="V154" s="7">
        <f t="shared" ref="V154:W154" si="311">IF(AVERAGE(T94:T153) &gt; 0.25, 1, 0)</f>
        <v>0</v>
      </c>
      <c r="W154" s="7">
        <f t="shared" si="311"/>
        <v>0</v>
      </c>
      <c r="X154" s="8">
        <v>0.0</v>
      </c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ht="22.5" customHeight="1">
      <c r="A155" s="6">
        <v>754.0</v>
      </c>
      <c r="B155" s="6">
        <v>31655.0</v>
      </c>
      <c r="C155" s="6">
        <v>1.23</v>
      </c>
      <c r="D155" s="6">
        <v>-0.21</v>
      </c>
      <c r="E155" s="6">
        <v>10.68</v>
      </c>
      <c r="F155" s="6">
        <v>-0.1</v>
      </c>
      <c r="G155" s="6">
        <v>0.0</v>
      </c>
      <c r="H155" s="6">
        <v>-0.01</v>
      </c>
      <c r="I155" s="6">
        <v>33.19</v>
      </c>
      <c r="J155" s="7">
        <f t="shared" ref="J155:O155" si="312">abs(C155-C154)/200</f>
        <v>0</v>
      </c>
      <c r="K155" s="7">
        <f t="shared" si="312"/>
        <v>0.00005</v>
      </c>
      <c r="L155" s="7">
        <f t="shared" si="312"/>
        <v>0</v>
      </c>
      <c r="M155" s="7">
        <f t="shared" si="312"/>
        <v>0</v>
      </c>
      <c r="N155" s="7">
        <f t="shared" si="312"/>
        <v>0</v>
      </c>
      <c r="O155" s="7">
        <f t="shared" si="312"/>
        <v>0</v>
      </c>
      <c r="P155" s="7">
        <f t="shared" si="9"/>
        <v>0</v>
      </c>
      <c r="Q155" s="7">
        <f t="shared" si="10"/>
        <v>0.0001906524346</v>
      </c>
      <c r="R155" s="7">
        <f t="shared" si="3"/>
        <v>0.9526461859</v>
      </c>
      <c r="S155" s="7">
        <f t="shared" si="4"/>
        <v>0.1004987562</v>
      </c>
      <c r="T155" s="7">
        <f t="shared" si="5"/>
        <v>0</v>
      </c>
      <c r="U155" s="7">
        <f t="shared" si="6"/>
        <v>0</v>
      </c>
      <c r="V155" s="7">
        <f t="shared" ref="V155:W155" si="313">IF(AVERAGE(T95:T154) &gt; 0.25, 1, 0)</f>
        <v>0</v>
      </c>
      <c r="W155" s="7">
        <f t="shared" si="313"/>
        <v>0</v>
      </c>
      <c r="X155" s="8">
        <v>0.0</v>
      </c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ht="22.5" customHeight="1">
      <c r="A156" s="6">
        <v>755.0</v>
      </c>
      <c r="B156" s="6">
        <v>31859.0</v>
      </c>
      <c r="C156" s="6">
        <v>1.23</v>
      </c>
      <c r="D156" s="6">
        <v>-0.2</v>
      </c>
      <c r="E156" s="6">
        <v>10.69</v>
      </c>
      <c r="F156" s="6">
        <v>-0.1</v>
      </c>
      <c r="G156" s="6">
        <v>0.0</v>
      </c>
      <c r="H156" s="6">
        <v>-0.01</v>
      </c>
      <c r="I156" s="6">
        <v>33.2</v>
      </c>
      <c r="J156" s="7">
        <f t="shared" ref="J156:O156" si="314">abs(C156-C155)/200</f>
        <v>0</v>
      </c>
      <c r="K156" s="7">
        <f t="shared" si="314"/>
        <v>0.00005</v>
      </c>
      <c r="L156" s="7">
        <f t="shared" si="314"/>
        <v>0.00005</v>
      </c>
      <c r="M156" s="7">
        <f t="shared" si="314"/>
        <v>0</v>
      </c>
      <c r="N156" s="7">
        <f t="shared" si="314"/>
        <v>0</v>
      </c>
      <c r="O156" s="7">
        <f t="shared" si="314"/>
        <v>0</v>
      </c>
      <c r="P156" s="7">
        <f t="shared" si="9"/>
        <v>0</v>
      </c>
      <c r="Q156" s="7">
        <f t="shared" si="10"/>
        <v>0.009742024862</v>
      </c>
      <c r="R156" s="7">
        <f t="shared" si="3"/>
        <v>0.9623882108</v>
      </c>
      <c r="S156" s="7">
        <f t="shared" si="4"/>
        <v>0.1004987562</v>
      </c>
      <c r="T156" s="7">
        <f t="shared" si="5"/>
        <v>0</v>
      </c>
      <c r="U156" s="7">
        <f t="shared" si="6"/>
        <v>0</v>
      </c>
      <c r="V156" s="7">
        <f t="shared" ref="V156:W156" si="315">IF(AVERAGE(T96:T155) &gt; 0.25, 1, 0)</f>
        <v>0</v>
      </c>
      <c r="W156" s="7">
        <f t="shared" si="315"/>
        <v>0</v>
      </c>
      <c r="X156" s="8">
        <v>0.0</v>
      </c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ht="22.5" customHeight="1">
      <c r="A157" s="6">
        <v>756.0</v>
      </c>
      <c r="B157" s="6">
        <v>32063.0</v>
      </c>
      <c r="C157" s="6">
        <v>1.23</v>
      </c>
      <c r="D157" s="6">
        <v>-0.2</v>
      </c>
      <c r="E157" s="6">
        <v>10.68</v>
      </c>
      <c r="F157" s="6">
        <v>-0.1</v>
      </c>
      <c r="G157" s="6">
        <v>0.0</v>
      </c>
      <c r="H157" s="6">
        <v>-0.01</v>
      </c>
      <c r="I157" s="6">
        <v>33.21</v>
      </c>
      <c r="J157" s="7">
        <f t="shared" ref="J157:O157" si="316">abs(C157-C156)/200</f>
        <v>0</v>
      </c>
      <c r="K157" s="7">
        <f t="shared" si="316"/>
        <v>0</v>
      </c>
      <c r="L157" s="7">
        <f t="shared" si="316"/>
        <v>0.00005</v>
      </c>
      <c r="M157" s="7">
        <f t="shared" si="316"/>
        <v>0</v>
      </c>
      <c r="N157" s="7">
        <f t="shared" si="316"/>
        <v>0</v>
      </c>
      <c r="O157" s="7">
        <f t="shared" si="316"/>
        <v>0</v>
      </c>
      <c r="P157" s="7">
        <f t="shared" si="9"/>
        <v>0</v>
      </c>
      <c r="Q157" s="7">
        <f t="shared" si="10"/>
        <v>0.009932677297</v>
      </c>
      <c r="R157" s="7">
        <f t="shared" si="3"/>
        <v>0.9524555335</v>
      </c>
      <c r="S157" s="7">
        <f t="shared" si="4"/>
        <v>0.1004987562</v>
      </c>
      <c r="T157" s="7">
        <f t="shared" si="5"/>
        <v>0</v>
      </c>
      <c r="U157" s="7">
        <f t="shared" si="6"/>
        <v>0</v>
      </c>
      <c r="V157" s="7">
        <f t="shared" ref="V157:W157" si="317">IF(AVERAGE(T97:T156) &gt; 0.25, 1, 0)</f>
        <v>0</v>
      </c>
      <c r="W157" s="7">
        <f t="shared" si="317"/>
        <v>0</v>
      </c>
      <c r="X157" s="8">
        <v>0.0</v>
      </c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ht="22.5" customHeight="1">
      <c r="A158" s="6">
        <v>757.0</v>
      </c>
      <c r="B158" s="6">
        <v>32267.0</v>
      </c>
      <c r="C158" s="6">
        <v>1.23</v>
      </c>
      <c r="D158" s="6">
        <v>-0.2</v>
      </c>
      <c r="E158" s="6">
        <v>10.68</v>
      </c>
      <c r="F158" s="6">
        <v>-0.1</v>
      </c>
      <c r="G158" s="6">
        <v>0.0</v>
      </c>
      <c r="H158" s="6">
        <v>-0.01</v>
      </c>
      <c r="I158" s="6">
        <v>33.21</v>
      </c>
      <c r="J158" s="7">
        <f t="shared" ref="J158:O158" si="318">abs(C158-C157)/200</f>
        <v>0</v>
      </c>
      <c r="K158" s="7">
        <f t="shared" si="318"/>
        <v>0</v>
      </c>
      <c r="L158" s="7">
        <f t="shared" si="318"/>
        <v>0</v>
      </c>
      <c r="M158" s="7">
        <f t="shared" si="318"/>
        <v>0</v>
      </c>
      <c r="N158" s="7">
        <f t="shared" si="318"/>
        <v>0</v>
      </c>
      <c r="O158" s="7">
        <f t="shared" si="318"/>
        <v>0</v>
      </c>
      <c r="P158" s="7">
        <f t="shared" si="9"/>
        <v>0</v>
      </c>
      <c r="Q158" s="7">
        <f t="shared" si="10"/>
        <v>0</v>
      </c>
      <c r="R158" s="7">
        <f t="shared" si="3"/>
        <v>0.9524555335</v>
      </c>
      <c r="S158" s="7">
        <f t="shared" si="4"/>
        <v>0.1004987562</v>
      </c>
      <c r="T158" s="7">
        <f t="shared" si="5"/>
        <v>0</v>
      </c>
      <c r="U158" s="7">
        <f t="shared" si="6"/>
        <v>0</v>
      </c>
      <c r="V158" s="7">
        <f t="shared" ref="V158:W158" si="319">IF(AVERAGE(T98:T157) &gt; 0.25, 1, 0)</f>
        <v>0</v>
      </c>
      <c r="W158" s="7">
        <f t="shared" si="319"/>
        <v>0</v>
      </c>
      <c r="X158" s="8">
        <v>0.0</v>
      </c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ht="22.5" customHeight="1">
      <c r="A159" s="6">
        <v>758.0</v>
      </c>
      <c r="B159" s="6">
        <v>32471.0</v>
      </c>
      <c r="C159" s="6">
        <v>1.24</v>
      </c>
      <c r="D159" s="6">
        <v>-0.2</v>
      </c>
      <c r="E159" s="6">
        <v>10.67</v>
      </c>
      <c r="F159" s="6">
        <v>-0.1</v>
      </c>
      <c r="G159" s="6">
        <v>0.0</v>
      </c>
      <c r="H159" s="6">
        <v>-0.01</v>
      </c>
      <c r="I159" s="6">
        <v>33.19</v>
      </c>
      <c r="J159" s="7">
        <f t="shared" ref="J159:O159" si="320">abs(C159-C158)/200</f>
        <v>0.00005</v>
      </c>
      <c r="K159" s="7">
        <f t="shared" si="320"/>
        <v>0</v>
      </c>
      <c r="L159" s="7">
        <f t="shared" si="320"/>
        <v>0.00005</v>
      </c>
      <c r="M159" s="7">
        <f t="shared" si="320"/>
        <v>0</v>
      </c>
      <c r="N159" s="7">
        <f t="shared" si="320"/>
        <v>0</v>
      </c>
      <c r="O159" s="7">
        <f t="shared" si="320"/>
        <v>0</v>
      </c>
      <c r="P159" s="7">
        <f t="shared" si="9"/>
        <v>0</v>
      </c>
      <c r="Q159" s="7">
        <f t="shared" si="10"/>
        <v>0.008782977065</v>
      </c>
      <c r="R159" s="7">
        <f t="shared" si="3"/>
        <v>0.9436725564</v>
      </c>
      <c r="S159" s="7">
        <f t="shared" si="4"/>
        <v>0.1004987562</v>
      </c>
      <c r="T159" s="7">
        <f t="shared" si="5"/>
        <v>0</v>
      </c>
      <c r="U159" s="7">
        <f t="shared" si="6"/>
        <v>0</v>
      </c>
      <c r="V159" s="7">
        <f t="shared" ref="V159:W159" si="321">IF(AVERAGE(T99:T158) &gt; 0.25, 1, 0)</f>
        <v>0</v>
      </c>
      <c r="W159" s="7">
        <f t="shared" si="321"/>
        <v>0</v>
      </c>
      <c r="X159" s="8">
        <v>0.0</v>
      </c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ht="22.5" customHeight="1">
      <c r="A160" s="6">
        <v>759.0</v>
      </c>
      <c r="B160" s="6">
        <v>32675.0</v>
      </c>
      <c r="C160" s="6">
        <v>1.23</v>
      </c>
      <c r="D160" s="6">
        <v>-0.2</v>
      </c>
      <c r="E160" s="6">
        <v>10.68</v>
      </c>
      <c r="F160" s="6">
        <v>-0.1</v>
      </c>
      <c r="G160" s="6">
        <v>0.0</v>
      </c>
      <c r="H160" s="6">
        <v>-0.01</v>
      </c>
      <c r="I160" s="6">
        <v>33.21</v>
      </c>
      <c r="J160" s="7">
        <f t="shared" ref="J160:O160" si="322">abs(C160-C159)/200</f>
        <v>0.00005</v>
      </c>
      <c r="K160" s="7">
        <f t="shared" si="322"/>
        <v>0</v>
      </c>
      <c r="L160" s="7">
        <f t="shared" si="322"/>
        <v>0.00005</v>
      </c>
      <c r="M160" s="7">
        <f t="shared" si="322"/>
        <v>0</v>
      </c>
      <c r="N160" s="7">
        <f t="shared" si="322"/>
        <v>0</v>
      </c>
      <c r="O160" s="7">
        <f t="shared" si="322"/>
        <v>0</v>
      </c>
      <c r="P160" s="7">
        <f t="shared" si="9"/>
        <v>0</v>
      </c>
      <c r="Q160" s="7">
        <f t="shared" si="10"/>
        <v>0.008782977065</v>
      </c>
      <c r="R160" s="7">
        <f t="shared" si="3"/>
        <v>0.9524555335</v>
      </c>
      <c r="S160" s="7">
        <f t="shared" si="4"/>
        <v>0.1004987562</v>
      </c>
      <c r="T160" s="7">
        <f t="shared" si="5"/>
        <v>0</v>
      </c>
      <c r="U160" s="7">
        <f t="shared" si="6"/>
        <v>0</v>
      </c>
      <c r="V160" s="7">
        <f t="shared" ref="V160:W160" si="323">IF(AVERAGE(T100:T159) &gt; 0.25, 1, 0)</f>
        <v>0</v>
      </c>
      <c r="W160" s="7">
        <f t="shared" si="323"/>
        <v>0</v>
      </c>
      <c r="X160" s="8">
        <v>0.0</v>
      </c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ht="22.5" customHeight="1">
      <c r="A161" s="6">
        <v>760.0</v>
      </c>
      <c r="B161" s="6">
        <v>32879.0</v>
      </c>
      <c r="C161" s="6">
        <v>1.24</v>
      </c>
      <c r="D161" s="6">
        <v>-0.2</v>
      </c>
      <c r="E161" s="6">
        <v>10.68</v>
      </c>
      <c r="F161" s="6">
        <v>-0.1</v>
      </c>
      <c r="G161" s="6">
        <v>0.0</v>
      </c>
      <c r="H161" s="6">
        <v>-0.01</v>
      </c>
      <c r="I161" s="6">
        <v>33.21</v>
      </c>
      <c r="J161" s="7">
        <f t="shared" ref="J161:O161" si="324">abs(C161-C160)/200</f>
        <v>0.00005</v>
      </c>
      <c r="K161" s="7">
        <f t="shared" si="324"/>
        <v>0</v>
      </c>
      <c r="L161" s="7">
        <f t="shared" si="324"/>
        <v>0</v>
      </c>
      <c r="M161" s="7">
        <f t="shared" si="324"/>
        <v>0</v>
      </c>
      <c r="N161" s="7">
        <f t="shared" si="324"/>
        <v>0</v>
      </c>
      <c r="O161" s="7">
        <f t="shared" si="324"/>
        <v>0</v>
      </c>
      <c r="P161" s="7">
        <f t="shared" si="9"/>
        <v>0</v>
      </c>
      <c r="Q161" s="7">
        <f t="shared" si="10"/>
        <v>0.001148513511</v>
      </c>
      <c r="R161" s="7">
        <f t="shared" si="3"/>
        <v>0.953604047</v>
      </c>
      <c r="S161" s="7">
        <f t="shared" si="4"/>
        <v>0.1004987562</v>
      </c>
      <c r="T161" s="7">
        <f t="shared" si="5"/>
        <v>0</v>
      </c>
      <c r="U161" s="7">
        <f t="shared" si="6"/>
        <v>0</v>
      </c>
      <c r="V161" s="7">
        <f t="shared" ref="V161:W161" si="325">IF(AVERAGE(T101:T160) &gt; 0.25, 1, 0)</f>
        <v>0</v>
      </c>
      <c r="W161" s="7">
        <f t="shared" si="325"/>
        <v>0</v>
      </c>
      <c r="X161" s="8">
        <v>0.0</v>
      </c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ht="22.5" customHeight="1">
      <c r="A162" s="6">
        <v>761.0</v>
      </c>
      <c r="B162" s="6">
        <v>33083.0</v>
      </c>
      <c r="C162" s="6">
        <v>1.23</v>
      </c>
      <c r="D162" s="6">
        <v>-0.2</v>
      </c>
      <c r="E162" s="6">
        <v>10.68</v>
      </c>
      <c r="F162" s="6">
        <v>-0.1</v>
      </c>
      <c r="G162" s="6">
        <v>0.0</v>
      </c>
      <c r="H162" s="6">
        <v>-0.01</v>
      </c>
      <c r="I162" s="6">
        <v>33.19</v>
      </c>
      <c r="J162" s="7">
        <f t="shared" ref="J162:O162" si="326">abs(C162-C161)/200</f>
        <v>0.00005</v>
      </c>
      <c r="K162" s="7">
        <f t="shared" si="326"/>
        <v>0</v>
      </c>
      <c r="L162" s="7">
        <f t="shared" si="326"/>
        <v>0</v>
      </c>
      <c r="M162" s="7">
        <f t="shared" si="326"/>
        <v>0</v>
      </c>
      <c r="N162" s="7">
        <f t="shared" si="326"/>
        <v>0</v>
      </c>
      <c r="O162" s="7">
        <f t="shared" si="326"/>
        <v>0</v>
      </c>
      <c r="P162" s="7">
        <f t="shared" si="9"/>
        <v>0</v>
      </c>
      <c r="Q162" s="7">
        <f t="shared" si="10"/>
        <v>0.001148513511</v>
      </c>
      <c r="R162" s="7">
        <f t="shared" si="3"/>
        <v>0.9524555335</v>
      </c>
      <c r="S162" s="7">
        <f t="shared" si="4"/>
        <v>0.1004987562</v>
      </c>
      <c r="T162" s="7">
        <f t="shared" si="5"/>
        <v>0</v>
      </c>
      <c r="U162" s="7">
        <f t="shared" si="6"/>
        <v>0</v>
      </c>
      <c r="V162" s="7">
        <f t="shared" ref="V162:W162" si="327">IF(AVERAGE(T102:T161) &gt; 0.25, 1, 0)</f>
        <v>0</v>
      </c>
      <c r="W162" s="7">
        <f t="shared" si="327"/>
        <v>0</v>
      </c>
      <c r="X162" s="8">
        <v>0.0</v>
      </c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ht="22.5" customHeight="1">
      <c r="A163" s="6">
        <v>762.0</v>
      </c>
      <c r="B163" s="6">
        <v>33287.0</v>
      </c>
      <c r="C163" s="6">
        <v>1.23</v>
      </c>
      <c r="D163" s="6">
        <v>-0.2</v>
      </c>
      <c r="E163" s="6">
        <v>10.67</v>
      </c>
      <c r="F163" s="6">
        <v>-0.1</v>
      </c>
      <c r="G163" s="6">
        <v>0.0</v>
      </c>
      <c r="H163" s="6">
        <v>-0.01</v>
      </c>
      <c r="I163" s="6">
        <v>33.2</v>
      </c>
      <c r="J163" s="7">
        <f t="shared" ref="J163:O163" si="328">abs(C163-C162)/200</f>
        <v>0</v>
      </c>
      <c r="K163" s="7">
        <f t="shared" si="328"/>
        <v>0</v>
      </c>
      <c r="L163" s="7">
        <f t="shared" si="328"/>
        <v>0.00005</v>
      </c>
      <c r="M163" s="7">
        <f t="shared" si="328"/>
        <v>0</v>
      </c>
      <c r="N163" s="7">
        <f t="shared" si="328"/>
        <v>0</v>
      </c>
      <c r="O163" s="7">
        <f t="shared" si="328"/>
        <v>0</v>
      </c>
      <c r="P163" s="7">
        <f t="shared" si="9"/>
        <v>0</v>
      </c>
      <c r="Q163" s="7">
        <f t="shared" si="10"/>
        <v>0.00993255238</v>
      </c>
      <c r="R163" s="7">
        <f t="shared" si="3"/>
        <v>0.9425229811</v>
      </c>
      <c r="S163" s="7">
        <f t="shared" si="4"/>
        <v>0.1004987562</v>
      </c>
      <c r="T163" s="7">
        <f t="shared" si="5"/>
        <v>0</v>
      </c>
      <c r="U163" s="7">
        <f t="shared" si="6"/>
        <v>0</v>
      </c>
      <c r="V163" s="7">
        <f t="shared" ref="V163:W163" si="329">IF(AVERAGE(T103:T162) &gt; 0.25, 1, 0)</f>
        <v>0</v>
      </c>
      <c r="W163" s="7">
        <f t="shared" si="329"/>
        <v>0</v>
      </c>
      <c r="X163" s="8">
        <v>0.0</v>
      </c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ht="22.5" customHeight="1">
      <c r="A164" s="6">
        <v>763.0</v>
      </c>
      <c r="B164" s="6">
        <v>33491.0</v>
      </c>
      <c r="C164" s="6">
        <v>1.23</v>
      </c>
      <c r="D164" s="6">
        <v>-0.21</v>
      </c>
      <c r="E164" s="6">
        <v>10.68</v>
      </c>
      <c r="F164" s="6">
        <v>-0.1</v>
      </c>
      <c r="G164" s="6">
        <v>0.0</v>
      </c>
      <c r="H164" s="6">
        <v>-0.01</v>
      </c>
      <c r="I164" s="6">
        <v>33.19</v>
      </c>
      <c r="J164" s="7">
        <f t="shared" ref="J164:O164" si="330">abs(C164-C163)/200</f>
        <v>0</v>
      </c>
      <c r="K164" s="7">
        <f t="shared" si="330"/>
        <v>0.00005</v>
      </c>
      <c r="L164" s="7">
        <f t="shared" si="330"/>
        <v>0.00005</v>
      </c>
      <c r="M164" s="7">
        <f t="shared" si="330"/>
        <v>0</v>
      </c>
      <c r="N164" s="7">
        <f t="shared" si="330"/>
        <v>0</v>
      </c>
      <c r="O164" s="7">
        <f t="shared" si="330"/>
        <v>0</v>
      </c>
      <c r="P164" s="7">
        <f t="shared" si="9"/>
        <v>0</v>
      </c>
      <c r="Q164" s="7">
        <f t="shared" si="10"/>
        <v>0.01012320481</v>
      </c>
      <c r="R164" s="7">
        <f t="shared" si="3"/>
        <v>0.9526461859</v>
      </c>
      <c r="S164" s="7">
        <f t="shared" si="4"/>
        <v>0.1004987562</v>
      </c>
      <c r="T164" s="7">
        <f t="shared" si="5"/>
        <v>0</v>
      </c>
      <c r="U164" s="7">
        <f t="shared" si="6"/>
        <v>0</v>
      </c>
      <c r="V164" s="7">
        <f t="shared" ref="V164:W164" si="331">IF(AVERAGE(T104:T163) &gt; 0.25, 1, 0)</f>
        <v>0</v>
      </c>
      <c r="W164" s="7">
        <f t="shared" si="331"/>
        <v>0</v>
      </c>
      <c r="X164" s="8">
        <v>0.0</v>
      </c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ht="22.5" customHeight="1">
      <c r="A165" s="6">
        <v>764.0</v>
      </c>
      <c r="B165" s="6">
        <v>33695.0</v>
      </c>
      <c r="C165" s="6">
        <v>1.23</v>
      </c>
      <c r="D165" s="6">
        <v>-0.21</v>
      </c>
      <c r="E165" s="6">
        <v>10.68</v>
      </c>
      <c r="F165" s="6">
        <v>-0.1</v>
      </c>
      <c r="G165" s="6">
        <v>0.0</v>
      </c>
      <c r="H165" s="6">
        <v>-0.01</v>
      </c>
      <c r="I165" s="6">
        <v>33.19</v>
      </c>
      <c r="J165" s="7">
        <f t="shared" ref="J165:O165" si="332">abs(C165-C164)/200</f>
        <v>0</v>
      </c>
      <c r="K165" s="7">
        <f t="shared" si="332"/>
        <v>0</v>
      </c>
      <c r="L165" s="7">
        <f t="shared" si="332"/>
        <v>0</v>
      </c>
      <c r="M165" s="7">
        <f t="shared" si="332"/>
        <v>0</v>
      </c>
      <c r="N165" s="7">
        <f t="shared" si="332"/>
        <v>0</v>
      </c>
      <c r="O165" s="7">
        <f t="shared" si="332"/>
        <v>0</v>
      </c>
      <c r="P165" s="7">
        <f t="shared" si="9"/>
        <v>0</v>
      </c>
      <c r="Q165" s="7">
        <f t="shared" si="10"/>
        <v>0</v>
      </c>
      <c r="R165" s="7">
        <f t="shared" si="3"/>
        <v>0.9526461859</v>
      </c>
      <c r="S165" s="7">
        <f t="shared" si="4"/>
        <v>0.1004987562</v>
      </c>
      <c r="T165" s="7">
        <f t="shared" si="5"/>
        <v>0</v>
      </c>
      <c r="U165" s="7">
        <f t="shared" si="6"/>
        <v>0</v>
      </c>
      <c r="V165" s="7">
        <f t="shared" ref="V165:W165" si="333">IF(AVERAGE(T105:T164) &gt; 0.25, 1, 0)</f>
        <v>0</v>
      </c>
      <c r="W165" s="7">
        <f t="shared" si="333"/>
        <v>0</v>
      </c>
      <c r="X165" s="8">
        <v>0.0</v>
      </c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ht="22.5" customHeight="1">
      <c r="A166" s="6">
        <v>765.0</v>
      </c>
      <c r="B166" s="6">
        <v>33899.0</v>
      </c>
      <c r="C166" s="6">
        <v>1.24</v>
      </c>
      <c r="D166" s="6">
        <v>-0.2</v>
      </c>
      <c r="E166" s="6">
        <v>10.68</v>
      </c>
      <c r="F166" s="6">
        <v>-0.1</v>
      </c>
      <c r="G166" s="6">
        <v>0.0</v>
      </c>
      <c r="H166" s="6">
        <v>-0.01</v>
      </c>
      <c r="I166" s="6">
        <v>33.19</v>
      </c>
      <c r="J166" s="7">
        <f t="shared" ref="J166:O166" si="334">abs(C166-C165)/200</f>
        <v>0.00005</v>
      </c>
      <c r="K166" s="7">
        <f t="shared" si="334"/>
        <v>0.00005</v>
      </c>
      <c r="L166" s="7">
        <f t="shared" si="334"/>
        <v>0</v>
      </c>
      <c r="M166" s="7">
        <f t="shared" si="334"/>
        <v>0</v>
      </c>
      <c r="N166" s="7">
        <f t="shared" si="334"/>
        <v>0</v>
      </c>
      <c r="O166" s="7">
        <f t="shared" si="334"/>
        <v>0</v>
      </c>
      <c r="P166" s="7">
        <f t="shared" si="9"/>
        <v>0</v>
      </c>
      <c r="Q166" s="7">
        <f t="shared" si="10"/>
        <v>0.0009578610765</v>
      </c>
      <c r="R166" s="7">
        <f t="shared" si="3"/>
        <v>0.953604047</v>
      </c>
      <c r="S166" s="7">
        <f t="shared" si="4"/>
        <v>0.1004987562</v>
      </c>
      <c r="T166" s="7">
        <f t="shared" si="5"/>
        <v>0</v>
      </c>
      <c r="U166" s="7">
        <f t="shared" si="6"/>
        <v>0</v>
      </c>
      <c r="V166" s="7">
        <f t="shared" ref="V166:W166" si="335">IF(AVERAGE(T106:T165) &gt; 0.25, 1, 0)</f>
        <v>0</v>
      </c>
      <c r="W166" s="7">
        <f t="shared" si="335"/>
        <v>0</v>
      </c>
      <c r="X166" s="8">
        <v>0.0</v>
      </c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ht="22.5" customHeight="1">
      <c r="A167" s="6">
        <v>766.0</v>
      </c>
      <c r="B167" s="6">
        <v>35735.0</v>
      </c>
      <c r="C167" s="6">
        <v>1.24</v>
      </c>
      <c r="D167" s="6">
        <v>-0.21</v>
      </c>
      <c r="E167" s="6">
        <v>10.68</v>
      </c>
      <c r="F167" s="6">
        <v>-0.1</v>
      </c>
      <c r="G167" s="6">
        <v>0.0</v>
      </c>
      <c r="H167" s="6">
        <v>-0.01</v>
      </c>
      <c r="I167" s="6">
        <v>33.18</v>
      </c>
      <c r="J167" s="7">
        <f t="shared" ref="J167:O167" si="336">abs(C167-C166)/200</f>
        <v>0</v>
      </c>
      <c r="K167" s="7">
        <f t="shared" si="336"/>
        <v>0.00005</v>
      </c>
      <c r="L167" s="7">
        <f t="shared" si="336"/>
        <v>0</v>
      </c>
      <c r="M167" s="7">
        <f t="shared" si="336"/>
        <v>0</v>
      </c>
      <c r="N167" s="7">
        <f t="shared" si="336"/>
        <v>0</v>
      </c>
      <c r="O167" s="7">
        <f t="shared" si="336"/>
        <v>0</v>
      </c>
      <c r="P167" s="7">
        <f t="shared" si="9"/>
        <v>0</v>
      </c>
      <c r="Q167" s="7">
        <f t="shared" si="10"/>
        <v>0.0001906320728</v>
      </c>
      <c r="R167" s="7">
        <f t="shared" si="3"/>
        <v>0.9537946791</v>
      </c>
      <c r="S167" s="7">
        <f t="shared" si="4"/>
        <v>0.1004987562</v>
      </c>
      <c r="T167" s="7">
        <f t="shared" si="5"/>
        <v>0</v>
      </c>
      <c r="U167" s="7">
        <f t="shared" si="6"/>
        <v>0</v>
      </c>
      <c r="V167" s="7">
        <f t="shared" ref="V167:W167" si="337">IF(AVERAGE(T107:T166) &gt; 0.25, 1, 0)</f>
        <v>0</v>
      </c>
      <c r="W167" s="7">
        <f t="shared" si="337"/>
        <v>0</v>
      </c>
      <c r="X167" s="8">
        <v>0.0</v>
      </c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ht="22.5" customHeight="1">
      <c r="A168" s="6">
        <v>767.0</v>
      </c>
      <c r="B168" s="6">
        <v>35939.0</v>
      </c>
      <c r="C168" s="6">
        <v>1.23</v>
      </c>
      <c r="D168" s="6">
        <v>-0.2</v>
      </c>
      <c r="E168" s="6">
        <v>10.68</v>
      </c>
      <c r="F168" s="6">
        <v>-0.1</v>
      </c>
      <c r="G168" s="6">
        <v>0.0</v>
      </c>
      <c r="H168" s="6">
        <v>-0.01</v>
      </c>
      <c r="I168" s="6">
        <v>33.19</v>
      </c>
      <c r="J168" s="7">
        <f t="shared" ref="J168:O168" si="338">abs(C168-C167)/200</f>
        <v>0.00005</v>
      </c>
      <c r="K168" s="7">
        <f t="shared" si="338"/>
        <v>0.00005</v>
      </c>
      <c r="L168" s="7">
        <f t="shared" si="338"/>
        <v>0</v>
      </c>
      <c r="M168" s="7">
        <f t="shared" si="338"/>
        <v>0</v>
      </c>
      <c r="N168" s="7">
        <f t="shared" si="338"/>
        <v>0</v>
      </c>
      <c r="O168" s="7">
        <f t="shared" si="338"/>
        <v>0</v>
      </c>
      <c r="P168" s="7">
        <f t="shared" si="9"/>
        <v>0</v>
      </c>
      <c r="Q168" s="7">
        <f t="shared" si="10"/>
        <v>0.001339145584</v>
      </c>
      <c r="R168" s="7">
        <f t="shared" si="3"/>
        <v>0.9524555335</v>
      </c>
      <c r="S168" s="7">
        <f t="shared" si="4"/>
        <v>0.1004987562</v>
      </c>
      <c r="T168" s="7">
        <f t="shared" si="5"/>
        <v>0</v>
      </c>
      <c r="U168" s="7">
        <f t="shared" si="6"/>
        <v>0</v>
      </c>
      <c r="V168" s="7">
        <f t="shared" ref="V168:W168" si="339">IF(AVERAGE(T108:T167) &gt; 0.25, 1, 0)</f>
        <v>0</v>
      </c>
      <c r="W168" s="7">
        <f t="shared" si="339"/>
        <v>0</v>
      </c>
      <c r="X168" s="8">
        <v>0.0</v>
      </c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ht="22.5" customHeight="1">
      <c r="A169" s="6">
        <v>768.0</v>
      </c>
      <c r="B169" s="6">
        <v>36143.0</v>
      </c>
      <c r="C169" s="6">
        <v>1.24</v>
      </c>
      <c r="D169" s="6">
        <v>-0.2</v>
      </c>
      <c r="E169" s="6">
        <v>10.68</v>
      </c>
      <c r="F169" s="6">
        <v>-0.1</v>
      </c>
      <c r="G169" s="6">
        <v>0.0</v>
      </c>
      <c r="H169" s="6">
        <v>-0.01</v>
      </c>
      <c r="I169" s="6">
        <v>33.19</v>
      </c>
      <c r="J169" s="7">
        <f t="shared" ref="J169:O169" si="340">abs(C169-C168)/200</f>
        <v>0.00005</v>
      </c>
      <c r="K169" s="7">
        <f t="shared" si="340"/>
        <v>0</v>
      </c>
      <c r="L169" s="7">
        <f t="shared" si="340"/>
        <v>0</v>
      </c>
      <c r="M169" s="7">
        <f t="shared" si="340"/>
        <v>0</v>
      </c>
      <c r="N169" s="7">
        <f t="shared" si="340"/>
        <v>0</v>
      </c>
      <c r="O169" s="7">
        <f t="shared" si="340"/>
        <v>0</v>
      </c>
      <c r="P169" s="7">
        <f t="shared" si="9"/>
        <v>0</v>
      </c>
      <c r="Q169" s="7">
        <f t="shared" si="10"/>
        <v>0.001148513511</v>
      </c>
      <c r="R169" s="7">
        <f t="shared" si="3"/>
        <v>0.953604047</v>
      </c>
      <c r="S169" s="7">
        <f t="shared" si="4"/>
        <v>0.1004987562</v>
      </c>
      <c r="T169" s="7">
        <f t="shared" si="5"/>
        <v>0</v>
      </c>
      <c r="U169" s="7">
        <f t="shared" si="6"/>
        <v>0</v>
      </c>
      <c r="V169" s="7">
        <f t="shared" ref="V169:W169" si="341">IF(AVERAGE(T109:T168) &gt; 0.25, 1, 0)</f>
        <v>0</v>
      </c>
      <c r="W169" s="7">
        <f t="shared" si="341"/>
        <v>0</v>
      </c>
      <c r="X169" s="8">
        <v>0.0</v>
      </c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ht="22.5" customHeight="1">
      <c r="A170" s="6">
        <v>769.0</v>
      </c>
      <c r="B170" s="6">
        <v>36347.0</v>
      </c>
      <c r="C170" s="6">
        <v>1.23</v>
      </c>
      <c r="D170" s="6">
        <v>-0.21</v>
      </c>
      <c r="E170" s="6">
        <v>10.68</v>
      </c>
      <c r="F170" s="6">
        <v>-0.1</v>
      </c>
      <c r="G170" s="6">
        <v>0.0</v>
      </c>
      <c r="H170" s="6">
        <v>-0.01</v>
      </c>
      <c r="I170" s="6">
        <v>33.2</v>
      </c>
      <c r="J170" s="7">
        <f t="shared" ref="J170:O170" si="342">abs(C170-C169)/200</f>
        <v>0.00005</v>
      </c>
      <c r="K170" s="7">
        <f t="shared" si="342"/>
        <v>0.00005</v>
      </c>
      <c r="L170" s="7">
        <f t="shared" si="342"/>
        <v>0</v>
      </c>
      <c r="M170" s="7">
        <f t="shared" si="342"/>
        <v>0</v>
      </c>
      <c r="N170" s="7">
        <f t="shared" si="342"/>
        <v>0</v>
      </c>
      <c r="O170" s="7">
        <f t="shared" si="342"/>
        <v>0</v>
      </c>
      <c r="P170" s="7">
        <f t="shared" si="9"/>
        <v>0</v>
      </c>
      <c r="Q170" s="7">
        <f t="shared" si="10"/>
        <v>0.0009578610765</v>
      </c>
      <c r="R170" s="7">
        <f t="shared" si="3"/>
        <v>0.9526461859</v>
      </c>
      <c r="S170" s="7">
        <f t="shared" si="4"/>
        <v>0.1004987562</v>
      </c>
      <c r="T170" s="7">
        <f t="shared" si="5"/>
        <v>0</v>
      </c>
      <c r="U170" s="7">
        <f t="shared" si="6"/>
        <v>0</v>
      </c>
      <c r="V170" s="7">
        <f t="shared" ref="V170:W170" si="343">IF(AVERAGE(T110:T169) &gt; 0.25, 1, 0)</f>
        <v>0</v>
      </c>
      <c r="W170" s="7">
        <f t="shared" si="343"/>
        <v>0</v>
      </c>
      <c r="X170" s="8">
        <v>0.0</v>
      </c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ht="22.5" customHeight="1">
      <c r="A171" s="6">
        <v>770.0</v>
      </c>
      <c r="B171" s="6">
        <v>36551.0</v>
      </c>
      <c r="C171" s="6">
        <v>1.24</v>
      </c>
      <c r="D171" s="6">
        <v>-0.21</v>
      </c>
      <c r="E171" s="6">
        <v>10.68</v>
      </c>
      <c r="F171" s="6">
        <v>-0.1</v>
      </c>
      <c r="G171" s="6">
        <v>0.0</v>
      </c>
      <c r="H171" s="6">
        <v>-0.01</v>
      </c>
      <c r="I171" s="6">
        <v>33.19</v>
      </c>
      <c r="J171" s="7">
        <f t="shared" ref="J171:O171" si="344">abs(C171-C170)/200</f>
        <v>0.00005</v>
      </c>
      <c r="K171" s="7">
        <f t="shared" si="344"/>
        <v>0</v>
      </c>
      <c r="L171" s="7">
        <f t="shared" si="344"/>
        <v>0</v>
      </c>
      <c r="M171" s="7">
        <f t="shared" si="344"/>
        <v>0</v>
      </c>
      <c r="N171" s="7">
        <f t="shared" si="344"/>
        <v>0</v>
      </c>
      <c r="O171" s="7">
        <f t="shared" si="344"/>
        <v>0</v>
      </c>
      <c r="P171" s="7">
        <f t="shared" si="9"/>
        <v>0</v>
      </c>
      <c r="Q171" s="7">
        <f t="shared" si="10"/>
        <v>0.001148493149</v>
      </c>
      <c r="R171" s="7">
        <f t="shared" si="3"/>
        <v>0.9537946791</v>
      </c>
      <c r="S171" s="7">
        <f t="shared" si="4"/>
        <v>0.1004987562</v>
      </c>
      <c r="T171" s="7">
        <f t="shared" si="5"/>
        <v>0</v>
      </c>
      <c r="U171" s="7">
        <f t="shared" si="6"/>
        <v>0</v>
      </c>
      <c r="V171" s="7">
        <f t="shared" ref="V171:W171" si="345">IF(AVERAGE(T111:T170) &gt; 0.25, 1, 0)</f>
        <v>0</v>
      </c>
      <c r="W171" s="7">
        <f t="shared" si="345"/>
        <v>0</v>
      </c>
      <c r="X171" s="8">
        <v>0.0</v>
      </c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ht="22.5" customHeight="1">
      <c r="A172" s="6">
        <v>771.0</v>
      </c>
      <c r="B172" s="6">
        <v>36755.0</v>
      </c>
      <c r="C172" s="6">
        <v>1.24</v>
      </c>
      <c r="D172" s="6">
        <v>-0.21</v>
      </c>
      <c r="E172" s="6">
        <v>10.68</v>
      </c>
      <c r="F172" s="6">
        <v>-0.1</v>
      </c>
      <c r="G172" s="6">
        <v>0.0</v>
      </c>
      <c r="H172" s="6">
        <v>-0.01</v>
      </c>
      <c r="I172" s="6">
        <v>33.2</v>
      </c>
      <c r="J172" s="7">
        <f t="shared" ref="J172:O172" si="346">abs(C172-C171)/200</f>
        <v>0</v>
      </c>
      <c r="K172" s="7">
        <f t="shared" si="346"/>
        <v>0</v>
      </c>
      <c r="L172" s="7">
        <f t="shared" si="346"/>
        <v>0</v>
      </c>
      <c r="M172" s="7">
        <f t="shared" si="346"/>
        <v>0</v>
      </c>
      <c r="N172" s="7">
        <f t="shared" si="346"/>
        <v>0</v>
      </c>
      <c r="O172" s="7">
        <f t="shared" si="346"/>
        <v>0</v>
      </c>
      <c r="P172" s="7">
        <f t="shared" si="9"/>
        <v>0</v>
      </c>
      <c r="Q172" s="7">
        <f t="shared" si="10"/>
        <v>0</v>
      </c>
      <c r="R172" s="7">
        <f t="shared" si="3"/>
        <v>0.9537946791</v>
      </c>
      <c r="S172" s="7">
        <f t="shared" si="4"/>
        <v>0.1004987562</v>
      </c>
      <c r="T172" s="7">
        <f t="shared" si="5"/>
        <v>0</v>
      </c>
      <c r="U172" s="7">
        <f t="shared" si="6"/>
        <v>0</v>
      </c>
      <c r="V172" s="7">
        <f t="shared" ref="V172:W172" si="347">IF(AVERAGE(T112:T171) &gt; 0.25, 1, 0)</f>
        <v>0</v>
      </c>
      <c r="W172" s="7">
        <f t="shared" si="347"/>
        <v>0</v>
      </c>
      <c r="X172" s="8">
        <v>0.0</v>
      </c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ht="22.5" customHeight="1">
      <c r="A173" s="6">
        <v>772.0</v>
      </c>
      <c r="B173" s="6">
        <v>36959.0</v>
      </c>
      <c r="C173" s="6">
        <v>1.24</v>
      </c>
      <c r="D173" s="6">
        <v>-0.21</v>
      </c>
      <c r="E173" s="6">
        <v>10.69</v>
      </c>
      <c r="F173" s="6">
        <v>-0.1</v>
      </c>
      <c r="G173" s="6">
        <v>0.0</v>
      </c>
      <c r="H173" s="6">
        <v>-0.01</v>
      </c>
      <c r="I173" s="6">
        <v>33.2</v>
      </c>
      <c r="J173" s="7">
        <f t="shared" ref="J173:O173" si="348">abs(C173-C172)/200</f>
        <v>0</v>
      </c>
      <c r="K173" s="7">
        <f t="shared" si="348"/>
        <v>0</v>
      </c>
      <c r="L173" s="7">
        <f t="shared" si="348"/>
        <v>0.00005</v>
      </c>
      <c r="M173" s="7">
        <f t="shared" si="348"/>
        <v>0</v>
      </c>
      <c r="N173" s="7">
        <f t="shared" si="348"/>
        <v>0</v>
      </c>
      <c r="O173" s="7">
        <f t="shared" si="348"/>
        <v>0</v>
      </c>
      <c r="P173" s="7">
        <f t="shared" si="9"/>
        <v>0</v>
      </c>
      <c r="Q173" s="7">
        <f t="shared" si="10"/>
        <v>0.009931441544</v>
      </c>
      <c r="R173" s="7">
        <f t="shared" si="3"/>
        <v>0.9637261206</v>
      </c>
      <c r="S173" s="7">
        <f t="shared" si="4"/>
        <v>0.1004987562</v>
      </c>
      <c r="T173" s="7">
        <f t="shared" si="5"/>
        <v>0</v>
      </c>
      <c r="U173" s="7">
        <f t="shared" si="6"/>
        <v>0</v>
      </c>
      <c r="V173" s="7">
        <f t="shared" ref="V173:W173" si="349">IF(AVERAGE(T113:T172) &gt; 0.25, 1, 0)</f>
        <v>0</v>
      </c>
      <c r="W173" s="7">
        <f t="shared" si="349"/>
        <v>0</v>
      </c>
      <c r="X173" s="8">
        <v>0.0</v>
      </c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ht="22.5" customHeight="1">
      <c r="A174" s="6">
        <v>773.0</v>
      </c>
      <c r="B174" s="6">
        <v>37163.0</v>
      </c>
      <c r="C174" s="6">
        <v>1.24</v>
      </c>
      <c r="D174" s="6">
        <v>-0.21</v>
      </c>
      <c r="E174" s="6">
        <v>10.69</v>
      </c>
      <c r="F174" s="6">
        <v>-0.1</v>
      </c>
      <c r="G174" s="6">
        <v>0.0</v>
      </c>
      <c r="H174" s="6">
        <v>-0.01</v>
      </c>
      <c r="I174" s="6">
        <v>33.19</v>
      </c>
      <c r="J174" s="7">
        <f t="shared" ref="J174:O174" si="350">abs(C174-C173)/200</f>
        <v>0</v>
      </c>
      <c r="K174" s="7">
        <f t="shared" si="350"/>
        <v>0</v>
      </c>
      <c r="L174" s="7">
        <f t="shared" si="350"/>
        <v>0</v>
      </c>
      <c r="M174" s="7">
        <f t="shared" si="350"/>
        <v>0</v>
      </c>
      <c r="N174" s="7">
        <f t="shared" si="350"/>
        <v>0</v>
      </c>
      <c r="O174" s="7">
        <f t="shared" si="350"/>
        <v>0</v>
      </c>
      <c r="P174" s="7">
        <f t="shared" si="9"/>
        <v>0</v>
      </c>
      <c r="Q174" s="7">
        <f t="shared" si="10"/>
        <v>0</v>
      </c>
      <c r="R174" s="7">
        <f t="shared" si="3"/>
        <v>0.9637261206</v>
      </c>
      <c r="S174" s="7">
        <f t="shared" si="4"/>
        <v>0.1004987562</v>
      </c>
      <c r="T174" s="7">
        <f t="shared" si="5"/>
        <v>0</v>
      </c>
      <c r="U174" s="7">
        <f t="shared" si="6"/>
        <v>0</v>
      </c>
      <c r="V174" s="7">
        <f t="shared" ref="V174:W174" si="351">IF(AVERAGE(T114:T173) &gt; 0.25, 1, 0)</f>
        <v>0</v>
      </c>
      <c r="W174" s="7">
        <f t="shared" si="351"/>
        <v>0</v>
      </c>
      <c r="X174" s="8">
        <v>0.0</v>
      </c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ht="22.5" customHeight="1">
      <c r="A175" s="6">
        <v>774.0</v>
      </c>
      <c r="B175" s="6">
        <v>37367.0</v>
      </c>
      <c r="C175" s="6">
        <v>1.23</v>
      </c>
      <c r="D175" s="6">
        <v>-0.2</v>
      </c>
      <c r="E175" s="6">
        <v>10.68</v>
      </c>
      <c r="F175" s="6">
        <v>-0.1</v>
      </c>
      <c r="G175" s="6">
        <v>0.0</v>
      </c>
      <c r="H175" s="6">
        <v>-0.01</v>
      </c>
      <c r="I175" s="6">
        <v>33.19</v>
      </c>
      <c r="J175" s="7">
        <f t="shared" ref="J175:O175" si="352">abs(C175-C174)/200</f>
        <v>0.00005</v>
      </c>
      <c r="K175" s="7">
        <f t="shared" si="352"/>
        <v>0.00005</v>
      </c>
      <c r="L175" s="7">
        <f t="shared" si="352"/>
        <v>0.00005</v>
      </c>
      <c r="M175" s="7">
        <f t="shared" si="352"/>
        <v>0</v>
      </c>
      <c r="N175" s="7">
        <f t="shared" si="352"/>
        <v>0</v>
      </c>
      <c r="O175" s="7">
        <f t="shared" si="352"/>
        <v>0</v>
      </c>
      <c r="P175" s="7">
        <f t="shared" si="9"/>
        <v>0</v>
      </c>
      <c r="Q175" s="7">
        <f t="shared" si="10"/>
        <v>0.01127058713</v>
      </c>
      <c r="R175" s="7">
        <f t="shared" si="3"/>
        <v>0.9524555335</v>
      </c>
      <c r="S175" s="7">
        <f t="shared" si="4"/>
        <v>0.1004987562</v>
      </c>
      <c r="T175" s="7">
        <f t="shared" si="5"/>
        <v>0</v>
      </c>
      <c r="U175" s="7">
        <f t="shared" si="6"/>
        <v>0</v>
      </c>
      <c r="V175" s="7">
        <f t="shared" ref="V175:W175" si="353">IF(AVERAGE(T115:T174) &gt; 0.25, 1, 0)</f>
        <v>0</v>
      </c>
      <c r="W175" s="7">
        <f t="shared" si="353"/>
        <v>0</v>
      </c>
      <c r="X175" s="8">
        <v>0.0</v>
      </c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ht="22.5" customHeight="1">
      <c r="A176" s="6">
        <v>775.0</v>
      </c>
      <c r="B176" s="6">
        <v>37571.0</v>
      </c>
      <c r="C176" s="6">
        <v>1.24</v>
      </c>
      <c r="D176" s="6">
        <v>-0.21</v>
      </c>
      <c r="E176" s="6">
        <v>10.69</v>
      </c>
      <c r="F176" s="6">
        <v>-0.1</v>
      </c>
      <c r="G176" s="6">
        <v>0.0</v>
      </c>
      <c r="H176" s="6">
        <v>-0.01</v>
      </c>
      <c r="I176" s="6">
        <v>33.19</v>
      </c>
      <c r="J176" s="7">
        <f t="shared" ref="J176:O176" si="354">abs(C176-C175)/200</f>
        <v>0.00005</v>
      </c>
      <c r="K176" s="7">
        <f t="shared" si="354"/>
        <v>0.00005</v>
      </c>
      <c r="L176" s="7">
        <f t="shared" si="354"/>
        <v>0.00005</v>
      </c>
      <c r="M176" s="7">
        <f t="shared" si="354"/>
        <v>0</v>
      </c>
      <c r="N176" s="7">
        <f t="shared" si="354"/>
        <v>0</v>
      </c>
      <c r="O176" s="7">
        <f t="shared" si="354"/>
        <v>0</v>
      </c>
      <c r="P176" s="7">
        <f t="shared" si="9"/>
        <v>0</v>
      </c>
      <c r="Q176" s="7">
        <f t="shared" si="10"/>
        <v>0.01127058713</v>
      </c>
      <c r="R176" s="7">
        <f t="shared" si="3"/>
        <v>0.9637261206</v>
      </c>
      <c r="S176" s="7">
        <f t="shared" si="4"/>
        <v>0.1004987562</v>
      </c>
      <c r="T176" s="7">
        <f t="shared" si="5"/>
        <v>0</v>
      </c>
      <c r="U176" s="7">
        <f t="shared" si="6"/>
        <v>0</v>
      </c>
      <c r="V176" s="7">
        <f t="shared" ref="V176:W176" si="355">IF(AVERAGE(T116:T175) &gt; 0.25, 1, 0)</f>
        <v>0</v>
      </c>
      <c r="W176" s="7">
        <f t="shared" si="355"/>
        <v>0</v>
      </c>
      <c r="X176" s="8">
        <v>0.0</v>
      </c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ht="22.5" customHeight="1">
      <c r="A177" s="6">
        <v>776.0</v>
      </c>
      <c r="B177" s="6">
        <v>37775.0</v>
      </c>
      <c r="C177" s="6">
        <v>1.24</v>
      </c>
      <c r="D177" s="6">
        <v>-0.2</v>
      </c>
      <c r="E177" s="6">
        <v>10.69</v>
      </c>
      <c r="F177" s="6">
        <v>-0.1</v>
      </c>
      <c r="G177" s="6">
        <v>0.0</v>
      </c>
      <c r="H177" s="6">
        <v>-0.01</v>
      </c>
      <c r="I177" s="6">
        <v>33.2</v>
      </c>
      <c r="J177" s="7">
        <f t="shared" ref="J177:O177" si="356">abs(C177-C176)/200</f>
        <v>0</v>
      </c>
      <c r="K177" s="7">
        <f t="shared" si="356"/>
        <v>0.00005</v>
      </c>
      <c r="L177" s="7">
        <f t="shared" si="356"/>
        <v>0</v>
      </c>
      <c r="M177" s="7">
        <f t="shared" si="356"/>
        <v>0</v>
      </c>
      <c r="N177" s="7">
        <f t="shared" si="356"/>
        <v>0</v>
      </c>
      <c r="O177" s="7">
        <f t="shared" si="356"/>
        <v>0</v>
      </c>
      <c r="P177" s="7">
        <f t="shared" si="9"/>
        <v>0</v>
      </c>
      <c r="Q177" s="7">
        <f t="shared" si="10"/>
        <v>0.0001904561779</v>
      </c>
      <c r="R177" s="7">
        <f t="shared" si="3"/>
        <v>0.9635356645</v>
      </c>
      <c r="S177" s="7">
        <f t="shared" si="4"/>
        <v>0.1004987562</v>
      </c>
      <c r="T177" s="7">
        <f t="shared" si="5"/>
        <v>0</v>
      </c>
      <c r="U177" s="7">
        <f t="shared" si="6"/>
        <v>0</v>
      </c>
      <c r="V177" s="7">
        <f t="shared" ref="V177:W177" si="357">IF(AVERAGE(T117:T176) &gt; 0.25, 1, 0)</f>
        <v>0</v>
      </c>
      <c r="W177" s="7">
        <f t="shared" si="357"/>
        <v>0</v>
      </c>
      <c r="X177" s="8">
        <v>0.0</v>
      </c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ht="22.5" customHeight="1">
      <c r="A178" s="6">
        <v>777.0</v>
      </c>
      <c r="B178" s="6">
        <v>37979.0</v>
      </c>
      <c r="C178" s="6">
        <v>1.22</v>
      </c>
      <c r="D178" s="6">
        <v>-0.2</v>
      </c>
      <c r="E178" s="6">
        <v>10.69</v>
      </c>
      <c r="F178" s="6">
        <v>-0.1</v>
      </c>
      <c r="G178" s="6">
        <v>0.0</v>
      </c>
      <c r="H178" s="6">
        <v>-0.01</v>
      </c>
      <c r="I178" s="6">
        <v>33.2</v>
      </c>
      <c r="J178" s="7">
        <f t="shared" ref="J178:O178" si="358">abs(C178-C177)/200</f>
        <v>0.0001</v>
      </c>
      <c r="K178" s="7">
        <f t="shared" si="358"/>
        <v>0</v>
      </c>
      <c r="L178" s="7">
        <f t="shared" si="358"/>
        <v>0</v>
      </c>
      <c r="M178" s="7">
        <f t="shared" si="358"/>
        <v>0</v>
      </c>
      <c r="N178" s="7">
        <f t="shared" si="358"/>
        <v>0</v>
      </c>
      <c r="O178" s="7">
        <f t="shared" si="358"/>
        <v>0</v>
      </c>
      <c r="P178" s="7">
        <f t="shared" si="9"/>
        <v>0</v>
      </c>
      <c r="Q178" s="7">
        <f t="shared" si="10"/>
        <v>0.002285737054</v>
      </c>
      <c r="R178" s="7">
        <f t="shared" si="3"/>
        <v>0.9612499274</v>
      </c>
      <c r="S178" s="7">
        <f t="shared" si="4"/>
        <v>0.1004987562</v>
      </c>
      <c r="T178" s="7">
        <f t="shared" si="5"/>
        <v>0</v>
      </c>
      <c r="U178" s="7">
        <f t="shared" si="6"/>
        <v>0</v>
      </c>
      <c r="V178" s="7">
        <f t="shared" ref="V178:W178" si="359">IF(AVERAGE(T118:T177) &gt; 0.25, 1, 0)</f>
        <v>0</v>
      </c>
      <c r="W178" s="7">
        <f t="shared" si="359"/>
        <v>0</v>
      </c>
      <c r="X178" s="8">
        <v>0.0</v>
      </c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ht="22.5" customHeight="1">
      <c r="A179" s="6">
        <v>778.0</v>
      </c>
      <c r="B179" s="6">
        <v>38183.0</v>
      </c>
      <c r="C179" s="6">
        <v>1.23</v>
      </c>
      <c r="D179" s="6">
        <v>-0.2</v>
      </c>
      <c r="E179" s="6">
        <v>10.67</v>
      </c>
      <c r="F179" s="6">
        <v>-0.1</v>
      </c>
      <c r="G179" s="6">
        <v>0.0</v>
      </c>
      <c r="H179" s="6">
        <v>-0.01</v>
      </c>
      <c r="I179" s="6">
        <v>33.2</v>
      </c>
      <c r="J179" s="7">
        <f t="shared" ref="J179:O179" si="360">abs(C179-C178)/200</f>
        <v>0.00005</v>
      </c>
      <c r="K179" s="7">
        <f t="shared" si="360"/>
        <v>0</v>
      </c>
      <c r="L179" s="7">
        <f t="shared" si="360"/>
        <v>0.0001</v>
      </c>
      <c r="M179" s="7">
        <f t="shared" si="360"/>
        <v>0</v>
      </c>
      <c r="N179" s="7">
        <f t="shared" si="360"/>
        <v>0</v>
      </c>
      <c r="O179" s="7">
        <f t="shared" si="360"/>
        <v>0</v>
      </c>
      <c r="P179" s="7">
        <f t="shared" si="9"/>
        <v>0</v>
      </c>
      <c r="Q179" s="7">
        <f t="shared" si="10"/>
        <v>0.01872694628</v>
      </c>
      <c r="R179" s="7">
        <f t="shared" si="3"/>
        <v>0.9425229811</v>
      </c>
      <c r="S179" s="7">
        <f t="shared" si="4"/>
        <v>0.1004987562</v>
      </c>
      <c r="T179" s="7">
        <f t="shared" si="5"/>
        <v>0</v>
      </c>
      <c r="U179" s="7">
        <f t="shared" si="6"/>
        <v>0</v>
      </c>
      <c r="V179" s="7">
        <f t="shared" ref="V179:W179" si="361">IF(AVERAGE(T119:T178) &gt; 0.25, 1, 0)</f>
        <v>0</v>
      </c>
      <c r="W179" s="7">
        <f t="shared" si="361"/>
        <v>0</v>
      </c>
      <c r="X179" s="8">
        <v>0.0</v>
      </c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ht="22.5" customHeight="1">
      <c r="A180" s="6">
        <v>779.0</v>
      </c>
      <c r="B180" s="6">
        <v>38387.0</v>
      </c>
      <c r="C180" s="6">
        <v>1.23</v>
      </c>
      <c r="D180" s="6">
        <v>-0.21</v>
      </c>
      <c r="E180" s="6">
        <v>10.67</v>
      </c>
      <c r="F180" s="6">
        <v>-0.1</v>
      </c>
      <c r="G180" s="6">
        <v>0.0</v>
      </c>
      <c r="H180" s="6">
        <v>-0.01</v>
      </c>
      <c r="I180" s="6">
        <v>33.21</v>
      </c>
      <c r="J180" s="7">
        <f t="shared" ref="J180:O180" si="362">abs(C180-C179)/200</f>
        <v>0</v>
      </c>
      <c r="K180" s="7">
        <f t="shared" si="362"/>
        <v>0.00005</v>
      </c>
      <c r="L180" s="7">
        <f t="shared" si="362"/>
        <v>0</v>
      </c>
      <c r="M180" s="7">
        <f t="shared" si="362"/>
        <v>0</v>
      </c>
      <c r="N180" s="7">
        <f t="shared" si="362"/>
        <v>0</v>
      </c>
      <c r="O180" s="7">
        <f t="shared" si="362"/>
        <v>0</v>
      </c>
      <c r="P180" s="7">
        <f t="shared" si="9"/>
        <v>0</v>
      </c>
      <c r="Q180" s="7">
        <f t="shared" si="10"/>
        <v>0.000190828709</v>
      </c>
      <c r="R180" s="7">
        <f t="shared" si="3"/>
        <v>0.9427138098</v>
      </c>
      <c r="S180" s="7">
        <f t="shared" si="4"/>
        <v>0.1004987562</v>
      </c>
      <c r="T180" s="7">
        <f t="shared" si="5"/>
        <v>0</v>
      </c>
      <c r="U180" s="7">
        <f t="shared" si="6"/>
        <v>0</v>
      </c>
      <c r="V180" s="7">
        <f t="shared" ref="V180:W180" si="363">IF(AVERAGE(T120:T179) &gt; 0.25, 1, 0)</f>
        <v>0</v>
      </c>
      <c r="W180" s="7">
        <f t="shared" si="363"/>
        <v>0</v>
      </c>
      <c r="X180" s="8">
        <v>0.0</v>
      </c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ht="22.5" customHeight="1">
      <c r="A181" s="6">
        <v>780.0</v>
      </c>
      <c r="B181" s="6">
        <v>38591.0</v>
      </c>
      <c r="C181" s="6">
        <v>1.23</v>
      </c>
      <c r="D181" s="6">
        <v>-0.2</v>
      </c>
      <c r="E181" s="6">
        <v>10.68</v>
      </c>
      <c r="F181" s="6">
        <v>-0.1</v>
      </c>
      <c r="G181" s="6">
        <v>0.0</v>
      </c>
      <c r="H181" s="6">
        <v>-0.01</v>
      </c>
      <c r="I181" s="6">
        <v>33.19</v>
      </c>
      <c r="J181" s="7">
        <f t="shared" ref="J181:O181" si="364">abs(C181-C180)/200</f>
        <v>0</v>
      </c>
      <c r="K181" s="7">
        <f t="shared" si="364"/>
        <v>0.00005</v>
      </c>
      <c r="L181" s="7">
        <f t="shared" si="364"/>
        <v>0.00005</v>
      </c>
      <c r="M181" s="7">
        <f t="shared" si="364"/>
        <v>0</v>
      </c>
      <c r="N181" s="7">
        <f t="shared" si="364"/>
        <v>0</v>
      </c>
      <c r="O181" s="7">
        <f t="shared" si="364"/>
        <v>0</v>
      </c>
      <c r="P181" s="7">
        <f t="shared" si="9"/>
        <v>0</v>
      </c>
      <c r="Q181" s="7">
        <f t="shared" si="10"/>
        <v>0.009741723671</v>
      </c>
      <c r="R181" s="7">
        <f t="shared" si="3"/>
        <v>0.9524555335</v>
      </c>
      <c r="S181" s="7">
        <f t="shared" si="4"/>
        <v>0.1004987562</v>
      </c>
      <c r="T181" s="7">
        <f t="shared" si="5"/>
        <v>0</v>
      </c>
      <c r="U181" s="7">
        <f t="shared" si="6"/>
        <v>0</v>
      </c>
      <c r="V181" s="7">
        <f t="shared" ref="V181:W181" si="365">IF(AVERAGE(T121:T180) &gt; 0.25, 1, 0)</f>
        <v>0</v>
      </c>
      <c r="W181" s="7">
        <f t="shared" si="365"/>
        <v>0</v>
      </c>
      <c r="X181" s="8">
        <v>0.0</v>
      </c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ht="22.5" customHeight="1">
      <c r="A182" s="6">
        <v>781.0</v>
      </c>
      <c r="B182" s="6">
        <v>38795.0</v>
      </c>
      <c r="C182" s="6">
        <v>1.24</v>
      </c>
      <c r="D182" s="6">
        <v>-0.2</v>
      </c>
      <c r="E182" s="6">
        <v>10.67</v>
      </c>
      <c r="F182" s="6">
        <v>-0.1</v>
      </c>
      <c r="G182" s="6">
        <v>0.0</v>
      </c>
      <c r="H182" s="6">
        <v>-0.01</v>
      </c>
      <c r="I182" s="6">
        <v>33.19</v>
      </c>
      <c r="J182" s="7">
        <f t="shared" ref="J182:O182" si="366">abs(C182-C181)/200</f>
        <v>0.00005</v>
      </c>
      <c r="K182" s="7">
        <f t="shared" si="366"/>
        <v>0</v>
      </c>
      <c r="L182" s="7">
        <f t="shared" si="366"/>
        <v>0.00005</v>
      </c>
      <c r="M182" s="7">
        <f t="shared" si="366"/>
        <v>0</v>
      </c>
      <c r="N182" s="7">
        <f t="shared" si="366"/>
        <v>0</v>
      </c>
      <c r="O182" s="7">
        <f t="shared" si="366"/>
        <v>0</v>
      </c>
      <c r="P182" s="7">
        <f t="shared" si="9"/>
        <v>0</v>
      </c>
      <c r="Q182" s="7">
        <f t="shared" si="10"/>
        <v>0.008782977065</v>
      </c>
      <c r="R182" s="7">
        <f t="shared" si="3"/>
        <v>0.9436725564</v>
      </c>
      <c r="S182" s="7">
        <f t="shared" si="4"/>
        <v>0.1004987562</v>
      </c>
      <c r="T182" s="7">
        <f t="shared" si="5"/>
        <v>0</v>
      </c>
      <c r="U182" s="7">
        <f t="shared" si="6"/>
        <v>0</v>
      </c>
      <c r="V182" s="7">
        <f t="shared" ref="V182:W182" si="367">IF(AVERAGE(T122:T181) &gt; 0.25, 1, 0)</f>
        <v>0</v>
      </c>
      <c r="W182" s="7">
        <f t="shared" si="367"/>
        <v>0</v>
      </c>
      <c r="X182" s="8">
        <v>0.0</v>
      </c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ht="22.5" customHeight="1">
      <c r="A183" s="6">
        <v>782.0</v>
      </c>
      <c r="B183" s="6">
        <v>38999.0</v>
      </c>
      <c r="C183" s="6">
        <v>1.23</v>
      </c>
      <c r="D183" s="6">
        <v>-0.2</v>
      </c>
      <c r="E183" s="6">
        <v>10.7</v>
      </c>
      <c r="F183" s="6">
        <v>-0.1</v>
      </c>
      <c r="G183" s="6">
        <v>0.0</v>
      </c>
      <c r="H183" s="6">
        <v>-0.01</v>
      </c>
      <c r="I183" s="6">
        <v>33.19</v>
      </c>
      <c r="J183" s="7">
        <f t="shared" ref="J183:O183" si="368">abs(C183-C182)/200</f>
        <v>0.00005</v>
      </c>
      <c r="K183" s="7">
        <f t="shared" si="368"/>
        <v>0</v>
      </c>
      <c r="L183" s="7">
        <f t="shared" si="368"/>
        <v>0.00015</v>
      </c>
      <c r="M183" s="7">
        <f t="shared" si="368"/>
        <v>0</v>
      </c>
      <c r="N183" s="7">
        <f t="shared" si="368"/>
        <v>0</v>
      </c>
      <c r="O183" s="7">
        <f t="shared" si="368"/>
        <v>0</v>
      </c>
      <c r="P183" s="7">
        <f t="shared" si="9"/>
        <v>0</v>
      </c>
      <c r="Q183" s="7">
        <f t="shared" si="10"/>
        <v>0.02864845623</v>
      </c>
      <c r="R183" s="7">
        <f t="shared" si="3"/>
        <v>0.9723210127</v>
      </c>
      <c r="S183" s="7">
        <f t="shared" si="4"/>
        <v>0.1004987562</v>
      </c>
      <c r="T183" s="7">
        <f t="shared" si="5"/>
        <v>0</v>
      </c>
      <c r="U183" s="7">
        <f t="shared" si="6"/>
        <v>0</v>
      </c>
      <c r="V183" s="7">
        <f t="shared" ref="V183:W183" si="369">IF(AVERAGE(T123:T182) &gt; 0.25, 1, 0)</f>
        <v>0</v>
      </c>
      <c r="W183" s="7">
        <f t="shared" si="369"/>
        <v>0</v>
      </c>
      <c r="X183" s="8">
        <v>0.0</v>
      </c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ht="22.5" customHeight="1">
      <c r="A184" s="6">
        <v>783.0</v>
      </c>
      <c r="B184" s="6">
        <v>39203.0</v>
      </c>
      <c r="C184" s="6">
        <v>1.23</v>
      </c>
      <c r="D184" s="6">
        <v>-0.2</v>
      </c>
      <c r="E184" s="6">
        <v>10.68</v>
      </c>
      <c r="F184" s="6">
        <v>-0.1</v>
      </c>
      <c r="G184" s="6">
        <v>0.0</v>
      </c>
      <c r="H184" s="6">
        <v>-0.01</v>
      </c>
      <c r="I184" s="6">
        <v>33.19</v>
      </c>
      <c r="J184" s="7">
        <f t="shared" ref="J184:O184" si="370">abs(C184-C183)/200</f>
        <v>0</v>
      </c>
      <c r="K184" s="7">
        <f t="shared" si="370"/>
        <v>0</v>
      </c>
      <c r="L184" s="7">
        <f t="shared" si="370"/>
        <v>0.0001</v>
      </c>
      <c r="M184" s="7">
        <f t="shared" si="370"/>
        <v>0</v>
      </c>
      <c r="N184" s="7">
        <f t="shared" si="370"/>
        <v>0</v>
      </c>
      <c r="O184" s="7">
        <f t="shared" si="370"/>
        <v>0</v>
      </c>
      <c r="P184" s="7">
        <f t="shared" si="9"/>
        <v>0</v>
      </c>
      <c r="Q184" s="7">
        <f t="shared" si="10"/>
        <v>0.01986547916</v>
      </c>
      <c r="R184" s="7">
        <f t="shared" si="3"/>
        <v>0.9524555335</v>
      </c>
      <c r="S184" s="7">
        <f t="shared" si="4"/>
        <v>0.1004987562</v>
      </c>
      <c r="T184" s="7">
        <f t="shared" si="5"/>
        <v>0</v>
      </c>
      <c r="U184" s="7">
        <f t="shared" si="6"/>
        <v>0</v>
      </c>
      <c r="V184" s="7">
        <f t="shared" ref="V184:W184" si="371">IF(AVERAGE(T124:T183) &gt; 0.25, 1, 0)</f>
        <v>0</v>
      </c>
      <c r="W184" s="7">
        <f t="shared" si="371"/>
        <v>0</v>
      </c>
      <c r="X184" s="8">
        <v>0.0</v>
      </c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ht="22.5" customHeight="1">
      <c r="A185" s="6">
        <v>784.0</v>
      </c>
      <c r="B185" s="6">
        <v>39407.0</v>
      </c>
      <c r="C185" s="6">
        <v>1.24</v>
      </c>
      <c r="D185" s="6">
        <v>-0.2</v>
      </c>
      <c r="E185" s="6">
        <v>10.67</v>
      </c>
      <c r="F185" s="6">
        <v>-0.1</v>
      </c>
      <c r="G185" s="6">
        <v>0.0</v>
      </c>
      <c r="H185" s="6">
        <v>-0.01</v>
      </c>
      <c r="I185" s="6">
        <v>33.21</v>
      </c>
      <c r="J185" s="7">
        <f t="shared" ref="J185:O185" si="372">abs(C185-C184)/200</f>
        <v>0.00005</v>
      </c>
      <c r="K185" s="7">
        <f t="shared" si="372"/>
        <v>0</v>
      </c>
      <c r="L185" s="7">
        <f t="shared" si="372"/>
        <v>0.00005</v>
      </c>
      <c r="M185" s="7">
        <f t="shared" si="372"/>
        <v>0</v>
      </c>
      <c r="N185" s="7">
        <f t="shared" si="372"/>
        <v>0</v>
      </c>
      <c r="O185" s="7">
        <f t="shared" si="372"/>
        <v>0</v>
      </c>
      <c r="P185" s="7">
        <f t="shared" si="9"/>
        <v>0</v>
      </c>
      <c r="Q185" s="7">
        <f t="shared" si="10"/>
        <v>0.008782977065</v>
      </c>
      <c r="R185" s="7">
        <f t="shared" si="3"/>
        <v>0.9436725564</v>
      </c>
      <c r="S185" s="7">
        <f t="shared" si="4"/>
        <v>0.1004987562</v>
      </c>
      <c r="T185" s="7">
        <f t="shared" si="5"/>
        <v>0</v>
      </c>
      <c r="U185" s="7">
        <f t="shared" si="6"/>
        <v>0</v>
      </c>
      <c r="V185" s="7">
        <f t="shared" ref="V185:W185" si="373">IF(AVERAGE(T125:T184) &gt; 0.25, 1, 0)</f>
        <v>0</v>
      </c>
      <c r="W185" s="7">
        <f t="shared" si="373"/>
        <v>0</v>
      </c>
      <c r="X185" s="8">
        <v>0.0</v>
      </c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ht="22.5" customHeight="1">
      <c r="A186" s="6">
        <v>785.0</v>
      </c>
      <c r="B186" s="6">
        <v>39611.0</v>
      </c>
      <c r="C186" s="6">
        <v>1.24</v>
      </c>
      <c r="D186" s="6">
        <v>-0.19</v>
      </c>
      <c r="E186" s="6">
        <v>10.68</v>
      </c>
      <c r="F186" s="6">
        <v>-0.1</v>
      </c>
      <c r="G186" s="6">
        <v>0.0</v>
      </c>
      <c r="H186" s="6">
        <v>-0.01</v>
      </c>
      <c r="I186" s="6">
        <v>33.2</v>
      </c>
      <c r="J186" s="7">
        <f t="shared" ref="J186:O186" si="374">abs(C186-C185)/200</f>
        <v>0</v>
      </c>
      <c r="K186" s="7">
        <f t="shared" si="374"/>
        <v>0.00005</v>
      </c>
      <c r="L186" s="7">
        <f t="shared" si="374"/>
        <v>0.00005</v>
      </c>
      <c r="M186" s="7">
        <f t="shared" si="374"/>
        <v>0</v>
      </c>
      <c r="N186" s="7">
        <f t="shared" si="374"/>
        <v>0</v>
      </c>
      <c r="O186" s="7">
        <f t="shared" si="374"/>
        <v>0</v>
      </c>
      <c r="P186" s="7">
        <f t="shared" si="9"/>
        <v>0</v>
      </c>
      <c r="Q186" s="7">
        <f t="shared" si="10"/>
        <v>0.009750154493</v>
      </c>
      <c r="R186" s="7">
        <f t="shared" si="3"/>
        <v>0.9534227109</v>
      </c>
      <c r="S186" s="7">
        <f t="shared" si="4"/>
        <v>0.1004987562</v>
      </c>
      <c r="T186" s="7">
        <f t="shared" si="5"/>
        <v>0</v>
      </c>
      <c r="U186" s="7">
        <f t="shared" si="6"/>
        <v>0</v>
      </c>
      <c r="V186" s="7">
        <f t="shared" ref="V186:W186" si="375">IF(AVERAGE(T126:T185) &gt; 0.25, 1, 0)</f>
        <v>0</v>
      </c>
      <c r="W186" s="7">
        <f t="shared" si="375"/>
        <v>0</v>
      </c>
      <c r="X186" s="8">
        <v>0.0</v>
      </c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ht="22.5" customHeight="1">
      <c r="A187" s="6">
        <v>786.0</v>
      </c>
      <c r="B187" s="6">
        <v>39815.0</v>
      </c>
      <c r="C187" s="6">
        <v>1.23</v>
      </c>
      <c r="D187" s="6">
        <v>-0.2</v>
      </c>
      <c r="E187" s="6">
        <v>10.67</v>
      </c>
      <c r="F187" s="6">
        <v>-0.1</v>
      </c>
      <c r="G187" s="6">
        <v>0.0</v>
      </c>
      <c r="H187" s="6">
        <v>-0.01</v>
      </c>
      <c r="I187" s="6">
        <v>33.19</v>
      </c>
      <c r="J187" s="7">
        <f t="shared" ref="J187:O187" si="376">abs(C187-C186)/200</f>
        <v>0.00005</v>
      </c>
      <c r="K187" s="7">
        <f t="shared" si="376"/>
        <v>0.00005</v>
      </c>
      <c r="L187" s="7">
        <f t="shared" si="376"/>
        <v>0.00005</v>
      </c>
      <c r="M187" s="7">
        <f t="shared" si="376"/>
        <v>0</v>
      </c>
      <c r="N187" s="7">
        <f t="shared" si="376"/>
        <v>0</v>
      </c>
      <c r="O187" s="7">
        <f t="shared" si="376"/>
        <v>0</v>
      </c>
      <c r="P187" s="7">
        <f t="shared" si="9"/>
        <v>0</v>
      </c>
      <c r="Q187" s="7">
        <f t="shared" si="10"/>
        <v>0.01089972981</v>
      </c>
      <c r="R187" s="7">
        <f t="shared" si="3"/>
        <v>0.9425229811</v>
      </c>
      <c r="S187" s="7">
        <f t="shared" si="4"/>
        <v>0.1004987562</v>
      </c>
      <c r="T187" s="7">
        <f t="shared" si="5"/>
        <v>0</v>
      </c>
      <c r="U187" s="7">
        <f t="shared" si="6"/>
        <v>0</v>
      </c>
      <c r="V187" s="7">
        <f t="shared" ref="V187:W187" si="377">IF(AVERAGE(T127:T186) &gt; 0.25, 1, 0)</f>
        <v>0</v>
      </c>
      <c r="W187" s="7">
        <f t="shared" si="377"/>
        <v>0</v>
      </c>
      <c r="X187" s="8">
        <v>0.0</v>
      </c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ht="22.5" customHeight="1">
      <c r="A188" s="6">
        <v>787.0</v>
      </c>
      <c r="B188" s="6">
        <v>40019.0</v>
      </c>
      <c r="C188" s="6">
        <v>1.23</v>
      </c>
      <c r="D188" s="6">
        <v>-0.2</v>
      </c>
      <c r="E188" s="6">
        <v>10.68</v>
      </c>
      <c r="F188" s="6">
        <v>-0.1</v>
      </c>
      <c r="G188" s="6">
        <v>0.0</v>
      </c>
      <c r="H188" s="6">
        <v>-0.01</v>
      </c>
      <c r="I188" s="6">
        <v>33.2</v>
      </c>
      <c r="J188" s="7">
        <f t="shared" ref="J188:O188" si="378">abs(C188-C187)/200</f>
        <v>0</v>
      </c>
      <c r="K188" s="7">
        <f t="shared" si="378"/>
        <v>0</v>
      </c>
      <c r="L188" s="7">
        <f t="shared" si="378"/>
        <v>0.00005</v>
      </c>
      <c r="M188" s="7">
        <f t="shared" si="378"/>
        <v>0</v>
      </c>
      <c r="N188" s="7">
        <f t="shared" si="378"/>
        <v>0</v>
      </c>
      <c r="O188" s="7">
        <f t="shared" si="378"/>
        <v>0</v>
      </c>
      <c r="P188" s="7">
        <f t="shared" si="9"/>
        <v>0</v>
      </c>
      <c r="Q188" s="7">
        <f t="shared" si="10"/>
        <v>0.00993255238</v>
      </c>
      <c r="R188" s="7">
        <f t="shared" si="3"/>
        <v>0.9524555335</v>
      </c>
      <c r="S188" s="7">
        <f t="shared" si="4"/>
        <v>0.1004987562</v>
      </c>
      <c r="T188" s="7">
        <f t="shared" si="5"/>
        <v>0</v>
      </c>
      <c r="U188" s="7">
        <f t="shared" si="6"/>
        <v>0</v>
      </c>
      <c r="V188" s="7">
        <f t="shared" ref="V188:W188" si="379">IF(AVERAGE(T128:T187) &gt; 0.25, 1, 0)</f>
        <v>0</v>
      </c>
      <c r="W188" s="7">
        <f t="shared" si="379"/>
        <v>0</v>
      </c>
      <c r="X188" s="8">
        <v>0.0</v>
      </c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ht="22.5" customHeight="1">
      <c r="A189" s="6">
        <v>788.0</v>
      </c>
      <c r="B189" s="6">
        <v>40223.0</v>
      </c>
      <c r="C189" s="6">
        <v>1.23</v>
      </c>
      <c r="D189" s="6">
        <v>-0.2</v>
      </c>
      <c r="E189" s="6">
        <v>10.68</v>
      </c>
      <c r="F189" s="6">
        <v>-0.1</v>
      </c>
      <c r="G189" s="6">
        <v>0.0</v>
      </c>
      <c r="H189" s="6">
        <v>-0.01</v>
      </c>
      <c r="I189" s="6">
        <v>33.19</v>
      </c>
      <c r="J189" s="7">
        <f t="shared" ref="J189:O189" si="380">abs(C189-C188)/200</f>
        <v>0</v>
      </c>
      <c r="K189" s="7">
        <f t="shared" si="380"/>
        <v>0</v>
      </c>
      <c r="L189" s="7">
        <f t="shared" si="380"/>
        <v>0</v>
      </c>
      <c r="M189" s="7">
        <f t="shared" si="380"/>
        <v>0</v>
      </c>
      <c r="N189" s="7">
        <f t="shared" si="380"/>
        <v>0</v>
      </c>
      <c r="O189" s="7">
        <f t="shared" si="380"/>
        <v>0</v>
      </c>
      <c r="P189" s="7">
        <f t="shared" si="9"/>
        <v>0</v>
      </c>
      <c r="Q189" s="7">
        <f t="shared" si="10"/>
        <v>0</v>
      </c>
      <c r="R189" s="7">
        <f t="shared" si="3"/>
        <v>0.9524555335</v>
      </c>
      <c r="S189" s="7">
        <f t="shared" si="4"/>
        <v>0.1004987562</v>
      </c>
      <c r="T189" s="7">
        <f t="shared" si="5"/>
        <v>0</v>
      </c>
      <c r="U189" s="7">
        <f t="shared" si="6"/>
        <v>0</v>
      </c>
      <c r="V189" s="7">
        <f t="shared" ref="V189:W189" si="381">IF(AVERAGE(T129:T188) &gt; 0.25, 1, 0)</f>
        <v>0</v>
      </c>
      <c r="W189" s="7">
        <f t="shared" si="381"/>
        <v>0</v>
      </c>
      <c r="X189" s="8">
        <v>0.0</v>
      </c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ht="22.5" customHeight="1">
      <c r="A190" s="6">
        <v>789.0</v>
      </c>
      <c r="B190" s="6">
        <v>40427.0</v>
      </c>
      <c r="C190" s="6">
        <v>1.24</v>
      </c>
      <c r="D190" s="6">
        <v>-0.19</v>
      </c>
      <c r="E190" s="6">
        <v>10.68</v>
      </c>
      <c r="F190" s="6">
        <v>-0.1</v>
      </c>
      <c r="G190" s="6">
        <v>0.0</v>
      </c>
      <c r="H190" s="6">
        <v>-0.01</v>
      </c>
      <c r="I190" s="6">
        <v>33.18</v>
      </c>
      <c r="J190" s="7">
        <f t="shared" ref="J190:O190" si="382">abs(C190-C189)/200</f>
        <v>0.00005</v>
      </c>
      <c r="K190" s="7">
        <f t="shared" si="382"/>
        <v>0.00005</v>
      </c>
      <c r="L190" s="7">
        <f t="shared" si="382"/>
        <v>0</v>
      </c>
      <c r="M190" s="7">
        <f t="shared" si="382"/>
        <v>0</v>
      </c>
      <c r="N190" s="7">
        <f t="shared" si="382"/>
        <v>0</v>
      </c>
      <c r="O190" s="7">
        <f t="shared" si="382"/>
        <v>0</v>
      </c>
      <c r="P190" s="7">
        <f t="shared" si="9"/>
        <v>0</v>
      </c>
      <c r="Q190" s="7">
        <f t="shared" si="10"/>
        <v>0.0009671774277</v>
      </c>
      <c r="R190" s="7">
        <f t="shared" si="3"/>
        <v>0.9534227109</v>
      </c>
      <c r="S190" s="7">
        <f t="shared" si="4"/>
        <v>0.1004987562</v>
      </c>
      <c r="T190" s="7">
        <f t="shared" si="5"/>
        <v>0</v>
      </c>
      <c r="U190" s="7">
        <f t="shared" si="6"/>
        <v>0</v>
      </c>
      <c r="V190" s="7">
        <f t="shared" ref="V190:W190" si="383">IF(AVERAGE(T130:T189) &gt; 0.25, 1, 0)</f>
        <v>0</v>
      </c>
      <c r="W190" s="7">
        <f t="shared" si="383"/>
        <v>0</v>
      </c>
      <c r="X190" s="8">
        <v>0.0</v>
      </c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ht="22.5" customHeight="1">
      <c r="A191" s="6">
        <v>790.0</v>
      </c>
      <c r="B191" s="6">
        <v>40631.0</v>
      </c>
      <c r="C191" s="6">
        <v>1.23</v>
      </c>
      <c r="D191" s="6">
        <v>-0.2</v>
      </c>
      <c r="E191" s="6">
        <v>10.68</v>
      </c>
      <c r="F191" s="6">
        <v>-0.1</v>
      </c>
      <c r="G191" s="6">
        <v>0.0</v>
      </c>
      <c r="H191" s="6">
        <v>-0.01</v>
      </c>
      <c r="I191" s="6">
        <v>33.2</v>
      </c>
      <c r="J191" s="7">
        <f t="shared" ref="J191:O191" si="384">abs(C191-C190)/200</f>
        <v>0.00005</v>
      </c>
      <c r="K191" s="7">
        <f t="shared" si="384"/>
        <v>0.00005</v>
      </c>
      <c r="L191" s="7">
        <f t="shared" si="384"/>
        <v>0</v>
      </c>
      <c r="M191" s="7">
        <f t="shared" si="384"/>
        <v>0</v>
      </c>
      <c r="N191" s="7">
        <f t="shared" si="384"/>
        <v>0</v>
      </c>
      <c r="O191" s="7">
        <f t="shared" si="384"/>
        <v>0</v>
      </c>
      <c r="P191" s="7">
        <f t="shared" si="9"/>
        <v>0</v>
      </c>
      <c r="Q191" s="7">
        <f t="shared" si="10"/>
        <v>0.0009671774277</v>
      </c>
      <c r="R191" s="7">
        <f t="shared" si="3"/>
        <v>0.9524555335</v>
      </c>
      <c r="S191" s="7">
        <f t="shared" si="4"/>
        <v>0.1004987562</v>
      </c>
      <c r="T191" s="7">
        <f t="shared" si="5"/>
        <v>0</v>
      </c>
      <c r="U191" s="7">
        <f t="shared" si="6"/>
        <v>0</v>
      </c>
      <c r="V191" s="7">
        <f t="shared" ref="V191:W191" si="385">IF(AVERAGE(T131:T190) &gt; 0.25, 1, 0)</f>
        <v>0</v>
      </c>
      <c r="W191" s="7">
        <f t="shared" si="385"/>
        <v>0</v>
      </c>
      <c r="X191" s="8">
        <v>0.0</v>
      </c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ht="22.5" customHeight="1">
      <c r="A192" s="6">
        <v>791.0</v>
      </c>
      <c r="B192" s="6">
        <v>40835.0</v>
      </c>
      <c r="C192" s="6">
        <v>1.23</v>
      </c>
      <c r="D192" s="6">
        <v>-0.2</v>
      </c>
      <c r="E192" s="6">
        <v>10.69</v>
      </c>
      <c r="F192" s="6">
        <v>-0.1</v>
      </c>
      <c r="G192" s="6">
        <v>0.0</v>
      </c>
      <c r="H192" s="6">
        <v>-0.01</v>
      </c>
      <c r="I192" s="6">
        <v>33.19</v>
      </c>
      <c r="J192" s="7">
        <f t="shared" ref="J192:O192" si="386">abs(C192-C191)/200</f>
        <v>0</v>
      </c>
      <c r="K192" s="7">
        <f t="shared" si="386"/>
        <v>0</v>
      </c>
      <c r="L192" s="7">
        <f t="shared" si="386"/>
        <v>0.00005</v>
      </c>
      <c r="M192" s="7">
        <f t="shared" si="386"/>
        <v>0</v>
      </c>
      <c r="N192" s="7">
        <f t="shared" si="386"/>
        <v>0</v>
      </c>
      <c r="O192" s="7">
        <f t="shared" si="386"/>
        <v>0</v>
      </c>
      <c r="P192" s="7">
        <f t="shared" si="9"/>
        <v>0</v>
      </c>
      <c r="Q192" s="7">
        <f t="shared" si="10"/>
        <v>0.009932677297</v>
      </c>
      <c r="R192" s="7">
        <f t="shared" si="3"/>
        <v>0.9623882108</v>
      </c>
      <c r="S192" s="7">
        <f t="shared" si="4"/>
        <v>0.1004987562</v>
      </c>
      <c r="T192" s="7">
        <f t="shared" si="5"/>
        <v>0</v>
      </c>
      <c r="U192" s="7">
        <f t="shared" si="6"/>
        <v>0</v>
      </c>
      <c r="V192" s="7">
        <f t="shared" ref="V192:W192" si="387">IF(AVERAGE(T132:T191) &gt; 0.25, 1, 0)</f>
        <v>0</v>
      </c>
      <c r="W192" s="7">
        <f t="shared" si="387"/>
        <v>0</v>
      </c>
      <c r="X192" s="8">
        <v>0.0</v>
      </c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ht="22.5" customHeight="1">
      <c r="A193" s="6">
        <v>792.0</v>
      </c>
      <c r="B193" s="6">
        <v>41039.0</v>
      </c>
      <c r="C193" s="6">
        <v>1.24</v>
      </c>
      <c r="D193" s="6">
        <v>-0.21</v>
      </c>
      <c r="E193" s="6">
        <v>10.69</v>
      </c>
      <c r="F193" s="6">
        <v>-0.1</v>
      </c>
      <c r="G193" s="6">
        <v>0.0</v>
      </c>
      <c r="H193" s="6">
        <v>-0.01</v>
      </c>
      <c r="I193" s="6">
        <v>33.19</v>
      </c>
      <c r="J193" s="7">
        <f t="shared" ref="J193:O193" si="388">abs(C193-C192)/200</f>
        <v>0.00005</v>
      </c>
      <c r="K193" s="7">
        <f t="shared" si="388"/>
        <v>0.00005</v>
      </c>
      <c r="L193" s="7">
        <f t="shared" si="388"/>
        <v>0</v>
      </c>
      <c r="M193" s="7">
        <f t="shared" si="388"/>
        <v>0</v>
      </c>
      <c r="N193" s="7">
        <f t="shared" si="388"/>
        <v>0</v>
      </c>
      <c r="O193" s="7">
        <f t="shared" si="388"/>
        <v>0</v>
      </c>
      <c r="P193" s="7">
        <f t="shared" si="9"/>
        <v>0</v>
      </c>
      <c r="Q193" s="7">
        <f t="shared" si="10"/>
        <v>0.001337909832</v>
      </c>
      <c r="R193" s="7">
        <f t="shared" si="3"/>
        <v>0.9637261206</v>
      </c>
      <c r="S193" s="7">
        <f t="shared" si="4"/>
        <v>0.1004987562</v>
      </c>
      <c r="T193" s="7">
        <f t="shared" si="5"/>
        <v>0</v>
      </c>
      <c r="U193" s="7">
        <f t="shared" si="6"/>
        <v>0</v>
      </c>
      <c r="V193" s="7">
        <f t="shared" ref="V193:W193" si="389">IF(AVERAGE(T133:T192) &gt; 0.25, 1, 0)</f>
        <v>0</v>
      </c>
      <c r="W193" s="7">
        <f t="shared" si="389"/>
        <v>0</v>
      </c>
      <c r="X193" s="8">
        <v>0.0</v>
      </c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ht="22.5" customHeight="1">
      <c r="A194" s="6">
        <v>793.0</v>
      </c>
      <c r="B194" s="6">
        <v>41243.0</v>
      </c>
      <c r="C194" s="6">
        <v>1.24</v>
      </c>
      <c r="D194" s="6">
        <v>-0.2</v>
      </c>
      <c r="E194" s="6">
        <v>10.67</v>
      </c>
      <c r="F194" s="6">
        <v>-0.1</v>
      </c>
      <c r="G194" s="6">
        <v>0.0</v>
      </c>
      <c r="H194" s="6">
        <v>-0.01</v>
      </c>
      <c r="I194" s="6">
        <v>33.19</v>
      </c>
      <c r="J194" s="7">
        <f t="shared" ref="J194:O194" si="390">abs(C194-C193)/200</f>
        <v>0</v>
      </c>
      <c r="K194" s="7">
        <f t="shared" si="390"/>
        <v>0.00005</v>
      </c>
      <c r="L194" s="7">
        <f t="shared" si="390"/>
        <v>0.0001</v>
      </c>
      <c r="M194" s="7">
        <f t="shared" si="390"/>
        <v>0</v>
      </c>
      <c r="N194" s="7">
        <f t="shared" si="390"/>
        <v>0</v>
      </c>
      <c r="O194" s="7">
        <f t="shared" si="390"/>
        <v>0</v>
      </c>
      <c r="P194" s="7">
        <f t="shared" si="9"/>
        <v>0</v>
      </c>
      <c r="Q194" s="7">
        <f t="shared" si="10"/>
        <v>0.02005356419</v>
      </c>
      <c r="R194" s="7">
        <f t="shared" si="3"/>
        <v>0.9436725564</v>
      </c>
      <c r="S194" s="7">
        <f t="shared" si="4"/>
        <v>0.1004987562</v>
      </c>
      <c r="T194" s="7">
        <f t="shared" si="5"/>
        <v>0</v>
      </c>
      <c r="U194" s="7">
        <f t="shared" si="6"/>
        <v>0</v>
      </c>
      <c r="V194" s="7">
        <f t="shared" ref="V194:W194" si="391">IF(AVERAGE(T134:T193) &gt; 0.25, 1, 0)</f>
        <v>0</v>
      </c>
      <c r="W194" s="7">
        <f t="shared" si="391"/>
        <v>0</v>
      </c>
      <c r="X194" s="8">
        <v>0.0</v>
      </c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ht="22.5" customHeight="1">
      <c r="A195" s="6">
        <v>794.0</v>
      </c>
      <c r="B195" s="6">
        <v>41447.0</v>
      </c>
      <c r="C195" s="6">
        <v>1.24</v>
      </c>
      <c r="D195" s="6">
        <v>-0.2</v>
      </c>
      <c r="E195" s="6">
        <v>10.69</v>
      </c>
      <c r="F195" s="6">
        <v>-0.1</v>
      </c>
      <c r="G195" s="6">
        <v>0.0</v>
      </c>
      <c r="H195" s="6">
        <v>-0.01</v>
      </c>
      <c r="I195" s="6">
        <v>33.2</v>
      </c>
      <c r="J195" s="7">
        <f t="shared" ref="J195:O195" si="392">abs(C195-C194)/200</f>
        <v>0</v>
      </c>
      <c r="K195" s="7">
        <f t="shared" si="392"/>
        <v>0</v>
      </c>
      <c r="L195" s="7">
        <f t="shared" si="392"/>
        <v>0.0001</v>
      </c>
      <c r="M195" s="7">
        <f t="shared" si="392"/>
        <v>0</v>
      </c>
      <c r="N195" s="7">
        <f t="shared" si="392"/>
        <v>0</v>
      </c>
      <c r="O195" s="7">
        <f t="shared" si="392"/>
        <v>0</v>
      </c>
      <c r="P195" s="7">
        <f t="shared" si="9"/>
        <v>0</v>
      </c>
      <c r="Q195" s="7">
        <f t="shared" si="10"/>
        <v>0.01986310802</v>
      </c>
      <c r="R195" s="7">
        <f t="shared" si="3"/>
        <v>0.9635356645</v>
      </c>
      <c r="S195" s="7">
        <f t="shared" si="4"/>
        <v>0.1004987562</v>
      </c>
      <c r="T195" s="7">
        <f t="shared" si="5"/>
        <v>0</v>
      </c>
      <c r="U195" s="7">
        <f t="shared" si="6"/>
        <v>0</v>
      </c>
      <c r="V195" s="7">
        <f t="shared" ref="V195:W195" si="393">IF(AVERAGE(T135:T194) &gt; 0.25, 1, 0)</f>
        <v>0</v>
      </c>
      <c r="W195" s="7">
        <f t="shared" si="393"/>
        <v>0</v>
      </c>
      <c r="X195" s="8">
        <v>0.0</v>
      </c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ht="22.5" customHeight="1">
      <c r="A196" s="6">
        <v>795.0</v>
      </c>
      <c r="B196" s="6">
        <v>41651.0</v>
      </c>
      <c r="C196" s="6">
        <v>1.23</v>
      </c>
      <c r="D196" s="6">
        <v>-0.19</v>
      </c>
      <c r="E196" s="6">
        <v>10.66</v>
      </c>
      <c r="F196" s="6">
        <v>-0.1</v>
      </c>
      <c r="G196" s="6">
        <v>0.0</v>
      </c>
      <c r="H196" s="6">
        <v>-0.01</v>
      </c>
      <c r="I196" s="6">
        <v>33.19</v>
      </c>
      <c r="J196" s="7">
        <f t="shared" ref="J196:O196" si="394">abs(C196-C195)/200</f>
        <v>0.00005</v>
      </c>
      <c r="K196" s="7">
        <f t="shared" si="394"/>
        <v>0.00005</v>
      </c>
      <c r="L196" s="7">
        <f t="shared" si="394"/>
        <v>0.00015</v>
      </c>
      <c r="M196" s="7">
        <f t="shared" si="394"/>
        <v>0</v>
      </c>
      <c r="N196" s="7">
        <f t="shared" si="394"/>
        <v>0</v>
      </c>
      <c r="O196" s="7">
        <f t="shared" si="394"/>
        <v>0</v>
      </c>
      <c r="P196" s="7">
        <f t="shared" si="9"/>
        <v>0</v>
      </c>
      <c r="Q196" s="7">
        <f t="shared" si="10"/>
        <v>0.03112680158</v>
      </c>
      <c r="R196" s="7">
        <f t="shared" si="3"/>
        <v>0.9324088629</v>
      </c>
      <c r="S196" s="7">
        <f t="shared" si="4"/>
        <v>0.1004987562</v>
      </c>
      <c r="T196" s="7">
        <f t="shared" si="5"/>
        <v>0</v>
      </c>
      <c r="U196" s="7">
        <f t="shared" si="6"/>
        <v>0</v>
      </c>
      <c r="V196" s="7">
        <f t="shared" ref="V196:W196" si="395">IF(AVERAGE(T136:T195) &gt; 0.25, 1, 0)</f>
        <v>0</v>
      </c>
      <c r="W196" s="7">
        <f t="shared" si="395"/>
        <v>0</v>
      </c>
      <c r="X196" s="8">
        <v>0.0</v>
      </c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ht="22.5" customHeight="1">
      <c r="A197" s="6">
        <v>796.0</v>
      </c>
      <c r="B197" s="6">
        <v>41855.0</v>
      </c>
      <c r="C197" s="6">
        <v>1.23</v>
      </c>
      <c r="D197" s="6">
        <v>-0.21</v>
      </c>
      <c r="E197" s="6">
        <v>10.68</v>
      </c>
      <c r="F197" s="6">
        <v>-0.1</v>
      </c>
      <c r="G197" s="6">
        <v>0.0</v>
      </c>
      <c r="H197" s="6">
        <v>-0.01</v>
      </c>
      <c r="I197" s="6">
        <v>33.2</v>
      </c>
      <c r="J197" s="7">
        <f t="shared" ref="J197:O197" si="396">abs(C197-C196)/200</f>
        <v>0</v>
      </c>
      <c r="K197" s="7">
        <f t="shared" si="396"/>
        <v>0.0001</v>
      </c>
      <c r="L197" s="7">
        <f t="shared" si="396"/>
        <v>0.0001</v>
      </c>
      <c r="M197" s="7">
        <f t="shared" si="396"/>
        <v>0</v>
      </c>
      <c r="N197" s="7">
        <f t="shared" si="396"/>
        <v>0</v>
      </c>
      <c r="O197" s="7">
        <f t="shared" si="396"/>
        <v>0</v>
      </c>
      <c r="P197" s="7">
        <f t="shared" si="9"/>
        <v>0</v>
      </c>
      <c r="Q197" s="7">
        <f t="shared" si="10"/>
        <v>0.02023732306</v>
      </c>
      <c r="R197" s="7">
        <f t="shared" si="3"/>
        <v>0.9526461859</v>
      </c>
      <c r="S197" s="7">
        <f t="shared" si="4"/>
        <v>0.1004987562</v>
      </c>
      <c r="T197" s="7">
        <f t="shared" si="5"/>
        <v>0</v>
      </c>
      <c r="U197" s="7">
        <f t="shared" si="6"/>
        <v>0</v>
      </c>
      <c r="V197" s="7">
        <f t="shared" ref="V197:W197" si="397">IF(AVERAGE(T137:T196) &gt; 0.25, 1, 0)</f>
        <v>0</v>
      </c>
      <c r="W197" s="7">
        <f t="shared" si="397"/>
        <v>0</v>
      </c>
      <c r="X197" s="8">
        <v>0.0</v>
      </c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ht="22.5" customHeight="1">
      <c r="A198" s="6">
        <v>797.0</v>
      </c>
      <c r="B198" s="6">
        <v>42059.0</v>
      </c>
      <c r="C198" s="6">
        <v>1.23</v>
      </c>
      <c r="D198" s="6">
        <v>-0.2</v>
      </c>
      <c r="E198" s="6">
        <v>10.69</v>
      </c>
      <c r="F198" s="6">
        <v>-0.1</v>
      </c>
      <c r="G198" s="6">
        <v>0.0</v>
      </c>
      <c r="H198" s="6">
        <v>-0.01</v>
      </c>
      <c r="I198" s="6">
        <v>33.2</v>
      </c>
      <c r="J198" s="7">
        <f t="shared" ref="J198:O198" si="398">abs(C198-C197)/200</f>
        <v>0</v>
      </c>
      <c r="K198" s="7">
        <f t="shared" si="398"/>
        <v>0.00005</v>
      </c>
      <c r="L198" s="7">
        <f t="shared" si="398"/>
        <v>0.00005</v>
      </c>
      <c r="M198" s="7">
        <f t="shared" si="398"/>
        <v>0</v>
      </c>
      <c r="N198" s="7">
        <f t="shared" si="398"/>
        <v>0</v>
      </c>
      <c r="O198" s="7">
        <f t="shared" si="398"/>
        <v>0</v>
      </c>
      <c r="P198" s="7">
        <f t="shared" si="9"/>
        <v>0</v>
      </c>
      <c r="Q198" s="7">
        <f t="shared" si="10"/>
        <v>0.009742024862</v>
      </c>
      <c r="R198" s="7">
        <f t="shared" si="3"/>
        <v>0.9623882108</v>
      </c>
      <c r="S198" s="7">
        <f t="shared" si="4"/>
        <v>0.1004987562</v>
      </c>
      <c r="T198" s="7">
        <f t="shared" si="5"/>
        <v>0</v>
      </c>
      <c r="U198" s="7">
        <f t="shared" si="6"/>
        <v>0</v>
      </c>
      <c r="V198" s="7">
        <f t="shared" ref="V198:W198" si="399">IF(AVERAGE(T138:T197) &gt; 0.25, 1, 0)</f>
        <v>0</v>
      </c>
      <c r="W198" s="7">
        <f t="shared" si="399"/>
        <v>0</v>
      </c>
      <c r="X198" s="8">
        <v>0.0</v>
      </c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ht="22.5" customHeight="1">
      <c r="A199" s="6">
        <v>798.0</v>
      </c>
      <c r="B199" s="6">
        <v>42263.0</v>
      </c>
      <c r="C199" s="6">
        <v>1.23</v>
      </c>
      <c r="D199" s="6">
        <v>-0.2</v>
      </c>
      <c r="E199" s="6">
        <v>10.68</v>
      </c>
      <c r="F199" s="6">
        <v>-0.1</v>
      </c>
      <c r="G199" s="6">
        <v>0.0</v>
      </c>
      <c r="H199" s="6">
        <v>-0.01</v>
      </c>
      <c r="I199" s="6">
        <v>33.19</v>
      </c>
      <c r="J199" s="7">
        <f t="shared" ref="J199:O199" si="400">abs(C199-C198)/200</f>
        <v>0</v>
      </c>
      <c r="K199" s="7">
        <f t="shared" si="400"/>
        <v>0</v>
      </c>
      <c r="L199" s="7">
        <f t="shared" si="400"/>
        <v>0.00005</v>
      </c>
      <c r="M199" s="7">
        <f t="shared" si="400"/>
        <v>0</v>
      </c>
      <c r="N199" s="7">
        <f t="shared" si="400"/>
        <v>0</v>
      </c>
      <c r="O199" s="7">
        <f t="shared" si="400"/>
        <v>0</v>
      </c>
      <c r="P199" s="7">
        <f t="shared" si="9"/>
        <v>0</v>
      </c>
      <c r="Q199" s="7">
        <f t="shared" si="10"/>
        <v>0.009932677297</v>
      </c>
      <c r="R199" s="7">
        <f t="shared" si="3"/>
        <v>0.9524555335</v>
      </c>
      <c r="S199" s="7">
        <f t="shared" si="4"/>
        <v>0.1004987562</v>
      </c>
      <c r="T199" s="7">
        <f t="shared" si="5"/>
        <v>0</v>
      </c>
      <c r="U199" s="7">
        <f t="shared" si="6"/>
        <v>0</v>
      </c>
      <c r="V199" s="7">
        <f t="shared" ref="V199:W199" si="401">IF(AVERAGE(T139:T198) &gt; 0.25, 1, 0)</f>
        <v>0</v>
      </c>
      <c r="W199" s="7">
        <f t="shared" si="401"/>
        <v>0</v>
      </c>
      <c r="X199" s="8">
        <v>0.0</v>
      </c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ht="22.5" customHeight="1">
      <c r="A200" s="6">
        <v>799.0</v>
      </c>
      <c r="B200" s="6">
        <v>42467.0</v>
      </c>
      <c r="C200" s="6">
        <v>1.23</v>
      </c>
      <c r="D200" s="6">
        <v>-0.2</v>
      </c>
      <c r="E200" s="6">
        <v>10.69</v>
      </c>
      <c r="F200" s="6">
        <v>-0.1</v>
      </c>
      <c r="G200" s="6">
        <v>0.0</v>
      </c>
      <c r="H200" s="6">
        <v>-0.01</v>
      </c>
      <c r="I200" s="6">
        <v>33.18</v>
      </c>
      <c r="J200" s="7">
        <f t="shared" ref="J200:O200" si="402">abs(C200-C199)/200</f>
        <v>0</v>
      </c>
      <c r="K200" s="7">
        <f t="shared" si="402"/>
        <v>0</v>
      </c>
      <c r="L200" s="7">
        <f t="shared" si="402"/>
        <v>0.00005</v>
      </c>
      <c r="M200" s="7">
        <f t="shared" si="402"/>
        <v>0</v>
      </c>
      <c r="N200" s="7">
        <f t="shared" si="402"/>
        <v>0</v>
      </c>
      <c r="O200" s="7">
        <f t="shared" si="402"/>
        <v>0</v>
      </c>
      <c r="P200" s="7">
        <f t="shared" si="9"/>
        <v>0</v>
      </c>
      <c r="Q200" s="7">
        <f t="shared" si="10"/>
        <v>0.009932677297</v>
      </c>
      <c r="R200" s="7">
        <f t="shared" si="3"/>
        <v>0.9623882108</v>
      </c>
      <c r="S200" s="7">
        <f t="shared" si="4"/>
        <v>0.1004987562</v>
      </c>
      <c r="T200" s="7">
        <f t="shared" si="5"/>
        <v>0</v>
      </c>
      <c r="U200" s="7">
        <f t="shared" si="6"/>
        <v>0</v>
      </c>
      <c r="V200" s="7">
        <f t="shared" ref="V200:W200" si="403">IF(AVERAGE(T140:T199) &gt; 0.25, 1, 0)</f>
        <v>0</v>
      </c>
      <c r="W200" s="7">
        <f t="shared" si="403"/>
        <v>0</v>
      </c>
      <c r="X200" s="8">
        <v>0.0</v>
      </c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ht="22.5" customHeight="1">
      <c r="A201" s="6">
        <v>800.0</v>
      </c>
      <c r="B201" s="6">
        <v>42671.0</v>
      </c>
      <c r="C201" s="6">
        <v>1.24</v>
      </c>
      <c r="D201" s="6">
        <v>-0.2</v>
      </c>
      <c r="E201" s="6">
        <v>10.69</v>
      </c>
      <c r="F201" s="6">
        <v>-0.1</v>
      </c>
      <c r="G201" s="6">
        <v>0.0</v>
      </c>
      <c r="H201" s="6">
        <v>-0.01</v>
      </c>
      <c r="I201" s="6">
        <v>33.19</v>
      </c>
      <c r="J201" s="7">
        <f t="shared" ref="J201:O201" si="404">abs(C201-C200)/200</f>
        <v>0.00005</v>
      </c>
      <c r="K201" s="7">
        <f t="shared" si="404"/>
        <v>0</v>
      </c>
      <c r="L201" s="7">
        <f t="shared" si="404"/>
        <v>0</v>
      </c>
      <c r="M201" s="7">
        <f t="shared" si="404"/>
        <v>0</v>
      </c>
      <c r="N201" s="7">
        <f t="shared" si="404"/>
        <v>0</v>
      </c>
      <c r="O201" s="7">
        <f t="shared" si="404"/>
        <v>0</v>
      </c>
      <c r="P201" s="7">
        <f t="shared" si="9"/>
        <v>0</v>
      </c>
      <c r="Q201" s="7">
        <f t="shared" si="10"/>
        <v>0.001147453654</v>
      </c>
      <c r="R201" s="7">
        <f t="shared" si="3"/>
        <v>0.9635356645</v>
      </c>
      <c r="S201" s="7">
        <f t="shared" si="4"/>
        <v>0.1004987562</v>
      </c>
      <c r="T201" s="7">
        <f t="shared" si="5"/>
        <v>0</v>
      </c>
      <c r="U201" s="7">
        <f t="shared" si="6"/>
        <v>0</v>
      </c>
      <c r="V201" s="7">
        <f t="shared" ref="V201:W201" si="405">IF(AVERAGE(T141:T200) &gt; 0.25, 1, 0)</f>
        <v>0</v>
      </c>
      <c r="W201" s="7">
        <f t="shared" si="405"/>
        <v>0</v>
      </c>
      <c r="X201" s="8">
        <v>0.0</v>
      </c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ht="22.5" customHeight="1">
      <c r="A202" s="6">
        <v>801.0</v>
      </c>
      <c r="B202" s="6">
        <v>42875.0</v>
      </c>
      <c r="C202" s="6">
        <v>1.23</v>
      </c>
      <c r="D202" s="6">
        <v>-0.21</v>
      </c>
      <c r="E202" s="6">
        <v>10.68</v>
      </c>
      <c r="F202" s="6">
        <v>-0.1</v>
      </c>
      <c r="G202" s="6">
        <v>0.0</v>
      </c>
      <c r="H202" s="6">
        <v>-0.01</v>
      </c>
      <c r="I202" s="6">
        <v>33.19</v>
      </c>
      <c r="J202" s="7">
        <f t="shared" ref="J202:O202" si="406">abs(C202-C201)/200</f>
        <v>0.00005</v>
      </c>
      <c r="K202" s="7">
        <f t="shared" si="406"/>
        <v>0.00005</v>
      </c>
      <c r="L202" s="7">
        <f t="shared" si="406"/>
        <v>0.00005</v>
      </c>
      <c r="M202" s="7">
        <f t="shared" si="406"/>
        <v>0</v>
      </c>
      <c r="N202" s="7">
        <f t="shared" si="406"/>
        <v>0</v>
      </c>
      <c r="O202" s="7">
        <f t="shared" si="406"/>
        <v>0</v>
      </c>
      <c r="P202" s="7">
        <f t="shared" si="9"/>
        <v>0</v>
      </c>
      <c r="Q202" s="7">
        <f t="shared" si="10"/>
        <v>0.01088947852</v>
      </c>
      <c r="R202" s="7">
        <f t="shared" si="3"/>
        <v>0.9526461859</v>
      </c>
      <c r="S202" s="7">
        <f t="shared" si="4"/>
        <v>0.1004987562</v>
      </c>
      <c r="T202" s="7">
        <f t="shared" si="5"/>
        <v>0</v>
      </c>
      <c r="U202" s="7">
        <f t="shared" si="6"/>
        <v>0</v>
      </c>
      <c r="V202" s="7">
        <f t="shared" ref="V202:W202" si="407">IF(AVERAGE(T142:T201) &gt; 0.25, 1, 0)</f>
        <v>0</v>
      </c>
      <c r="W202" s="7">
        <f t="shared" si="407"/>
        <v>0</v>
      </c>
      <c r="X202" s="8">
        <v>0.0</v>
      </c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ht="22.5" customHeight="1">
      <c r="A203" s="6">
        <v>802.0</v>
      </c>
      <c r="B203" s="6">
        <v>43079.0</v>
      </c>
      <c r="C203" s="6">
        <v>1.23</v>
      </c>
      <c r="D203" s="6">
        <v>-0.2</v>
      </c>
      <c r="E203" s="6">
        <v>10.68</v>
      </c>
      <c r="F203" s="6">
        <v>-0.1</v>
      </c>
      <c r="G203" s="6">
        <v>0.0</v>
      </c>
      <c r="H203" s="6">
        <v>-0.01</v>
      </c>
      <c r="I203" s="6">
        <v>33.19</v>
      </c>
      <c r="J203" s="7">
        <f t="shared" ref="J203:O203" si="408">abs(C203-C202)/200</f>
        <v>0</v>
      </c>
      <c r="K203" s="7">
        <f t="shared" si="408"/>
        <v>0.00005</v>
      </c>
      <c r="L203" s="7">
        <f t="shared" si="408"/>
        <v>0</v>
      </c>
      <c r="M203" s="7">
        <f t="shared" si="408"/>
        <v>0</v>
      </c>
      <c r="N203" s="7">
        <f t="shared" si="408"/>
        <v>0</v>
      </c>
      <c r="O203" s="7">
        <f t="shared" si="408"/>
        <v>0</v>
      </c>
      <c r="P203" s="7">
        <f t="shared" si="9"/>
        <v>0</v>
      </c>
      <c r="Q203" s="7">
        <f t="shared" si="10"/>
        <v>0.0001906524346</v>
      </c>
      <c r="R203" s="7">
        <f t="shared" si="3"/>
        <v>0.9524555335</v>
      </c>
      <c r="S203" s="7">
        <f t="shared" si="4"/>
        <v>0.1004987562</v>
      </c>
      <c r="T203" s="7">
        <f t="shared" si="5"/>
        <v>0</v>
      </c>
      <c r="U203" s="7">
        <f t="shared" si="6"/>
        <v>0</v>
      </c>
      <c r="V203" s="7">
        <f t="shared" ref="V203:W203" si="409">IF(AVERAGE(T143:T202) &gt; 0.25, 1, 0)</f>
        <v>0</v>
      </c>
      <c r="W203" s="7">
        <f t="shared" si="409"/>
        <v>0</v>
      </c>
      <c r="X203" s="8">
        <v>0.0</v>
      </c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ht="22.5" customHeight="1">
      <c r="A204" s="6">
        <v>803.0</v>
      </c>
      <c r="B204" s="6">
        <v>43283.0</v>
      </c>
      <c r="C204" s="6">
        <v>1.23</v>
      </c>
      <c r="D204" s="6">
        <v>-0.21</v>
      </c>
      <c r="E204" s="6">
        <v>10.68</v>
      </c>
      <c r="F204" s="6">
        <v>-0.1</v>
      </c>
      <c r="G204" s="6">
        <v>0.0</v>
      </c>
      <c r="H204" s="6">
        <v>-0.01</v>
      </c>
      <c r="I204" s="6">
        <v>33.17</v>
      </c>
      <c r="J204" s="7">
        <f t="shared" ref="J204:O204" si="410">abs(C204-C203)/200</f>
        <v>0</v>
      </c>
      <c r="K204" s="7">
        <f t="shared" si="410"/>
        <v>0.00005</v>
      </c>
      <c r="L204" s="7">
        <f t="shared" si="410"/>
        <v>0</v>
      </c>
      <c r="M204" s="7">
        <f t="shared" si="410"/>
        <v>0</v>
      </c>
      <c r="N204" s="7">
        <f t="shared" si="410"/>
        <v>0</v>
      </c>
      <c r="O204" s="7">
        <f t="shared" si="410"/>
        <v>0</v>
      </c>
      <c r="P204" s="7">
        <f t="shared" si="9"/>
        <v>0</v>
      </c>
      <c r="Q204" s="7">
        <f t="shared" si="10"/>
        <v>0.0001906524346</v>
      </c>
      <c r="R204" s="7">
        <f t="shared" si="3"/>
        <v>0.9526461859</v>
      </c>
      <c r="S204" s="7">
        <f t="shared" si="4"/>
        <v>0.1004987562</v>
      </c>
      <c r="T204" s="7">
        <f t="shared" si="5"/>
        <v>0</v>
      </c>
      <c r="U204" s="7">
        <f t="shared" si="6"/>
        <v>0</v>
      </c>
      <c r="V204" s="7">
        <f t="shared" ref="V204:W204" si="411">IF(AVERAGE(T144:T203) &gt; 0.25, 1, 0)</f>
        <v>0</v>
      </c>
      <c r="W204" s="7">
        <f t="shared" si="411"/>
        <v>0</v>
      </c>
      <c r="X204" s="8">
        <v>0.0</v>
      </c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ht="22.5" customHeight="1">
      <c r="A205" s="6">
        <v>804.0</v>
      </c>
      <c r="B205" s="6">
        <v>43487.0</v>
      </c>
      <c r="C205" s="6">
        <v>1.23</v>
      </c>
      <c r="D205" s="6">
        <v>-0.2</v>
      </c>
      <c r="E205" s="6">
        <v>10.67</v>
      </c>
      <c r="F205" s="6">
        <v>-0.1</v>
      </c>
      <c r="G205" s="6">
        <v>0.0</v>
      </c>
      <c r="H205" s="6">
        <v>-0.01</v>
      </c>
      <c r="I205" s="6">
        <v>33.19</v>
      </c>
      <c r="J205" s="7">
        <f t="shared" ref="J205:O205" si="412">abs(C205-C204)/200</f>
        <v>0</v>
      </c>
      <c r="K205" s="7">
        <f t="shared" si="412"/>
        <v>0.00005</v>
      </c>
      <c r="L205" s="7">
        <f t="shared" si="412"/>
        <v>0.00005</v>
      </c>
      <c r="M205" s="7">
        <f t="shared" si="412"/>
        <v>0</v>
      </c>
      <c r="N205" s="7">
        <f t="shared" si="412"/>
        <v>0</v>
      </c>
      <c r="O205" s="7">
        <f t="shared" si="412"/>
        <v>0</v>
      </c>
      <c r="P205" s="7">
        <f t="shared" si="9"/>
        <v>0</v>
      </c>
      <c r="Q205" s="7">
        <f t="shared" si="10"/>
        <v>0.01012320481</v>
      </c>
      <c r="R205" s="7">
        <f t="shared" si="3"/>
        <v>0.9425229811</v>
      </c>
      <c r="S205" s="7">
        <f t="shared" si="4"/>
        <v>0.1004987562</v>
      </c>
      <c r="T205" s="7">
        <f t="shared" si="5"/>
        <v>0</v>
      </c>
      <c r="U205" s="7">
        <f t="shared" si="6"/>
        <v>0</v>
      </c>
      <c r="V205" s="7">
        <f t="shared" ref="V205:W205" si="413">IF(AVERAGE(T145:T204) &gt; 0.25, 1, 0)</f>
        <v>0</v>
      </c>
      <c r="W205" s="7">
        <f t="shared" si="413"/>
        <v>0</v>
      </c>
      <c r="X205" s="8">
        <v>0.0</v>
      </c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ht="22.5" customHeight="1">
      <c r="A206" s="6">
        <v>805.0</v>
      </c>
      <c r="B206" s="6">
        <v>43691.0</v>
      </c>
      <c r="C206" s="6">
        <v>1.24</v>
      </c>
      <c r="D206" s="6">
        <v>-0.21</v>
      </c>
      <c r="E206" s="6">
        <v>10.69</v>
      </c>
      <c r="F206" s="6">
        <v>-0.1</v>
      </c>
      <c r="G206" s="6">
        <v>0.0</v>
      </c>
      <c r="H206" s="6">
        <v>-0.01</v>
      </c>
      <c r="I206" s="6">
        <v>33.19</v>
      </c>
      <c r="J206" s="7">
        <f t="shared" ref="J206:O206" si="414">abs(C206-C205)/200</f>
        <v>0.00005</v>
      </c>
      <c r="K206" s="7">
        <f t="shared" si="414"/>
        <v>0.00005</v>
      </c>
      <c r="L206" s="7">
        <f t="shared" si="414"/>
        <v>0.0001</v>
      </c>
      <c r="M206" s="7">
        <f t="shared" si="414"/>
        <v>0</v>
      </c>
      <c r="N206" s="7">
        <f t="shared" si="414"/>
        <v>0</v>
      </c>
      <c r="O206" s="7">
        <f t="shared" si="414"/>
        <v>0</v>
      </c>
      <c r="P206" s="7">
        <f t="shared" si="9"/>
        <v>0</v>
      </c>
      <c r="Q206" s="7">
        <f t="shared" si="10"/>
        <v>0.02120313951</v>
      </c>
      <c r="R206" s="7">
        <f t="shared" si="3"/>
        <v>0.9637261206</v>
      </c>
      <c r="S206" s="7">
        <f t="shared" si="4"/>
        <v>0.1004987562</v>
      </c>
      <c r="T206" s="7">
        <f t="shared" si="5"/>
        <v>0</v>
      </c>
      <c r="U206" s="7">
        <f t="shared" si="6"/>
        <v>0</v>
      </c>
      <c r="V206" s="7">
        <f t="shared" ref="V206:W206" si="415">IF(AVERAGE(T146:T205) &gt; 0.25, 1, 0)</f>
        <v>0</v>
      </c>
      <c r="W206" s="7">
        <f t="shared" si="415"/>
        <v>0</v>
      </c>
      <c r="X206" s="8">
        <v>0.0</v>
      </c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ht="22.5" customHeight="1">
      <c r="A207" s="6">
        <v>806.0</v>
      </c>
      <c r="B207" s="6">
        <v>43895.0</v>
      </c>
      <c r="C207" s="6">
        <v>1.23</v>
      </c>
      <c r="D207" s="6">
        <v>-0.19</v>
      </c>
      <c r="E207" s="6">
        <v>10.68</v>
      </c>
      <c r="F207" s="6">
        <v>-0.1</v>
      </c>
      <c r="G207" s="6">
        <v>0.0</v>
      </c>
      <c r="H207" s="6">
        <v>-0.01</v>
      </c>
      <c r="I207" s="6">
        <v>33.19</v>
      </c>
      <c r="J207" s="7">
        <f t="shared" ref="J207:O207" si="416">abs(C207-C206)/200</f>
        <v>0.00005</v>
      </c>
      <c r="K207" s="7">
        <f t="shared" si="416"/>
        <v>0.0001</v>
      </c>
      <c r="L207" s="7">
        <f t="shared" si="416"/>
        <v>0.00005</v>
      </c>
      <c r="M207" s="7">
        <f t="shared" si="416"/>
        <v>0</v>
      </c>
      <c r="N207" s="7">
        <f t="shared" si="416"/>
        <v>0</v>
      </c>
      <c r="O207" s="7">
        <f t="shared" si="416"/>
        <v>0</v>
      </c>
      <c r="P207" s="7">
        <f t="shared" si="9"/>
        <v>0</v>
      </c>
      <c r="Q207" s="7">
        <f t="shared" si="10"/>
        <v>0.01145194258</v>
      </c>
      <c r="R207" s="7">
        <f t="shared" si="3"/>
        <v>0.9522741781</v>
      </c>
      <c r="S207" s="7">
        <f t="shared" si="4"/>
        <v>0.1004987562</v>
      </c>
      <c r="T207" s="7">
        <f t="shared" si="5"/>
        <v>0</v>
      </c>
      <c r="U207" s="7">
        <f t="shared" si="6"/>
        <v>0</v>
      </c>
      <c r="V207" s="7">
        <f t="shared" ref="V207:W207" si="417">IF(AVERAGE(T147:T206) &gt; 0.25, 1, 0)</f>
        <v>0</v>
      </c>
      <c r="W207" s="7">
        <f t="shared" si="417"/>
        <v>0</v>
      </c>
      <c r="X207" s="8">
        <v>0.0</v>
      </c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ht="22.5" customHeight="1">
      <c r="A208" s="6">
        <v>807.0</v>
      </c>
      <c r="B208" s="6">
        <v>44099.0</v>
      </c>
      <c r="C208" s="6">
        <v>1.24</v>
      </c>
      <c r="D208" s="6">
        <v>-0.2</v>
      </c>
      <c r="E208" s="6">
        <v>10.7</v>
      </c>
      <c r="F208" s="6">
        <v>-0.1</v>
      </c>
      <c r="G208" s="6">
        <v>0.0</v>
      </c>
      <c r="H208" s="6">
        <v>-0.01</v>
      </c>
      <c r="I208" s="6">
        <v>33.19</v>
      </c>
      <c r="J208" s="7">
        <f t="shared" ref="J208:O208" si="418">abs(C208-C207)/200</f>
        <v>0.00005</v>
      </c>
      <c r="K208" s="7">
        <f t="shared" si="418"/>
        <v>0.00005</v>
      </c>
      <c r="L208" s="7">
        <f t="shared" si="418"/>
        <v>0.0001</v>
      </c>
      <c r="M208" s="7">
        <f t="shared" si="418"/>
        <v>0</v>
      </c>
      <c r="N208" s="7">
        <f t="shared" si="418"/>
        <v>0</v>
      </c>
      <c r="O208" s="7">
        <f t="shared" si="418"/>
        <v>0</v>
      </c>
      <c r="P208" s="7">
        <f t="shared" si="9"/>
        <v>0</v>
      </c>
      <c r="Q208" s="7">
        <f t="shared" si="10"/>
        <v>0.02119323035</v>
      </c>
      <c r="R208" s="7">
        <f t="shared" si="3"/>
        <v>0.9734674084</v>
      </c>
      <c r="S208" s="7">
        <f t="shared" si="4"/>
        <v>0.1004987562</v>
      </c>
      <c r="T208" s="7">
        <f t="shared" si="5"/>
        <v>0</v>
      </c>
      <c r="U208" s="7">
        <f t="shared" si="6"/>
        <v>0</v>
      </c>
      <c r="V208" s="7">
        <f t="shared" ref="V208:W208" si="419">IF(AVERAGE(T148:T207) &gt; 0.25, 1, 0)</f>
        <v>0</v>
      </c>
      <c r="W208" s="7">
        <f t="shared" si="419"/>
        <v>0</v>
      </c>
      <c r="X208" s="8">
        <v>0.0</v>
      </c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ht="22.5" customHeight="1">
      <c r="A209" s="6">
        <v>808.0</v>
      </c>
      <c r="B209" s="6">
        <v>44303.0</v>
      </c>
      <c r="C209" s="6">
        <v>1.24</v>
      </c>
      <c r="D209" s="6">
        <v>-0.2</v>
      </c>
      <c r="E209" s="6">
        <v>10.68</v>
      </c>
      <c r="F209" s="6">
        <v>-0.1</v>
      </c>
      <c r="G209" s="6">
        <v>0.0</v>
      </c>
      <c r="H209" s="6">
        <v>-0.01</v>
      </c>
      <c r="I209" s="6">
        <v>33.19</v>
      </c>
      <c r="J209" s="7">
        <f t="shared" ref="J209:O209" si="420">abs(C209-C208)/200</f>
        <v>0</v>
      </c>
      <c r="K209" s="7">
        <f t="shared" si="420"/>
        <v>0</v>
      </c>
      <c r="L209" s="7">
        <f t="shared" si="420"/>
        <v>0.0001</v>
      </c>
      <c r="M209" s="7">
        <f t="shared" si="420"/>
        <v>0</v>
      </c>
      <c r="N209" s="7">
        <f t="shared" si="420"/>
        <v>0</v>
      </c>
      <c r="O209" s="7">
        <f t="shared" si="420"/>
        <v>0</v>
      </c>
      <c r="P209" s="7">
        <f t="shared" si="9"/>
        <v>0</v>
      </c>
      <c r="Q209" s="7">
        <f t="shared" si="10"/>
        <v>0.01986336139</v>
      </c>
      <c r="R209" s="7">
        <f t="shared" si="3"/>
        <v>0.953604047</v>
      </c>
      <c r="S209" s="7">
        <f t="shared" si="4"/>
        <v>0.1004987562</v>
      </c>
      <c r="T209" s="7">
        <f t="shared" si="5"/>
        <v>0</v>
      </c>
      <c r="U209" s="7">
        <f t="shared" si="6"/>
        <v>0</v>
      </c>
      <c r="V209" s="7">
        <f t="shared" ref="V209:W209" si="421">IF(AVERAGE(T149:T208) &gt; 0.25, 1, 0)</f>
        <v>0</v>
      </c>
      <c r="W209" s="7">
        <f t="shared" si="421"/>
        <v>0</v>
      </c>
      <c r="X209" s="8">
        <v>0.0</v>
      </c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ht="22.5" customHeight="1">
      <c r="A210" s="6">
        <v>809.0</v>
      </c>
      <c r="B210" s="6">
        <v>44507.0</v>
      </c>
      <c r="C210" s="6">
        <v>1.23</v>
      </c>
      <c r="D210" s="6">
        <v>-0.21</v>
      </c>
      <c r="E210" s="6">
        <v>10.68</v>
      </c>
      <c r="F210" s="6">
        <v>-0.1</v>
      </c>
      <c r="G210" s="6">
        <v>0.0</v>
      </c>
      <c r="H210" s="6">
        <v>-0.01</v>
      </c>
      <c r="I210" s="6">
        <v>33.19</v>
      </c>
      <c r="J210" s="7">
        <f t="shared" ref="J210:O210" si="422">abs(C210-C209)/200</f>
        <v>0.00005</v>
      </c>
      <c r="K210" s="7">
        <f t="shared" si="422"/>
        <v>0.00005</v>
      </c>
      <c r="L210" s="7">
        <f t="shared" si="422"/>
        <v>0</v>
      </c>
      <c r="M210" s="7">
        <f t="shared" si="422"/>
        <v>0</v>
      </c>
      <c r="N210" s="7">
        <f t="shared" si="422"/>
        <v>0</v>
      </c>
      <c r="O210" s="7">
        <f t="shared" si="422"/>
        <v>0</v>
      </c>
      <c r="P210" s="7">
        <f t="shared" si="9"/>
        <v>0</v>
      </c>
      <c r="Q210" s="7">
        <f t="shared" si="10"/>
        <v>0.0009578610765</v>
      </c>
      <c r="R210" s="7">
        <f t="shared" si="3"/>
        <v>0.9526461859</v>
      </c>
      <c r="S210" s="7">
        <f t="shared" si="4"/>
        <v>0.1004987562</v>
      </c>
      <c r="T210" s="7">
        <f t="shared" si="5"/>
        <v>0</v>
      </c>
      <c r="U210" s="7">
        <f t="shared" si="6"/>
        <v>0</v>
      </c>
      <c r="V210" s="7">
        <f t="shared" ref="V210:W210" si="423">IF(AVERAGE(T150:T209) &gt; 0.25, 1, 0)</f>
        <v>0</v>
      </c>
      <c r="W210" s="7">
        <f t="shared" si="423"/>
        <v>0</v>
      </c>
      <c r="X210" s="8">
        <v>0.0</v>
      </c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ht="22.5" customHeight="1">
      <c r="A211" s="6">
        <v>810.0</v>
      </c>
      <c r="B211" s="6">
        <v>44711.0</v>
      </c>
      <c r="C211" s="6">
        <v>1.23</v>
      </c>
      <c r="D211" s="6">
        <v>-0.2</v>
      </c>
      <c r="E211" s="6">
        <v>10.69</v>
      </c>
      <c r="F211" s="6">
        <v>-0.1</v>
      </c>
      <c r="G211" s="6">
        <v>0.0</v>
      </c>
      <c r="H211" s="6">
        <v>-0.01</v>
      </c>
      <c r="I211" s="6">
        <v>33.18</v>
      </c>
      <c r="J211" s="7">
        <f t="shared" ref="J211:O211" si="424">abs(C211-C210)/200</f>
        <v>0</v>
      </c>
      <c r="K211" s="7">
        <f t="shared" si="424"/>
        <v>0.00005</v>
      </c>
      <c r="L211" s="7">
        <f t="shared" si="424"/>
        <v>0.00005</v>
      </c>
      <c r="M211" s="7">
        <f t="shared" si="424"/>
        <v>0</v>
      </c>
      <c r="N211" s="7">
        <f t="shared" si="424"/>
        <v>0</v>
      </c>
      <c r="O211" s="7">
        <f t="shared" si="424"/>
        <v>0</v>
      </c>
      <c r="P211" s="7">
        <f t="shared" si="9"/>
        <v>0</v>
      </c>
      <c r="Q211" s="7">
        <f t="shared" si="10"/>
        <v>0.009742024862</v>
      </c>
      <c r="R211" s="7">
        <f t="shared" si="3"/>
        <v>0.9623882108</v>
      </c>
      <c r="S211" s="7">
        <f t="shared" si="4"/>
        <v>0.1004987562</v>
      </c>
      <c r="T211" s="7">
        <f t="shared" si="5"/>
        <v>0</v>
      </c>
      <c r="U211" s="7">
        <f t="shared" si="6"/>
        <v>0</v>
      </c>
      <c r="V211" s="7">
        <f t="shared" ref="V211:W211" si="425">IF(AVERAGE(T151:T210) &gt; 0.25, 1, 0)</f>
        <v>0</v>
      </c>
      <c r="W211" s="7">
        <f t="shared" si="425"/>
        <v>0</v>
      </c>
      <c r="X211" s="8">
        <v>0.0</v>
      </c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ht="22.5" customHeight="1">
      <c r="A212" s="6">
        <v>811.0</v>
      </c>
      <c r="B212" s="6">
        <v>44915.0</v>
      </c>
      <c r="C212" s="6">
        <v>1.24</v>
      </c>
      <c r="D212" s="6">
        <v>-0.19</v>
      </c>
      <c r="E212" s="6">
        <v>10.68</v>
      </c>
      <c r="F212" s="6">
        <v>-0.1</v>
      </c>
      <c r="G212" s="6">
        <v>0.0</v>
      </c>
      <c r="H212" s="6">
        <v>-0.01</v>
      </c>
      <c r="I212" s="6">
        <v>33.19</v>
      </c>
      <c r="J212" s="7">
        <f t="shared" ref="J212:O212" si="426">abs(C212-C211)/200</f>
        <v>0.00005</v>
      </c>
      <c r="K212" s="7">
        <f t="shared" si="426"/>
        <v>0.00005</v>
      </c>
      <c r="L212" s="7">
        <f t="shared" si="426"/>
        <v>0.00005</v>
      </c>
      <c r="M212" s="7">
        <f t="shared" si="426"/>
        <v>0</v>
      </c>
      <c r="N212" s="7">
        <f t="shared" si="426"/>
        <v>0</v>
      </c>
      <c r="O212" s="7">
        <f t="shared" si="426"/>
        <v>0</v>
      </c>
      <c r="P212" s="7">
        <f t="shared" si="9"/>
        <v>0</v>
      </c>
      <c r="Q212" s="7">
        <f t="shared" si="10"/>
        <v>0.008965499869</v>
      </c>
      <c r="R212" s="7">
        <f t="shared" si="3"/>
        <v>0.9534227109</v>
      </c>
      <c r="S212" s="7">
        <f t="shared" si="4"/>
        <v>0.1004987562</v>
      </c>
      <c r="T212" s="7">
        <f t="shared" si="5"/>
        <v>0</v>
      </c>
      <c r="U212" s="7">
        <f t="shared" si="6"/>
        <v>0</v>
      </c>
      <c r="V212" s="7">
        <f t="shared" ref="V212:W212" si="427">IF(AVERAGE(T152:T211) &gt; 0.25, 1, 0)</f>
        <v>0</v>
      </c>
      <c r="W212" s="7">
        <f t="shared" si="427"/>
        <v>0</v>
      </c>
      <c r="X212" s="8">
        <v>0.0</v>
      </c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ht="22.5" customHeight="1">
      <c r="A213" s="6">
        <v>812.0</v>
      </c>
      <c r="B213" s="6">
        <v>45119.0</v>
      </c>
      <c r="C213" s="6">
        <v>1.23</v>
      </c>
      <c r="D213" s="6">
        <v>-0.2</v>
      </c>
      <c r="E213" s="6">
        <v>10.68</v>
      </c>
      <c r="F213" s="6">
        <v>-0.1</v>
      </c>
      <c r="G213" s="6">
        <v>0.0</v>
      </c>
      <c r="H213" s="6">
        <v>-0.01</v>
      </c>
      <c r="I213" s="6">
        <v>33.19</v>
      </c>
      <c r="J213" s="7">
        <f t="shared" ref="J213:O213" si="428">abs(C213-C212)/200</f>
        <v>0.00005</v>
      </c>
      <c r="K213" s="7">
        <f t="shared" si="428"/>
        <v>0.00005</v>
      </c>
      <c r="L213" s="7">
        <f t="shared" si="428"/>
        <v>0</v>
      </c>
      <c r="M213" s="7">
        <f t="shared" si="428"/>
        <v>0</v>
      </c>
      <c r="N213" s="7">
        <f t="shared" si="428"/>
        <v>0</v>
      </c>
      <c r="O213" s="7">
        <f t="shared" si="428"/>
        <v>0</v>
      </c>
      <c r="P213" s="7">
        <f t="shared" si="9"/>
        <v>0</v>
      </c>
      <c r="Q213" s="7">
        <f t="shared" si="10"/>
        <v>0.0009671774277</v>
      </c>
      <c r="R213" s="7">
        <f t="shared" si="3"/>
        <v>0.9524555335</v>
      </c>
      <c r="S213" s="7">
        <f t="shared" si="4"/>
        <v>0.1004987562</v>
      </c>
      <c r="T213" s="7">
        <f t="shared" si="5"/>
        <v>0</v>
      </c>
      <c r="U213" s="7">
        <f t="shared" si="6"/>
        <v>0</v>
      </c>
      <c r="V213" s="7">
        <f t="shared" ref="V213:W213" si="429">IF(AVERAGE(T153:T212) &gt; 0.25, 1, 0)</f>
        <v>0</v>
      </c>
      <c r="W213" s="7">
        <f t="shared" si="429"/>
        <v>0</v>
      </c>
      <c r="X213" s="8">
        <v>0.0</v>
      </c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ht="22.5" customHeight="1">
      <c r="A214" s="6">
        <v>813.0</v>
      </c>
      <c r="B214" s="6">
        <v>45323.0</v>
      </c>
      <c r="C214" s="6">
        <v>1.23</v>
      </c>
      <c r="D214" s="6">
        <v>-0.2</v>
      </c>
      <c r="E214" s="6">
        <v>10.68</v>
      </c>
      <c r="F214" s="6">
        <v>-0.1</v>
      </c>
      <c r="G214" s="6">
        <v>0.0</v>
      </c>
      <c r="H214" s="6">
        <v>-0.01</v>
      </c>
      <c r="I214" s="6">
        <v>33.19</v>
      </c>
      <c r="J214" s="7">
        <f t="shared" ref="J214:O214" si="430">abs(C214-C213)/200</f>
        <v>0</v>
      </c>
      <c r="K214" s="7">
        <f t="shared" si="430"/>
        <v>0</v>
      </c>
      <c r="L214" s="7">
        <f t="shared" si="430"/>
        <v>0</v>
      </c>
      <c r="M214" s="7">
        <f t="shared" si="430"/>
        <v>0</v>
      </c>
      <c r="N214" s="7">
        <f t="shared" si="430"/>
        <v>0</v>
      </c>
      <c r="O214" s="7">
        <f t="shared" si="430"/>
        <v>0</v>
      </c>
      <c r="P214" s="7">
        <f t="shared" si="9"/>
        <v>0</v>
      </c>
      <c r="Q214" s="7">
        <f t="shared" si="10"/>
        <v>0</v>
      </c>
      <c r="R214" s="7">
        <f t="shared" si="3"/>
        <v>0.9524555335</v>
      </c>
      <c r="S214" s="7">
        <f t="shared" si="4"/>
        <v>0.1004987562</v>
      </c>
      <c r="T214" s="7">
        <f t="shared" si="5"/>
        <v>0</v>
      </c>
      <c r="U214" s="7">
        <f t="shared" si="6"/>
        <v>0</v>
      </c>
      <c r="V214" s="7">
        <f t="shared" ref="V214:W214" si="431">IF(AVERAGE(T154:T213) &gt; 0.25, 1, 0)</f>
        <v>0</v>
      </c>
      <c r="W214" s="7">
        <f t="shared" si="431"/>
        <v>0</v>
      </c>
      <c r="X214" s="8">
        <v>0.0</v>
      </c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ht="22.5" customHeight="1">
      <c r="A215" s="6">
        <v>814.0</v>
      </c>
      <c r="B215" s="6">
        <v>45527.0</v>
      </c>
      <c r="C215" s="6">
        <v>1.24</v>
      </c>
      <c r="D215" s="6">
        <v>-0.21</v>
      </c>
      <c r="E215" s="6">
        <v>10.69</v>
      </c>
      <c r="F215" s="6">
        <v>-0.1</v>
      </c>
      <c r="G215" s="6">
        <v>0.0</v>
      </c>
      <c r="H215" s="6">
        <v>-0.01</v>
      </c>
      <c r="I215" s="6">
        <v>33.17</v>
      </c>
      <c r="J215" s="7">
        <f t="shared" ref="J215:O215" si="432">abs(C215-C214)/200</f>
        <v>0.00005</v>
      </c>
      <c r="K215" s="7">
        <f t="shared" si="432"/>
        <v>0.00005</v>
      </c>
      <c r="L215" s="7">
        <f t="shared" si="432"/>
        <v>0.00005</v>
      </c>
      <c r="M215" s="7">
        <f t="shared" si="432"/>
        <v>0</v>
      </c>
      <c r="N215" s="7">
        <f t="shared" si="432"/>
        <v>0</v>
      </c>
      <c r="O215" s="7">
        <f t="shared" si="432"/>
        <v>0</v>
      </c>
      <c r="P215" s="7">
        <f t="shared" si="9"/>
        <v>0</v>
      </c>
      <c r="Q215" s="7">
        <f t="shared" si="10"/>
        <v>0.01127058713</v>
      </c>
      <c r="R215" s="7">
        <f t="shared" si="3"/>
        <v>0.9637261206</v>
      </c>
      <c r="S215" s="7">
        <f t="shared" si="4"/>
        <v>0.1004987562</v>
      </c>
      <c r="T215" s="7">
        <f t="shared" si="5"/>
        <v>0</v>
      </c>
      <c r="U215" s="7">
        <f t="shared" si="6"/>
        <v>0</v>
      </c>
      <c r="V215" s="7">
        <f t="shared" ref="V215:W215" si="433">IF(AVERAGE(T155:T214) &gt; 0.25, 1, 0)</f>
        <v>0</v>
      </c>
      <c r="W215" s="7">
        <f t="shared" si="433"/>
        <v>0</v>
      </c>
      <c r="X215" s="8">
        <v>0.0</v>
      </c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ht="22.5" customHeight="1">
      <c r="A216" s="6">
        <v>815.0</v>
      </c>
      <c r="B216" s="6">
        <v>45731.0</v>
      </c>
      <c r="C216" s="6">
        <v>1.24</v>
      </c>
      <c r="D216" s="6">
        <v>-0.2</v>
      </c>
      <c r="E216" s="6">
        <v>10.69</v>
      </c>
      <c r="F216" s="6">
        <v>-0.1</v>
      </c>
      <c r="G216" s="6">
        <v>0.0</v>
      </c>
      <c r="H216" s="6">
        <v>-0.01</v>
      </c>
      <c r="I216" s="6">
        <v>33.18</v>
      </c>
      <c r="J216" s="7">
        <f t="shared" ref="J216:O216" si="434">abs(C216-C215)/200</f>
        <v>0</v>
      </c>
      <c r="K216" s="7">
        <f t="shared" si="434"/>
        <v>0.00005</v>
      </c>
      <c r="L216" s="7">
        <f t="shared" si="434"/>
        <v>0</v>
      </c>
      <c r="M216" s="7">
        <f t="shared" si="434"/>
        <v>0</v>
      </c>
      <c r="N216" s="7">
        <f t="shared" si="434"/>
        <v>0</v>
      </c>
      <c r="O216" s="7">
        <f t="shared" si="434"/>
        <v>0</v>
      </c>
      <c r="P216" s="7">
        <f t="shared" si="9"/>
        <v>0</v>
      </c>
      <c r="Q216" s="7">
        <f t="shared" si="10"/>
        <v>0.0001904561779</v>
      </c>
      <c r="R216" s="7">
        <f t="shared" si="3"/>
        <v>0.9635356645</v>
      </c>
      <c r="S216" s="7">
        <f t="shared" si="4"/>
        <v>0.1004987562</v>
      </c>
      <c r="T216" s="7">
        <f t="shared" si="5"/>
        <v>0</v>
      </c>
      <c r="U216" s="7">
        <f t="shared" si="6"/>
        <v>0</v>
      </c>
      <c r="V216" s="7">
        <f t="shared" ref="V216:W216" si="435">IF(AVERAGE(T156:T215) &gt; 0.25, 1, 0)</f>
        <v>0</v>
      </c>
      <c r="W216" s="7">
        <f t="shared" si="435"/>
        <v>0</v>
      </c>
      <c r="X216" s="8">
        <v>0.0</v>
      </c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ht="22.5" customHeight="1">
      <c r="A217" s="6">
        <v>816.0</v>
      </c>
      <c r="B217" s="6">
        <v>45935.0</v>
      </c>
      <c r="C217" s="6">
        <v>1.23</v>
      </c>
      <c r="D217" s="6">
        <v>-0.21</v>
      </c>
      <c r="E217" s="6">
        <v>10.68</v>
      </c>
      <c r="F217" s="6">
        <v>-0.1</v>
      </c>
      <c r="G217" s="6">
        <v>0.0</v>
      </c>
      <c r="H217" s="6">
        <v>-0.01</v>
      </c>
      <c r="I217" s="6">
        <v>33.19</v>
      </c>
      <c r="J217" s="7">
        <f t="shared" ref="J217:O217" si="436">abs(C217-C216)/200</f>
        <v>0.00005</v>
      </c>
      <c r="K217" s="7">
        <f t="shared" si="436"/>
        <v>0.00005</v>
      </c>
      <c r="L217" s="7">
        <f t="shared" si="436"/>
        <v>0.00005</v>
      </c>
      <c r="M217" s="7">
        <f t="shared" si="436"/>
        <v>0</v>
      </c>
      <c r="N217" s="7">
        <f t="shared" si="436"/>
        <v>0</v>
      </c>
      <c r="O217" s="7">
        <f t="shared" si="436"/>
        <v>0</v>
      </c>
      <c r="P217" s="7">
        <f t="shared" si="9"/>
        <v>0</v>
      </c>
      <c r="Q217" s="7">
        <f t="shared" si="10"/>
        <v>0.01088947852</v>
      </c>
      <c r="R217" s="7">
        <f t="shared" si="3"/>
        <v>0.9526461859</v>
      </c>
      <c r="S217" s="7">
        <f t="shared" si="4"/>
        <v>0.1004987562</v>
      </c>
      <c r="T217" s="7">
        <f t="shared" si="5"/>
        <v>0</v>
      </c>
      <c r="U217" s="7">
        <f t="shared" si="6"/>
        <v>0</v>
      </c>
      <c r="V217" s="7">
        <f t="shared" ref="V217:W217" si="437">IF(AVERAGE(T157:T216) &gt; 0.25, 1, 0)</f>
        <v>0</v>
      </c>
      <c r="W217" s="7">
        <f t="shared" si="437"/>
        <v>0</v>
      </c>
      <c r="X217" s="8">
        <v>0.0</v>
      </c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ht="22.5" customHeight="1">
      <c r="A218" s="6">
        <v>817.0</v>
      </c>
      <c r="B218" s="6">
        <v>46139.0</v>
      </c>
      <c r="C218" s="6">
        <v>1.23</v>
      </c>
      <c r="D218" s="6">
        <v>-0.19</v>
      </c>
      <c r="E218" s="6">
        <v>10.69</v>
      </c>
      <c r="F218" s="6">
        <v>-0.1</v>
      </c>
      <c r="G218" s="6">
        <v>0.0</v>
      </c>
      <c r="H218" s="6">
        <v>-0.01</v>
      </c>
      <c r="I218" s="6">
        <v>33.18</v>
      </c>
      <c r="J218" s="7">
        <f t="shared" ref="J218:O218" si="438">abs(C218-C217)/200</f>
        <v>0</v>
      </c>
      <c r="K218" s="7">
        <f t="shared" si="438"/>
        <v>0.0001</v>
      </c>
      <c r="L218" s="7">
        <f t="shared" si="438"/>
        <v>0.00005</v>
      </c>
      <c r="M218" s="7">
        <f t="shared" si="438"/>
        <v>0</v>
      </c>
      <c r="N218" s="7">
        <f t="shared" si="438"/>
        <v>0</v>
      </c>
      <c r="O218" s="7">
        <f t="shared" si="438"/>
        <v>0</v>
      </c>
      <c r="P218" s="7">
        <f t="shared" si="9"/>
        <v>0</v>
      </c>
      <c r="Q218" s="7">
        <f t="shared" si="10"/>
        <v>0.009560836786</v>
      </c>
      <c r="R218" s="7">
        <f t="shared" si="3"/>
        <v>0.9622070227</v>
      </c>
      <c r="S218" s="7">
        <f t="shared" si="4"/>
        <v>0.1004987562</v>
      </c>
      <c r="T218" s="7">
        <f t="shared" si="5"/>
        <v>0</v>
      </c>
      <c r="U218" s="7">
        <f t="shared" si="6"/>
        <v>0</v>
      </c>
      <c r="V218" s="7">
        <f t="shared" ref="V218:W218" si="439">IF(AVERAGE(T158:T217) &gt; 0.25, 1, 0)</f>
        <v>0</v>
      </c>
      <c r="W218" s="7">
        <f t="shared" si="439"/>
        <v>0</v>
      </c>
      <c r="X218" s="8">
        <v>0.0</v>
      </c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ht="22.5" customHeight="1">
      <c r="A219" s="6">
        <v>818.0</v>
      </c>
      <c r="B219" s="6">
        <v>46343.0</v>
      </c>
      <c r="C219" s="6">
        <v>1.24</v>
      </c>
      <c r="D219" s="6">
        <v>-0.2</v>
      </c>
      <c r="E219" s="6">
        <v>10.66</v>
      </c>
      <c r="F219" s="6">
        <v>-0.1</v>
      </c>
      <c r="G219" s="6">
        <v>0.0</v>
      </c>
      <c r="H219" s="6">
        <v>-0.01</v>
      </c>
      <c r="I219" s="6">
        <v>33.18</v>
      </c>
      <c r="J219" s="7">
        <f t="shared" ref="J219:O219" si="440">abs(C219-C218)/200</f>
        <v>0.00005</v>
      </c>
      <c r="K219" s="7">
        <f t="shared" si="440"/>
        <v>0.00005</v>
      </c>
      <c r="L219" s="7">
        <f t="shared" si="440"/>
        <v>0.00015</v>
      </c>
      <c r="M219" s="7">
        <f t="shared" si="440"/>
        <v>0</v>
      </c>
      <c r="N219" s="7">
        <f t="shared" si="440"/>
        <v>0</v>
      </c>
      <c r="O219" s="7">
        <f t="shared" si="440"/>
        <v>0</v>
      </c>
      <c r="P219" s="7">
        <f t="shared" si="9"/>
        <v>0</v>
      </c>
      <c r="Q219" s="7">
        <f t="shared" si="10"/>
        <v>0.02846582965</v>
      </c>
      <c r="R219" s="7">
        <f t="shared" si="3"/>
        <v>0.9337411931</v>
      </c>
      <c r="S219" s="7">
        <f t="shared" si="4"/>
        <v>0.1004987562</v>
      </c>
      <c r="T219" s="7">
        <f t="shared" si="5"/>
        <v>0</v>
      </c>
      <c r="U219" s="7">
        <f t="shared" si="6"/>
        <v>0</v>
      </c>
      <c r="V219" s="7">
        <f t="shared" ref="V219:W219" si="441">IF(AVERAGE(T159:T218) &gt; 0.25, 1, 0)</f>
        <v>0</v>
      </c>
      <c r="W219" s="7">
        <f t="shared" si="441"/>
        <v>0</v>
      </c>
      <c r="X219" s="8">
        <v>0.0</v>
      </c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ht="22.5" customHeight="1">
      <c r="A220" s="6">
        <v>819.0</v>
      </c>
      <c r="B220" s="6">
        <v>46547.0</v>
      </c>
      <c r="C220" s="6">
        <v>1.24</v>
      </c>
      <c r="D220" s="6">
        <v>-0.2</v>
      </c>
      <c r="E220" s="6">
        <v>10.69</v>
      </c>
      <c r="F220" s="6">
        <v>-0.1</v>
      </c>
      <c r="G220" s="6">
        <v>0.0</v>
      </c>
      <c r="H220" s="6">
        <v>-0.01</v>
      </c>
      <c r="I220" s="6">
        <v>33.18</v>
      </c>
      <c r="J220" s="7">
        <f t="shared" ref="J220:O220" si="442">abs(C220-C219)/200</f>
        <v>0</v>
      </c>
      <c r="K220" s="7">
        <f t="shared" si="442"/>
        <v>0</v>
      </c>
      <c r="L220" s="7">
        <f t="shared" si="442"/>
        <v>0.00015</v>
      </c>
      <c r="M220" s="7">
        <f t="shared" si="442"/>
        <v>0</v>
      </c>
      <c r="N220" s="7">
        <f t="shared" si="442"/>
        <v>0</v>
      </c>
      <c r="O220" s="7">
        <f t="shared" si="442"/>
        <v>0</v>
      </c>
      <c r="P220" s="7">
        <f t="shared" si="9"/>
        <v>0</v>
      </c>
      <c r="Q220" s="7">
        <f t="shared" si="10"/>
        <v>0.02979447138</v>
      </c>
      <c r="R220" s="7">
        <f t="shared" si="3"/>
        <v>0.9635356645</v>
      </c>
      <c r="S220" s="7">
        <f t="shared" si="4"/>
        <v>0.1004987562</v>
      </c>
      <c r="T220" s="7">
        <f t="shared" si="5"/>
        <v>0</v>
      </c>
      <c r="U220" s="7">
        <f t="shared" si="6"/>
        <v>0</v>
      </c>
      <c r="V220" s="7">
        <f t="shared" ref="V220:W220" si="443">IF(AVERAGE(T160:T219) &gt; 0.25, 1, 0)</f>
        <v>0</v>
      </c>
      <c r="W220" s="7">
        <f t="shared" si="443"/>
        <v>0</v>
      </c>
      <c r="X220" s="8">
        <v>0.0</v>
      </c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ht="22.5" customHeight="1">
      <c r="A221" s="6">
        <v>820.0</v>
      </c>
      <c r="B221" s="6">
        <v>46751.0</v>
      </c>
      <c r="C221" s="6">
        <v>1.24</v>
      </c>
      <c r="D221" s="6">
        <v>-0.2</v>
      </c>
      <c r="E221" s="6">
        <v>10.68</v>
      </c>
      <c r="F221" s="6">
        <v>-0.1</v>
      </c>
      <c r="G221" s="6">
        <v>0.0</v>
      </c>
      <c r="H221" s="6">
        <v>-0.01</v>
      </c>
      <c r="I221" s="6">
        <v>33.18</v>
      </c>
      <c r="J221" s="7">
        <f t="shared" ref="J221:O221" si="444">abs(C221-C220)/200</f>
        <v>0</v>
      </c>
      <c r="K221" s="7">
        <f t="shared" si="444"/>
        <v>0</v>
      </c>
      <c r="L221" s="7">
        <f t="shared" si="444"/>
        <v>0.00005</v>
      </c>
      <c r="M221" s="7">
        <f t="shared" si="444"/>
        <v>0</v>
      </c>
      <c r="N221" s="7">
        <f t="shared" si="444"/>
        <v>0</v>
      </c>
      <c r="O221" s="7">
        <f t="shared" si="444"/>
        <v>0</v>
      </c>
      <c r="P221" s="7">
        <f t="shared" si="9"/>
        <v>0</v>
      </c>
      <c r="Q221" s="7">
        <f t="shared" si="10"/>
        <v>0.009931617439</v>
      </c>
      <c r="R221" s="7">
        <f t="shared" si="3"/>
        <v>0.953604047</v>
      </c>
      <c r="S221" s="7">
        <f t="shared" si="4"/>
        <v>0.1004987562</v>
      </c>
      <c r="T221" s="7">
        <f t="shared" si="5"/>
        <v>0</v>
      </c>
      <c r="U221" s="7">
        <f t="shared" si="6"/>
        <v>0</v>
      </c>
      <c r="V221" s="7">
        <f t="shared" ref="V221:W221" si="445">IF(AVERAGE(T161:T220) &gt; 0.25, 1, 0)</f>
        <v>0</v>
      </c>
      <c r="W221" s="7">
        <f t="shared" si="445"/>
        <v>0</v>
      </c>
      <c r="X221" s="8">
        <v>0.0</v>
      </c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ht="22.5" customHeight="1">
      <c r="A222" s="6">
        <v>821.0</v>
      </c>
      <c r="B222" s="6">
        <v>46955.0</v>
      </c>
      <c r="C222" s="6">
        <v>1.24</v>
      </c>
      <c r="D222" s="6">
        <v>-0.19</v>
      </c>
      <c r="E222" s="6">
        <v>10.68</v>
      </c>
      <c r="F222" s="6">
        <v>-0.1</v>
      </c>
      <c r="G222" s="6">
        <v>0.0</v>
      </c>
      <c r="H222" s="6">
        <v>-0.01</v>
      </c>
      <c r="I222" s="6">
        <v>33.18</v>
      </c>
      <c r="J222" s="7">
        <f t="shared" ref="J222:O222" si="446">abs(C222-C221)/200</f>
        <v>0</v>
      </c>
      <c r="K222" s="7">
        <f t="shared" si="446"/>
        <v>0.00005</v>
      </c>
      <c r="L222" s="7">
        <f t="shared" si="446"/>
        <v>0</v>
      </c>
      <c r="M222" s="7">
        <f t="shared" si="446"/>
        <v>0</v>
      </c>
      <c r="N222" s="7">
        <f t="shared" si="446"/>
        <v>0</v>
      </c>
      <c r="O222" s="7">
        <f t="shared" si="446"/>
        <v>0</v>
      </c>
      <c r="P222" s="7">
        <f t="shared" si="9"/>
        <v>0</v>
      </c>
      <c r="Q222" s="7">
        <f t="shared" si="10"/>
        <v>0.0001813360835</v>
      </c>
      <c r="R222" s="7">
        <f t="shared" si="3"/>
        <v>0.9534227109</v>
      </c>
      <c r="S222" s="7">
        <f t="shared" si="4"/>
        <v>0.1004987562</v>
      </c>
      <c r="T222" s="7">
        <f t="shared" si="5"/>
        <v>0</v>
      </c>
      <c r="U222" s="7">
        <f t="shared" si="6"/>
        <v>0</v>
      </c>
      <c r="V222" s="7">
        <f t="shared" ref="V222:W222" si="447">IF(AVERAGE(T162:T221) &gt; 0.25, 1, 0)</f>
        <v>0</v>
      </c>
      <c r="W222" s="7">
        <f t="shared" si="447"/>
        <v>0</v>
      </c>
      <c r="X222" s="8">
        <v>0.0</v>
      </c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ht="22.5" customHeight="1">
      <c r="A223" s="6">
        <v>822.0</v>
      </c>
      <c r="B223" s="6">
        <v>47159.0</v>
      </c>
      <c r="C223" s="6">
        <v>1.23</v>
      </c>
      <c r="D223" s="6">
        <v>-0.21</v>
      </c>
      <c r="E223" s="6">
        <v>10.67</v>
      </c>
      <c r="F223" s="6">
        <v>-0.1</v>
      </c>
      <c r="G223" s="6">
        <v>0.0</v>
      </c>
      <c r="H223" s="6">
        <v>-0.01</v>
      </c>
      <c r="I223" s="6">
        <v>33.18</v>
      </c>
      <c r="J223" s="7">
        <f t="shared" ref="J223:O223" si="448">abs(C223-C222)/200</f>
        <v>0.00005</v>
      </c>
      <c r="K223" s="7">
        <f t="shared" si="448"/>
        <v>0.0001</v>
      </c>
      <c r="L223" s="7">
        <f t="shared" si="448"/>
        <v>0.00005</v>
      </c>
      <c r="M223" s="7">
        <f t="shared" si="448"/>
        <v>0</v>
      </c>
      <c r="N223" s="7">
        <f t="shared" si="448"/>
        <v>0</v>
      </c>
      <c r="O223" s="7">
        <f t="shared" si="448"/>
        <v>0</v>
      </c>
      <c r="P223" s="7">
        <f t="shared" si="9"/>
        <v>0</v>
      </c>
      <c r="Q223" s="7">
        <f t="shared" si="10"/>
        <v>0.0107089011</v>
      </c>
      <c r="R223" s="7">
        <f t="shared" si="3"/>
        <v>0.9427138098</v>
      </c>
      <c r="S223" s="7">
        <f t="shared" si="4"/>
        <v>0.1004987562</v>
      </c>
      <c r="T223" s="7">
        <f t="shared" si="5"/>
        <v>0</v>
      </c>
      <c r="U223" s="7">
        <f t="shared" si="6"/>
        <v>0</v>
      </c>
      <c r="V223" s="7">
        <f t="shared" ref="V223:W223" si="449">IF(AVERAGE(T163:T222) &gt; 0.25, 1, 0)</f>
        <v>0</v>
      </c>
      <c r="W223" s="7">
        <f t="shared" si="449"/>
        <v>0</v>
      </c>
      <c r="X223" s="8">
        <v>0.0</v>
      </c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ht="22.5" customHeight="1">
      <c r="A224" s="6">
        <v>823.0</v>
      </c>
      <c r="B224" s="6">
        <v>47363.0</v>
      </c>
      <c r="C224" s="6">
        <v>1.23</v>
      </c>
      <c r="D224" s="6">
        <v>-0.19</v>
      </c>
      <c r="E224" s="6">
        <v>10.68</v>
      </c>
      <c r="F224" s="6">
        <v>-0.1</v>
      </c>
      <c r="G224" s="6">
        <v>0.0</v>
      </c>
      <c r="H224" s="6">
        <v>-0.01</v>
      </c>
      <c r="I224" s="6">
        <v>33.18</v>
      </c>
      <c r="J224" s="7">
        <f t="shared" ref="J224:O224" si="450">abs(C224-C223)/200</f>
        <v>0</v>
      </c>
      <c r="K224" s="7">
        <f t="shared" si="450"/>
        <v>0.0001</v>
      </c>
      <c r="L224" s="7">
        <f t="shared" si="450"/>
        <v>0.00005</v>
      </c>
      <c r="M224" s="7">
        <f t="shared" si="450"/>
        <v>0</v>
      </c>
      <c r="N224" s="7">
        <f t="shared" si="450"/>
        <v>0</v>
      </c>
      <c r="O224" s="7">
        <f t="shared" si="450"/>
        <v>0</v>
      </c>
      <c r="P224" s="7">
        <f t="shared" si="9"/>
        <v>0</v>
      </c>
      <c r="Q224" s="7">
        <f t="shared" si="10"/>
        <v>0.009560368218</v>
      </c>
      <c r="R224" s="7">
        <f t="shared" si="3"/>
        <v>0.9522741781</v>
      </c>
      <c r="S224" s="7">
        <f t="shared" si="4"/>
        <v>0.1004987562</v>
      </c>
      <c r="T224" s="7">
        <f t="shared" si="5"/>
        <v>0</v>
      </c>
      <c r="U224" s="7">
        <f t="shared" si="6"/>
        <v>0</v>
      </c>
      <c r="V224" s="7">
        <f t="shared" ref="V224:W224" si="451">IF(AVERAGE(T164:T223) &gt; 0.25, 1, 0)</f>
        <v>0</v>
      </c>
      <c r="W224" s="7">
        <f t="shared" si="451"/>
        <v>0</v>
      </c>
      <c r="X224" s="8">
        <v>0.0</v>
      </c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ht="22.5" customHeight="1">
      <c r="A225" s="6">
        <v>824.0</v>
      </c>
      <c r="B225" s="6">
        <v>47567.0</v>
      </c>
      <c r="C225" s="6">
        <v>1.24</v>
      </c>
      <c r="D225" s="6">
        <v>-0.2</v>
      </c>
      <c r="E225" s="6">
        <v>10.68</v>
      </c>
      <c r="F225" s="6">
        <v>-0.1</v>
      </c>
      <c r="G225" s="6">
        <v>0.0</v>
      </c>
      <c r="H225" s="6">
        <v>-0.01</v>
      </c>
      <c r="I225" s="6">
        <v>33.19</v>
      </c>
      <c r="J225" s="7">
        <f t="shared" ref="J225:O225" si="452">abs(C225-C224)/200</f>
        <v>0.00005</v>
      </c>
      <c r="K225" s="7">
        <f t="shared" si="452"/>
        <v>0.00005</v>
      </c>
      <c r="L225" s="7">
        <f t="shared" si="452"/>
        <v>0</v>
      </c>
      <c r="M225" s="7">
        <f t="shared" si="452"/>
        <v>0</v>
      </c>
      <c r="N225" s="7">
        <f t="shared" si="452"/>
        <v>0</v>
      </c>
      <c r="O225" s="7">
        <f t="shared" si="452"/>
        <v>0</v>
      </c>
      <c r="P225" s="7">
        <f t="shared" si="9"/>
        <v>0</v>
      </c>
      <c r="Q225" s="7">
        <f t="shared" si="10"/>
        <v>0.001329868964</v>
      </c>
      <c r="R225" s="7">
        <f t="shared" si="3"/>
        <v>0.953604047</v>
      </c>
      <c r="S225" s="7">
        <f t="shared" si="4"/>
        <v>0.1004987562</v>
      </c>
      <c r="T225" s="7">
        <f t="shared" si="5"/>
        <v>0</v>
      </c>
      <c r="U225" s="7">
        <f t="shared" si="6"/>
        <v>0</v>
      </c>
      <c r="V225" s="7">
        <f t="shared" ref="V225:W225" si="453">IF(AVERAGE(T165:T224) &gt; 0.25, 1, 0)</f>
        <v>0</v>
      </c>
      <c r="W225" s="7">
        <f t="shared" si="453"/>
        <v>0</v>
      </c>
      <c r="X225" s="8">
        <v>0.0</v>
      </c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ht="22.5" customHeight="1">
      <c r="A226" s="6">
        <v>825.0</v>
      </c>
      <c r="B226" s="6">
        <v>47771.0</v>
      </c>
      <c r="C226" s="6">
        <v>1.23</v>
      </c>
      <c r="D226" s="6">
        <v>-0.2</v>
      </c>
      <c r="E226" s="6">
        <v>10.69</v>
      </c>
      <c r="F226" s="6">
        <v>-0.1</v>
      </c>
      <c r="G226" s="6">
        <v>0.0</v>
      </c>
      <c r="H226" s="6">
        <v>-0.01</v>
      </c>
      <c r="I226" s="6">
        <v>33.19</v>
      </c>
      <c r="J226" s="7">
        <f t="shared" ref="J226:O226" si="454">abs(C226-C225)/200</f>
        <v>0.00005</v>
      </c>
      <c r="K226" s="7">
        <f t="shared" si="454"/>
        <v>0</v>
      </c>
      <c r="L226" s="7">
        <f t="shared" si="454"/>
        <v>0.00005</v>
      </c>
      <c r="M226" s="7">
        <f t="shared" si="454"/>
        <v>0</v>
      </c>
      <c r="N226" s="7">
        <f t="shared" si="454"/>
        <v>0</v>
      </c>
      <c r="O226" s="7">
        <f t="shared" si="454"/>
        <v>0</v>
      </c>
      <c r="P226" s="7">
        <f t="shared" si="9"/>
        <v>0</v>
      </c>
      <c r="Q226" s="7">
        <f t="shared" si="10"/>
        <v>0.008784163785</v>
      </c>
      <c r="R226" s="7">
        <f t="shared" si="3"/>
        <v>0.9623882108</v>
      </c>
      <c r="S226" s="7">
        <f t="shared" si="4"/>
        <v>0.1004987562</v>
      </c>
      <c r="T226" s="7">
        <f t="shared" si="5"/>
        <v>0</v>
      </c>
      <c r="U226" s="7">
        <f t="shared" si="6"/>
        <v>0</v>
      </c>
      <c r="V226" s="7">
        <f t="shared" ref="V226:W226" si="455">IF(AVERAGE(T166:T225) &gt; 0.25, 1, 0)</f>
        <v>0</v>
      </c>
      <c r="W226" s="7">
        <f t="shared" si="455"/>
        <v>0</v>
      </c>
      <c r="X226" s="8">
        <v>0.0</v>
      </c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ht="22.5" customHeight="1">
      <c r="A227" s="6">
        <v>826.0</v>
      </c>
      <c r="B227" s="6">
        <v>47975.0</v>
      </c>
      <c r="C227" s="6">
        <v>1.24</v>
      </c>
      <c r="D227" s="6">
        <v>-0.19</v>
      </c>
      <c r="E227" s="6">
        <v>10.68</v>
      </c>
      <c r="F227" s="6">
        <v>-0.1</v>
      </c>
      <c r="G227" s="6">
        <v>0.0</v>
      </c>
      <c r="H227" s="6">
        <v>-0.01</v>
      </c>
      <c r="I227" s="6">
        <v>33.19</v>
      </c>
      <c r="J227" s="7">
        <f t="shared" ref="J227:O227" si="456">abs(C227-C226)/200</f>
        <v>0.00005</v>
      </c>
      <c r="K227" s="7">
        <f t="shared" si="456"/>
        <v>0.00005</v>
      </c>
      <c r="L227" s="7">
        <f t="shared" si="456"/>
        <v>0.00005</v>
      </c>
      <c r="M227" s="7">
        <f t="shared" si="456"/>
        <v>0</v>
      </c>
      <c r="N227" s="7">
        <f t="shared" si="456"/>
        <v>0</v>
      </c>
      <c r="O227" s="7">
        <f t="shared" si="456"/>
        <v>0</v>
      </c>
      <c r="P227" s="7">
        <f t="shared" si="9"/>
        <v>0</v>
      </c>
      <c r="Q227" s="7">
        <f t="shared" si="10"/>
        <v>0.008965499869</v>
      </c>
      <c r="R227" s="7">
        <f t="shared" si="3"/>
        <v>0.9534227109</v>
      </c>
      <c r="S227" s="7">
        <f t="shared" si="4"/>
        <v>0.1004987562</v>
      </c>
      <c r="T227" s="7">
        <f t="shared" si="5"/>
        <v>0</v>
      </c>
      <c r="U227" s="7">
        <f t="shared" si="6"/>
        <v>0</v>
      </c>
      <c r="V227" s="7">
        <f t="shared" ref="V227:W227" si="457">IF(AVERAGE(T167:T226) &gt; 0.25, 1, 0)</f>
        <v>0</v>
      </c>
      <c r="W227" s="7">
        <f t="shared" si="457"/>
        <v>0</v>
      </c>
      <c r="X227" s="8">
        <v>0.0</v>
      </c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ht="22.5" customHeight="1">
      <c r="A228" s="6">
        <v>827.0</v>
      </c>
      <c r="B228" s="6">
        <v>48179.0</v>
      </c>
      <c r="C228" s="6">
        <v>1.24</v>
      </c>
      <c r="D228" s="6">
        <v>-0.2</v>
      </c>
      <c r="E228" s="6">
        <v>10.67</v>
      </c>
      <c r="F228" s="6">
        <v>-0.1</v>
      </c>
      <c r="G228" s="6">
        <v>0.0</v>
      </c>
      <c r="H228" s="6">
        <v>-0.01</v>
      </c>
      <c r="I228" s="6">
        <v>33.18</v>
      </c>
      <c r="J228" s="7">
        <f t="shared" ref="J228:O228" si="458">abs(C228-C227)/200</f>
        <v>0</v>
      </c>
      <c r="K228" s="7">
        <f t="shared" si="458"/>
        <v>0.00005</v>
      </c>
      <c r="L228" s="7">
        <f t="shared" si="458"/>
        <v>0.00005</v>
      </c>
      <c r="M228" s="7">
        <f t="shared" si="458"/>
        <v>0</v>
      </c>
      <c r="N228" s="7">
        <f t="shared" si="458"/>
        <v>0</v>
      </c>
      <c r="O228" s="7">
        <f t="shared" si="458"/>
        <v>0</v>
      </c>
      <c r="P228" s="7">
        <f t="shared" si="9"/>
        <v>0</v>
      </c>
      <c r="Q228" s="7">
        <f t="shared" si="10"/>
        <v>0.009750154493</v>
      </c>
      <c r="R228" s="7">
        <f t="shared" si="3"/>
        <v>0.9436725564</v>
      </c>
      <c r="S228" s="7">
        <f t="shared" si="4"/>
        <v>0.1004987562</v>
      </c>
      <c r="T228" s="7">
        <f t="shared" si="5"/>
        <v>0</v>
      </c>
      <c r="U228" s="7">
        <f t="shared" si="6"/>
        <v>0</v>
      </c>
      <c r="V228" s="7">
        <f t="shared" ref="V228:W228" si="459">IF(AVERAGE(T168:T227) &gt; 0.25, 1, 0)</f>
        <v>0</v>
      </c>
      <c r="W228" s="7">
        <f t="shared" si="459"/>
        <v>0</v>
      </c>
      <c r="X228" s="8">
        <v>0.0</v>
      </c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ht="22.5" customHeight="1">
      <c r="A229" s="6">
        <v>828.0</v>
      </c>
      <c r="B229" s="6">
        <v>48383.0</v>
      </c>
      <c r="C229" s="6">
        <v>1.23</v>
      </c>
      <c r="D229" s="6">
        <v>-0.2</v>
      </c>
      <c r="E229" s="6">
        <v>10.68</v>
      </c>
      <c r="F229" s="6">
        <v>-0.1</v>
      </c>
      <c r="G229" s="6">
        <v>0.0</v>
      </c>
      <c r="H229" s="6">
        <v>-0.01</v>
      </c>
      <c r="I229" s="6">
        <v>33.17</v>
      </c>
      <c r="J229" s="7">
        <f t="shared" ref="J229:O229" si="460">abs(C229-C228)/200</f>
        <v>0.00005</v>
      </c>
      <c r="K229" s="7">
        <f t="shared" si="460"/>
        <v>0</v>
      </c>
      <c r="L229" s="7">
        <f t="shared" si="460"/>
        <v>0.00005</v>
      </c>
      <c r="M229" s="7">
        <f t="shared" si="460"/>
        <v>0</v>
      </c>
      <c r="N229" s="7">
        <f t="shared" si="460"/>
        <v>0</v>
      </c>
      <c r="O229" s="7">
        <f t="shared" si="460"/>
        <v>0</v>
      </c>
      <c r="P229" s="7">
        <f t="shared" si="9"/>
        <v>0</v>
      </c>
      <c r="Q229" s="7">
        <f t="shared" si="10"/>
        <v>0.008782977065</v>
      </c>
      <c r="R229" s="7">
        <f t="shared" si="3"/>
        <v>0.9524555335</v>
      </c>
      <c r="S229" s="7">
        <f t="shared" si="4"/>
        <v>0.1004987562</v>
      </c>
      <c r="T229" s="7">
        <f t="shared" si="5"/>
        <v>0</v>
      </c>
      <c r="U229" s="7">
        <f t="shared" si="6"/>
        <v>0</v>
      </c>
      <c r="V229" s="7">
        <f t="shared" ref="V229:W229" si="461">IF(AVERAGE(T169:T228) &gt; 0.25, 1, 0)</f>
        <v>0</v>
      </c>
      <c r="W229" s="7">
        <f t="shared" si="461"/>
        <v>0</v>
      </c>
      <c r="X229" s="8">
        <v>0.0</v>
      </c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ht="22.5" customHeight="1">
      <c r="A230" s="6">
        <v>829.0</v>
      </c>
      <c r="B230" s="6">
        <v>48587.0</v>
      </c>
      <c r="C230" s="6">
        <v>1.24</v>
      </c>
      <c r="D230" s="6">
        <v>-0.2</v>
      </c>
      <c r="E230" s="6">
        <v>10.68</v>
      </c>
      <c r="F230" s="6">
        <v>-0.1</v>
      </c>
      <c r="G230" s="6">
        <v>0.0</v>
      </c>
      <c r="H230" s="6">
        <v>-0.01</v>
      </c>
      <c r="I230" s="6">
        <v>33.18</v>
      </c>
      <c r="J230" s="7">
        <f t="shared" ref="J230:O230" si="462">abs(C230-C229)/200</f>
        <v>0.00005</v>
      </c>
      <c r="K230" s="7">
        <f t="shared" si="462"/>
        <v>0</v>
      </c>
      <c r="L230" s="7">
        <f t="shared" si="462"/>
        <v>0</v>
      </c>
      <c r="M230" s="7">
        <f t="shared" si="462"/>
        <v>0</v>
      </c>
      <c r="N230" s="7">
        <f t="shared" si="462"/>
        <v>0</v>
      </c>
      <c r="O230" s="7">
        <f t="shared" si="462"/>
        <v>0</v>
      </c>
      <c r="P230" s="7">
        <f t="shared" si="9"/>
        <v>0</v>
      </c>
      <c r="Q230" s="7">
        <f t="shared" si="10"/>
        <v>0.001148513511</v>
      </c>
      <c r="R230" s="7">
        <f t="shared" si="3"/>
        <v>0.953604047</v>
      </c>
      <c r="S230" s="7">
        <f t="shared" si="4"/>
        <v>0.1004987562</v>
      </c>
      <c r="T230" s="7">
        <f t="shared" si="5"/>
        <v>0</v>
      </c>
      <c r="U230" s="7">
        <f t="shared" si="6"/>
        <v>0</v>
      </c>
      <c r="V230" s="7">
        <f t="shared" ref="V230:W230" si="463">IF(AVERAGE(T170:T229) &gt; 0.25, 1, 0)</f>
        <v>0</v>
      </c>
      <c r="W230" s="7">
        <f t="shared" si="463"/>
        <v>0</v>
      </c>
      <c r="X230" s="8">
        <v>0.0</v>
      </c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ht="22.5" customHeight="1">
      <c r="A231" s="6">
        <v>830.0</v>
      </c>
      <c r="B231" s="6">
        <v>48791.0</v>
      </c>
      <c r="C231" s="6">
        <v>1.23</v>
      </c>
      <c r="D231" s="6">
        <v>-0.2</v>
      </c>
      <c r="E231" s="6">
        <v>10.69</v>
      </c>
      <c r="F231" s="6">
        <v>-0.1</v>
      </c>
      <c r="G231" s="6">
        <v>0.0</v>
      </c>
      <c r="H231" s="6">
        <v>-0.01</v>
      </c>
      <c r="I231" s="6">
        <v>33.17</v>
      </c>
      <c r="J231" s="7">
        <f t="shared" ref="J231:O231" si="464">abs(C231-C230)/200</f>
        <v>0.00005</v>
      </c>
      <c r="K231" s="7">
        <f t="shared" si="464"/>
        <v>0</v>
      </c>
      <c r="L231" s="7">
        <f t="shared" si="464"/>
        <v>0.00005</v>
      </c>
      <c r="M231" s="7">
        <f t="shared" si="464"/>
        <v>0</v>
      </c>
      <c r="N231" s="7">
        <f t="shared" si="464"/>
        <v>0</v>
      </c>
      <c r="O231" s="7">
        <f t="shared" si="464"/>
        <v>0</v>
      </c>
      <c r="P231" s="7">
        <f t="shared" si="9"/>
        <v>0</v>
      </c>
      <c r="Q231" s="7">
        <f t="shared" si="10"/>
        <v>0.008784163785</v>
      </c>
      <c r="R231" s="7">
        <f t="shared" si="3"/>
        <v>0.9623882108</v>
      </c>
      <c r="S231" s="7">
        <f t="shared" si="4"/>
        <v>0.1004987562</v>
      </c>
      <c r="T231" s="7">
        <f t="shared" si="5"/>
        <v>0</v>
      </c>
      <c r="U231" s="7">
        <f t="shared" si="6"/>
        <v>0</v>
      </c>
      <c r="V231" s="7">
        <f t="shared" ref="V231:W231" si="465">IF(AVERAGE(T171:T230) &gt; 0.25, 1, 0)</f>
        <v>0</v>
      </c>
      <c r="W231" s="7">
        <f t="shared" si="465"/>
        <v>0</v>
      </c>
      <c r="X231" s="8">
        <v>0.0</v>
      </c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ht="22.5" customHeight="1">
      <c r="A232" s="6">
        <v>831.0</v>
      </c>
      <c r="B232" s="6">
        <v>48995.0</v>
      </c>
      <c r="C232" s="6">
        <v>1.23</v>
      </c>
      <c r="D232" s="6">
        <v>-0.21</v>
      </c>
      <c r="E232" s="6">
        <v>10.67</v>
      </c>
      <c r="F232" s="6">
        <v>-0.1</v>
      </c>
      <c r="G232" s="6">
        <v>0.0</v>
      </c>
      <c r="H232" s="6">
        <v>-0.01</v>
      </c>
      <c r="I232" s="6">
        <v>33.18</v>
      </c>
      <c r="J232" s="7">
        <f t="shared" ref="J232:O232" si="466">abs(C232-C231)/200</f>
        <v>0</v>
      </c>
      <c r="K232" s="7">
        <f t="shared" si="466"/>
        <v>0.00005</v>
      </c>
      <c r="L232" s="7">
        <f t="shared" si="466"/>
        <v>0.0001</v>
      </c>
      <c r="M232" s="7">
        <f t="shared" si="466"/>
        <v>0</v>
      </c>
      <c r="N232" s="7">
        <f t="shared" si="466"/>
        <v>0</v>
      </c>
      <c r="O232" s="7">
        <f t="shared" si="466"/>
        <v>0</v>
      </c>
      <c r="P232" s="7">
        <f t="shared" si="9"/>
        <v>0</v>
      </c>
      <c r="Q232" s="7">
        <f t="shared" si="10"/>
        <v>0.01967440097</v>
      </c>
      <c r="R232" s="7">
        <f t="shared" si="3"/>
        <v>0.9427138098</v>
      </c>
      <c r="S232" s="7">
        <f t="shared" si="4"/>
        <v>0.1004987562</v>
      </c>
      <c r="T232" s="7">
        <f t="shared" si="5"/>
        <v>0</v>
      </c>
      <c r="U232" s="7">
        <f t="shared" si="6"/>
        <v>0</v>
      </c>
      <c r="V232" s="7">
        <f t="shared" ref="V232:W232" si="467">IF(AVERAGE(T172:T231) &gt; 0.25, 1, 0)</f>
        <v>0</v>
      </c>
      <c r="W232" s="7">
        <f t="shared" si="467"/>
        <v>0</v>
      </c>
      <c r="X232" s="8">
        <v>0.0</v>
      </c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ht="22.5" customHeight="1">
      <c r="A233" s="6">
        <v>832.0</v>
      </c>
      <c r="B233" s="6">
        <v>49199.0</v>
      </c>
      <c r="C233" s="6">
        <v>1.24</v>
      </c>
      <c r="D233" s="6">
        <v>-0.2</v>
      </c>
      <c r="E233" s="6">
        <v>10.69</v>
      </c>
      <c r="F233" s="6">
        <v>-0.1</v>
      </c>
      <c r="G233" s="6">
        <v>0.0</v>
      </c>
      <c r="H233" s="6">
        <v>-0.01</v>
      </c>
      <c r="I233" s="6">
        <v>33.17</v>
      </c>
      <c r="J233" s="7">
        <f t="shared" ref="J233:O233" si="468">abs(C233-C232)/200</f>
        <v>0.00005</v>
      </c>
      <c r="K233" s="7">
        <f t="shared" si="468"/>
        <v>0.00005</v>
      </c>
      <c r="L233" s="7">
        <f t="shared" si="468"/>
        <v>0.0001</v>
      </c>
      <c r="M233" s="7">
        <f t="shared" si="468"/>
        <v>0</v>
      </c>
      <c r="N233" s="7">
        <f t="shared" si="468"/>
        <v>0</v>
      </c>
      <c r="O233" s="7">
        <f t="shared" si="468"/>
        <v>0</v>
      </c>
      <c r="P233" s="7">
        <f t="shared" si="9"/>
        <v>0</v>
      </c>
      <c r="Q233" s="7">
        <f t="shared" si="10"/>
        <v>0.02082185462</v>
      </c>
      <c r="R233" s="7">
        <f t="shared" si="3"/>
        <v>0.9635356645</v>
      </c>
      <c r="S233" s="7">
        <f t="shared" si="4"/>
        <v>0.1004987562</v>
      </c>
      <c r="T233" s="7">
        <f t="shared" si="5"/>
        <v>0</v>
      </c>
      <c r="U233" s="7">
        <f t="shared" si="6"/>
        <v>0</v>
      </c>
      <c r="V233" s="7">
        <f t="shared" ref="V233:W233" si="469">IF(AVERAGE(T173:T232) &gt; 0.25, 1, 0)</f>
        <v>0</v>
      </c>
      <c r="W233" s="7">
        <f t="shared" si="469"/>
        <v>0</v>
      </c>
      <c r="X233" s="8">
        <v>0.0</v>
      </c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ht="22.5" customHeight="1">
      <c r="A234" s="6">
        <v>833.0</v>
      </c>
      <c r="B234" s="6">
        <v>49403.0</v>
      </c>
      <c r="C234" s="6">
        <v>1.24</v>
      </c>
      <c r="D234" s="6">
        <v>-0.21</v>
      </c>
      <c r="E234" s="6">
        <v>10.69</v>
      </c>
      <c r="F234" s="6">
        <v>-0.1</v>
      </c>
      <c r="G234" s="6">
        <v>0.0</v>
      </c>
      <c r="H234" s="6">
        <v>-0.01</v>
      </c>
      <c r="I234" s="6">
        <v>33.19</v>
      </c>
      <c r="J234" s="7">
        <f t="shared" ref="J234:O234" si="470">abs(C234-C233)/200</f>
        <v>0</v>
      </c>
      <c r="K234" s="7">
        <f t="shared" si="470"/>
        <v>0.00005</v>
      </c>
      <c r="L234" s="7">
        <f t="shared" si="470"/>
        <v>0</v>
      </c>
      <c r="M234" s="7">
        <f t="shared" si="470"/>
        <v>0</v>
      </c>
      <c r="N234" s="7">
        <f t="shared" si="470"/>
        <v>0</v>
      </c>
      <c r="O234" s="7">
        <f t="shared" si="470"/>
        <v>0</v>
      </c>
      <c r="P234" s="7">
        <f t="shared" si="9"/>
        <v>0</v>
      </c>
      <c r="Q234" s="7">
        <f t="shared" si="10"/>
        <v>0.0001904561779</v>
      </c>
      <c r="R234" s="7">
        <f t="shared" si="3"/>
        <v>0.9637261206</v>
      </c>
      <c r="S234" s="7">
        <f t="shared" si="4"/>
        <v>0.1004987562</v>
      </c>
      <c r="T234" s="7">
        <f t="shared" si="5"/>
        <v>0</v>
      </c>
      <c r="U234" s="7">
        <f t="shared" si="6"/>
        <v>0</v>
      </c>
      <c r="V234" s="7">
        <f t="shared" ref="V234:W234" si="471">IF(AVERAGE(T174:T233) &gt; 0.25, 1, 0)</f>
        <v>0</v>
      </c>
      <c r="W234" s="7">
        <f t="shared" si="471"/>
        <v>0</v>
      </c>
      <c r="X234" s="8">
        <v>0.0</v>
      </c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ht="22.5" customHeight="1">
      <c r="A235" s="6">
        <v>834.0</v>
      </c>
      <c r="B235" s="6">
        <v>49607.0</v>
      </c>
      <c r="C235" s="6">
        <v>1.23</v>
      </c>
      <c r="D235" s="6">
        <v>-0.19</v>
      </c>
      <c r="E235" s="6">
        <v>10.68</v>
      </c>
      <c r="F235" s="6">
        <v>-0.1</v>
      </c>
      <c r="G235" s="6">
        <v>0.0</v>
      </c>
      <c r="H235" s="6">
        <v>-0.01</v>
      </c>
      <c r="I235" s="6">
        <v>33.19</v>
      </c>
      <c r="J235" s="7">
        <f t="shared" ref="J235:O235" si="472">abs(C235-C234)/200</f>
        <v>0.00005</v>
      </c>
      <c r="K235" s="7">
        <f t="shared" si="472"/>
        <v>0.0001</v>
      </c>
      <c r="L235" s="7">
        <f t="shared" si="472"/>
        <v>0.00005</v>
      </c>
      <c r="M235" s="7">
        <f t="shared" si="472"/>
        <v>0</v>
      </c>
      <c r="N235" s="7">
        <f t="shared" si="472"/>
        <v>0</v>
      </c>
      <c r="O235" s="7">
        <f t="shared" si="472"/>
        <v>0</v>
      </c>
      <c r="P235" s="7">
        <f t="shared" si="9"/>
        <v>0</v>
      </c>
      <c r="Q235" s="7">
        <f t="shared" si="10"/>
        <v>0.01145194258</v>
      </c>
      <c r="R235" s="7">
        <f t="shared" si="3"/>
        <v>0.9522741781</v>
      </c>
      <c r="S235" s="7">
        <f t="shared" si="4"/>
        <v>0.1004987562</v>
      </c>
      <c r="T235" s="7">
        <f t="shared" si="5"/>
        <v>0</v>
      </c>
      <c r="U235" s="7">
        <f t="shared" si="6"/>
        <v>0</v>
      </c>
      <c r="V235" s="7">
        <f t="shared" ref="V235:W235" si="473">IF(AVERAGE(T175:T234) &gt; 0.25, 1, 0)</f>
        <v>0</v>
      </c>
      <c r="W235" s="7">
        <f t="shared" si="473"/>
        <v>0</v>
      </c>
      <c r="X235" s="8">
        <v>0.0</v>
      </c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ht="22.5" customHeight="1">
      <c r="A236" s="6">
        <v>835.0</v>
      </c>
      <c r="B236" s="6">
        <v>49811.0</v>
      </c>
      <c r="C236" s="6">
        <v>1.24</v>
      </c>
      <c r="D236" s="6">
        <v>-0.2</v>
      </c>
      <c r="E236" s="6">
        <v>10.68</v>
      </c>
      <c r="F236" s="6">
        <v>-0.1</v>
      </c>
      <c r="G236" s="6">
        <v>0.0</v>
      </c>
      <c r="H236" s="6">
        <v>-0.01</v>
      </c>
      <c r="I236" s="6">
        <v>33.17</v>
      </c>
      <c r="J236" s="7">
        <f t="shared" ref="J236:O236" si="474">abs(C236-C235)/200</f>
        <v>0.00005</v>
      </c>
      <c r="K236" s="7">
        <f t="shared" si="474"/>
        <v>0.00005</v>
      </c>
      <c r="L236" s="7">
        <f t="shared" si="474"/>
        <v>0</v>
      </c>
      <c r="M236" s="7">
        <f t="shared" si="474"/>
        <v>0</v>
      </c>
      <c r="N236" s="7">
        <f t="shared" si="474"/>
        <v>0</v>
      </c>
      <c r="O236" s="7">
        <f t="shared" si="474"/>
        <v>0</v>
      </c>
      <c r="P236" s="7">
        <f t="shared" si="9"/>
        <v>0</v>
      </c>
      <c r="Q236" s="7">
        <f t="shared" si="10"/>
        <v>0.001329868964</v>
      </c>
      <c r="R236" s="7">
        <f t="shared" si="3"/>
        <v>0.953604047</v>
      </c>
      <c r="S236" s="7">
        <f t="shared" si="4"/>
        <v>0.1004987562</v>
      </c>
      <c r="T236" s="7">
        <f t="shared" si="5"/>
        <v>0</v>
      </c>
      <c r="U236" s="7">
        <f t="shared" si="6"/>
        <v>0</v>
      </c>
      <c r="V236" s="7">
        <f t="shared" ref="V236:W236" si="475">IF(AVERAGE(T176:T235) &gt; 0.25, 1, 0)</f>
        <v>0</v>
      </c>
      <c r="W236" s="7">
        <f t="shared" si="475"/>
        <v>0</v>
      </c>
      <c r="X236" s="8">
        <v>0.0</v>
      </c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ht="22.5" customHeight="1">
      <c r="A237" s="6">
        <v>836.0</v>
      </c>
      <c r="B237" s="6">
        <v>50015.0</v>
      </c>
      <c r="C237" s="6">
        <v>1.23</v>
      </c>
      <c r="D237" s="6">
        <v>-0.21</v>
      </c>
      <c r="E237" s="6">
        <v>10.68</v>
      </c>
      <c r="F237" s="6">
        <v>-0.1</v>
      </c>
      <c r="G237" s="6">
        <v>0.0</v>
      </c>
      <c r="H237" s="6">
        <v>-0.01</v>
      </c>
      <c r="I237" s="6">
        <v>33.17</v>
      </c>
      <c r="J237" s="7">
        <f t="shared" ref="J237:O237" si="476">abs(C237-C236)/200</f>
        <v>0.00005</v>
      </c>
      <c r="K237" s="7">
        <f t="shared" si="476"/>
        <v>0.00005</v>
      </c>
      <c r="L237" s="7">
        <f t="shared" si="476"/>
        <v>0</v>
      </c>
      <c r="M237" s="7">
        <f t="shared" si="476"/>
        <v>0</v>
      </c>
      <c r="N237" s="7">
        <f t="shared" si="476"/>
        <v>0</v>
      </c>
      <c r="O237" s="7">
        <f t="shared" si="476"/>
        <v>0</v>
      </c>
      <c r="P237" s="7">
        <f t="shared" si="9"/>
        <v>0</v>
      </c>
      <c r="Q237" s="7">
        <f t="shared" si="10"/>
        <v>0.0009578610765</v>
      </c>
      <c r="R237" s="7">
        <f t="shared" si="3"/>
        <v>0.9526461859</v>
      </c>
      <c r="S237" s="7">
        <f t="shared" si="4"/>
        <v>0.1004987562</v>
      </c>
      <c r="T237" s="7">
        <f t="shared" si="5"/>
        <v>0</v>
      </c>
      <c r="U237" s="7">
        <f t="shared" si="6"/>
        <v>0</v>
      </c>
      <c r="V237" s="7">
        <f t="shared" ref="V237:W237" si="477">IF(AVERAGE(T177:T236) &gt; 0.25, 1, 0)</f>
        <v>0</v>
      </c>
      <c r="W237" s="7">
        <f t="shared" si="477"/>
        <v>0</v>
      </c>
      <c r="X237" s="8">
        <v>0.0</v>
      </c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ht="22.5" customHeight="1">
      <c r="A238" s="6">
        <v>837.0</v>
      </c>
      <c r="B238" s="6">
        <v>50219.0</v>
      </c>
      <c r="C238" s="6">
        <v>1.24</v>
      </c>
      <c r="D238" s="6">
        <v>-0.21</v>
      </c>
      <c r="E238" s="6">
        <v>10.69</v>
      </c>
      <c r="F238" s="6">
        <v>-0.1</v>
      </c>
      <c r="G238" s="6">
        <v>0.0</v>
      </c>
      <c r="H238" s="6">
        <v>-0.01</v>
      </c>
      <c r="I238" s="6">
        <v>33.18</v>
      </c>
      <c r="J238" s="7">
        <f t="shared" ref="J238:O238" si="478">abs(C238-C237)/200</f>
        <v>0.00005</v>
      </c>
      <c r="K238" s="7">
        <f t="shared" si="478"/>
        <v>0</v>
      </c>
      <c r="L238" s="7">
        <f t="shared" si="478"/>
        <v>0.00005</v>
      </c>
      <c r="M238" s="7">
        <f t="shared" si="478"/>
        <v>0</v>
      </c>
      <c r="N238" s="7">
        <f t="shared" si="478"/>
        <v>0</v>
      </c>
      <c r="O238" s="7">
        <f t="shared" si="478"/>
        <v>0</v>
      </c>
      <c r="P238" s="7">
        <f t="shared" si="9"/>
        <v>0</v>
      </c>
      <c r="Q238" s="7">
        <f t="shared" si="10"/>
        <v>0.01107993469</v>
      </c>
      <c r="R238" s="7">
        <f t="shared" si="3"/>
        <v>0.9637261206</v>
      </c>
      <c r="S238" s="7">
        <f t="shared" si="4"/>
        <v>0.1004987562</v>
      </c>
      <c r="T238" s="7">
        <f t="shared" si="5"/>
        <v>0</v>
      </c>
      <c r="U238" s="7">
        <f t="shared" si="6"/>
        <v>0</v>
      </c>
      <c r="V238" s="7">
        <f t="shared" ref="V238:W238" si="479">IF(AVERAGE(T178:T237) &gt; 0.25, 1, 0)</f>
        <v>0</v>
      </c>
      <c r="W238" s="7">
        <f t="shared" si="479"/>
        <v>0</v>
      </c>
      <c r="X238" s="8">
        <v>0.0</v>
      </c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ht="22.5" customHeight="1">
      <c r="A239" s="6">
        <v>838.0</v>
      </c>
      <c r="B239" s="6">
        <v>50423.0</v>
      </c>
      <c r="C239" s="6">
        <v>1.24</v>
      </c>
      <c r="D239" s="6">
        <v>-0.2</v>
      </c>
      <c r="E239" s="6">
        <v>10.67</v>
      </c>
      <c r="F239" s="6">
        <v>-0.1</v>
      </c>
      <c r="G239" s="6">
        <v>0.0</v>
      </c>
      <c r="H239" s="6">
        <v>-0.01</v>
      </c>
      <c r="I239" s="6">
        <v>33.18</v>
      </c>
      <c r="J239" s="7">
        <f t="shared" ref="J239:O239" si="480">abs(C239-C238)/200</f>
        <v>0</v>
      </c>
      <c r="K239" s="7">
        <f t="shared" si="480"/>
        <v>0.00005</v>
      </c>
      <c r="L239" s="7">
        <f t="shared" si="480"/>
        <v>0.0001</v>
      </c>
      <c r="M239" s="7">
        <f t="shared" si="480"/>
        <v>0</v>
      </c>
      <c r="N239" s="7">
        <f t="shared" si="480"/>
        <v>0</v>
      </c>
      <c r="O239" s="7">
        <f t="shared" si="480"/>
        <v>0</v>
      </c>
      <c r="P239" s="7">
        <f t="shared" si="9"/>
        <v>0</v>
      </c>
      <c r="Q239" s="7">
        <f t="shared" si="10"/>
        <v>0.02005356419</v>
      </c>
      <c r="R239" s="7">
        <f t="shared" si="3"/>
        <v>0.9436725564</v>
      </c>
      <c r="S239" s="7">
        <f t="shared" si="4"/>
        <v>0.1004987562</v>
      </c>
      <c r="T239" s="7">
        <f t="shared" si="5"/>
        <v>0</v>
      </c>
      <c r="U239" s="7">
        <f t="shared" si="6"/>
        <v>0</v>
      </c>
      <c r="V239" s="7">
        <f t="shared" ref="V239:W239" si="481">IF(AVERAGE(T179:T238) &gt; 0.25, 1, 0)</f>
        <v>0</v>
      </c>
      <c r="W239" s="7">
        <f t="shared" si="481"/>
        <v>0</v>
      </c>
      <c r="X239" s="8">
        <v>0.0</v>
      </c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ht="22.5" customHeight="1">
      <c r="A240" s="6">
        <v>839.0</v>
      </c>
      <c r="B240" s="6">
        <v>50627.0</v>
      </c>
      <c r="C240" s="6">
        <v>1.23</v>
      </c>
      <c r="D240" s="6">
        <v>-0.2</v>
      </c>
      <c r="E240" s="6">
        <v>10.67</v>
      </c>
      <c r="F240" s="6">
        <v>-0.1</v>
      </c>
      <c r="G240" s="6">
        <v>0.0</v>
      </c>
      <c r="H240" s="6">
        <v>-0.01</v>
      </c>
      <c r="I240" s="6">
        <v>33.17</v>
      </c>
      <c r="J240" s="7">
        <f t="shared" ref="J240:O240" si="482">abs(C240-C239)/200</f>
        <v>0.00005</v>
      </c>
      <c r="K240" s="7">
        <f t="shared" si="482"/>
        <v>0</v>
      </c>
      <c r="L240" s="7">
        <f t="shared" si="482"/>
        <v>0</v>
      </c>
      <c r="M240" s="7">
        <f t="shared" si="482"/>
        <v>0</v>
      </c>
      <c r="N240" s="7">
        <f t="shared" si="482"/>
        <v>0</v>
      </c>
      <c r="O240" s="7">
        <f t="shared" si="482"/>
        <v>0</v>
      </c>
      <c r="P240" s="7">
        <f t="shared" si="9"/>
        <v>0</v>
      </c>
      <c r="Q240" s="7">
        <f t="shared" si="10"/>
        <v>0.001149575315</v>
      </c>
      <c r="R240" s="7">
        <f t="shared" si="3"/>
        <v>0.9425229811</v>
      </c>
      <c r="S240" s="7">
        <f t="shared" si="4"/>
        <v>0.1004987562</v>
      </c>
      <c r="T240" s="7">
        <f t="shared" si="5"/>
        <v>0</v>
      </c>
      <c r="U240" s="7">
        <f t="shared" si="6"/>
        <v>0</v>
      </c>
      <c r="V240" s="7">
        <f t="shared" ref="V240:W240" si="483">IF(AVERAGE(T180:T239) &gt; 0.25, 1, 0)</f>
        <v>0</v>
      </c>
      <c r="W240" s="7">
        <f t="shared" si="483"/>
        <v>0</v>
      </c>
      <c r="X240" s="8">
        <v>0.0</v>
      </c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ht="22.5" customHeight="1">
      <c r="A241" s="6">
        <v>840.0</v>
      </c>
      <c r="B241" s="6">
        <v>50831.0</v>
      </c>
      <c r="C241" s="6">
        <v>1.23</v>
      </c>
      <c r="D241" s="6">
        <v>-0.19</v>
      </c>
      <c r="E241" s="6">
        <v>10.69</v>
      </c>
      <c r="F241" s="6">
        <v>-0.1</v>
      </c>
      <c r="G241" s="6">
        <v>0.0</v>
      </c>
      <c r="H241" s="6">
        <v>-0.01</v>
      </c>
      <c r="I241" s="6">
        <v>33.18</v>
      </c>
      <c r="J241" s="7">
        <f t="shared" ref="J241:O241" si="484">abs(C241-C240)/200</f>
        <v>0</v>
      </c>
      <c r="K241" s="7">
        <f t="shared" si="484"/>
        <v>0.00005</v>
      </c>
      <c r="L241" s="7">
        <f t="shared" si="484"/>
        <v>0.0001</v>
      </c>
      <c r="M241" s="7">
        <f t="shared" si="484"/>
        <v>0</v>
      </c>
      <c r="N241" s="7">
        <f t="shared" si="484"/>
        <v>0</v>
      </c>
      <c r="O241" s="7">
        <f t="shared" si="484"/>
        <v>0</v>
      </c>
      <c r="P241" s="7">
        <f t="shared" si="9"/>
        <v>0</v>
      </c>
      <c r="Q241" s="7">
        <f t="shared" si="10"/>
        <v>0.0196840416</v>
      </c>
      <c r="R241" s="7">
        <f t="shared" si="3"/>
        <v>0.9622070227</v>
      </c>
      <c r="S241" s="7">
        <f t="shared" si="4"/>
        <v>0.1004987562</v>
      </c>
      <c r="T241" s="7">
        <f t="shared" si="5"/>
        <v>0</v>
      </c>
      <c r="U241" s="7">
        <f t="shared" si="6"/>
        <v>0</v>
      </c>
      <c r="V241" s="7">
        <f t="shared" ref="V241:W241" si="485">IF(AVERAGE(T181:T240) &gt; 0.25, 1, 0)</f>
        <v>0</v>
      </c>
      <c r="W241" s="7">
        <f t="shared" si="485"/>
        <v>0</v>
      </c>
      <c r="X241" s="8">
        <v>0.0</v>
      </c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ht="22.5" customHeight="1">
      <c r="A242" s="6">
        <v>841.0</v>
      </c>
      <c r="B242" s="6">
        <v>51035.0</v>
      </c>
      <c r="C242" s="6">
        <v>1.24</v>
      </c>
      <c r="D242" s="6">
        <v>-0.2</v>
      </c>
      <c r="E242" s="6">
        <v>10.69</v>
      </c>
      <c r="F242" s="6">
        <v>-0.1</v>
      </c>
      <c r="G242" s="6">
        <v>0.0</v>
      </c>
      <c r="H242" s="6">
        <v>-0.01</v>
      </c>
      <c r="I242" s="6">
        <v>33.17</v>
      </c>
      <c r="J242" s="7">
        <f t="shared" ref="J242:O242" si="486">abs(C242-C241)/200</f>
        <v>0.00005</v>
      </c>
      <c r="K242" s="7">
        <f t="shared" si="486"/>
        <v>0.00005</v>
      </c>
      <c r="L242" s="7">
        <f t="shared" si="486"/>
        <v>0</v>
      </c>
      <c r="M242" s="7">
        <f t="shared" si="486"/>
        <v>0</v>
      </c>
      <c r="N242" s="7">
        <f t="shared" si="486"/>
        <v>0</v>
      </c>
      <c r="O242" s="7">
        <f t="shared" si="486"/>
        <v>0</v>
      </c>
      <c r="P242" s="7">
        <f t="shared" si="9"/>
        <v>0</v>
      </c>
      <c r="Q242" s="7">
        <f t="shared" si="10"/>
        <v>0.00132864173</v>
      </c>
      <c r="R242" s="7">
        <f t="shared" si="3"/>
        <v>0.9635356645</v>
      </c>
      <c r="S242" s="7">
        <f t="shared" si="4"/>
        <v>0.1004987562</v>
      </c>
      <c r="T242" s="7">
        <f t="shared" si="5"/>
        <v>0</v>
      </c>
      <c r="U242" s="7">
        <f t="shared" si="6"/>
        <v>0</v>
      </c>
      <c r="V242" s="7">
        <f t="shared" ref="V242:W242" si="487">IF(AVERAGE(T182:T241) &gt; 0.25, 1, 0)</f>
        <v>0</v>
      </c>
      <c r="W242" s="7">
        <f t="shared" si="487"/>
        <v>0</v>
      </c>
      <c r="X242" s="8">
        <v>0.0</v>
      </c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ht="22.5" customHeight="1">
      <c r="A243" s="6">
        <v>842.0</v>
      </c>
      <c r="B243" s="6">
        <v>51239.0</v>
      </c>
      <c r="C243" s="6">
        <v>1.23</v>
      </c>
      <c r="D243" s="6">
        <v>-0.2</v>
      </c>
      <c r="E243" s="6">
        <v>10.69</v>
      </c>
      <c r="F243" s="6">
        <v>-0.1</v>
      </c>
      <c r="G243" s="6">
        <v>0.0</v>
      </c>
      <c r="H243" s="6">
        <v>-0.01</v>
      </c>
      <c r="I243" s="6">
        <v>33.18</v>
      </c>
      <c r="J243" s="7">
        <f t="shared" ref="J243:O243" si="488">abs(C243-C242)/200</f>
        <v>0.00005</v>
      </c>
      <c r="K243" s="7">
        <f t="shared" si="488"/>
        <v>0</v>
      </c>
      <c r="L243" s="7">
        <f t="shared" si="488"/>
        <v>0</v>
      </c>
      <c r="M243" s="7">
        <f t="shared" si="488"/>
        <v>0</v>
      </c>
      <c r="N243" s="7">
        <f t="shared" si="488"/>
        <v>0</v>
      </c>
      <c r="O243" s="7">
        <f t="shared" si="488"/>
        <v>0</v>
      </c>
      <c r="P243" s="7">
        <f t="shared" si="9"/>
        <v>0</v>
      </c>
      <c r="Q243" s="7">
        <f t="shared" si="10"/>
        <v>0.001147453654</v>
      </c>
      <c r="R243" s="7">
        <f t="shared" si="3"/>
        <v>0.9623882108</v>
      </c>
      <c r="S243" s="7">
        <f t="shared" si="4"/>
        <v>0.1004987562</v>
      </c>
      <c r="T243" s="7">
        <f t="shared" si="5"/>
        <v>0</v>
      </c>
      <c r="U243" s="7">
        <f t="shared" si="6"/>
        <v>0</v>
      </c>
      <c r="V243" s="7">
        <f t="shared" ref="V243:W243" si="489">IF(AVERAGE(T183:T242) &gt; 0.25, 1, 0)</f>
        <v>0</v>
      </c>
      <c r="W243" s="7">
        <f t="shared" si="489"/>
        <v>0</v>
      </c>
      <c r="X243" s="8">
        <v>0.0</v>
      </c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ht="22.5" customHeight="1">
      <c r="A244" s="6">
        <v>843.0</v>
      </c>
      <c r="B244" s="6">
        <v>51443.0</v>
      </c>
      <c r="C244" s="6">
        <v>1.24</v>
      </c>
      <c r="D244" s="6">
        <v>-0.2</v>
      </c>
      <c r="E244" s="6">
        <v>10.68</v>
      </c>
      <c r="F244" s="6">
        <v>-0.1</v>
      </c>
      <c r="G244" s="6">
        <v>0.0</v>
      </c>
      <c r="H244" s="6">
        <v>-0.01</v>
      </c>
      <c r="I244" s="6">
        <v>33.17</v>
      </c>
      <c r="J244" s="7">
        <f t="shared" ref="J244:O244" si="490">abs(C244-C243)/200</f>
        <v>0.00005</v>
      </c>
      <c r="K244" s="7">
        <f t="shared" si="490"/>
        <v>0</v>
      </c>
      <c r="L244" s="7">
        <f t="shared" si="490"/>
        <v>0.00005</v>
      </c>
      <c r="M244" s="7">
        <f t="shared" si="490"/>
        <v>0</v>
      </c>
      <c r="N244" s="7">
        <f t="shared" si="490"/>
        <v>0</v>
      </c>
      <c r="O244" s="7">
        <f t="shared" si="490"/>
        <v>0</v>
      </c>
      <c r="P244" s="7">
        <f t="shared" si="9"/>
        <v>0</v>
      </c>
      <c r="Q244" s="7">
        <f t="shared" si="10"/>
        <v>0.008784163785</v>
      </c>
      <c r="R244" s="7">
        <f t="shared" si="3"/>
        <v>0.953604047</v>
      </c>
      <c r="S244" s="7">
        <f t="shared" si="4"/>
        <v>0.1004987562</v>
      </c>
      <c r="T244" s="7">
        <f t="shared" si="5"/>
        <v>0</v>
      </c>
      <c r="U244" s="7">
        <f t="shared" si="6"/>
        <v>0</v>
      </c>
      <c r="V244" s="7">
        <f t="shared" ref="V244:W244" si="491">IF(AVERAGE(T184:T243) &gt; 0.25, 1, 0)</f>
        <v>0</v>
      </c>
      <c r="W244" s="7">
        <f t="shared" si="491"/>
        <v>0</v>
      </c>
      <c r="X244" s="8">
        <v>0.0</v>
      </c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ht="22.5" customHeight="1">
      <c r="A245" s="6">
        <v>844.0</v>
      </c>
      <c r="B245" s="6">
        <v>51647.0</v>
      </c>
      <c r="C245" s="6">
        <v>1.24</v>
      </c>
      <c r="D245" s="6">
        <v>-0.2</v>
      </c>
      <c r="E245" s="6">
        <v>10.69</v>
      </c>
      <c r="F245" s="6">
        <v>-0.1</v>
      </c>
      <c r="G245" s="6">
        <v>0.0</v>
      </c>
      <c r="H245" s="6">
        <v>-0.01</v>
      </c>
      <c r="I245" s="6">
        <v>33.17</v>
      </c>
      <c r="J245" s="7">
        <f t="shared" ref="J245:O245" si="492">abs(C245-C244)/200</f>
        <v>0</v>
      </c>
      <c r="K245" s="7">
        <f t="shared" si="492"/>
        <v>0</v>
      </c>
      <c r="L245" s="7">
        <f t="shared" si="492"/>
        <v>0.00005</v>
      </c>
      <c r="M245" s="7">
        <f t="shared" si="492"/>
        <v>0</v>
      </c>
      <c r="N245" s="7">
        <f t="shared" si="492"/>
        <v>0</v>
      </c>
      <c r="O245" s="7">
        <f t="shared" si="492"/>
        <v>0</v>
      </c>
      <c r="P245" s="7">
        <f t="shared" si="9"/>
        <v>0</v>
      </c>
      <c r="Q245" s="7">
        <f t="shared" si="10"/>
        <v>0.009931617439</v>
      </c>
      <c r="R245" s="7">
        <f t="shared" si="3"/>
        <v>0.9635356645</v>
      </c>
      <c r="S245" s="7">
        <f t="shared" si="4"/>
        <v>0.1004987562</v>
      </c>
      <c r="T245" s="7">
        <f t="shared" si="5"/>
        <v>0</v>
      </c>
      <c r="U245" s="7">
        <f t="shared" si="6"/>
        <v>0</v>
      </c>
      <c r="V245" s="7">
        <f t="shared" ref="V245:W245" si="493">IF(AVERAGE(T185:T244) &gt; 0.25, 1, 0)</f>
        <v>0</v>
      </c>
      <c r="W245" s="7">
        <f t="shared" si="493"/>
        <v>0</v>
      </c>
      <c r="X245" s="8">
        <v>0.0</v>
      </c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ht="22.5" customHeight="1">
      <c r="A246" s="6">
        <v>845.0</v>
      </c>
      <c r="B246" s="6">
        <v>51851.0</v>
      </c>
      <c r="C246" s="6">
        <v>1.23</v>
      </c>
      <c r="D246" s="6">
        <v>-0.21</v>
      </c>
      <c r="E246" s="6">
        <v>10.68</v>
      </c>
      <c r="F246" s="6">
        <v>-0.1</v>
      </c>
      <c r="G246" s="6">
        <v>0.0</v>
      </c>
      <c r="H246" s="6">
        <v>-0.01</v>
      </c>
      <c r="I246" s="6">
        <v>33.17</v>
      </c>
      <c r="J246" s="7">
        <f t="shared" ref="J246:O246" si="494">abs(C246-C245)/200</f>
        <v>0.00005</v>
      </c>
      <c r="K246" s="7">
        <f t="shared" si="494"/>
        <v>0.00005</v>
      </c>
      <c r="L246" s="7">
        <f t="shared" si="494"/>
        <v>0.00005</v>
      </c>
      <c r="M246" s="7">
        <f t="shared" si="494"/>
        <v>0</v>
      </c>
      <c r="N246" s="7">
        <f t="shared" si="494"/>
        <v>0</v>
      </c>
      <c r="O246" s="7">
        <f t="shared" si="494"/>
        <v>0</v>
      </c>
      <c r="P246" s="7">
        <f t="shared" si="9"/>
        <v>0</v>
      </c>
      <c r="Q246" s="7">
        <f t="shared" si="10"/>
        <v>0.01088947852</v>
      </c>
      <c r="R246" s="7">
        <f t="shared" si="3"/>
        <v>0.9526461859</v>
      </c>
      <c r="S246" s="7">
        <f t="shared" si="4"/>
        <v>0.1004987562</v>
      </c>
      <c r="T246" s="7">
        <f t="shared" si="5"/>
        <v>0</v>
      </c>
      <c r="U246" s="7">
        <f t="shared" si="6"/>
        <v>0</v>
      </c>
      <c r="V246" s="7">
        <f t="shared" ref="V246:W246" si="495">IF(AVERAGE(T186:T245) &gt; 0.25, 1, 0)</f>
        <v>0</v>
      </c>
      <c r="W246" s="7">
        <f t="shared" si="495"/>
        <v>0</v>
      </c>
      <c r="X246" s="8">
        <v>0.0</v>
      </c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ht="22.5" customHeight="1">
      <c r="A247" s="6">
        <v>846.0</v>
      </c>
      <c r="B247" s="6">
        <v>52055.0</v>
      </c>
      <c r="C247" s="6">
        <v>1.24</v>
      </c>
      <c r="D247" s="6">
        <v>-0.2</v>
      </c>
      <c r="E247" s="6">
        <v>10.69</v>
      </c>
      <c r="F247" s="6">
        <v>-0.1</v>
      </c>
      <c r="G247" s="6">
        <v>0.0</v>
      </c>
      <c r="H247" s="6">
        <v>-0.01</v>
      </c>
      <c r="I247" s="6">
        <v>33.17</v>
      </c>
      <c r="J247" s="7">
        <f t="shared" ref="J247:O247" si="496">abs(C247-C246)/200</f>
        <v>0.00005</v>
      </c>
      <c r="K247" s="7">
        <f t="shared" si="496"/>
        <v>0.00005</v>
      </c>
      <c r="L247" s="7">
        <f t="shared" si="496"/>
        <v>0.00005</v>
      </c>
      <c r="M247" s="7">
        <f t="shared" si="496"/>
        <v>0</v>
      </c>
      <c r="N247" s="7">
        <f t="shared" si="496"/>
        <v>0</v>
      </c>
      <c r="O247" s="7">
        <f t="shared" si="496"/>
        <v>0</v>
      </c>
      <c r="P247" s="7">
        <f t="shared" si="9"/>
        <v>0</v>
      </c>
      <c r="Q247" s="7">
        <f t="shared" si="10"/>
        <v>0.01088947852</v>
      </c>
      <c r="R247" s="7">
        <f t="shared" si="3"/>
        <v>0.9635356645</v>
      </c>
      <c r="S247" s="7">
        <f t="shared" si="4"/>
        <v>0.1004987562</v>
      </c>
      <c r="T247" s="7">
        <f t="shared" si="5"/>
        <v>0</v>
      </c>
      <c r="U247" s="7">
        <f t="shared" si="6"/>
        <v>0</v>
      </c>
      <c r="V247" s="7">
        <f t="shared" ref="V247:W247" si="497">IF(AVERAGE(T187:T246) &gt; 0.25, 1, 0)</f>
        <v>0</v>
      </c>
      <c r="W247" s="7">
        <f t="shared" si="497"/>
        <v>0</v>
      </c>
      <c r="X247" s="8">
        <v>0.0</v>
      </c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ht="22.5" customHeight="1">
      <c r="A248" s="6">
        <v>847.0</v>
      </c>
      <c r="B248" s="6">
        <v>52259.0</v>
      </c>
      <c r="C248" s="6">
        <v>1.24</v>
      </c>
      <c r="D248" s="6">
        <v>-0.2</v>
      </c>
      <c r="E248" s="6">
        <v>10.69</v>
      </c>
      <c r="F248" s="6">
        <v>-0.1</v>
      </c>
      <c r="G248" s="6">
        <v>0.0</v>
      </c>
      <c r="H248" s="6">
        <v>-0.01</v>
      </c>
      <c r="I248" s="6">
        <v>33.18</v>
      </c>
      <c r="J248" s="7">
        <f t="shared" ref="J248:O248" si="498">abs(C248-C247)/200</f>
        <v>0</v>
      </c>
      <c r="K248" s="7">
        <f t="shared" si="498"/>
        <v>0</v>
      </c>
      <c r="L248" s="7">
        <f t="shared" si="498"/>
        <v>0</v>
      </c>
      <c r="M248" s="7">
        <f t="shared" si="498"/>
        <v>0</v>
      </c>
      <c r="N248" s="7">
        <f t="shared" si="498"/>
        <v>0</v>
      </c>
      <c r="O248" s="7">
        <f t="shared" si="498"/>
        <v>0</v>
      </c>
      <c r="P248" s="7">
        <f t="shared" si="9"/>
        <v>0</v>
      </c>
      <c r="Q248" s="7">
        <f t="shared" si="10"/>
        <v>0</v>
      </c>
      <c r="R248" s="7">
        <f t="shared" si="3"/>
        <v>0.9635356645</v>
      </c>
      <c r="S248" s="7">
        <f t="shared" si="4"/>
        <v>0.1004987562</v>
      </c>
      <c r="T248" s="7">
        <f t="shared" si="5"/>
        <v>0</v>
      </c>
      <c r="U248" s="7">
        <f t="shared" si="6"/>
        <v>0</v>
      </c>
      <c r="V248" s="7">
        <f t="shared" ref="V248:W248" si="499">IF(AVERAGE(T188:T247) &gt; 0.25, 1, 0)</f>
        <v>0</v>
      </c>
      <c r="W248" s="7">
        <f t="shared" si="499"/>
        <v>0</v>
      </c>
      <c r="X248" s="8">
        <v>0.0</v>
      </c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ht="22.5" customHeight="1">
      <c r="A249" s="6">
        <v>848.0</v>
      </c>
      <c r="B249" s="6">
        <v>52463.0</v>
      </c>
      <c r="C249" s="6">
        <v>1.23</v>
      </c>
      <c r="D249" s="6">
        <v>-0.2</v>
      </c>
      <c r="E249" s="6">
        <v>10.68</v>
      </c>
      <c r="F249" s="6">
        <v>-0.1</v>
      </c>
      <c r="G249" s="6">
        <v>0.0</v>
      </c>
      <c r="H249" s="6">
        <v>-0.01</v>
      </c>
      <c r="I249" s="6">
        <v>33.19</v>
      </c>
      <c r="J249" s="7">
        <f t="shared" ref="J249:O249" si="500">abs(C249-C248)/200</f>
        <v>0.00005</v>
      </c>
      <c r="K249" s="7">
        <f t="shared" si="500"/>
        <v>0</v>
      </c>
      <c r="L249" s="7">
        <f t="shared" si="500"/>
        <v>0.00005</v>
      </c>
      <c r="M249" s="7">
        <f t="shared" si="500"/>
        <v>0</v>
      </c>
      <c r="N249" s="7">
        <f t="shared" si="500"/>
        <v>0</v>
      </c>
      <c r="O249" s="7">
        <f t="shared" si="500"/>
        <v>0</v>
      </c>
      <c r="P249" s="7">
        <f t="shared" si="9"/>
        <v>0</v>
      </c>
      <c r="Q249" s="7">
        <f t="shared" si="10"/>
        <v>0.01108013095</v>
      </c>
      <c r="R249" s="7">
        <f t="shared" si="3"/>
        <v>0.9524555335</v>
      </c>
      <c r="S249" s="7">
        <f t="shared" si="4"/>
        <v>0.1004987562</v>
      </c>
      <c r="T249" s="7">
        <f t="shared" si="5"/>
        <v>0</v>
      </c>
      <c r="U249" s="7">
        <f t="shared" si="6"/>
        <v>0</v>
      </c>
      <c r="V249" s="7">
        <f t="shared" ref="V249:W249" si="501">IF(AVERAGE(T189:T248) &gt; 0.25, 1, 0)</f>
        <v>0</v>
      </c>
      <c r="W249" s="7">
        <f t="shared" si="501"/>
        <v>0</v>
      </c>
      <c r="X249" s="8">
        <v>0.0</v>
      </c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ht="22.5" customHeight="1">
      <c r="A250" s="6">
        <v>849.0</v>
      </c>
      <c r="B250" s="6">
        <v>52667.0</v>
      </c>
      <c r="C250" s="6">
        <v>1.24</v>
      </c>
      <c r="D250" s="6">
        <v>-0.2</v>
      </c>
      <c r="E250" s="6">
        <v>10.68</v>
      </c>
      <c r="F250" s="6">
        <v>-0.1</v>
      </c>
      <c r="G250" s="6">
        <v>0.0</v>
      </c>
      <c r="H250" s="6">
        <v>-0.01</v>
      </c>
      <c r="I250" s="6">
        <v>33.18</v>
      </c>
      <c r="J250" s="7">
        <f t="shared" ref="J250:O250" si="502">abs(C250-C249)/200</f>
        <v>0.00005</v>
      </c>
      <c r="K250" s="7">
        <f t="shared" si="502"/>
        <v>0</v>
      </c>
      <c r="L250" s="7">
        <f t="shared" si="502"/>
        <v>0</v>
      </c>
      <c r="M250" s="7">
        <f t="shared" si="502"/>
        <v>0</v>
      </c>
      <c r="N250" s="7">
        <f t="shared" si="502"/>
        <v>0</v>
      </c>
      <c r="O250" s="7">
        <f t="shared" si="502"/>
        <v>0</v>
      </c>
      <c r="P250" s="7">
        <f t="shared" si="9"/>
        <v>0</v>
      </c>
      <c r="Q250" s="7">
        <f t="shared" si="10"/>
        <v>0.001148513511</v>
      </c>
      <c r="R250" s="7">
        <f t="shared" si="3"/>
        <v>0.953604047</v>
      </c>
      <c r="S250" s="7">
        <f t="shared" si="4"/>
        <v>0.1004987562</v>
      </c>
      <c r="T250" s="7">
        <f t="shared" si="5"/>
        <v>0</v>
      </c>
      <c r="U250" s="7">
        <f t="shared" si="6"/>
        <v>0</v>
      </c>
      <c r="V250" s="7">
        <f t="shared" ref="V250:W250" si="503">IF(AVERAGE(T190:T249) &gt; 0.25, 1, 0)</f>
        <v>0</v>
      </c>
      <c r="W250" s="7">
        <f t="shared" si="503"/>
        <v>0</v>
      </c>
      <c r="X250" s="8">
        <v>0.0</v>
      </c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ht="22.5" customHeight="1">
      <c r="A251" s="6">
        <v>850.0</v>
      </c>
      <c r="B251" s="6">
        <v>52871.0</v>
      </c>
      <c r="C251" s="6">
        <v>1.24</v>
      </c>
      <c r="D251" s="6">
        <v>-0.21</v>
      </c>
      <c r="E251" s="6">
        <v>10.68</v>
      </c>
      <c r="F251" s="6">
        <v>-0.1</v>
      </c>
      <c r="G251" s="6">
        <v>0.0</v>
      </c>
      <c r="H251" s="6">
        <v>-0.01</v>
      </c>
      <c r="I251" s="6">
        <v>33.18</v>
      </c>
      <c r="J251" s="7">
        <f t="shared" ref="J251:O251" si="504">abs(C251-C250)/200</f>
        <v>0</v>
      </c>
      <c r="K251" s="7">
        <f t="shared" si="504"/>
        <v>0.00005</v>
      </c>
      <c r="L251" s="7">
        <f t="shared" si="504"/>
        <v>0</v>
      </c>
      <c r="M251" s="7">
        <f t="shared" si="504"/>
        <v>0</v>
      </c>
      <c r="N251" s="7">
        <f t="shared" si="504"/>
        <v>0</v>
      </c>
      <c r="O251" s="7">
        <f t="shared" si="504"/>
        <v>0</v>
      </c>
      <c r="P251" s="7">
        <f t="shared" si="9"/>
        <v>0</v>
      </c>
      <c r="Q251" s="7">
        <f t="shared" si="10"/>
        <v>0.0001906320728</v>
      </c>
      <c r="R251" s="7">
        <f t="shared" si="3"/>
        <v>0.9537946791</v>
      </c>
      <c r="S251" s="7">
        <f t="shared" si="4"/>
        <v>0.1004987562</v>
      </c>
      <c r="T251" s="7">
        <f t="shared" si="5"/>
        <v>0</v>
      </c>
      <c r="U251" s="7">
        <f t="shared" si="6"/>
        <v>0</v>
      </c>
      <c r="V251" s="7">
        <f t="shared" ref="V251:W251" si="505">IF(AVERAGE(T191:T250) &gt; 0.25, 1, 0)</f>
        <v>0</v>
      </c>
      <c r="W251" s="7">
        <f t="shared" si="505"/>
        <v>0</v>
      </c>
      <c r="X251" s="8">
        <v>0.0</v>
      </c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ht="22.5" customHeight="1">
      <c r="A252" s="6">
        <v>851.0</v>
      </c>
      <c r="B252" s="6">
        <v>53075.0</v>
      </c>
      <c r="C252" s="6">
        <v>1.23</v>
      </c>
      <c r="D252" s="6">
        <v>-0.2</v>
      </c>
      <c r="E252" s="6">
        <v>10.67</v>
      </c>
      <c r="F252" s="6">
        <v>-0.1</v>
      </c>
      <c r="G252" s="6">
        <v>0.0</v>
      </c>
      <c r="H252" s="6">
        <v>-0.01</v>
      </c>
      <c r="I252" s="6">
        <v>33.18</v>
      </c>
      <c r="J252" s="7">
        <f t="shared" ref="J252:O252" si="506">abs(C252-C251)/200</f>
        <v>0.00005</v>
      </c>
      <c r="K252" s="7">
        <f t="shared" si="506"/>
        <v>0.00005</v>
      </c>
      <c r="L252" s="7">
        <f t="shared" si="506"/>
        <v>0.00005</v>
      </c>
      <c r="M252" s="7">
        <f t="shared" si="506"/>
        <v>0</v>
      </c>
      <c r="N252" s="7">
        <f t="shared" si="506"/>
        <v>0</v>
      </c>
      <c r="O252" s="7">
        <f t="shared" si="506"/>
        <v>0</v>
      </c>
      <c r="P252" s="7">
        <f t="shared" si="9"/>
        <v>0</v>
      </c>
      <c r="Q252" s="7">
        <f t="shared" si="10"/>
        <v>0.01127169796</v>
      </c>
      <c r="R252" s="7">
        <f t="shared" si="3"/>
        <v>0.9425229811</v>
      </c>
      <c r="S252" s="7">
        <f t="shared" si="4"/>
        <v>0.1004987562</v>
      </c>
      <c r="T252" s="7">
        <f t="shared" si="5"/>
        <v>0</v>
      </c>
      <c r="U252" s="7">
        <f t="shared" si="6"/>
        <v>0</v>
      </c>
      <c r="V252" s="7">
        <f t="shared" ref="V252:W252" si="507">IF(AVERAGE(T192:T251) &gt; 0.25, 1, 0)</f>
        <v>0</v>
      </c>
      <c r="W252" s="7">
        <f t="shared" si="507"/>
        <v>0</v>
      </c>
      <c r="X252" s="8">
        <v>0.0</v>
      </c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ht="22.5" customHeight="1">
      <c r="A253" s="6">
        <v>852.0</v>
      </c>
      <c r="B253" s="6">
        <v>53279.0</v>
      </c>
      <c r="C253" s="6">
        <v>1.24</v>
      </c>
      <c r="D253" s="6">
        <v>-0.2</v>
      </c>
      <c r="E253" s="6">
        <v>10.69</v>
      </c>
      <c r="F253" s="6">
        <v>-0.1</v>
      </c>
      <c r="G253" s="6">
        <v>0.0</v>
      </c>
      <c r="H253" s="6">
        <v>-0.01</v>
      </c>
      <c r="I253" s="6">
        <v>33.18</v>
      </c>
      <c r="J253" s="7">
        <f t="shared" ref="J253:O253" si="508">abs(C253-C252)/200</f>
        <v>0.00005</v>
      </c>
      <c r="K253" s="7">
        <f t="shared" si="508"/>
        <v>0</v>
      </c>
      <c r="L253" s="7">
        <f t="shared" si="508"/>
        <v>0.0001</v>
      </c>
      <c r="M253" s="7">
        <f t="shared" si="508"/>
        <v>0</v>
      </c>
      <c r="N253" s="7">
        <f t="shared" si="508"/>
        <v>0</v>
      </c>
      <c r="O253" s="7">
        <f t="shared" si="508"/>
        <v>0</v>
      </c>
      <c r="P253" s="7">
        <f t="shared" si="9"/>
        <v>0</v>
      </c>
      <c r="Q253" s="7">
        <f t="shared" si="10"/>
        <v>0.02101268333</v>
      </c>
      <c r="R253" s="7">
        <f t="shared" si="3"/>
        <v>0.9635356645</v>
      </c>
      <c r="S253" s="7">
        <f t="shared" si="4"/>
        <v>0.1004987562</v>
      </c>
      <c r="T253" s="7">
        <f t="shared" si="5"/>
        <v>0</v>
      </c>
      <c r="U253" s="7">
        <f t="shared" si="6"/>
        <v>0</v>
      </c>
      <c r="V253" s="7">
        <f t="shared" ref="V253:W253" si="509">IF(AVERAGE(T193:T252) &gt; 0.25, 1, 0)</f>
        <v>0</v>
      </c>
      <c r="W253" s="7">
        <f t="shared" si="509"/>
        <v>0</v>
      </c>
      <c r="X253" s="8">
        <v>0.0</v>
      </c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ht="22.5" customHeight="1">
      <c r="A254" s="6">
        <v>853.0</v>
      </c>
      <c r="B254" s="6">
        <v>53483.0</v>
      </c>
      <c r="C254" s="6">
        <v>1.24</v>
      </c>
      <c r="D254" s="6">
        <v>-0.2</v>
      </c>
      <c r="E254" s="6">
        <v>10.67</v>
      </c>
      <c r="F254" s="6">
        <v>-0.1</v>
      </c>
      <c r="G254" s="6">
        <v>0.0</v>
      </c>
      <c r="H254" s="6">
        <v>-0.01</v>
      </c>
      <c r="I254" s="6">
        <v>33.17</v>
      </c>
      <c r="J254" s="7">
        <f t="shared" ref="J254:O254" si="510">abs(C254-C253)/200</f>
        <v>0</v>
      </c>
      <c r="K254" s="7">
        <f t="shared" si="510"/>
        <v>0</v>
      </c>
      <c r="L254" s="7">
        <f t="shared" si="510"/>
        <v>0.0001</v>
      </c>
      <c r="M254" s="7">
        <f t="shared" si="510"/>
        <v>0</v>
      </c>
      <c r="N254" s="7">
        <f t="shared" si="510"/>
        <v>0</v>
      </c>
      <c r="O254" s="7">
        <f t="shared" si="510"/>
        <v>0</v>
      </c>
      <c r="P254" s="7">
        <f t="shared" si="9"/>
        <v>0</v>
      </c>
      <c r="Q254" s="7">
        <f t="shared" si="10"/>
        <v>0.01986310802</v>
      </c>
      <c r="R254" s="7">
        <f t="shared" si="3"/>
        <v>0.9436725564</v>
      </c>
      <c r="S254" s="7">
        <f t="shared" si="4"/>
        <v>0.1004987562</v>
      </c>
      <c r="T254" s="7">
        <f t="shared" si="5"/>
        <v>0</v>
      </c>
      <c r="U254" s="7">
        <f t="shared" si="6"/>
        <v>0</v>
      </c>
      <c r="V254" s="7">
        <f t="shared" ref="V254:W254" si="511">IF(AVERAGE(T194:T253) &gt; 0.25, 1, 0)</f>
        <v>0</v>
      </c>
      <c r="W254" s="7">
        <f t="shared" si="511"/>
        <v>0</v>
      </c>
      <c r="X254" s="8">
        <v>0.0</v>
      </c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ht="22.5" customHeight="1">
      <c r="A255" s="6">
        <v>854.0</v>
      </c>
      <c r="B255" s="6">
        <v>53687.0</v>
      </c>
      <c r="C255" s="6">
        <v>1.23</v>
      </c>
      <c r="D255" s="6">
        <v>-0.2</v>
      </c>
      <c r="E255" s="6">
        <v>10.69</v>
      </c>
      <c r="F255" s="6">
        <v>-0.1</v>
      </c>
      <c r="G255" s="6">
        <v>0.0</v>
      </c>
      <c r="H255" s="6">
        <v>-0.01</v>
      </c>
      <c r="I255" s="6">
        <v>33.17</v>
      </c>
      <c r="J255" s="7">
        <f t="shared" ref="J255:O255" si="512">abs(C255-C254)/200</f>
        <v>0.00005</v>
      </c>
      <c r="K255" s="7">
        <f t="shared" si="512"/>
        <v>0</v>
      </c>
      <c r="L255" s="7">
        <f t="shared" si="512"/>
        <v>0.0001</v>
      </c>
      <c r="M255" s="7">
        <f t="shared" si="512"/>
        <v>0</v>
      </c>
      <c r="N255" s="7">
        <f t="shared" si="512"/>
        <v>0</v>
      </c>
      <c r="O255" s="7">
        <f t="shared" si="512"/>
        <v>0</v>
      </c>
      <c r="P255" s="7">
        <f t="shared" si="9"/>
        <v>0</v>
      </c>
      <c r="Q255" s="7">
        <f t="shared" si="10"/>
        <v>0.01871565436</v>
      </c>
      <c r="R255" s="7">
        <f t="shared" si="3"/>
        <v>0.9623882108</v>
      </c>
      <c r="S255" s="7">
        <f t="shared" si="4"/>
        <v>0.1004987562</v>
      </c>
      <c r="T255" s="7">
        <f t="shared" si="5"/>
        <v>0</v>
      </c>
      <c r="U255" s="7">
        <f t="shared" si="6"/>
        <v>0</v>
      </c>
      <c r="V255" s="7">
        <f t="shared" ref="V255:W255" si="513">IF(AVERAGE(T195:T254) &gt; 0.25, 1, 0)</f>
        <v>0</v>
      </c>
      <c r="W255" s="7">
        <f t="shared" si="513"/>
        <v>0</v>
      </c>
      <c r="X255" s="8">
        <v>0.0</v>
      </c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ht="22.5" customHeight="1">
      <c r="A256" s="6">
        <v>855.0</v>
      </c>
      <c r="B256" s="6">
        <v>53891.0</v>
      </c>
      <c r="C256" s="6">
        <v>1.24</v>
      </c>
      <c r="D256" s="6">
        <v>-0.2</v>
      </c>
      <c r="E256" s="6">
        <v>10.69</v>
      </c>
      <c r="F256" s="6">
        <v>-0.1</v>
      </c>
      <c r="G256" s="6">
        <v>0.0</v>
      </c>
      <c r="H256" s="6">
        <v>-0.01</v>
      </c>
      <c r="I256" s="6">
        <v>33.17</v>
      </c>
      <c r="J256" s="7">
        <f t="shared" ref="J256:O256" si="514">abs(C256-C255)/200</f>
        <v>0.00005</v>
      </c>
      <c r="K256" s="7">
        <f t="shared" si="514"/>
        <v>0</v>
      </c>
      <c r="L256" s="7">
        <f t="shared" si="514"/>
        <v>0</v>
      </c>
      <c r="M256" s="7">
        <f t="shared" si="514"/>
        <v>0</v>
      </c>
      <c r="N256" s="7">
        <f t="shared" si="514"/>
        <v>0</v>
      </c>
      <c r="O256" s="7">
        <f t="shared" si="514"/>
        <v>0</v>
      </c>
      <c r="P256" s="7">
        <f t="shared" si="9"/>
        <v>0</v>
      </c>
      <c r="Q256" s="7">
        <f t="shared" si="10"/>
        <v>0.001147453654</v>
      </c>
      <c r="R256" s="7">
        <f t="shared" si="3"/>
        <v>0.9635356645</v>
      </c>
      <c r="S256" s="7">
        <f t="shared" si="4"/>
        <v>0.1004987562</v>
      </c>
      <c r="T256" s="7">
        <f t="shared" si="5"/>
        <v>0</v>
      </c>
      <c r="U256" s="7">
        <f t="shared" si="6"/>
        <v>0</v>
      </c>
      <c r="V256" s="7">
        <f t="shared" ref="V256:W256" si="515">IF(AVERAGE(T196:T255) &gt; 0.25, 1, 0)</f>
        <v>0</v>
      </c>
      <c r="W256" s="7">
        <f t="shared" si="515"/>
        <v>0</v>
      </c>
      <c r="X256" s="8">
        <v>0.0</v>
      </c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ht="22.5" customHeight="1">
      <c r="A257" s="6">
        <v>856.0</v>
      </c>
      <c r="B257" s="6">
        <v>54095.0</v>
      </c>
      <c r="C257" s="6">
        <v>1.23</v>
      </c>
      <c r="D257" s="6">
        <v>-0.2</v>
      </c>
      <c r="E257" s="6">
        <v>10.68</v>
      </c>
      <c r="F257" s="6">
        <v>-0.1</v>
      </c>
      <c r="G257" s="6">
        <v>0.0</v>
      </c>
      <c r="H257" s="6">
        <v>-0.01</v>
      </c>
      <c r="I257" s="6">
        <v>33.18</v>
      </c>
      <c r="J257" s="7">
        <f t="shared" ref="J257:O257" si="516">abs(C257-C256)/200</f>
        <v>0.00005</v>
      </c>
      <c r="K257" s="7">
        <f t="shared" si="516"/>
        <v>0</v>
      </c>
      <c r="L257" s="7">
        <f t="shared" si="516"/>
        <v>0.00005</v>
      </c>
      <c r="M257" s="7">
        <f t="shared" si="516"/>
        <v>0</v>
      </c>
      <c r="N257" s="7">
        <f t="shared" si="516"/>
        <v>0</v>
      </c>
      <c r="O257" s="7">
        <f t="shared" si="516"/>
        <v>0</v>
      </c>
      <c r="P257" s="7">
        <f t="shared" si="9"/>
        <v>0</v>
      </c>
      <c r="Q257" s="7">
        <f t="shared" si="10"/>
        <v>0.01108013095</v>
      </c>
      <c r="R257" s="7">
        <f t="shared" si="3"/>
        <v>0.9524555335</v>
      </c>
      <c r="S257" s="7">
        <f t="shared" si="4"/>
        <v>0.1004987562</v>
      </c>
      <c r="T257" s="7">
        <f t="shared" si="5"/>
        <v>0</v>
      </c>
      <c r="U257" s="7">
        <f t="shared" si="6"/>
        <v>0</v>
      </c>
      <c r="V257" s="7">
        <f t="shared" ref="V257:W257" si="517">IF(AVERAGE(T197:T256) &gt; 0.25, 1, 0)</f>
        <v>0</v>
      </c>
      <c r="W257" s="7">
        <f t="shared" si="517"/>
        <v>0</v>
      </c>
      <c r="X257" s="8">
        <v>0.0</v>
      </c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ht="22.5" customHeight="1">
      <c r="A258" s="6">
        <v>857.0</v>
      </c>
      <c r="B258" s="6">
        <v>54299.0</v>
      </c>
      <c r="C258" s="6">
        <v>1.24</v>
      </c>
      <c r="D258" s="6">
        <v>-0.2</v>
      </c>
      <c r="E258" s="6">
        <v>10.67</v>
      </c>
      <c r="F258" s="6">
        <v>-0.1</v>
      </c>
      <c r="G258" s="6">
        <v>0.0</v>
      </c>
      <c r="H258" s="6">
        <v>-0.01</v>
      </c>
      <c r="I258" s="6">
        <v>33.17</v>
      </c>
      <c r="J258" s="7">
        <f t="shared" ref="J258:O258" si="518">abs(C258-C257)/200</f>
        <v>0.00005</v>
      </c>
      <c r="K258" s="7">
        <f t="shared" si="518"/>
        <v>0</v>
      </c>
      <c r="L258" s="7">
        <f t="shared" si="518"/>
        <v>0.00005</v>
      </c>
      <c r="M258" s="7">
        <f t="shared" si="518"/>
        <v>0</v>
      </c>
      <c r="N258" s="7">
        <f t="shared" si="518"/>
        <v>0</v>
      </c>
      <c r="O258" s="7">
        <f t="shared" si="518"/>
        <v>0</v>
      </c>
      <c r="P258" s="7">
        <f t="shared" si="9"/>
        <v>0</v>
      </c>
      <c r="Q258" s="7">
        <f t="shared" si="10"/>
        <v>0.008782977065</v>
      </c>
      <c r="R258" s="7">
        <f t="shared" si="3"/>
        <v>0.9436725564</v>
      </c>
      <c r="S258" s="7">
        <f t="shared" si="4"/>
        <v>0.1004987562</v>
      </c>
      <c r="T258" s="7">
        <f t="shared" si="5"/>
        <v>0</v>
      </c>
      <c r="U258" s="7">
        <f t="shared" si="6"/>
        <v>0</v>
      </c>
      <c r="V258" s="7">
        <f t="shared" ref="V258:W258" si="519">IF(AVERAGE(T198:T257) &gt; 0.25, 1, 0)</f>
        <v>0</v>
      </c>
      <c r="W258" s="7">
        <f t="shared" si="519"/>
        <v>0</v>
      </c>
      <c r="X258" s="8">
        <v>0.0</v>
      </c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ht="22.5" customHeight="1">
      <c r="A259" s="6">
        <v>858.0</v>
      </c>
      <c r="B259" s="6">
        <v>54503.0</v>
      </c>
      <c r="C259" s="6">
        <v>1.23</v>
      </c>
      <c r="D259" s="6">
        <v>-0.19</v>
      </c>
      <c r="E259" s="6">
        <v>10.68</v>
      </c>
      <c r="F259" s="6">
        <v>-0.1</v>
      </c>
      <c r="G259" s="6">
        <v>0.0</v>
      </c>
      <c r="H259" s="6">
        <v>-0.01</v>
      </c>
      <c r="I259" s="6">
        <v>33.17</v>
      </c>
      <c r="J259" s="7">
        <f t="shared" ref="J259:O259" si="520">abs(C259-C258)/200</f>
        <v>0.00005</v>
      </c>
      <c r="K259" s="7">
        <f t="shared" si="520"/>
        <v>0.00005</v>
      </c>
      <c r="L259" s="7">
        <f t="shared" si="520"/>
        <v>0.00005</v>
      </c>
      <c r="M259" s="7">
        <f t="shared" si="520"/>
        <v>0</v>
      </c>
      <c r="N259" s="7">
        <f t="shared" si="520"/>
        <v>0</v>
      </c>
      <c r="O259" s="7">
        <f t="shared" si="520"/>
        <v>0</v>
      </c>
      <c r="P259" s="7">
        <f t="shared" si="9"/>
        <v>0</v>
      </c>
      <c r="Q259" s="7">
        <f t="shared" si="10"/>
        <v>0.008601621612</v>
      </c>
      <c r="R259" s="7">
        <f t="shared" si="3"/>
        <v>0.9522741781</v>
      </c>
      <c r="S259" s="7">
        <f t="shared" si="4"/>
        <v>0.1004987562</v>
      </c>
      <c r="T259" s="7">
        <f t="shared" si="5"/>
        <v>0</v>
      </c>
      <c r="U259" s="7">
        <f t="shared" si="6"/>
        <v>0</v>
      </c>
      <c r="V259" s="7">
        <f t="shared" ref="V259:W259" si="521">IF(AVERAGE(T199:T258) &gt; 0.25, 1, 0)</f>
        <v>0</v>
      </c>
      <c r="W259" s="7">
        <f t="shared" si="521"/>
        <v>0</v>
      </c>
      <c r="X259" s="8">
        <v>0.0</v>
      </c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ht="22.5" customHeight="1">
      <c r="A260" s="6">
        <v>859.0</v>
      </c>
      <c r="B260" s="6">
        <v>54707.0</v>
      </c>
      <c r="C260" s="6">
        <v>1.23</v>
      </c>
      <c r="D260" s="6">
        <v>-0.19</v>
      </c>
      <c r="E260" s="6">
        <v>10.68</v>
      </c>
      <c r="F260" s="6">
        <v>-0.1</v>
      </c>
      <c r="G260" s="6">
        <v>0.0</v>
      </c>
      <c r="H260" s="6">
        <v>-0.01</v>
      </c>
      <c r="I260" s="6">
        <v>33.17</v>
      </c>
      <c r="J260" s="7">
        <f t="shared" ref="J260:O260" si="522">abs(C260-C259)/200</f>
        <v>0</v>
      </c>
      <c r="K260" s="7">
        <f t="shared" si="522"/>
        <v>0</v>
      </c>
      <c r="L260" s="7">
        <f t="shared" si="522"/>
        <v>0</v>
      </c>
      <c r="M260" s="7">
        <f t="shared" si="522"/>
        <v>0</v>
      </c>
      <c r="N260" s="7">
        <f t="shared" si="522"/>
        <v>0</v>
      </c>
      <c r="O260" s="7">
        <f t="shared" si="522"/>
        <v>0</v>
      </c>
      <c r="P260" s="7">
        <f t="shared" si="9"/>
        <v>0</v>
      </c>
      <c r="Q260" s="7">
        <f t="shared" si="10"/>
        <v>0</v>
      </c>
      <c r="R260" s="7">
        <f t="shared" si="3"/>
        <v>0.9522741781</v>
      </c>
      <c r="S260" s="7">
        <f t="shared" si="4"/>
        <v>0.1004987562</v>
      </c>
      <c r="T260" s="7">
        <f t="shared" si="5"/>
        <v>0</v>
      </c>
      <c r="U260" s="7">
        <f t="shared" si="6"/>
        <v>0</v>
      </c>
      <c r="V260" s="7">
        <f t="shared" ref="V260:W260" si="523">IF(AVERAGE(T200:T259) &gt; 0.25, 1, 0)</f>
        <v>0</v>
      </c>
      <c r="W260" s="7">
        <f t="shared" si="523"/>
        <v>0</v>
      </c>
      <c r="X260" s="8">
        <v>0.0</v>
      </c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ht="22.5" customHeight="1">
      <c r="A261" s="6">
        <v>860.0</v>
      </c>
      <c r="B261" s="6">
        <v>54911.0</v>
      </c>
      <c r="C261" s="6">
        <v>1.23</v>
      </c>
      <c r="D261" s="6">
        <v>-0.2</v>
      </c>
      <c r="E261" s="6">
        <v>10.68</v>
      </c>
      <c r="F261" s="6">
        <v>-0.1</v>
      </c>
      <c r="G261" s="6">
        <v>0.0</v>
      </c>
      <c r="H261" s="6">
        <v>-0.01</v>
      </c>
      <c r="I261" s="6">
        <v>33.18</v>
      </c>
      <c r="J261" s="7">
        <f t="shared" ref="J261:O261" si="524">abs(C261-C260)/200</f>
        <v>0</v>
      </c>
      <c r="K261" s="7">
        <f t="shared" si="524"/>
        <v>0.00005</v>
      </c>
      <c r="L261" s="7">
        <f t="shared" si="524"/>
        <v>0</v>
      </c>
      <c r="M261" s="7">
        <f t="shared" si="524"/>
        <v>0</v>
      </c>
      <c r="N261" s="7">
        <f t="shared" si="524"/>
        <v>0</v>
      </c>
      <c r="O261" s="7">
        <f t="shared" si="524"/>
        <v>0</v>
      </c>
      <c r="P261" s="7">
        <f t="shared" si="9"/>
        <v>0</v>
      </c>
      <c r="Q261" s="7">
        <f t="shared" si="10"/>
        <v>0.0001813554531</v>
      </c>
      <c r="R261" s="7">
        <f t="shared" si="3"/>
        <v>0.9524555335</v>
      </c>
      <c r="S261" s="7">
        <f t="shared" si="4"/>
        <v>0.1004987562</v>
      </c>
      <c r="T261" s="7">
        <f t="shared" si="5"/>
        <v>0</v>
      </c>
      <c r="U261" s="7">
        <f t="shared" si="6"/>
        <v>0</v>
      </c>
      <c r="V261" s="7">
        <f t="shared" ref="V261:W261" si="525">IF(AVERAGE(T201:T260) &gt; 0.25, 1, 0)</f>
        <v>0</v>
      </c>
      <c r="W261" s="7">
        <f t="shared" si="525"/>
        <v>0</v>
      </c>
      <c r="X261" s="8">
        <v>0.0</v>
      </c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ht="22.5" customHeight="1">
      <c r="A262" s="6">
        <v>861.0</v>
      </c>
      <c r="B262" s="6">
        <v>55115.0</v>
      </c>
      <c r="C262" s="6">
        <v>1.24</v>
      </c>
      <c r="D262" s="6">
        <v>-0.2</v>
      </c>
      <c r="E262" s="6">
        <v>10.67</v>
      </c>
      <c r="F262" s="6">
        <v>-0.1</v>
      </c>
      <c r="G262" s="6">
        <v>0.0</v>
      </c>
      <c r="H262" s="6">
        <v>-0.01</v>
      </c>
      <c r="I262" s="6">
        <v>33.18</v>
      </c>
      <c r="J262" s="7">
        <f t="shared" ref="J262:O262" si="526">abs(C262-C261)/200</f>
        <v>0.00005</v>
      </c>
      <c r="K262" s="7">
        <f t="shared" si="526"/>
        <v>0</v>
      </c>
      <c r="L262" s="7">
        <f t="shared" si="526"/>
        <v>0.00005</v>
      </c>
      <c r="M262" s="7">
        <f t="shared" si="526"/>
        <v>0</v>
      </c>
      <c r="N262" s="7">
        <f t="shared" si="526"/>
        <v>0</v>
      </c>
      <c r="O262" s="7">
        <f t="shared" si="526"/>
        <v>0</v>
      </c>
      <c r="P262" s="7">
        <f t="shared" si="9"/>
        <v>0</v>
      </c>
      <c r="Q262" s="7">
        <f t="shared" si="10"/>
        <v>0.008782977065</v>
      </c>
      <c r="R262" s="7">
        <f t="shared" si="3"/>
        <v>0.9436725564</v>
      </c>
      <c r="S262" s="7">
        <f t="shared" si="4"/>
        <v>0.1004987562</v>
      </c>
      <c r="T262" s="7">
        <f t="shared" si="5"/>
        <v>0</v>
      </c>
      <c r="U262" s="7">
        <f t="shared" si="6"/>
        <v>0</v>
      </c>
      <c r="V262" s="7">
        <f t="shared" ref="V262:W262" si="527">IF(AVERAGE(T202:T261) &gt; 0.25, 1, 0)</f>
        <v>0</v>
      </c>
      <c r="W262" s="7">
        <f t="shared" si="527"/>
        <v>0</v>
      </c>
      <c r="X262" s="8">
        <v>0.0</v>
      </c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ht="22.5" customHeight="1">
      <c r="A263" s="6">
        <v>862.0</v>
      </c>
      <c r="B263" s="6">
        <v>55319.0</v>
      </c>
      <c r="C263" s="6">
        <v>1.23</v>
      </c>
      <c r="D263" s="6">
        <v>-0.21</v>
      </c>
      <c r="E263" s="6">
        <v>10.69</v>
      </c>
      <c r="F263" s="6">
        <v>-0.1</v>
      </c>
      <c r="G263" s="6">
        <v>0.0</v>
      </c>
      <c r="H263" s="6">
        <v>-0.01</v>
      </c>
      <c r="I263" s="6">
        <v>33.18</v>
      </c>
      <c r="J263" s="7">
        <f t="shared" ref="J263:O263" si="528">abs(C263-C262)/200</f>
        <v>0.00005</v>
      </c>
      <c r="K263" s="7">
        <f t="shared" si="528"/>
        <v>0.00005</v>
      </c>
      <c r="L263" s="7">
        <f t="shared" si="528"/>
        <v>0.0001</v>
      </c>
      <c r="M263" s="7">
        <f t="shared" si="528"/>
        <v>0</v>
      </c>
      <c r="N263" s="7">
        <f t="shared" si="528"/>
        <v>0</v>
      </c>
      <c r="O263" s="7">
        <f t="shared" si="528"/>
        <v>0</v>
      </c>
      <c r="P263" s="7">
        <f t="shared" si="9"/>
        <v>0</v>
      </c>
      <c r="Q263" s="7">
        <f t="shared" si="10"/>
        <v>0.01890613085</v>
      </c>
      <c r="R263" s="7">
        <f t="shared" si="3"/>
        <v>0.9625786873</v>
      </c>
      <c r="S263" s="7">
        <f t="shared" si="4"/>
        <v>0.1004987562</v>
      </c>
      <c r="T263" s="7">
        <f t="shared" si="5"/>
        <v>0</v>
      </c>
      <c r="U263" s="7">
        <f t="shared" si="6"/>
        <v>0</v>
      </c>
      <c r="V263" s="7">
        <f t="shared" ref="V263:W263" si="529">IF(AVERAGE(T203:T262) &gt; 0.25, 1, 0)</f>
        <v>0</v>
      </c>
      <c r="W263" s="7">
        <f t="shared" si="529"/>
        <v>0</v>
      </c>
      <c r="X263" s="8">
        <v>0.0</v>
      </c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ht="22.5" customHeight="1">
      <c r="A264" s="6">
        <v>863.0</v>
      </c>
      <c r="B264" s="6">
        <v>55523.0</v>
      </c>
      <c r="C264" s="6">
        <v>1.23</v>
      </c>
      <c r="D264" s="6">
        <v>-0.21</v>
      </c>
      <c r="E264" s="6">
        <v>10.69</v>
      </c>
      <c r="F264" s="6">
        <v>-0.1</v>
      </c>
      <c r="G264" s="6">
        <v>0.0</v>
      </c>
      <c r="H264" s="6">
        <v>-0.01</v>
      </c>
      <c r="I264" s="6">
        <v>33.18</v>
      </c>
      <c r="J264" s="7">
        <f t="shared" ref="J264:O264" si="530">abs(C264-C263)/200</f>
        <v>0</v>
      </c>
      <c r="K264" s="7">
        <f t="shared" si="530"/>
        <v>0</v>
      </c>
      <c r="L264" s="7">
        <f t="shared" si="530"/>
        <v>0</v>
      </c>
      <c r="M264" s="7">
        <f t="shared" si="530"/>
        <v>0</v>
      </c>
      <c r="N264" s="7">
        <f t="shared" si="530"/>
        <v>0</v>
      </c>
      <c r="O264" s="7">
        <f t="shared" si="530"/>
        <v>0</v>
      </c>
      <c r="P264" s="7">
        <f t="shared" si="9"/>
        <v>0</v>
      </c>
      <c r="Q264" s="7">
        <f t="shared" si="10"/>
        <v>0</v>
      </c>
      <c r="R264" s="7">
        <f t="shared" si="3"/>
        <v>0.9625786873</v>
      </c>
      <c r="S264" s="7">
        <f t="shared" si="4"/>
        <v>0.1004987562</v>
      </c>
      <c r="T264" s="7">
        <f t="shared" si="5"/>
        <v>0</v>
      </c>
      <c r="U264" s="7">
        <f t="shared" si="6"/>
        <v>0</v>
      </c>
      <c r="V264" s="7">
        <f t="shared" ref="V264:W264" si="531">IF(AVERAGE(T204:T263) &gt; 0.25, 1, 0)</f>
        <v>0</v>
      </c>
      <c r="W264" s="7">
        <f t="shared" si="531"/>
        <v>0</v>
      </c>
      <c r="X264" s="8">
        <v>0.0</v>
      </c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ht="22.5" customHeight="1">
      <c r="A265" s="6">
        <v>864.0</v>
      </c>
      <c r="B265" s="6">
        <v>55727.0</v>
      </c>
      <c r="C265" s="6">
        <v>1.23</v>
      </c>
      <c r="D265" s="6">
        <v>-0.2</v>
      </c>
      <c r="E265" s="6">
        <v>10.68</v>
      </c>
      <c r="F265" s="6">
        <v>-0.1</v>
      </c>
      <c r="G265" s="6">
        <v>0.0</v>
      </c>
      <c r="H265" s="6">
        <v>-0.01</v>
      </c>
      <c r="I265" s="6">
        <v>33.17</v>
      </c>
      <c r="J265" s="7">
        <f t="shared" ref="J265:O265" si="532">abs(C265-C264)/200</f>
        <v>0</v>
      </c>
      <c r="K265" s="7">
        <f t="shared" si="532"/>
        <v>0.00005</v>
      </c>
      <c r="L265" s="7">
        <f t="shared" si="532"/>
        <v>0.00005</v>
      </c>
      <c r="M265" s="7">
        <f t="shared" si="532"/>
        <v>0</v>
      </c>
      <c r="N265" s="7">
        <f t="shared" si="532"/>
        <v>0</v>
      </c>
      <c r="O265" s="7">
        <f t="shared" si="532"/>
        <v>0</v>
      </c>
      <c r="P265" s="7">
        <f t="shared" si="9"/>
        <v>0</v>
      </c>
      <c r="Q265" s="7">
        <f t="shared" si="10"/>
        <v>0.01012315378</v>
      </c>
      <c r="R265" s="7">
        <f t="shared" si="3"/>
        <v>0.9524555335</v>
      </c>
      <c r="S265" s="7">
        <f t="shared" si="4"/>
        <v>0.1004987562</v>
      </c>
      <c r="T265" s="7">
        <f t="shared" si="5"/>
        <v>0</v>
      </c>
      <c r="U265" s="7">
        <f t="shared" si="6"/>
        <v>0</v>
      </c>
      <c r="V265" s="7">
        <f t="shared" ref="V265:W265" si="533">IF(AVERAGE(T205:T264) &gt; 0.25, 1, 0)</f>
        <v>0</v>
      </c>
      <c r="W265" s="7">
        <f t="shared" si="533"/>
        <v>0</v>
      </c>
      <c r="X265" s="8">
        <v>0.0</v>
      </c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ht="22.5" customHeight="1">
      <c r="A266" s="6">
        <v>865.0</v>
      </c>
      <c r="B266" s="6">
        <v>55931.0</v>
      </c>
      <c r="C266" s="6">
        <v>1.24</v>
      </c>
      <c r="D266" s="6">
        <v>-0.21</v>
      </c>
      <c r="E266" s="6">
        <v>10.69</v>
      </c>
      <c r="F266" s="6">
        <v>-0.1</v>
      </c>
      <c r="G266" s="6">
        <v>0.0</v>
      </c>
      <c r="H266" s="6">
        <v>-0.01</v>
      </c>
      <c r="I266" s="6">
        <v>33.17</v>
      </c>
      <c r="J266" s="7">
        <f t="shared" ref="J266:O266" si="534">abs(C266-C265)/200</f>
        <v>0.00005</v>
      </c>
      <c r="K266" s="7">
        <f t="shared" si="534"/>
        <v>0.00005</v>
      </c>
      <c r="L266" s="7">
        <f t="shared" si="534"/>
        <v>0.00005</v>
      </c>
      <c r="M266" s="7">
        <f t="shared" si="534"/>
        <v>0</v>
      </c>
      <c r="N266" s="7">
        <f t="shared" si="534"/>
        <v>0</v>
      </c>
      <c r="O266" s="7">
        <f t="shared" si="534"/>
        <v>0</v>
      </c>
      <c r="P266" s="7">
        <f t="shared" si="9"/>
        <v>0</v>
      </c>
      <c r="Q266" s="7">
        <f t="shared" si="10"/>
        <v>0.01127058713</v>
      </c>
      <c r="R266" s="7">
        <f t="shared" si="3"/>
        <v>0.9637261206</v>
      </c>
      <c r="S266" s="7">
        <f t="shared" si="4"/>
        <v>0.1004987562</v>
      </c>
      <c r="T266" s="7">
        <f t="shared" si="5"/>
        <v>0</v>
      </c>
      <c r="U266" s="7">
        <f t="shared" si="6"/>
        <v>0</v>
      </c>
      <c r="V266" s="7">
        <f t="shared" ref="V266:W266" si="535">IF(AVERAGE(T206:T265) &gt; 0.25, 1, 0)</f>
        <v>0</v>
      </c>
      <c r="W266" s="7">
        <f t="shared" si="535"/>
        <v>0</v>
      </c>
      <c r="X266" s="8">
        <v>0.0</v>
      </c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ht="22.5" customHeight="1">
      <c r="A267" s="6">
        <v>866.0</v>
      </c>
      <c r="B267" s="6">
        <v>56135.0</v>
      </c>
      <c r="C267" s="6">
        <v>1.23</v>
      </c>
      <c r="D267" s="6">
        <v>-0.2</v>
      </c>
      <c r="E267" s="6">
        <v>10.69</v>
      </c>
      <c r="F267" s="6">
        <v>-0.1</v>
      </c>
      <c r="G267" s="6">
        <v>0.0</v>
      </c>
      <c r="H267" s="6">
        <v>-0.01</v>
      </c>
      <c r="I267" s="6">
        <v>33.19</v>
      </c>
      <c r="J267" s="7">
        <f t="shared" ref="J267:O267" si="536">abs(C267-C266)/200</f>
        <v>0.00005</v>
      </c>
      <c r="K267" s="7">
        <f t="shared" si="536"/>
        <v>0.00005</v>
      </c>
      <c r="L267" s="7">
        <f t="shared" si="536"/>
        <v>0</v>
      </c>
      <c r="M267" s="7">
        <f t="shared" si="536"/>
        <v>0</v>
      </c>
      <c r="N267" s="7">
        <f t="shared" si="536"/>
        <v>0</v>
      </c>
      <c r="O267" s="7">
        <f t="shared" si="536"/>
        <v>0</v>
      </c>
      <c r="P267" s="7">
        <f t="shared" si="9"/>
        <v>0</v>
      </c>
      <c r="Q267" s="7">
        <f t="shared" si="10"/>
        <v>0.001337909832</v>
      </c>
      <c r="R267" s="7">
        <f t="shared" si="3"/>
        <v>0.9623882108</v>
      </c>
      <c r="S267" s="7">
        <f t="shared" si="4"/>
        <v>0.1004987562</v>
      </c>
      <c r="T267" s="7">
        <f t="shared" si="5"/>
        <v>0</v>
      </c>
      <c r="U267" s="7">
        <f t="shared" si="6"/>
        <v>0</v>
      </c>
      <c r="V267" s="7">
        <f t="shared" ref="V267:W267" si="537">IF(AVERAGE(T207:T266) &gt; 0.25, 1, 0)</f>
        <v>0</v>
      </c>
      <c r="W267" s="7">
        <f t="shared" si="537"/>
        <v>0</v>
      </c>
      <c r="X267" s="8">
        <v>0.0</v>
      </c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ht="22.5" customHeight="1">
      <c r="A268" s="6">
        <v>867.0</v>
      </c>
      <c r="B268" s="6">
        <v>56339.0</v>
      </c>
      <c r="C268" s="6">
        <v>1.23</v>
      </c>
      <c r="D268" s="6">
        <v>-0.2</v>
      </c>
      <c r="E268" s="6">
        <v>10.68</v>
      </c>
      <c r="F268" s="6">
        <v>-0.1</v>
      </c>
      <c r="G268" s="6">
        <v>0.0</v>
      </c>
      <c r="H268" s="6">
        <v>-0.01</v>
      </c>
      <c r="I268" s="6">
        <v>33.18</v>
      </c>
      <c r="J268" s="7">
        <f t="shared" ref="J268:O268" si="538">abs(C268-C267)/200</f>
        <v>0</v>
      </c>
      <c r="K268" s="7">
        <f t="shared" si="538"/>
        <v>0</v>
      </c>
      <c r="L268" s="7">
        <f t="shared" si="538"/>
        <v>0.00005</v>
      </c>
      <c r="M268" s="7">
        <f t="shared" si="538"/>
        <v>0</v>
      </c>
      <c r="N268" s="7">
        <f t="shared" si="538"/>
        <v>0</v>
      </c>
      <c r="O268" s="7">
        <f t="shared" si="538"/>
        <v>0</v>
      </c>
      <c r="P268" s="7">
        <f t="shared" si="9"/>
        <v>0</v>
      </c>
      <c r="Q268" s="7">
        <f t="shared" si="10"/>
        <v>0.009932677297</v>
      </c>
      <c r="R268" s="7">
        <f t="shared" si="3"/>
        <v>0.9524555335</v>
      </c>
      <c r="S268" s="7">
        <f t="shared" si="4"/>
        <v>0.1004987562</v>
      </c>
      <c r="T268" s="7">
        <f t="shared" si="5"/>
        <v>0</v>
      </c>
      <c r="U268" s="7">
        <f t="shared" si="6"/>
        <v>0</v>
      </c>
      <c r="V268" s="7">
        <f t="shared" ref="V268:W268" si="539">IF(AVERAGE(T208:T267) &gt; 0.25, 1, 0)</f>
        <v>0</v>
      </c>
      <c r="W268" s="7">
        <f t="shared" si="539"/>
        <v>0</v>
      </c>
      <c r="X268" s="8">
        <v>0.0</v>
      </c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ht="22.5" customHeight="1">
      <c r="A269" s="6">
        <v>868.0</v>
      </c>
      <c r="B269" s="6">
        <v>56543.0</v>
      </c>
      <c r="C269" s="6">
        <v>1.24</v>
      </c>
      <c r="D269" s="6">
        <v>-0.2</v>
      </c>
      <c r="E269" s="6">
        <v>10.69</v>
      </c>
      <c r="F269" s="6">
        <v>-0.1</v>
      </c>
      <c r="G269" s="6">
        <v>0.0</v>
      </c>
      <c r="H269" s="6">
        <v>-0.01</v>
      </c>
      <c r="I269" s="6">
        <v>33.19</v>
      </c>
      <c r="J269" s="7">
        <f t="shared" ref="J269:O269" si="540">abs(C269-C268)/200</f>
        <v>0.00005</v>
      </c>
      <c r="K269" s="7">
        <f t="shared" si="540"/>
        <v>0</v>
      </c>
      <c r="L269" s="7">
        <f t="shared" si="540"/>
        <v>0.00005</v>
      </c>
      <c r="M269" s="7">
        <f t="shared" si="540"/>
        <v>0</v>
      </c>
      <c r="N269" s="7">
        <f t="shared" si="540"/>
        <v>0</v>
      </c>
      <c r="O269" s="7">
        <f t="shared" si="540"/>
        <v>0</v>
      </c>
      <c r="P269" s="7">
        <f t="shared" si="9"/>
        <v>0</v>
      </c>
      <c r="Q269" s="7">
        <f t="shared" si="10"/>
        <v>0.01108013095</v>
      </c>
      <c r="R269" s="7">
        <f t="shared" si="3"/>
        <v>0.9635356645</v>
      </c>
      <c r="S269" s="7">
        <f t="shared" si="4"/>
        <v>0.1004987562</v>
      </c>
      <c r="T269" s="7">
        <f t="shared" si="5"/>
        <v>0</v>
      </c>
      <c r="U269" s="7">
        <f t="shared" si="6"/>
        <v>0</v>
      </c>
      <c r="V269" s="7">
        <f t="shared" ref="V269:W269" si="541">IF(AVERAGE(T209:T268) &gt; 0.25, 1, 0)</f>
        <v>0</v>
      </c>
      <c r="W269" s="7">
        <f t="shared" si="541"/>
        <v>0</v>
      </c>
      <c r="X269" s="8">
        <v>0.0</v>
      </c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ht="22.5" customHeight="1">
      <c r="A270" s="6">
        <v>869.0</v>
      </c>
      <c r="B270" s="6">
        <v>56747.0</v>
      </c>
      <c r="C270" s="6">
        <v>1.23</v>
      </c>
      <c r="D270" s="6">
        <v>-0.2</v>
      </c>
      <c r="E270" s="6">
        <v>10.68</v>
      </c>
      <c r="F270" s="6">
        <v>-0.1</v>
      </c>
      <c r="G270" s="6">
        <v>0.0</v>
      </c>
      <c r="H270" s="6">
        <v>-0.01</v>
      </c>
      <c r="I270" s="6">
        <v>33.18</v>
      </c>
      <c r="J270" s="7">
        <f t="shared" ref="J270:O270" si="542">abs(C270-C269)/200</f>
        <v>0.00005</v>
      </c>
      <c r="K270" s="7">
        <f t="shared" si="542"/>
        <v>0</v>
      </c>
      <c r="L270" s="7">
        <f t="shared" si="542"/>
        <v>0.00005</v>
      </c>
      <c r="M270" s="7">
        <f t="shared" si="542"/>
        <v>0</v>
      </c>
      <c r="N270" s="7">
        <f t="shared" si="542"/>
        <v>0</v>
      </c>
      <c r="O270" s="7">
        <f t="shared" si="542"/>
        <v>0</v>
      </c>
      <c r="P270" s="7">
        <f t="shared" si="9"/>
        <v>0</v>
      </c>
      <c r="Q270" s="7">
        <f t="shared" si="10"/>
        <v>0.01108013095</v>
      </c>
      <c r="R270" s="7">
        <f t="shared" si="3"/>
        <v>0.9524555335</v>
      </c>
      <c r="S270" s="7">
        <f t="shared" si="4"/>
        <v>0.1004987562</v>
      </c>
      <c r="T270" s="7">
        <f t="shared" si="5"/>
        <v>0</v>
      </c>
      <c r="U270" s="7">
        <f t="shared" si="6"/>
        <v>0</v>
      </c>
      <c r="V270" s="7">
        <f t="shared" ref="V270:W270" si="543">IF(AVERAGE(T210:T269) &gt; 0.25, 1, 0)</f>
        <v>0</v>
      </c>
      <c r="W270" s="7">
        <f t="shared" si="543"/>
        <v>0</v>
      </c>
      <c r="X270" s="8">
        <v>0.0</v>
      </c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ht="22.5" customHeight="1">
      <c r="A271" s="6">
        <v>870.0</v>
      </c>
      <c r="B271" s="6">
        <v>56951.0</v>
      </c>
      <c r="C271" s="6">
        <v>1.24</v>
      </c>
      <c r="D271" s="6">
        <v>-0.21</v>
      </c>
      <c r="E271" s="6">
        <v>10.68</v>
      </c>
      <c r="F271" s="6">
        <v>-0.1</v>
      </c>
      <c r="G271" s="6">
        <v>0.0</v>
      </c>
      <c r="H271" s="6">
        <v>-0.01</v>
      </c>
      <c r="I271" s="6">
        <v>33.19</v>
      </c>
      <c r="J271" s="7">
        <f t="shared" ref="J271:O271" si="544">abs(C271-C270)/200</f>
        <v>0.00005</v>
      </c>
      <c r="K271" s="7">
        <f t="shared" si="544"/>
        <v>0.00005</v>
      </c>
      <c r="L271" s="7">
        <f t="shared" si="544"/>
        <v>0</v>
      </c>
      <c r="M271" s="7">
        <f t="shared" si="544"/>
        <v>0</v>
      </c>
      <c r="N271" s="7">
        <f t="shared" si="544"/>
        <v>0</v>
      </c>
      <c r="O271" s="7">
        <f t="shared" si="544"/>
        <v>0</v>
      </c>
      <c r="P271" s="7">
        <f t="shared" si="9"/>
        <v>0</v>
      </c>
      <c r="Q271" s="7">
        <f t="shared" si="10"/>
        <v>0.001339145584</v>
      </c>
      <c r="R271" s="7">
        <f t="shared" si="3"/>
        <v>0.9537946791</v>
      </c>
      <c r="S271" s="7">
        <f t="shared" si="4"/>
        <v>0.1004987562</v>
      </c>
      <c r="T271" s="7">
        <f t="shared" si="5"/>
        <v>0</v>
      </c>
      <c r="U271" s="7">
        <f t="shared" si="6"/>
        <v>0</v>
      </c>
      <c r="V271" s="7">
        <f t="shared" ref="V271:W271" si="545">IF(AVERAGE(T211:T270) &gt; 0.25, 1, 0)</f>
        <v>0</v>
      </c>
      <c r="W271" s="7">
        <f t="shared" si="545"/>
        <v>0</v>
      </c>
      <c r="X271" s="8">
        <v>0.0</v>
      </c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ht="22.5" customHeight="1">
      <c r="A272" s="6">
        <v>871.0</v>
      </c>
      <c r="B272" s="6">
        <v>57155.0</v>
      </c>
      <c r="C272" s="6">
        <v>1.23</v>
      </c>
      <c r="D272" s="6">
        <v>-0.2</v>
      </c>
      <c r="E272" s="6">
        <v>10.68</v>
      </c>
      <c r="F272" s="6">
        <v>-0.1</v>
      </c>
      <c r="G272" s="6">
        <v>0.0</v>
      </c>
      <c r="H272" s="6">
        <v>-0.01</v>
      </c>
      <c r="I272" s="6">
        <v>33.18</v>
      </c>
      <c r="J272" s="7">
        <f t="shared" ref="J272:O272" si="546">abs(C272-C271)/200</f>
        <v>0.00005</v>
      </c>
      <c r="K272" s="7">
        <f t="shared" si="546"/>
        <v>0.00005</v>
      </c>
      <c r="L272" s="7">
        <f t="shared" si="546"/>
        <v>0</v>
      </c>
      <c r="M272" s="7">
        <f t="shared" si="546"/>
        <v>0</v>
      </c>
      <c r="N272" s="7">
        <f t="shared" si="546"/>
        <v>0</v>
      </c>
      <c r="O272" s="7">
        <f t="shared" si="546"/>
        <v>0</v>
      </c>
      <c r="P272" s="7">
        <f t="shared" si="9"/>
        <v>0</v>
      </c>
      <c r="Q272" s="7">
        <f t="shared" si="10"/>
        <v>0.001339145584</v>
      </c>
      <c r="R272" s="7">
        <f t="shared" si="3"/>
        <v>0.9524555335</v>
      </c>
      <c r="S272" s="7">
        <f t="shared" si="4"/>
        <v>0.1004987562</v>
      </c>
      <c r="T272" s="7">
        <f t="shared" si="5"/>
        <v>0</v>
      </c>
      <c r="U272" s="7">
        <f t="shared" si="6"/>
        <v>0</v>
      </c>
      <c r="V272" s="7">
        <f t="shared" ref="V272:W272" si="547">IF(AVERAGE(T212:T271) &gt; 0.25, 1, 0)</f>
        <v>0</v>
      </c>
      <c r="W272" s="7">
        <f t="shared" si="547"/>
        <v>0</v>
      </c>
      <c r="X272" s="8">
        <v>0.0</v>
      </c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ht="22.5" customHeight="1">
      <c r="A273" s="6">
        <v>872.0</v>
      </c>
      <c r="B273" s="6">
        <v>57359.0</v>
      </c>
      <c r="C273" s="6">
        <v>1.23</v>
      </c>
      <c r="D273" s="6">
        <v>-0.21</v>
      </c>
      <c r="E273" s="6">
        <v>10.67</v>
      </c>
      <c r="F273" s="6">
        <v>-0.1</v>
      </c>
      <c r="G273" s="6">
        <v>0.0</v>
      </c>
      <c r="H273" s="6">
        <v>-0.01</v>
      </c>
      <c r="I273" s="6">
        <v>33.18</v>
      </c>
      <c r="J273" s="7">
        <f t="shared" ref="J273:O273" si="548">abs(C273-C272)/200</f>
        <v>0</v>
      </c>
      <c r="K273" s="7">
        <f t="shared" si="548"/>
        <v>0.00005</v>
      </c>
      <c r="L273" s="7">
        <f t="shared" si="548"/>
        <v>0.00005</v>
      </c>
      <c r="M273" s="7">
        <f t="shared" si="548"/>
        <v>0</v>
      </c>
      <c r="N273" s="7">
        <f t="shared" si="548"/>
        <v>0</v>
      </c>
      <c r="O273" s="7">
        <f t="shared" si="548"/>
        <v>0</v>
      </c>
      <c r="P273" s="7">
        <f t="shared" si="9"/>
        <v>0</v>
      </c>
      <c r="Q273" s="7">
        <f t="shared" si="10"/>
        <v>0.009741723671</v>
      </c>
      <c r="R273" s="7">
        <f t="shared" si="3"/>
        <v>0.9427138098</v>
      </c>
      <c r="S273" s="7">
        <f t="shared" si="4"/>
        <v>0.1004987562</v>
      </c>
      <c r="T273" s="7">
        <f t="shared" si="5"/>
        <v>0</v>
      </c>
      <c r="U273" s="7">
        <f t="shared" si="6"/>
        <v>0</v>
      </c>
      <c r="V273" s="7">
        <f t="shared" ref="V273:W273" si="549">IF(AVERAGE(T213:T272) &gt; 0.25, 1, 0)</f>
        <v>0</v>
      </c>
      <c r="W273" s="7">
        <f t="shared" si="549"/>
        <v>0</v>
      </c>
      <c r="X273" s="8">
        <v>0.0</v>
      </c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ht="22.5" customHeight="1">
      <c r="A274" s="6">
        <v>873.0</v>
      </c>
      <c r="B274" s="6">
        <v>57563.0</v>
      </c>
      <c r="C274" s="6">
        <v>1.24</v>
      </c>
      <c r="D274" s="6">
        <v>-0.19</v>
      </c>
      <c r="E274" s="6">
        <v>10.69</v>
      </c>
      <c r="F274" s="6">
        <v>-0.1</v>
      </c>
      <c r="G274" s="6">
        <v>0.0</v>
      </c>
      <c r="H274" s="6">
        <v>-0.01</v>
      </c>
      <c r="I274" s="6">
        <v>33.18</v>
      </c>
      <c r="J274" s="7">
        <f t="shared" ref="J274:O274" si="550">abs(C274-C273)/200</f>
        <v>0.00005</v>
      </c>
      <c r="K274" s="7">
        <f t="shared" si="550"/>
        <v>0.0001</v>
      </c>
      <c r="L274" s="7">
        <f t="shared" si="550"/>
        <v>0.0001</v>
      </c>
      <c r="M274" s="7">
        <f t="shared" si="550"/>
        <v>0</v>
      </c>
      <c r="N274" s="7">
        <f t="shared" si="550"/>
        <v>0</v>
      </c>
      <c r="O274" s="7">
        <f t="shared" si="550"/>
        <v>0</v>
      </c>
      <c r="P274" s="7">
        <f t="shared" si="9"/>
        <v>0</v>
      </c>
      <c r="Q274" s="7">
        <f t="shared" si="10"/>
        <v>0.02064068586</v>
      </c>
      <c r="R274" s="7">
        <f t="shared" si="3"/>
        <v>0.9633544957</v>
      </c>
      <c r="S274" s="7">
        <f t="shared" si="4"/>
        <v>0.1004987562</v>
      </c>
      <c r="T274" s="7">
        <f t="shared" si="5"/>
        <v>0</v>
      </c>
      <c r="U274" s="7">
        <f t="shared" si="6"/>
        <v>0</v>
      </c>
      <c r="V274" s="7">
        <f t="shared" ref="V274:W274" si="551">IF(AVERAGE(T214:T273) &gt; 0.25, 1, 0)</f>
        <v>0</v>
      </c>
      <c r="W274" s="7">
        <f t="shared" si="551"/>
        <v>0</v>
      </c>
      <c r="X274" s="8">
        <v>0.0</v>
      </c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ht="22.5" customHeight="1">
      <c r="A275" s="6">
        <v>874.0</v>
      </c>
      <c r="B275" s="6">
        <v>57767.0</v>
      </c>
      <c r="C275" s="6">
        <v>1.24</v>
      </c>
      <c r="D275" s="6">
        <v>-0.21</v>
      </c>
      <c r="E275" s="6">
        <v>10.66</v>
      </c>
      <c r="F275" s="6">
        <v>-0.1</v>
      </c>
      <c r="G275" s="6">
        <v>0.0</v>
      </c>
      <c r="H275" s="6">
        <v>-0.01</v>
      </c>
      <c r="I275" s="6">
        <v>33.19</v>
      </c>
      <c r="J275" s="7">
        <f t="shared" ref="J275:O275" si="552">abs(C275-C274)/200</f>
        <v>0</v>
      </c>
      <c r="K275" s="7">
        <f t="shared" si="552"/>
        <v>0.0001</v>
      </c>
      <c r="L275" s="7">
        <f t="shared" si="552"/>
        <v>0.00015</v>
      </c>
      <c r="M275" s="7">
        <f t="shared" si="552"/>
        <v>0</v>
      </c>
      <c r="N275" s="7">
        <f t="shared" si="552"/>
        <v>0</v>
      </c>
      <c r="O275" s="7">
        <f t="shared" si="552"/>
        <v>0</v>
      </c>
      <c r="P275" s="7">
        <f t="shared" si="9"/>
        <v>0</v>
      </c>
      <c r="Q275" s="7">
        <f t="shared" si="10"/>
        <v>0.02942231778</v>
      </c>
      <c r="R275" s="7">
        <f t="shared" si="3"/>
        <v>0.9339321779</v>
      </c>
      <c r="S275" s="7">
        <f t="shared" si="4"/>
        <v>0.1004987562</v>
      </c>
      <c r="T275" s="7">
        <f t="shared" si="5"/>
        <v>0</v>
      </c>
      <c r="U275" s="7">
        <f t="shared" si="6"/>
        <v>0</v>
      </c>
      <c r="V275" s="7">
        <f t="shared" ref="V275:W275" si="553">IF(AVERAGE(T215:T274) &gt; 0.25, 1, 0)</f>
        <v>0</v>
      </c>
      <c r="W275" s="7">
        <f t="shared" si="553"/>
        <v>0</v>
      </c>
      <c r="X275" s="8">
        <v>0.0</v>
      </c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ht="22.5" customHeight="1">
      <c r="A276" s="6">
        <v>875.0</v>
      </c>
      <c r="B276" s="6">
        <v>57971.0</v>
      </c>
      <c r="C276" s="6">
        <v>1.23</v>
      </c>
      <c r="D276" s="6">
        <v>-0.2</v>
      </c>
      <c r="E276" s="6">
        <v>10.67</v>
      </c>
      <c r="F276" s="6">
        <v>-0.1</v>
      </c>
      <c r="G276" s="6">
        <v>0.0</v>
      </c>
      <c r="H276" s="6">
        <v>-0.01</v>
      </c>
      <c r="I276" s="6">
        <v>33.18</v>
      </c>
      <c r="J276" s="7">
        <f t="shared" ref="J276:O276" si="554">abs(C276-C275)/200</f>
        <v>0.00005</v>
      </c>
      <c r="K276" s="7">
        <f t="shared" si="554"/>
        <v>0.00005</v>
      </c>
      <c r="L276" s="7">
        <f t="shared" si="554"/>
        <v>0.00005</v>
      </c>
      <c r="M276" s="7">
        <f t="shared" si="554"/>
        <v>0</v>
      </c>
      <c r="N276" s="7">
        <f t="shared" si="554"/>
        <v>0</v>
      </c>
      <c r="O276" s="7">
        <f t="shared" si="554"/>
        <v>0</v>
      </c>
      <c r="P276" s="7">
        <f t="shared" si="9"/>
        <v>0</v>
      </c>
      <c r="Q276" s="7">
        <f t="shared" si="10"/>
        <v>0.008590803214</v>
      </c>
      <c r="R276" s="7">
        <f t="shared" si="3"/>
        <v>0.9425229811</v>
      </c>
      <c r="S276" s="7">
        <f t="shared" si="4"/>
        <v>0.1004987562</v>
      </c>
      <c r="T276" s="7">
        <f t="shared" si="5"/>
        <v>0</v>
      </c>
      <c r="U276" s="7">
        <f t="shared" si="6"/>
        <v>0</v>
      </c>
      <c r="V276" s="7">
        <f t="shared" ref="V276:W276" si="555">IF(AVERAGE(T216:T275) &gt; 0.25, 1, 0)</f>
        <v>0</v>
      </c>
      <c r="W276" s="7">
        <f t="shared" si="555"/>
        <v>0</v>
      </c>
      <c r="X276" s="8">
        <v>0.0</v>
      </c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ht="22.5" customHeight="1">
      <c r="A277" s="6">
        <v>876.0</v>
      </c>
      <c r="B277" s="6">
        <v>58175.0</v>
      </c>
      <c r="C277" s="6">
        <v>1.24</v>
      </c>
      <c r="D277" s="6">
        <v>-0.2</v>
      </c>
      <c r="E277" s="6">
        <v>10.68</v>
      </c>
      <c r="F277" s="6">
        <v>-0.1</v>
      </c>
      <c r="G277" s="6">
        <v>0.0</v>
      </c>
      <c r="H277" s="6">
        <v>-0.01</v>
      </c>
      <c r="I277" s="6">
        <v>33.18</v>
      </c>
      <c r="J277" s="7">
        <f t="shared" ref="J277:O277" si="556">abs(C277-C276)/200</f>
        <v>0.00005</v>
      </c>
      <c r="K277" s="7">
        <f t="shared" si="556"/>
        <v>0</v>
      </c>
      <c r="L277" s="7">
        <f t="shared" si="556"/>
        <v>0.00005</v>
      </c>
      <c r="M277" s="7">
        <f t="shared" si="556"/>
        <v>0</v>
      </c>
      <c r="N277" s="7">
        <f t="shared" si="556"/>
        <v>0</v>
      </c>
      <c r="O277" s="7">
        <f t="shared" si="556"/>
        <v>0</v>
      </c>
      <c r="P277" s="7">
        <f t="shared" si="9"/>
        <v>0</v>
      </c>
      <c r="Q277" s="7">
        <f t="shared" si="10"/>
        <v>0.01108106589</v>
      </c>
      <c r="R277" s="7">
        <f t="shared" si="3"/>
        <v>0.953604047</v>
      </c>
      <c r="S277" s="7">
        <f t="shared" si="4"/>
        <v>0.1004987562</v>
      </c>
      <c r="T277" s="7">
        <f t="shared" si="5"/>
        <v>0</v>
      </c>
      <c r="U277" s="7">
        <f t="shared" si="6"/>
        <v>0</v>
      </c>
      <c r="V277" s="7">
        <f t="shared" ref="V277:W277" si="557">IF(AVERAGE(T217:T276) &gt; 0.25, 1, 0)</f>
        <v>0</v>
      </c>
      <c r="W277" s="7">
        <f t="shared" si="557"/>
        <v>0</v>
      </c>
      <c r="X277" s="8">
        <v>0.0</v>
      </c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ht="22.5" customHeight="1">
      <c r="A278" s="6">
        <v>877.0</v>
      </c>
      <c r="B278" s="6">
        <v>58379.0</v>
      </c>
      <c r="C278" s="6">
        <v>1.24</v>
      </c>
      <c r="D278" s="6">
        <v>-0.19</v>
      </c>
      <c r="E278" s="6">
        <v>10.69</v>
      </c>
      <c r="F278" s="6">
        <v>-0.1</v>
      </c>
      <c r="G278" s="6">
        <v>0.0</v>
      </c>
      <c r="H278" s="6">
        <v>-0.01</v>
      </c>
      <c r="I278" s="6">
        <v>33.18</v>
      </c>
      <c r="J278" s="7">
        <f t="shared" ref="J278:O278" si="558">abs(C278-C277)/200</f>
        <v>0</v>
      </c>
      <c r="K278" s="7">
        <f t="shared" si="558"/>
        <v>0.00005</v>
      </c>
      <c r="L278" s="7">
        <f t="shared" si="558"/>
        <v>0.00005</v>
      </c>
      <c r="M278" s="7">
        <f t="shared" si="558"/>
        <v>0</v>
      </c>
      <c r="N278" s="7">
        <f t="shared" si="558"/>
        <v>0</v>
      </c>
      <c r="O278" s="7">
        <f t="shared" si="558"/>
        <v>0</v>
      </c>
      <c r="P278" s="7">
        <f t="shared" si="9"/>
        <v>0</v>
      </c>
      <c r="Q278" s="7">
        <f t="shared" si="10"/>
        <v>0.009750448679</v>
      </c>
      <c r="R278" s="7">
        <f t="shared" si="3"/>
        <v>0.9633544957</v>
      </c>
      <c r="S278" s="7">
        <f t="shared" si="4"/>
        <v>0.1004987562</v>
      </c>
      <c r="T278" s="7">
        <f t="shared" si="5"/>
        <v>0</v>
      </c>
      <c r="U278" s="7">
        <f t="shared" si="6"/>
        <v>0</v>
      </c>
      <c r="V278" s="7">
        <f t="shared" ref="V278:W278" si="559">IF(AVERAGE(T218:T277) &gt; 0.25, 1, 0)</f>
        <v>0</v>
      </c>
      <c r="W278" s="7">
        <f t="shared" si="559"/>
        <v>0</v>
      </c>
      <c r="X278" s="8">
        <v>0.0</v>
      </c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ht="22.5" customHeight="1">
      <c r="A279" s="6">
        <v>878.0</v>
      </c>
      <c r="B279" s="6">
        <v>58583.0</v>
      </c>
      <c r="C279" s="6">
        <v>1.24</v>
      </c>
      <c r="D279" s="6">
        <v>-0.2</v>
      </c>
      <c r="E279" s="6">
        <v>10.69</v>
      </c>
      <c r="F279" s="6">
        <v>-0.1</v>
      </c>
      <c r="G279" s="6">
        <v>0.0</v>
      </c>
      <c r="H279" s="6">
        <v>-0.01</v>
      </c>
      <c r="I279" s="6">
        <v>33.19</v>
      </c>
      <c r="J279" s="7">
        <f t="shared" ref="J279:O279" si="560">abs(C279-C278)/200</f>
        <v>0</v>
      </c>
      <c r="K279" s="7">
        <f t="shared" si="560"/>
        <v>0.00005</v>
      </c>
      <c r="L279" s="7">
        <f t="shared" si="560"/>
        <v>0</v>
      </c>
      <c r="M279" s="7">
        <f t="shared" si="560"/>
        <v>0</v>
      </c>
      <c r="N279" s="7">
        <f t="shared" si="560"/>
        <v>0</v>
      </c>
      <c r="O279" s="7">
        <f t="shared" si="560"/>
        <v>0</v>
      </c>
      <c r="P279" s="7">
        <f t="shared" si="9"/>
        <v>0</v>
      </c>
      <c r="Q279" s="7">
        <f t="shared" si="10"/>
        <v>0.0001811687601</v>
      </c>
      <c r="R279" s="7">
        <f t="shared" si="3"/>
        <v>0.9635356645</v>
      </c>
      <c r="S279" s="7">
        <f t="shared" si="4"/>
        <v>0.1004987562</v>
      </c>
      <c r="T279" s="7">
        <f t="shared" si="5"/>
        <v>0</v>
      </c>
      <c r="U279" s="7">
        <f t="shared" si="6"/>
        <v>0</v>
      </c>
      <c r="V279" s="7">
        <f t="shared" ref="V279:W279" si="561">IF(AVERAGE(T219:T278) &gt; 0.25, 1, 0)</f>
        <v>0</v>
      </c>
      <c r="W279" s="7">
        <f t="shared" si="561"/>
        <v>0</v>
      </c>
      <c r="X279" s="8">
        <v>0.0</v>
      </c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ht="22.5" customHeight="1">
      <c r="A280" s="6">
        <v>879.0</v>
      </c>
      <c r="B280" s="6">
        <v>58787.0</v>
      </c>
      <c r="C280" s="6">
        <v>1.23</v>
      </c>
      <c r="D280" s="6">
        <v>-0.19</v>
      </c>
      <c r="E280" s="6">
        <v>10.69</v>
      </c>
      <c r="F280" s="6">
        <v>-0.1</v>
      </c>
      <c r="G280" s="6">
        <v>0.0</v>
      </c>
      <c r="H280" s="6">
        <v>-0.01</v>
      </c>
      <c r="I280" s="6">
        <v>33.18</v>
      </c>
      <c r="J280" s="7">
        <f t="shared" ref="J280:O280" si="562">abs(C280-C279)/200</f>
        <v>0.00005</v>
      </c>
      <c r="K280" s="7">
        <f t="shared" si="562"/>
        <v>0.00005</v>
      </c>
      <c r="L280" s="7">
        <f t="shared" si="562"/>
        <v>0</v>
      </c>
      <c r="M280" s="7">
        <f t="shared" si="562"/>
        <v>0</v>
      </c>
      <c r="N280" s="7">
        <f t="shared" si="562"/>
        <v>0</v>
      </c>
      <c r="O280" s="7">
        <f t="shared" si="562"/>
        <v>0</v>
      </c>
      <c r="P280" s="7">
        <f t="shared" si="9"/>
        <v>0</v>
      </c>
      <c r="Q280" s="7">
        <f t="shared" si="10"/>
        <v>0.00132864173</v>
      </c>
      <c r="R280" s="7">
        <f t="shared" si="3"/>
        <v>0.9622070227</v>
      </c>
      <c r="S280" s="7">
        <f t="shared" si="4"/>
        <v>0.1004987562</v>
      </c>
      <c r="T280" s="7">
        <f t="shared" si="5"/>
        <v>0</v>
      </c>
      <c r="U280" s="7">
        <f t="shared" si="6"/>
        <v>0</v>
      </c>
      <c r="V280" s="7">
        <f t="shared" ref="V280:W280" si="563">IF(AVERAGE(T220:T279) &gt; 0.25, 1, 0)</f>
        <v>0</v>
      </c>
      <c r="W280" s="7">
        <f t="shared" si="563"/>
        <v>0</v>
      </c>
      <c r="X280" s="8">
        <v>0.0</v>
      </c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ht="22.5" customHeight="1">
      <c r="A281" s="6">
        <v>880.0</v>
      </c>
      <c r="B281" s="6">
        <v>58991.0</v>
      </c>
      <c r="C281" s="6">
        <v>1.24</v>
      </c>
      <c r="D281" s="6">
        <v>-0.2</v>
      </c>
      <c r="E281" s="6">
        <v>10.67</v>
      </c>
      <c r="F281" s="6">
        <v>-0.1</v>
      </c>
      <c r="G281" s="6">
        <v>0.0</v>
      </c>
      <c r="H281" s="6">
        <v>-0.01</v>
      </c>
      <c r="I281" s="6">
        <v>33.18</v>
      </c>
      <c r="J281" s="7">
        <f t="shared" ref="J281:O281" si="564">abs(C281-C280)/200</f>
        <v>0.00005</v>
      </c>
      <c r="K281" s="7">
        <f t="shared" si="564"/>
        <v>0.00005</v>
      </c>
      <c r="L281" s="7">
        <f t="shared" si="564"/>
        <v>0.0001</v>
      </c>
      <c r="M281" s="7">
        <f t="shared" si="564"/>
        <v>0</v>
      </c>
      <c r="N281" s="7">
        <f t="shared" si="564"/>
        <v>0</v>
      </c>
      <c r="O281" s="7">
        <f t="shared" si="564"/>
        <v>0</v>
      </c>
      <c r="P281" s="7">
        <f t="shared" si="9"/>
        <v>0</v>
      </c>
      <c r="Q281" s="7">
        <f t="shared" si="10"/>
        <v>0.01853446629</v>
      </c>
      <c r="R281" s="7">
        <f t="shared" si="3"/>
        <v>0.9436725564</v>
      </c>
      <c r="S281" s="7">
        <f t="shared" si="4"/>
        <v>0.1004987562</v>
      </c>
      <c r="T281" s="7">
        <f t="shared" si="5"/>
        <v>0</v>
      </c>
      <c r="U281" s="7">
        <f t="shared" si="6"/>
        <v>0</v>
      </c>
      <c r="V281" s="7">
        <f t="shared" ref="V281:W281" si="565">IF(AVERAGE(T221:T280) &gt; 0.25, 1, 0)</f>
        <v>0</v>
      </c>
      <c r="W281" s="7">
        <f t="shared" si="565"/>
        <v>0</v>
      </c>
      <c r="X281" s="8">
        <v>0.0</v>
      </c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ht="22.5" customHeight="1">
      <c r="A282" s="6">
        <v>881.0</v>
      </c>
      <c r="B282" s="6">
        <v>59195.0</v>
      </c>
      <c r="C282" s="6">
        <v>1.23</v>
      </c>
      <c r="D282" s="6">
        <v>-0.19</v>
      </c>
      <c r="E282" s="6">
        <v>10.69</v>
      </c>
      <c r="F282" s="6">
        <v>-0.1</v>
      </c>
      <c r="G282" s="6">
        <v>0.0</v>
      </c>
      <c r="H282" s="6">
        <v>-0.01</v>
      </c>
      <c r="I282" s="6">
        <v>33.18</v>
      </c>
      <c r="J282" s="7">
        <f t="shared" ref="J282:O282" si="566">abs(C282-C281)/200</f>
        <v>0.00005</v>
      </c>
      <c r="K282" s="7">
        <f t="shared" si="566"/>
        <v>0.00005</v>
      </c>
      <c r="L282" s="7">
        <f t="shared" si="566"/>
        <v>0.0001</v>
      </c>
      <c r="M282" s="7">
        <f t="shared" si="566"/>
        <v>0</v>
      </c>
      <c r="N282" s="7">
        <f t="shared" si="566"/>
        <v>0</v>
      </c>
      <c r="O282" s="7">
        <f t="shared" si="566"/>
        <v>0</v>
      </c>
      <c r="P282" s="7">
        <f t="shared" si="9"/>
        <v>0</v>
      </c>
      <c r="Q282" s="7">
        <f t="shared" si="10"/>
        <v>0.01853446629</v>
      </c>
      <c r="R282" s="7">
        <f t="shared" si="3"/>
        <v>0.9622070227</v>
      </c>
      <c r="S282" s="7">
        <f t="shared" si="4"/>
        <v>0.1004987562</v>
      </c>
      <c r="T282" s="7">
        <f t="shared" si="5"/>
        <v>0</v>
      </c>
      <c r="U282" s="7">
        <f t="shared" si="6"/>
        <v>0</v>
      </c>
      <c r="V282" s="7">
        <f t="shared" ref="V282:W282" si="567">IF(AVERAGE(T222:T281) &gt; 0.25, 1, 0)</f>
        <v>0</v>
      </c>
      <c r="W282" s="7">
        <f t="shared" si="567"/>
        <v>0</v>
      </c>
      <c r="X282" s="8">
        <v>0.0</v>
      </c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ht="22.5" customHeight="1">
      <c r="A283" s="6">
        <v>882.0</v>
      </c>
      <c r="B283" s="6">
        <v>59399.0</v>
      </c>
      <c r="C283" s="6">
        <v>1.23</v>
      </c>
      <c r="D283" s="6">
        <v>-0.21</v>
      </c>
      <c r="E283" s="6">
        <v>10.68</v>
      </c>
      <c r="F283" s="6">
        <v>-0.1</v>
      </c>
      <c r="G283" s="6">
        <v>0.0</v>
      </c>
      <c r="H283" s="6">
        <v>-0.01</v>
      </c>
      <c r="I283" s="6">
        <v>33.19</v>
      </c>
      <c r="J283" s="7">
        <f t="shared" ref="J283:O283" si="568">abs(C283-C282)/200</f>
        <v>0</v>
      </c>
      <c r="K283" s="7">
        <f t="shared" si="568"/>
        <v>0.0001</v>
      </c>
      <c r="L283" s="7">
        <f t="shared" si="568"/>
        <v>0.00005</v>
      </c>
      <c r="M283" s="7">
        <f t="shared" si="568"/>
        <v>0</v>
      </c>
      <c r="N283" s="7">
        <f t="shared" si="568"/>
        <v>0</v>
      </c>
      <c r="O283" s="7">
        <f t="shared" si="568"/>
        <v>0</v>
      </c>
      <c r="P283" s="7">
        <f t="shared" si="9"/>
        <v>0</v>
      </c>
      <c r="Q283" s="7">
        <f t="shared" si="10"/>
        <v>0.009560836786</v>
      </c>
      <c r="R283" s="7">
        <f t="shared" si="3"/>
        <v>0.9526461859</v>
      </c>
      <c r="S283" s="7">
        <f t="shared" si="4"/>
        <v>0.1004987562</v>
      </c>
      <c r="T283" s="7">
        <f t="shared" si="5"/>
        <v>0</v>
      </c>
      <c r="U283" s="7">
        <f t="shared" si="6"/>
        <v>0</v>
      </c>
      <c r="V283" s="7">
        <f t="shared" ref="V283:W283" si="569">IF(AVERAGE(T223:T282) &gt; 0.25, 1, 0)</f>
        <v>0</v>
      </c>
      <c r="W283" s="7">
        <f t="shared" si="569"/>
        <v>0</v>
      </c>
      <c r="X283" s="8">
        <v>0.0</v>
      </c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ht="22.5" customHeight="1">
      <c r="A284" s="6">
        <v>883.0</v>
      </c>
      <c r="B284" s="6">
        <v>59603.0</v>
      </c>
      <c r="C284" s="6">
        <v>1.24</v>
      </c>
      <c r="D284" s="6">
        <v>-0.19</v>
      </c>
      <c r="E284" s="6">
        <v>10.69</v>
      </c>
      <c r="F284" s="6">
        <v>-0.1</v>
      </c>
      <c r="G284" s="6">
        <v>0.0</v>
      </c>
      <c r="H284" s="6">
        <v>-0.01</v>
      </c>
      <c r="I284" s="6">
        <v>33.17</v>
      </c>
      <c r="J284" s="7">
        <f t="shared" ref="J284:O284" si="570">abs(C284-C283)/200</f>
        <v>0.00005</v>
      </c>
      <c r="K284" s="7">
        <f t="shared" si="570"/>
        <v>0.0001</v>
      </c>
      <c r="L284" s="7">
        <f t="shared" si="570"/>
        <v>0.00005</v>
      </c>
      <c r="M284" s="7">
        <f t="shared" si="570"/>
        <v>0</v>
      </c>
      <c r="N284" s="7">
        <f t="shared" si="570"/>
        <v>0</v>
      </c>
      <c r="O284" s="7">
        <f t="shared" si="570"/>
        <v>0</v>
      </c>
      <c r="P284" s="7">
        <f t="shared" si="9"/>
        <v>0</v>
      </c>
      <c r="Q284" s="7">
        <f t="shared" si="10"/>
        <v>0.01070830976</v>
      </c>
      <c r="R284" s="7">
        <f t="shared" si="3"/>
        <v>0.9633544957</v>
      </c>
      <c r="S284" s="7">
        <f t="shared" si="4"/>
        <v>0.1004987562</v>
      </c>
      <c r="T284" s="7">
        <f t="shared" si="5"/>
        <v>0</v>
      </c>
      <c r="U284" s="7">
        <f t="shared" si="6"/>
        <v>0</v>
      </c>
      <c r="V284" s="7">
        <f t="shared" ref="V284:W284" si="571">IF(AVERAGE(T224:T283) &gt; 0.25, 1, 0)</f>
        <v>0</v>
      </c>
      <c r="W284" s="7">
        <f t="shared" si="571"/>
        <v>0</v>
      </c>
      <c r="X284" s="8">
        <v>0.0</v>
      </c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ht="22.5" customHeight="1">
      <c r="A285" s="6">
        <v>884.0</v>
      </c>
      <c r="B285" s="6">
        <v>59807.0</v>
      </c>
      <c r="C285" s="6">
        <v>1.23</v>
      </c>
      <c r="D285" s="6">
        <v>-0.19</v>
      </c>
      <c r="E285" s="6">
        <v>10.68</v>
      </c>
      <c r="F285" s="6">
        <v>-0.1</v>
      </c>
      <c r="G285" s="6">
        <v>0.0</v>
      </c>
      <c r="H285" s="6">
        <v>-0.01</v>
      </c>
      <c r="I285" s="6">
        <v>33.18</v>
      </c>
      <c r="J285" s="7">
        <f t="shared" ref="J285:O285" si="572">abs(C285-C284)/200</f>
        <v>0.00005</v>
      </c>
      <c r="K285" s="7">
        <f t="shared" si="572"/>
        <v>0</v>
      </c>
      <c r="L285" s="7">
        <f t="shared" si="572"/>
        <v>0.00005</v>
      </c>
      <c r="M285" s="7">
        <f t="shared" si="572"/>
        <v>0</v>
      </c>
      <c r="N285" s="7">
        <f t="shared" si="572"/>
        <v>0</v>
      </c>
      <c r="O285" s="7">
        <f t="shared" si="572"/>
        <v>0</v>
      </c>
      <c r="P285" s="7">
        <f t="shared" si="9"/>
        <v>0</v>
      </c>
      <c r="Q285" s="7">
        <f t="shared" si="10"/>
        <v>0.01108031764</v>
      </c>
      <c r="R285" s="7">
        <f t="shared" si="3"/>
        <v>0.9522741781</v>
      </c>
      <c r="S285" s="7">
        <f t="shared" si="4"/>
        <v>0.1004987562</v>
      </c>
      <c r="T285" s="7">
        <f t="shared" si="5"/>
        <v>0</v>
      </c>
      <c r="U285" s="7">
        <f t="shared" si="6"/>
        <v>0</v>
      </c>
      <c r="V285" s="7">
        <f t="shared" ref="V285:W285" si="573">IF(AVERAGE(T225:T284) &gt; 0.25, 1, 0)</f>
        <v>0</v>
      </c>
      <c r="W285" s="7">
        <f t="shared" si="573"/>
        <v>0</v>
      </c>
      <c r="X285" s="8">
        <v>0.0</v>
      </c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ht="22.5" customHeight="1">
      <c r="A286" s="6">
        <v>885.0</v>
      </c>
      <c r="B286" s="6">
        <v>60011.0</v>
      </c>
      <c r="C286" s="6">
        <v>1.24</v>
      </c>
      <c r="D286" s="6">
        <v>-0.2</v>
      </c>
      <c r="E286" s="6">
        <v>10.68</v>
      </c>
      <c r="F286" s="6">
        <v>-0.1</v>
      </c>
      <c r="G286" s="6">
        <v>0.0</v>
      </c>
      <c r="H286" s="6">
        <v>-0.01</v>
      </c>
      <c r="I286" s="6">
        <v>33.18</v>
      </c>
      <c r="J286" s="7">
        <f t="shared" ref="J286:O286" si="574">abs(C286-C285)/200</f>
        <v>0.00005</v>
      </c>
      <c r="K286" s="7">
        <f t="shared" si="574"/>
        <v>0.00005</v>
      </c>
      <c r="L286" s="7">
        <f t="shared" si="574"/>
        <v>0</v>
      </c>
      <c r="M286" s="7">
        <f t="shared" si="574"/>
        <v>0</v>
      </c>
      <c r="N286" s="7">
        <f t="shared" si="574"/>
        <v>0</v>
      </c>
      <c r="O286" s="7">
        <f t="shared" si="574"/>
        <v>0</v>
      </c>
      <c r="P286" s="7">
        <f t="shared" si="9"/>
        <v>0</v>
      </c>
      <c r="Q286" s="7">
        <f t="shared" si="10"/>
        <v>0.001329868964</v>
      </c>
      <c r="R286" s="7">
        <f t="shared" si="3"/>
        <v>0.953604047</v>
      </c>
      <c r="S286" s="7">
        <f t="shared" si="4"/>
        <v>0.1004987562</v>
      </c>
      <c r="T286" s="7">
        <f t="shared" si="5"/>
        <v>0</v>
      </c>
      <c r="U286" s="7">
        <f t="shared" si="6"/>
        <v>0</v>
      </c>
      <c r="V286" s="7">
        <f t="shared" ref="V286:W286" si="575">IF(AVERAGE(T226:T285) &gt; 0.25, 1, 0)</f>
        <v>0</v>
      </c>
      <c r="W286" s="7">
        <f t="shared" si="575"/>
        <v>0</v>
      </c>
      <c r="X286" s="8">
        <v>0.0</v>
      </c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ht="22.5" customHeight="1">
      <c r="A287" s="6">
        <v>886.0</v>
      </c>
      <c r="B287" s="6">
        <v>60215.0</v>
      </c>
      <c r="C287" s="6">
        <v>1.24</v>
      </c>
      <c r="D287" s="6">
        <v>-0.2</v>
      </c>
      <c r="E287" s="6">
        <v>10.69</v>
      </c>
      <c r="F287" s="6">
        <v>-0.1</v>
      </c>
      <c r="G287" s="6">
        <v>0.0</v>
      </c>
      <c r="H287" s="6">
        <v>-0.01</v>
      </c>
      <c r="I287" s="6">
        <v>33.18</v>
      </c>
      <c r="J287" s="7">
        <f t="shared" ref="J287:O287" si="576">abs(C287-C286)/200</f>
        <v>0</v>
      </c>
      <c r="K287" s="7">
        <f t="shared" si="576"/>
        <v>0</v>
      </c>
      <c r="L287" s="7">
        <f t="shared" si="576"/>
        <v>0.00005</v>
      </c>
      <c r="M287" s="7">
        <f t="shared" si="576"/>
        <v>0</v>
      </c>
      <c r="N287" s="7">
        <f t="shared" si="576"/>
        <v>0</v>
      </c>
      <c r="O287" s="7">
        <f t="shared" si="576"/>
        <v>0</v>
      </c>
      <c r="P287" s="7">
        <f t="shared" si="9"/>
        <v>0</v>
      </c>
      <c r="Q287" s="7">
        <f t="shared" si="10"/>
        <v>0.009931617439</v>
      </c>
      <c r="R287" s="7">
        <f t="shared" si="3"/>
        <v>0.9635356645</v>
      </c>
      <c r="S287" s="7">
        <f t="shared" si="4"/>
        <v>0.1004987562</v>
      </c>
      <c r="T287" s="7">
        <f t="shared" si="5"/>
        <v>0</v>
      </c>
      <c r="U287" s="7">
        <f t="shared" si="6"/>
        <v>0</v>
      </c>
      <c r="V287" s="7">
        <f t="shared" ref="V287:W287" si="577">IF(AVERAGE(T227:T286) &gt; 0.25, 1, 0)</f>
        <v>0</v>
      </c>
      <c r="W287" s="7">
        <f t="shared" si="577"/>
        <v>0</v>
      </c>
      <c r="X287" s="8">
        <v>0.0</v>
      </c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ht="22.5" customHeight="1">
      <c r="A288" s="6">
        <v>887.0</v>
      </c>
      <c r="B288" s="6">
        <v>60419.0</v>
      </c>
      <c r="C288" s="6">
        <v>1.23</v>
      </c>
      <c r="D288" s="6">
        <v>-0.2</v>
      </c>
      <c r="E288" s="6">
        <v>10.68</v>
      </c>
      <c r="F288" s="6">
        <v>-0.1</v>
      </c>
      <c r="G288" s="6">
        <v>0.0</v>
      </c>
      <c r="H288" s="6">
        <v>-0.01</v>
      </c>
      <c r="I288" s="6">
        <v>33.18</v>
      </c>
      <c r="J288" s="7">
        <f t="shared" ref="J288:O288" si="578">abs(C288-C287)/200</f>
        <v>0.00005</v>
      </c>
      <c r="K288" s="7">
        <f t="shared" si="578"/>
        <v>0</v>
      </c>
      <c r="L288" s="7">
        <f t="shared" si="578"/>
        <v>0.00005</v>
      </c>
      <c r="M288" s="7">
        <f t="shared" si="578"/>
        <v>0</v>
      </c>
      <c r="N288" s="7">
        <f t="shared" si="578"/>
        <v>0</v>
      </c>
      <c r="O288" s="7">
        <f t="shared" si="578"/>
        <v>0</v>
      </c>
      <c r="P288" s="7">
        <f t="shared" si="9"/>
        <v>0</v>
      </c>
      <c r="Q288" s="7">
        <f t="shared" si="10"/>
        <v>0.01108013095</v>
      </c>
      <c r="R288" s="7">
        <f t="shared" si="3"/>
        <v>0.9524555335</v>
      </c>
      <c r="S288" s="7">
        <f t="shared" si="4"/>
        <v>0.1004987562</v>
      </c>
      <c r="T288" s="7">
        <f t="shared" si="5"/>
        <v>0</v>
      </c>
      <c r="U288" s="7">
        <f t="shared" si="6"/>
        <v>0</v>
      </c>
      <c r="V288" s="7">
        <f t="shared" ref="V288:W288" si="579">IF(AVERAGE(T228:T287) &gt; 0.25, 1, 0)</f>
        <v>0</v>
      </c>
      <c r="W288" s="7">
        <f t="shared" si="579"/>
        <v>0</v>
      </c>
      <c r="X288" s="8">
        <v>0.0</v>
      </c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ht="22.5" customHeight="1">
      <c r="A289" s="6">
        <v>888.0</v>
      </c>
      <c r="B289" s="6">
        <v>60623.0</v>
      </c>
      <c r="C289" s="6">
        <v>1.23</v>
      </c>
      <c r="D289" s="6">
        <v>-0.2</v>
      </c>
      <c r="E289" s="6">
        <v>10.67</v>
      </c>
      <c r="F289" s="6">
        <v>-0.1</v>
      </c>
      <c r="G289" s="6">
        <v>0.0</v>
      </c>
      <c r="H289" s="6">
        <v>-0.01</v>
      </c>
      <c r="I289" s="6">
        <v>33.19</v>
      </c>
      <c r="J289" s="7">
        <f t="shared" ref="J289:O289" si="580">abs(C289-C288)/200</f>
        <v>0</v>
      </c>
      <c r="K289" s="7">
        <f t="shared" si="580"/>
        <v>0</v>
      </c>
      <c r="L289" s="7">
        <f t="shared" si="580"/>
        <v>0.00005</v>
      </c>
      <c r="M289" s="7">
        <f t="shared" si="580"/>
        <v>0</v>
      </c>
      <c r="N289" s="7">
        <f t="shared" si="580"/>
        <v>0</v>
      </c>
      <c r="O289" s="7">
        <f t="shared" si="580"/>
        <v>0</v>
      </c>
      <c r="P289" s="7">
        <f t="shared" si="9"/>
        <v>0</v>
      </c>
      <c r="Q289" s="7">
        <f t="shared" si="10"/>
        <v>0.00993255238</v>
      </c>
      <c r="R289" s="7">
        <f t="shared" si="3"/>
        <v>0.9425229811</v>
      </c>
      <c r="S289" s="7">
        <f t="shared" si="4"/>
        <v>0.1004987562</v>
      </c>
      <c r="T289" s="7">
        <f t="shared" si="5"/>
        <v>0</v>
      </c>
      <c r="U289" s="7">
        <f t="shared" si="6"/>
        <v>0</v>
      </c>
      <c r="V289" s="7">
        <f t="shared" ref="V289:W289" si="581">IF(AVERAGE(T229:T288) &gt; 0.25, 1, 0)</f>
        <v>0</v>
      </c>
      <c r="W289" s="7">
        <f t="shared" si="581"/>
        <v>0</v>
      </c>
      <c r="X289" s="8">
        <v>0.0</v>
      </c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ht="22.5" customHeight="1">
      <c r="A290" s="6">
        <v>889.0</v>
      </c>
      <c r="B290" s="6">
        <v>60827.0</v>
      </c>
      <c r="C290" s="6">
        <v>1.24</v>
      </c>
      <c r="D290" s="6">
        <v>-0.19</v>
      </c>
      <c r="E290" s="6">
        <v>10.69</v>
      </c>
      <c r="F290" s="6">
        <v>-0.1</v>
      </c>
      <c r="G290" s="6">
        <v>0.0</v>
      </c>
      <c r="H290" s="6">
        <v>-0.01</v>
      </c>
      <c r="I290" s="6">
        <v>33.19</v>
      </c>
      <c r="J290" s="7">
        <f t="shared" ref="J290:O290" si="582">abs(C290-C289)/200</f>
        <v>0.00005</v>
      </c>
      <c r="K290" s="7">
        <f t="shared" si="582"/>
        <v>0.00005</v>
      </c>
      <c r="L290" s="7">
        <f t="shared" si="582"/>
        <v>0.0001</v>
      </c>
      <c r="M290" s="7">
        <f t="shared" si="582"/>
        <v>0</v>
      </c>
      <c r="N290" s="7">
        <f t="shared" si="582"/>
        <v>0</v>
      </c>
      <c r="O290" s="7">
        <f t="shared" si="582"/>
        <v>0</v>
      </c>
      <c r="P290" s="7">
        <f t="shared" si="9"/>
        <v>0</v>
      </c>
      <c r="Q290" s="7">
        <f t="shared" si="10"/>
        <v>0.02083151457</v>
      </c>
      <c r="R290" s="7">
        <f t="shared" si="3"/>
        <v>0.9633544957</v>
      </c>
      <c r="S290" s="7">
        <f t="shared" si="4"/>
        <v>0.1004987562</v>
      </c>
      <c r="T290" s="7">
        <f t="shared" si="5"/>
        <v>0</v>
      </c>
      <c r="U290" s="7">
        <f t="shared" si="6"/>
        <v>0</v>
      </c>
      <c r="V290" s="7">
        <f t="shared" ref="V290:W290" si="583">IF(AVERAGE(T230:T289) &gt; 0.25, 1, 0)</f>
        <v>0</v>
      </c>
      <c r="W290" s="7">
        <f t="shared" si="583"/>
        <v>0</v>
      </c>
      <c r="X290" s="8">
        <v>0.0</v>
      </c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ht="22.5" customHeight="1">
      <c r="A291" s="6">
        <v>890.0</v>
      </c>
      <c r="B291" s="6">
        <v>61031.0</v>
      </c>
      <c r="C291" s="6">
        <v>1.23</v>
      </c>
      <c r="D291" s="6">
        <v>-0.17</v>
      </c>
      <c r="E291" s="6">
        <v>10.7</v>
      </c>
      <c r="F291" s="6">
        <v>-0.1</v>
      </c>
      <c r="G291" s="6">
        <v>0.0</v>
      </c>
      <c r="H291" s="6">
        <v>-0.01</v>
      </c>
      <c r="I291" s="6">
        <v>33.19</v>
      </c>
      <c r="J291" s="7">
        <f t="shared" ref="J291:O291" si="584">abs(C291-C290)/200</f>
        <v>0.00005</v>
      </c>
      <c r="K291" s="7">
        <f t="shared" si="584"/>
        <v>0.0001</v>
      </c>
      <c r="L291" s="7">
        <f t="shared" si="584"/>
        <v>0.00005</v>
      </c>
      <c r="M291" s="7">
        <f t="shared" si="584"/>
        <v>0</v>
      </c>
      <c r="N291" s="7">
        <f t="shared" si="584"/>
        <v>0</v>
      </c>
      <c r="O291" s="7">
        <f t="shared" si="584"/>
        <v>0</v>
      </c>
      <c r="P291" s="7">
        <f t="shared" si="9"/>
        <v>0</v>
      </c>
      <c r="Q291" s="7">
        <f t="shared" si="10"/>
        <v>0.00845129535</v>
      </c>
      <c r="R291" s="7">
        <f t="shared" si="3"/>
        <v>0.971805791</v>
      </c>
      <c r="S291" s="7">
        <f t="shared" si="4"/>
        <v>0.1004987562</v>
      </c>
      <c r="T291" s="7">
        <f t="shared" si="5"/>
        <v>0</v>
      </c>
      <c r="U291" s="7">
        <f t="shared" si="6"/>
        <v>0</v>
      </c>
      <c r="V291" s="7">
        <f t="shared" ref="V291:W291" si="585">IF(AVERAGE(T231:T290) &gt; 0.25, 1, 0)</f>
        <v>0</v>
      </c>
      <c r="W291" s="7">
        <f t="shared" si="585"/>
        <v>0</v>
      </c>
      <c r="X291" s="8">
        <v>0.0</v>
      </c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ht="22.5" customHeight="1">
      <c r="A292" s="6">
        <v>891.0</v>
      </c>
      <c r="B292" s="6">
        <v>61235.0</v>
      </c>
      <c r="C292" s="6">
        <v>1.24</v>
      </c>
      <c r="D292" s="6">
        <v>-0.19</v>
      </c>
      <c r="E292" s="6">
        <v>10.68</v>
      </c>
      <c r="F292" s="6">
        <v>-0.1</v>
      </c>
      <c r="G292" s="6">
        <v>0.0</v>
      </c>
      <c r="H292" s="6">
        <v>-0.01</v>
      </c>
      <c r="I292" s="6">
        <v>33.19</v>
      </c>
      <c r="J292" s="7">
        <f t="shared" ref="J292:O292" si="586">abs(C292-C291)/200</f>
        <v>0.00005</v>
      </c>
      <c r="K292" s="7">
        <f t="shared" si="586"/>
        <v>0.0001</v>
      </c>
      <c r="L292" s="7">
        <f t="shared" si="586"/>
        <v>0.0001</v>
      </c>
      <c r="M292" s="7">
        <f t="shared" si="586"/>
        <v>0</v>
      </c>
      <c r="N292" s="7">
        <f t="shared" si="586"/>
        <v>0</v>
      </c>
      <c r="O292" s="7">
        <f t="shared" si="586"/>
        <v>0</v>
      </c>
      <c r="P292" s="7">
        <f t="shared" si="9"/>
        <v>0</v>
      </c>
      <c r="Q292" s="7">
        <f t="shared" si="10"/>
        <v>0.01838308011</v>
      </c>
      <c r="R292" s="7">
        <f t="shared" si="3"/>
        <v>0.9534227109</v>
      </c>
      <c r="S292" s="7">
        <f t="shared" si="4"/>
        <v>0.1004987562</v>
      </c>
      <c r="T292" s="7">
        <f t="shared" si="5"/>
        <v>0</v>
      </c>
      <c r="U292" s="7">
        <f t="shared" si="6"/>
        <v>0</v>
      </c>
      <c r="V292" s="7">
        <f t="shared" ref="V292:W292" si="587">IF(AVERAGE(T232:T291) &gt; 0.25, 1, 0)</f>
        <v>0</v>
      </c>
      <c r="W292" s="7">
        <f t="shared" si="587"/>
        <v>0</v>
      </c>
      <c r="X292" s="8">
        <v>0.0</v>
      </c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ht="22.5" customHeight="1">
      <c r="A293" s="6">
        <v>892.0</v>
      </c>
      <c r="B293" s="6">
        <v>61439.0</v>
      </c>
      <c r="C293" s="6">
        <v>1.23</v>
      </c>
      <c r="D293" s="6">
        <v>-0.2</v>
      </c>
      <c r="E293" s="6">
        <v>10.69</v>
      </c>
      <c r="F293" s="6">
        <v>-0.1</v>
      </c>
      <c r="G293" s="6">
        <v>0.0</v>
      </c>
      <c r="H293" s="6">
        <v>-0.01</v>
      </c>
      <c r="I293" s="6">
        <v>33.18</v>
      </c>
      <c r="J293" s="7">
        <f t="shared" ref="J293:O293" si="588">abs(C293-C292)/200</f>
        <v>0.00005</v>
      </c>
      <c r="K293" s="7">
        <f t="shared" si="588"/>
        <v>0.00005</v>
      </c>
      <c r="L293" s="7">
        <f t="shared" si="588"/>
        <v>0.00005</v>
      </c>
      <c r="M293" s="7">
        <f t="shared" si="588"/>
        <v>0</v>
      </c>
      <c r="N293" s="7">
        <f t="shared" si="588"/>
        <v>0</v>
      </c>
      <c r="O293" s="7">
        <f t="shared" si="588"/>
        <v>0</v>
      </c>
      <c r="P293" s="7">
        <f t="shared" si="9"/>
        <v>0</v>
      </c>
      <c r="Q293" s="7">
        <f t="shared" si="10"/>
        <v>0.008965499869</v>
      </c>
      <c r="R293" s="7">
        <f t="shared" si="3"/>
        <v>0.9623882108</v>
      </c>
      <c r="S293" s="7">
        <f t="shared" si="4"/>
        <v>0.1004987562</v>
      </c>
      <c r="T293" s="7">
        <f t="shared" si="5"/>
        <v>0</v>
      </c>
      <c r="U293" s="7">
        <f t="shared" si="6"/>
        <v>0</v>
      </c>
      <c r="V293" s="7">
        <f t="shared" ref="V293:W293" si="589">IF(AVERAGE(T233:T292) &gt; 0.25, 1, 0)</f>
        <v>0</v>
      </c>
      <c r="W293" s="7">
        <f t="shared" si="589"/>
        <v>0</v>
      </c>
      <c r="X293" s="8">
        <v>0.0</v>
      </c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ht="22.5" customHeight="1">
      <c r="A294" s="6">
        <v>893.0</v>
      </c>
      <c r="B294" s="6">
        <v>61643.0</v>
      </c>
      <c r="C294" s="6">
        <v>1.24</v>
      </c>
      <c r="D294" s="6">
        <v>-0.2</v>
      </c>
      <c r="E294" s="6">
        <v>10.68</v>
      </c>
      <c r="F294" s="6">
        <v>-0.1</v>
      </c>
      <c r="G294" s="6">
        <v>0.0</v>
      </c>
      <c r="H294" s="6">
        <v>-0.01</v>
      </c>
      <c r="I294" s="6">
        <v>33.18</v>
      </c>
      <c r="J294" s="7">
        <f t="shared" ref="J294:O294" si="590">abs(C294-C293)/200</f>
        <v>0.00005</v>
      </c>
      <c r="K294" s="7">
        <f t="shared" si="590"/>
        <v>0</v>
      </c>
      <c r="L294" s="7">
        <f t="shared" si="590"/>
        <v>0.00005</v>
      </c>
      <c r="M294" s="7">
        <f t="shared" si="590"/>
        <v>0</v>
      </c>
      <c r="N294" s="7">
        <f t="shared" si="590"/>
        <v>0</v>
      </c>
      <c r="O294" s="7">
        <f t="shared" si="590"/>
        <v>0</v>
      </c>
      <c r="P294" s="7">
        <f t="shared" si="9"/>
        <v>0</v>
      </c>
      <c r="Q294" s="7">
        <f t="shared" si="10"/>
        <v>0.008784163785</v>
      </c>
      <c r="R294" s="7">
        <f t="shared" si="3"/>
        <v>0.953604047</v>
      </c>
      <c r="S294" s="7">
        <f t="shared" si="4"/>
        <v>0.1004987562</v>
      </c>
      <c r="T294" s="7">
        <f t="shared" si="5"/>
        <v>0</v>
      </c>
      <c r="U294" s="7">
        <f t="shared" si="6"/>
        <v>0</v>
      </c>
      <c r="V294" s="7">
        <f t="shared" ref="V294:W294" si="591">IF(AVERAGE(T234:T293) &gt; 0.25, 1, 0)</f>
        <v>0</v>
      </c>
      <c r="W294" s="7">
        <f t="shared" si="591"/>
        <v>0</v>
      </c>
      <c r="X294" s="8">
        <v>0.0</v>
      </c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ht="22.5" customHeight="1">
      <c r="A295" s="6">
        <v>894.0</v>
      </c>
      <c r="B295" s="6">
        <v>61847.0</v>
      </c>
      <c r="C295" s="6">
        <v>1.23</v>
      </c>
      <c r="D295" s="6">
        <v>-0.19</v>
      </c>
      <c r="E295" s="6">
        <v>10.7</v>
      </c>
      <c r="F295" s="6">
        <v>-0.1</v>
      </c>
      <c r="G295" s="6">
        <v>0.0</v>
      </c>
      <c r="H295" s="6">
        <v>-0.01</v>
      </c>
      <c r="I295" s="6">
        <v>33.19</v>
      </c>
      <c r="J295" s="7">
        <f t="shared" ref="J295:O295" si="592">abs(C295-C294)/200</f>
        <v>0.00005</v>
      </c>
      <c r="K295" s="7">
        <f t="shared" si="592"/>
        <v>0.00005</v>
      </c>
      <c r="L295" s="7">
        <f t="shared" si="592"/>
        <v>0.0001</v>
      </c>
      <c r="M295" s="7">
        <f t="shared" si="592"/>
        <v>0</v>
      </c>
      <c r="N295" s="7">
        <f t="shared" si="592"/>
        <v>0</v>
      </c>
      <c r="O295" s="7">
        <f t="shared" si="592"/>
        <v>0</v>
      </c>
      <c r="P295" s="7">
        <f t="shared" si="9"/>
        <v>0</v>
      </c>
      <c r="Q295" s="7">
        <f t="shared" si="10"/>
        <v>0.01853594465</v>
      </c>
      <c r="R295" s="7">
        <f t="shared" si="3"/>
        <v>0.9721399917</v>
      </c>
      <c r="S295" s="7">
        <f t="shared" si="4"/>
        <v>0.1004987562</v>
      </c>
      <c r="T295" s="7">
        <f t="shared" si="5"/>
        <v>0</v>
      </c>
      <c r="U295" s="7">
        <f t="shared" si="6"/>
        <v>0</v>
      </c>
      <c r="V295" s="7">
        <f t="shared" ref="V295:W295" si="593">IF(AVERAGE(T235:T294) &gt; 0.25, 1, 0)</f>
        <v>0</v>
      </c>
      <c r="W295" s="7">
        <f t="shared" si="593"/>
        <v>0</v>
      </c>
      <c r="X295" s="8">
        <v>0.0</v>
      </c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ht="22.5" customHeight="1">
      <c r="A296" s="6">
        <v>895.0</v>
      </c>
      <c r="B296" s="6">
        <v>62051.0</v>
      </c>
      <c r="C296" s="6">
        <v>1.23</v>
      </c>
      <c r="D296" s="6">
        <v>-0.19</v>
      </c>
      <c r="E296" s="6">
        <v>10.69</v>
      </c>
      <c r="F296" s="6">
        <v>-0.1</v>
      </c>
      <c r="G296" s="6">
        <v>0.0</v>
      </c>
      <c r="H296" s="6">
        <v>-0.01</v>
      </c>
      <c r="I296" s="6">
        <v>33.18</v>
      </c>
      <c r="J296" s="7">
        <f t="shared" ref="J296:O296" si="594">abs(C296-C295)/200</f>
        <v>0</v>
      </c>
      <c r="K296" s="7">
        <f t="shared" si="594"/>
        <v>0</v>
      </c>
      <c r="L296" s="7">
        <f t="shared" si="594"/>
        <v>0.00005</v>
      </c>
      <c r="M296" s="7">
        <f t="shared" si="594"/>
        <v>0</v>
      </c>
      <c r="N296" s="7">
        <f t="shared" si="594"/>
        <v>0</v>
      </c>
      <c r="O296" s="7">
        <f t="shared" si="594"/>
        <v>0</v>
      </c>
      <c r="P296" s="7">
        <f t="shared" si="9"/>
        <v>0</v>
      </c>
      <c r="Q296" s="7">
        <f t="shared" si="10"/>
        <v>0.009932968938</v>
      </c>
      <c r="R296" s="7">
        <f t="shared" si="3"/>
        <v>0.9622070227</v>
      </c>
      <c r="S296" s="7">
        <f t="shared" si="4"/>
        <v>0.1004987562</v>
      </c>
      <c r="T296" s="7">
        <f t="shared" si="5"/>
        <v>0</v>
      </c>
      <c r="U296" s="7">
        <f t="shared" si="6"/>
        <v>0</v>
      </c>
      <c r="V296" s="7">
        <f t="shared" ref="V296:W296" si="595">IF(AVERAGE(T236:T295) &gt; 0.25, 1, 0)</f>
        <v>0</v>
      </c>
      <c r="W296" s="7">
        <f t="shared" si="595"/>
        <v>0</v>
      </c>
      <c r="X296" s="8">
        <v>0.0</v>
      </c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ht="22.5" customHeight="1">
      <c r="A297" s="6">
        <v>896.0</v>
      </c>
      <c r="B297" s="6">
        <v>62255.0</v>
      </c>
      <c r="C297" s="6">
        <v>1.24</v>
      </c>
      <c r="D297" s="6">
        <v>-0.2</v>
      </c>
      <c r="E297" s="6">
        <v>10.69</v>
      </c>
      <c r="F297" s="6">
        <v>-0.1</v>
      </c>
      <c r="G297" s="6">
        <v>0.0</v>
      </c>
      <c r="H297" s="6">
        <v>-0.01</v>
      </c>
      <c r="I297" s="6">
        <v>33.18</v>
      </c>
      <c r="J297" s="7">
        <f t="shared" ref="J297:O297" si="596">abs(C297-C296)/200</f>
        <v>0.00005</v>
      </c>
      <c r="K297" s="7">
        <f t="shared" si="596"/>
        <v>0.00005</v>
      </c>
      <c r="L297" s="7">
        <f t="shared" si="596"/>
        <v>0</v>
      </c>
      <c r="M297" s="7">
        <f t="shared" si="596"/>
        <v>0</v>
      </c>
      <c r="N297" s="7">
        <f t="shared" si="596"/>
        <v>0</v>
      </c>
      <c r="O297" s="7">
        <f t="shared" si="596"/>
        <v>0</v>
      </c>
      <c r="P297" s="7">
        <f t="shared" si="9"/>
        <v>0</v>
      </c>
      <c r="Q297" s="7">
        <f t="shared" si="10"/>
        <v>0.00132864173</v>
      </c>
      <c r="R297" s="7">
        <f t="shared" si="3"/>
        <v>0.9635356645</v>
      </c>
      <c r="S297" s="7">
        <f t="shared" si="4"/>
        <v>0.1004987562</v>
      </c>
      <c r="T297" s="7">
        <f t="shared" si="5"/>
        <v>0</v>
      </c>
      <c r="U297" s="7">
        <f t="shared" si="6"/>
        <v>0</v>
      </c>
      <c r="V297" s="7">
        <f t="shared" ref="V297:W297" si="597">IF(AVERAGE(T237:T296) &gt; 0.25, 1, 0)</f>
        <v>0</v>
      </c>
      <c r="W297" s="7">
        <f t="shared" si="597"/>
        <v>0</v>
      </c>
      <c r="X297" s="8">
        <v>0.0</v>
      </c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ht="22.5" customHeight="1">
      <c r="A298" s="6">
        <v>897.0</v>
      </c>
      <c r="B298" s="6">
        <v>62459.0</v>
      </c>
      <c r="C298" s="6">
        <v>1.24</v>
      </c>
      <c r="D298" s="6">
        <v>-0.2</v>
      </c>
      <c r="E298" s="6">
        <v>10.69</v>
      </c>
      <c r="F298" s="6">
        <v>-0.1</v>
      </c>
      <c r="G298" s="6">
        <v>0.0</v>
      </c>
      <c r="H298" s="6">
        <v>-0.01</v>
      </c>
      <c r="I298" s="6">
        <v>33.19</v>
      </c>
      <c r="J298" s="7">
        <f t="shared" ref="J298:O298" si="598">abs(C298-C297)/200</f>
        <v>0</v>
      </c>
      <c r="K298" s="7">
        <f t="shared" si="598"/>
        <v>0</v>
      </c>
      <c r="L298" s="7">
        <f t="shared" si="598"/>
        <v>0</v>
      </c>
      <c r="M298" s="7">
        <f t="shared" si="598"/>
        <v>0</v>
      </c>
      <c r="N298" s="7">
        <f t="shared" si="598"/>
        <v>0</v>
      </c>
      <c r="O298" s="7">
        <f t="shared" si="598"/>
        <v>0</v>
      </c>
      <c r="P298" s="7">
        <f t="shared" si="9"/>
        <v>0</v>
      </c>
      <c r="Q298" s="7">
        <f t="shared" si="10"/>
        <v>0</v>
      </c>
      <c r="R298" s="7">
        <f t="shared" si="3"/>
        <v>0.9635356645</v>
      </c>
      <c r="S298" s="7">
        <f t="shared" si="4"/>
        <v>0.1004987562</v>
      </c>
      <c r="T298" s="7">
        <f t="shared" si="5"/>
        <v>0</v>
      </c>
      <c r="U298" s="7">
        <f t="shared" si="6"/>
        <v>0</v>
      </c>
      <c r="V298" s="7">
        <f t="shared" ref="V298:W298" si="599">IF(AVERAGE(T238:T297) &gt; 0.25, 1, 0)</f>
        <v>0</v>
      </c>
      <c r="W298" s="7">
        <f t="shared" si="599"/>
        <v>0</v>
      </c>
      <c r="X298" s="8">
        <v>0.0</v>
      </c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ht="22.5" customHeight="1">
      <c r="A299" s="6">
        <v>898.0</v>
      </c>
      <c r="B299" s="6">
        <v>62663.0</v>
      </c>
      <c r="C299" s="6">
        <v>1.24</v>
      </c>
      <c r="D299" s="6">
        <v>-0.21</v>
      </c>
      <c r="E299" s="6">
        <v>10.69</v>
      </c>
      <c r="F299" s="6">
        <v>-0.1</v>
      </c>
      <c r="G299" s="6">
        <v>0.0</v>
      </c>
      <c r="H299" s="6">
        <v>-0.01</v>
      </c>
      <c r="I299" s="6">
        <v>33.19</v>
      </c>
      <c r="J299" s="7">
        <f t="shared" ref="J299:O299" si="600">abs(C299-C298)/200</f>
        <v>0</v>
      </c>
      <c r="K299" s="7">
        <f t="shared" si="600"/>
        <v>0.00005</v>
      </c>
      <c r="L299" s="7">
        <f t="shared" si="600"/>
        <v>0</v>
      </c>
      <c r="M299" s="7">
        <f t="shared" si="600"/>
        <v>0</v>
      </c>
      <c r="N299" s="7">
        <f t="shared" si="600"/>
        <v>0</v>
      </c>
      <c r="O299" s="7">
        <f t="shared" si="600"/>
        <v>0</v>
      </c>
      <c r="P299" s="7">
        <f t="shared" si="9"/>
        <v>0</v>
      </c>
      <c r="Q299" s="7">
        <f t="shared" si="10"/>
        <v>0.0001904561779</v>
      </c>
      <c r="R299" s="7">
        <f t="shared" si="3"/>
        <v>0.9637261206</v>
      </c>
      <c r="S299" s="7">
        <f t="shared" si="4"/>
        <v>0.1004987562</v>
      </c>
      <c r="T299" s="7">
        <f t="shared" si="5"/>
        <v>0</v>
      </c>
      <c r="U299" s="7">
        <f t="shared" si="6"/>
        <v>0</v>
      </c>
      <c r="V299" s="7">
        <f t="shared" ref="V299:W299" si="601">IF(AVERAGE(T239:T298) &gt; 0.25, 1, 0)</f>
        <v>0</v>
      </c>
      <c r="W299" s="7">
        <f t="shared" si="601"/>
        <v>0</v>
      </c>
      <c r="X299" s="8">
        <v>0.0</v>
      </c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ht="22.5" customHeight="1">
      <c r="A300" s="6">
        <v>899.0</v>
      </c>
      <c r="B300" s="6">
        <v>62867.0</v>
      </c>
      <c r="C300" s="6">
        <v>1.23</v>
      </c>
      <c r="D300" s="6">
        <v>-0.2</v>
      </c>
      <c r="E300" s="6">
        <v>10.68</v>
      </c>
      <c r="F300" s="6">
        <v>-0.1</v>
      </c>
      <c r="G300" s="6">
        <v>0.0</v>
      </c>
      <c r="H300" s="6">
        <v>-0.01</v>
      </c>
      <c r="I300" s="6">
        <v>33.2</v>
      </c>
      <c r="J300" s="7">
        <f t="shared" ref="J300:O300" si="602">abs(C300-C299)/200</f>
        <v>0.00005</v>
      </c>
      <c r="K300" s="7">
        <f t="shared" si="602"/>
        <v>0.00005</v>
      </c>
      <c r="L300" s="7">
        <f t="shared" si="602"/>
        <v>0.00005</v>
      </c>
      <c r="M300" s="7">
        <f t="shared" si="602"/>
        <v>0</v>
      </c>
      <c r="N300" s="7">
        <f t="shared" si="602"/>
        <v>0</v>
      </c>
      <c r="O300" s="7">
        <f t="shared" si="602"/>
        <v>0</v>
      </c>
      <c r="P300" s="7">
        <f t="shared" si="9"/>
        <v>0</v>
      </c>
      <c r="Q300" s="7">
        <f t="shared" si="10"/>
        <v>0.01127058713</v>
      </c>
      <c r="R300" s="7">
        <f t="shared" si="3"/>
        <v>0.9524555335</v>
      </c>
      <c r="S300" s="7">
        <f t="shared" si="4"/>
        <v>0.1004987562</v>
      </c>
      <c r="T300" s="7">
        <f t="shared" si="5"/>
        <v>0</v>
      </c>
      <c r="U300" s="7">
        <f t="shared" si="6"/>
        <v>0</v>
      </c>
      <c r="V300" s="7">
        <f t="shared" ref="V300:W300" si="603">IF(AVERAGE(T240:T299) &gt; 0.25, 1, 0)</f>
        <v>0</v>
      </c>
      <c r="W300" s="7">
        <f t="shared" si="603"/>
        <v>0</v>
      </c>
      <c r="X300" s="8">
        <v>0.0</v>
      </c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ht="22.5" customHeight="1">
      <c r="A301" s="6">
        <v>900.0</v>
      </c>
      <c r="B301" s="6">
        <v>63071.0</v>
      </c>
      <c r="C301" s="6">
        <v>1.24</v>
      </c>
      <c r="D301" s="6">
        <v>-0.2</v>
      </c>
      <c r="E301" s="6">
        <v>10.69</v>
      </c>
      <c r="F301" s="6">
        <v>-0.1</v>
      </c>
      <c r="G301" s="6">
        <v>0.0</v>
      </c>
      <c r="H301" s="6">
        <v>-0.01</v>
      </c>
      <c r="I301" s="6">
        <v>33.19</v>
      </c>
      <c r="J301" s="7">
        <f t="shared" ref="J301:O301" si="604">abs(C301-C300)/200</f>
        <v>0.00005</v>
      </c>
      <c r="K301" s="7">
        <f t="shared" si="604"/>
        <v>0</v>
      </c>
      <c r="L301" s="7">
        <f t="shared" si="604"/>
        <v>0.00005</v>
      </c>
      <c r="M301" s="7">
        <f t="shared" si="604"/>
        <v>0</v>
      </c>
      <c r="N301" s="7">
        <f t="shared" si="604"/>
        <v>0</v>
      </c>
      <c r="O301" s="7">
        <f t="shared" si="604"/>
        <v>0</v>
      </c>
      <c r="P301" s="7">
        <f t="shared" si="9"/>
        <v>0</v>
      </c>
      <c r="Q301" s="7">
        <f t="shared" si="10"/>
        <v>0.01108013095</v>
      </c>
      <c r="R301" s="7">
        <f t="shared" si="3"/>
        <v>0.9635356645</v>
      </c>
      <c r="S301" s="7">
        <f t="shared" si="4"/>
        <v>0.1004987562</v>
      </c>
      <c r="T301" s="7">
        <f t="shared" si="5"/>
        <v>0</v>
      </c>
      <c r="U301" s="7">
        <f t="shared" si="6"/>
        <v>0</v>
      </c>
      <c r="V301" s="7">
        <f t="shared" ref="V301:W301" si="605">IF(AVERAGE(T241:T300) &gt; 0.25, 1, 0)</f>
        <v>0</v>
      </c>
      <c r="W301" s="7">
        <f t="shared" si="605"/>
        <v>0</v>
      </c>
      <c r="X301" s="8">
        <v>0.0</v>
      </c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ht="22.5" customHeight="1">
      <c r="A302" s="6"/>
      <c r="B302" s="6" t="s">
        <v>41</v>
      </c>
      <c r="C302" s="6">
        <f t="shared" ref="C302:S302" si="606">AVERAGE(C2:C301)</f>
        <v>1.233633333</v>
      </c>
      <c r="D302" s="6">
        <f t="shared" si="606"/>
        <v>-0.2002666667</v>
      </c>
      <c r="E302" s="6">
        <f t="shared" si="606"/>
        <v>10.6807</v>
      </c>
      <c r="F302" s="6">
        <f t="shared" si="606"/>
        <v>-0.1</v>
      </c>
      <c r="G302" s="6">
        <f t="shared" si="606"/>
        <v>0</v>
      </c>
      <c r="H302" s="6">
        <f t="shared" si="606"/>
        <v>-0.01</v>
      </c>
      <c r="I302" s="6">
        <f t="shared" si="606"/>
        <v>33.18723333</v>
      </c>
      <c r="J302" s="6">
        <f t="shared" si="606"/>
        <v>0.00003166666667</v>
      </c>
      <c r="K302" s="6">
        <f t="shared" si="606"/>
        <v>0.0000275</v>
      </c>
      <c r="L302" s="6">
        <f t="shared" si="606"/>
        <v>0.00004483333333</v>
      </c>
      <c r="M302" s="6">
        <f t="shared" si="606"/>
        <v>0</v>
      </c>
      <c r="N302" s="6">
        <f t="shared" si="606"/>
        <v>0</v>
      </c>
      <c r="O302" s="6">
        <f t="shared" si="606"/>
        <v>0</v>
      </c>
      <c r="P302" s="6">
        <f t="shared" si="606"/>
        <v>0</v>
      </c>
      <c r="Q302" s="6">
        <f t="shared" si="606"/>
        <v>0.009162626385</v>
      </c>
      <c r="R302" s="6">
        <f t="shared" si="606"/>
        <v>0.9535752003</v>
      </c>
      <c r="S302" s="6">
        <f t="shared" si="606"/>
        <v>0.1004987562</v>
      </c>
      <c r="T302" s="7"/>
      <c r="U302" s="7"/>
      <c r="V302" s="7"/>
      <c r="W302" s="7"/>
      <c r="X302" s="8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ht="22.5" customHeight="1">
      <c r="A303" s="6"/>
      <c r="B303" s="6" t="s">
        <v>42</v>
      </c>
      <c r="C303" s="6">
        <f t="shared" ref="C303:S303" si="607">STDEV(C2:C301)</f>
        <v>0.005993214297</v>
      </c>
      <c r="D303" s="6">
        <f t="shared" si="607"/>
        <v>0.006114478313</v>
      </c>
      <c r="E303" s="6">
        <f t="shared" si="607"/>
        <v>0.01908903623</v>
      </c>
      <c r="F303" s="6">
        <f t="shared" si="607"/>
        <v>0</v>
      </c>
      <c r="G303" s="6">
        <f t="shared" si="607"/>
        <v>0</v>
      </c>
      <c r="H303" s="6">
        <f t="shared" si="607"/>
        <v>0</v>
      </c>
      <c r="I303" s="6">
        <f t="shared" si="607"/>
        <v>0.01142134168</v>
      </c>
      <c r="J303" s="6">
        <f t="shared" si="607"/>
        <v>0.00002944109627</v>
      </c>
      <c r="K303" s="6">
        <f t="shared" si="607"/>
        <v>0.00003036153393</v>
      </c>
      <c r="L303" s="6">
        <f t="shared" si="607"/>
        <v>0.00009252120188</v>
      </c>
      <c r="M303" s="6">
        <f t="shared" si="607"/>
        <v>0</v>
      </c>
      <c r="N303" s="6">
        <f t="shared" si="607"/>
        <v>0</v>
      </c>
      <c r="O303" s="6">
        <f t="shared" si="607"/>
        <v>0</v>
      </c>
      <c r="P303" s="6">
        <f t="shared" si="607"/>
        <v>0</v>
      </c>
      <c r="Q303" s="6">
        <f t="shared" si="607"/>
        <v>0.01849857931</v>
      </c>
      <c r="R303" s="6">
        <f t="shared" si="607"/>
        <v>0.01919126857</v>
      </c>
      <c r="S303" s="6">
        <f t="shared" si="607"/>
        <v>0</v>
      </c>
      <c r="T303" s="7"/>
      <c r="U303" s="7"/>
      <c r="V303" s="7"/>
      <c r="W303" s="7"/>
      <c r="X303" s="8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ht="22.5" customHeight="1">
      <c r="A304" s="6"/>
      <c r="B304" s="6" t="s">
        <v>43</v>
      </c>
      <c r="C304" s="6">
        <f t="shared" ref="C304:S304" si="608">COUNT(C2:C301)</f>
        <v>300</v>
      </c>
      <c r="D304" s="6">
        <f t="shared" si="608"/>
        <v>300</v>
      </c>
      <c r="E304" s="6">
        <f t="shared" si="608"/>
        <v>300</v>
      </c>
      <c r="F304" s="6">
        <f t="shared" si="608"/>
        <v>300</v>
      </c>
      <c r="G304" s="6">
        <f t="shared" si="608"/>
        <v>300</v>
      </c>
      <c r="H304" s="6">
        <f t="shared" si="608"/>
        <v>300</v>
      </c>
      <c r="I304" s="6">
        <f t="shared" si="608"/>
        <v>300</v>
      </c>
      <c r="J304" s="6">
        <f t="shared" si="608"/>
        <v>300</v>
      </c>
      <c r="K304" s="6">
        <f t="shared" si="608"/>
        <v>300</v>
      </c>
      <c r="L304" s="6">
        <f t="shared" si="608"/>
        <v>300</v>
      </c>
      <c r="M304" s="6">
        <f t="shared" si="608"/>
        <v>300</v>
      </c>
      <c r="N304" s="6">
        <f t="shared" si="608"/>
        <v>300</v>
      </c>
      <c r="O304" s="6">
        <f t="shared" si="608"/>
        <v>300</v>
      </c>
      <c r="P304" s="6">
        <f t="shared" si="608"/>
        <v>300</v>
      </c>
      <c r="Q304" s="6">
        <f t="shared" si="608"/>
        <v>300</v>
      </c>
      <c r="R304" s="6">
        <f t="shared" si="608"/>
        <v>300</v>
      </c>
      <c r="S304" s="6">
        <f t="shared" si="608"/>
        <v>300</v>
      </c>
      <c r="T304" s="7"/>
      <c r="U304" s="7"/>
      <c r="V304" s="7"/>
      <c r="W304" s="7"/>
      <c r="X304" s="8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ht="22.5" customHeight="1">
      <c r="A305" s="6"/>
      <c r="B305" s="6" t="s">
        <v>44</v>
      </c>
      <c r="C305" s="6">
        <f t="shared" ref="C305:S305" si="609">MIN(C2:C301)</f>
        <v>1.2</v>
      </c>
      <c r="D305" s="6">
        <f t="shared" si="609"/>
        <v>-0.21</v>
      </c>
      <c r="E305" s="6">
        <f t="shared" si="609"/>
        <v>10.38</v>
      </c>
      <c r="F305" s="6">
        <f t="shared" si="609"/>
        <v>-0.1</v>
      </c>
      <c r="G305" s="6">
        <f t="shared" si="609"/>
        <v>0</v>
      </c>
      <c r="H305" s="6">
        <f t="shared" si="609"/>
        <v>-0.01</v>
      </c>
      <c r="I305" s="6">
        <f t="shared" si="609"/>
        <v>33.14</v>
      </c>
      <c r="J305" s="6">
        <f t="shared" si="609"/>
        <v>0</v>
      </c>
      <c r="K305" s="6">
        <f t="shared" si="609"/>
        <v>0</v>
      </c>
      <c r="L305" s="6">
        <f t="shared" si="609"/>
        <v>0</v>
      </c>
      <c r="M305" s="6">
        <f t="shared" si="609"/>
        <v>0</v>
      </c>
      <c r="N305" s="6">
        <f t="shared" si="609"/>
        <v>0</v>
      </c>
      <c r="O305" s="6">
        <f t="shared" si="609"/>
        <v>0</v>
      </c>
      <c r="P305" s="6">
        <f t="shared" si="609"/>
        <v>0</v>
      </c>
      <c r="Q305" s="6">
        <f t="shared" si="609"/>
        <v>0</v>
      </c>
      <c r="R305" s="6">
        <f t="shared" si="609"/>
        <v>0.6508612085</v>
      </c>
      <c r="S305" s="6">
        <f t="shared" si="609"/>
        <v>0.1004987562</v>
      </c>
      <c r="T305" s="7"/>
      <c r="U305" s="7"/>
      <c r="V305" s="7"/>
      <c r="W305" s="7"/>
      <c r="X305" s="8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ht="22.5" customHeight="1">
      <c r="A306" s="6"/>
      <c r="B306" s="6" t="s">
        <v>45</v>
      </c>
      <c r="C306" s="6">
        <f t="shared" ref="C306:S306" si="610">MAX(C2:C302)</f>
        <v>1.24</v>
      </c>
      <c r="D306" s="6">
        <f t="shared" si="610"/>
        <v>-0.17</v>
      </c>
      <c r="E306" s="6">
        <f t="shared" si="610"/>
        <v>10.7</v>
      </c>
      <c r="F306" s="6">
        <f t="shared" si="610"/>
        <v>-0.1</v>
      </c>
      <c r="G306" s="6">
        <f t="shared" si="610"/>
        <v>0</v>
      </c>
      <c r="H306" s="6">
        <f t="shared" si="610"/>
        <v>-0.01</v>
      </c>
      <c r="I306" s="6">
        <f t="shared" si="610"/>
        <v>33.21</v>
      </c>
      <c r="J306" s="6">
        <f t="shared" si="610"/>
        <v>0.0002</v>
      </c>
      <c r="K306" s="6">
        <f t="shared" si="610"/>
        <v>0.0001</v>
      </c>
      <c r="L306" s="6">
        <f t="shared" si="610"/>
        <v>0.0015</v>
      </c>
      <c r="M306" s="6">
        <f t="shared" si="610"/>
        <v>0</v>
      </c>
      <c r="N306" s="6">
        <f t="shared" si="610"/>
        <v>0</v>
      </c>
      <c r="O306" s="6">
        <f t="shared" si="610"/>
        <v>0</v>
      </c>
      <c r="P306" s="6">
        <f t="shared" si="610"/>
        <v>0</v>
      </c>
      <c r="Q306" s="6">
        <f t="shared" si="610"/>
        <v>0.3027428385</v>
      </c>
      <c r="R306" s="6">
        <f t="shared" si="610"/>
        <v>0.9734674084</v>
      </c>
      <c r="S306" s="6">
        <f t="shared" si="610"/>
        <v>0.1004987562</v>
      </c>
      <c r="T306" s="7"/>
      <c r="U306" s="7"/>
      <c r="V306" s="7"/>
      <c r="W306" s="7"/>
      <c r="X306" s="8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ht="22.5" customHeight="1">
      <c r="A307" s="6"/>
      <c r="B307" s="9">
        <v>0.25</v>
      </c>
      <c r="C307" s="6">
        <f t="shared" ref="C307:S307" si="611">_xlfn.QUARTILE.INC(C2:C301,1)</f>
        <v>1.23</v>
      </c>
      <c r="D307" s="6">
        <f t="shared" si="611"/>
        <v>-0.2</v>
      </c>
      <c r="E307" s="6">
        <f t="shared" si="611"/>
        <v>10.68</v>
      </c>
      <c r="F307" s="6">
        <f t="shared" si="611"/>
        <v>-0.1</v>
      </c>
      <c r="G307" s="6">
        <f t="shared" si="611"/>
        <v>0</v>
      </c>
      <c r="H307" s="6">
        <f t="shared" si="611"/>
        <v>-0.01</v>
      </c>
      <c r="I307" s="6">
        <f t="shared" si="611"/>
        <v>33.18</v>
      </c>
      <c r="J307" s="6">
        <f t="shared" si="611"/>
        <v>0</v>
      </c>
      <c r="K307" s="6">
        <f t="shared" si="611"/>
        <v>0</v>
      </c>
      <c r="L307" s="6">
        <f t="shared" si="611"/>
        <v>0</v>
      </c>
      <c r="M307" s="6">
        <f t="shared" si="611"/>
        <v>0</v>
      </c>
      <c r="N307" s="6">
        <f t="shared" si="611"/>
        <v>0</v>
      </c>
      <c r="O307" s="6">
        <f t="shared" si="611"/>
        <v>0</v>
      </c>
      <c r="P307" s="6">
        <f t="shared" si="611"/>
        <v>0</v>
      </c>
      <c r="Q307" s="6">
        <f t="shared" si="611"/>
        <v>0.001147453654</v>
      </c>
      <c r="R307" s="6">
        <f t="shared" si="611"/>
        <v>0.9524555335</v>
      </c>
      <c r="S307" s="6">
        <f t="shared" si="611"/>
        <v>0.1004987562</v>
      </c>
      <c r="T307" s="7"/>
      <c r="U307" s="7"/>
      <c r="V307" s="7"/>
      <c r="W307" s="7"/>
      <c r="X307" s="8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ht="22.5" customHeight="1">
      <c r="A308" s="6"/>
      <c r="B308" s="9">
        <v>0.5</v>
      </c>
      <c r="C308" s="6">
        <f t="shared" ref="C308:S308" si="612">_xlfn.QUARTILE.INC(C2:C301,2)</f>
        <v>1.23</v>
      </c>
      <c r="D308" s="6">
        <f t="shared" si="612"/>
        <v>-0.2</v>
      </c>
      <c r="E308" s="6">
        <f t="shared" si="612"/>
        <v>10.68</v>
      </c>
      <c r="F308" s="6">
        <f t="shared" si="612"/>
        <v>-0.1</v>
      </c>
      <c r="G308" s="6">
        <f t="shared" si="612"/>
        <v>0</v>
      </c>
      <c r="H308" s="6">
        <f t="shared" si="612"/>
        <v>-0.01</v>
      </c>
      <c r="I308" s="6">
        <f t="shared" si="612"/>
        <v>33.19</v>
      </c>
      <c r="J308" s="6">
        <f t="shared" si="612"/>
        <v>0.00005</v>
      </c>
      <c r="K308" s="6">
        <f t="shared" si="612"/>
        <v>0</v>
      </c>
      <c r="L308" s="6">
        <f t="shared" si="612"/>
        <v>0.00005</v>
      </c>
      <c r="M308" s="6">
        <f t="shared" si="612"/>
        <v>0</v>
      </c>
      <c r="N308" s="6">
        <f t="shared" si="612"/>
        <v>0</v>
      </c>
      <c r="O308" s="6">
        <f t="shared" si="612"/>
        <v>0</v>
      </c>
      <c r="P308" s="6">
        <f t="shared" si="612"/>
        <v>0</v>
      </c>
      <c r="Q308" s="6">
        <f t="shared" si="612"/>
        <v>0.008965499869</v>
      </c>
      <c r="R308" s="6">
        <f t="shared" si="612"/>
        <v>0.9526461859</v>
      </c>
      <c r="S308" s="6">
        <f t="shared" si="612"/>
        <v>0.1004987562</v>
      </c>
      <c r="T308" s="7"/>
      <c r="U308" s="7"/>
      <c r="V308" s="7"/>
      <c r="W308" s="7"/>
      <c r="X308" s="8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ht="22.5" customHeight="1">
      <c r="A309" s="6"/>
      <c r="B309" s="9">
        <v>0.75</v>
      </c>
      <c r="C309" s="6">
        <f t="shared" ref="C309:S309" si="613">_xlfn.QUARTILE.INC(C2:C301,3)</f>
        <v>1.24</v>
      </c>
      <c r="D309" s="6">
        <f t="shared" si="613"/>
        <v>-0.2</v>
      </c>
      <c r="E309" s="6">
        <f t="shared" si="613"/>
        <v>10.69</v>
      </c>
      <c r="F309" s="6">
        <f t="shared" si="613"/>
        <v>-0.1</v>
      </c>
      <c r="G309" s="6">
        <f t="shared" si="613"/>
        <v>0</v>
      </c>
      <c r="H309" s="6">
        <f t="shared" si="613"/>
        <v>-0.01</v>
      </c>
      <c r="I309" s="6">
        <f t="shared" si="613"/>
        <v>33.19</v>
      </c>
      <c r="J309" s="6">
        <f t="shared" si="613"/>
        <v>0.00005</v>
      </c>
      <c r="K309" s="6">
        <f t="shared" si="613"/>
        <v>0.00005</v>
      </c>
      <c r="L309" s="6">
        <f t="shared" si="613"/>
        <v>0.00005</v>
      </c>
      <c r="M309" s="6">
        <f t="shared" si="613"/>
        <v>0</v>
      </c>
      <c r="N309" s="6">
        <f t="shared" si="613"/>
        <v>0</v>
      </c>
      <c r="O309" s="6">
        <f t="shared" si="613"/>
        <v>0</v>
      </c>
      <c r="P309" s="6">
        <f t="shared" si="613"/>
        <v>0</v>
      </c>
      <c r="Q309" s="6">
        <f t="shared" si="613"/>
        <v>0.01108013095</v>
      </c>
      <c r="R309" s="6">
        <f t="shared" si="613"/>
        <v>0.9623882108</v>
      </c>
      <c r="S309" s="6">
        <f t="shared" si="613"/>
        <v>0.1004987562</v>
      </c>
      <c r="T309" s="7"/>
      <c r="U309" s="7"/>
      <c r="V309" s="7"/>
      <c r="W309" s="7"/>
      <c r="X309" s="8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9" width="15.5"/>
    <col customWidth="1" min="20" max="20" width="33.88"/>
    <col customWidth="1" min="21" max="21" width="26.13"/>
    <col customWidth="1" min="22" max="37" width="15.5"/>
  </cols>
  <sheetData>
    <row r="1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2" t="s">
        <v>19</v>
      </c>
      <c r="U1" s="2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ht="22.5" customHeight="1">
      <c r="A2" s="6">
        <v>1.0</v>
      </c>
      <c r="B2" s="6">
        <v>443.0</v>
      </c>
      <c r="C2" s="6">
        <v>-1.63</v>
      </c>
      <c r="D2" s="6">
        <v>-1.25</v>
      </c>
      <c r="E2" s="6">
        <v>10.4</v>
      </c>
      <c r="F2" s="6">
        <v>0.18</v>
      </c>
      <c r="G2" s="6">
        <v>-0.1</v>
      </c>
      <c r="H2" s="6">
        <v>3.07</v>
      </c>
      <c r="I2" s="6">
        <v>33.15</v>
      </c>
      <c r="J2" s="7"/>
      <c r="K2" s="7"/>
      <c r="L2" s="7"/>
      <c r="M2" s="7"/>
      <c r="N2" s="7"/>
      <c r="O2" s="7"/>
      <c r="P2" s="7"/>
      <c r="Q2" s="7"/>
      <c r="R2" s="7">
        <f t="shared" ref="R2:R601" si="2">((C2*C2)+(D2*D2)+(E2*E2))^0.5 - 9.8</f>
        <v>0.8009150548</v>
      </c>
      <c r="S2" s="7">
        <f t="shared" ref="S2:S601" si="3">((F2*F2)+(G2*G2)+(H2*H2))^0.5</f>
        <v>3.076897788</v>
      </c>
      <c r="T2" s="7">
        <f t="shared" ref="T2:T601" si="4">IF(OR(J2&gt;0.0003, K2&gt;0.0003, L2&gt;0.0003), 1, 0)</f>
        <v>0</v>
      </c>
      <c r="U2" s="7">
        <f t="shared" ref="U2:U603" si="5">IF(OR(M2&gt;0.0003, N2&gt;0.0003, O2&gt;0.0003), 1, 0)</f>
        <v>0</v>
      </c>
      <c r="V2" s="8">
        <v>1.0</v>
      </c>
      <c r="W2" s="8">
        <v>1.0</v>
      </c>
      <c r="X2" s="8">
        <v>1.0</v>
      </c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ht="22.5" customHeight="1">
      <c r="A3" s="6">
        <v>2.0</v>
      </c>
      <c r="B3" s="6">
        <v>647.0</v>
      </c>
      <c r="C3" s="6">
        <v>1.7</v>
      </c>
      <c r="D3" s="6">
        <v>-0.34</v>
      </c>
      <c r="E3" s="6">
        <v>10.64</v>
      </c>
      <c r="F3" s="6">
        <v>-0.1</v>
      </c>
      <c r="G3" s="6">
        <v>0.0</v>
      </c>
      <c r="H3" s="6">
        <v>-0.01</v>
      </c>
      <c r="I3" s="6">
        <v>33.16</v>
      </c>
      <c r="J3" s="7">
        <f t="shared" ref="J3:O3" si="1">abs(C3-C2)/200</f>
        <v>0.01665</v>
      </c>
      <c r="K3" s="7">
        <f t="shared" si="1"/>
        <v>0.00455</v>
      </c>
      <c r="L3" s="7">
        <f t="shared" si="1"/>
        <v>0.0012</v>
      </c>
      <c r="M3" s="7">
        <f t="shared" si="1"/>
        <v>0.0014</v>
      </c>
      <c r="N3" s="7">
        <f t="shared" si="1"/>
        <v>0.0005</v>
      </c>
      <c r="O3" s="7">
        <f t="shared" si="1"/>
        <v>0.0154</v>
      </c>
      <c r="P3" s="7">
        <f t="shared" ref="P3:P601" si="7">abs(S3 - S2)</f>
        <v>2.976399032</v>
      </c>
      <c r="Q3" s="7">
        <f t="shared" ref="Q3:Q601" si="8">abs(R3-R2)</f>
        <v>0.1794003394</v>
      </c>
      <c r="R3" s="7">
        <f t="shared" si="2"/>
        <v>0.9803153943</v>
      </c>
      <c r="S3" s="7">
        <f t="shared" si="3"/>
        <v>0.1004987562</v>
      </c>
      <c r="T3" s="7">
        <f t="shared" si="4"/>
        <v>1</v>
      </c>
      <c r="U3" s="6">
        <f t="shared" si="5"/>
        <v>1</v>
      </c>
      <c r="V3" s="8">
        <v>1.0</v>
      </c>
      <c r="W3" s="8">
        <v>1.0</v>
      </c>
      <c r="X3" s="8">
        <v>1.0</v>
      </c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ht="22.5" customHeight="1">
      <c r="A4" s="6">
        <v>3.0</v>
      </c>
      <c r="B4" s="6">
        <v>851.0</v>
      </c>
      <c r="C4" s="6">
        <v>1.95</v>
      </c>
      <c r="D4" s="6">
        <v>-0.24</v>
      </c>
      <c r="E4" s="6">
        <v>10.63</v>
      </c>
      <c r="F4" s="6">
        <v>-0.09</v>
      </c>
      <c r="G4" s="6">
        <v>0.04</v>
      </c>
      <c r="H4" s="6">
        <v>-0.08</v>
      </c>
      <c r="I4" s="6">
        <v>33.18</v>
      </c>
      <c r="J4" s="7">
        <f t="shared" ref="J4:O4" si="6">abs(C4-C3)/200</f>
        <v>0.00125</v>
      </c>
      <c r="K4" s="7">
        <f t="shared" si="6"/>
        <v>0.0005</v>
      </c>
      <c r="L4" s="7">
        <f t="shared" si="6"/>
        <v>0.00005</v>
      </c>
      <c r="M4" s="7">
        <f t="shared" si="6"/>
        <v>0.00005</v>
      </c>
      <c r="N4" s="7">
        <f t="shared" si="6"/>
        <v>0.0002</v>
      </c>
      <c r="O4" s="7">
        <f t="shared" si="6"/>
        <v>0.00035</v>
      </c>
      <c r="P4" s="7">
        <f t="shared" si="7"/>
        <v>0.02638701919</v>
      </c>
      <c r="Q4" s="7">
        <f t="shared" si="8"/>
        <v>0.02972623377</v>
      </c>
      <c r="R4" s="7">
        <f t="shared" si="2"/>
        <v>1.010041628</v>
      </c>
      <c r="S4" s="7">
        <f t="shared" si="3"/>
        <v>0.1268857754</v>
      </c>
      <c r="T4" s="7">
        <f t="shared" si="4"/>
        <v>1</v>
      </c>
      <c r="U4" s="7">
        <f t="shared" si="5"/>
        <v>1</v>
      </c>
      <c r="V4" s="8">
        <v>1.0</v>
      </c>
      <c r="W4" s="8">
        <v>1.0</v>
      </c>
      <c r="X4" s="8">
        <v>1.0</v>
      </c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ht="22.5" customHeight="1">
      <c r="A5" s="6">
        <v>4.0</v>
      </c>
      <c r="B5" s="6">
        <v>1055.0</v>
      </c>
      <c r="C5" s="6">
        <v>0.38</v>
      </c>
      <c r="D5" s="6">
        <v>-0.84</v>
      </c>
      <c r="E5" s="6">
        <v>10.68</v>
      </c>
      <c r="F5" s="6">
        <v>-0.26</v>
      </c>
      <c r="G5" s="6">
        <v>-0.02</v>
      </c>
      <c r="H5" s="6">
        <v>-1.94</v>
      </c>
      <c r="I5" s="6">
        <v>33.18</v>
      </c>
      <c r="J5" s="7">
        <f t="shared" ref="J5:O5" si="9">abs(C5-C4)/200</f>
        <v>0.00785</v>
      </c>
      <c r="K5" s="7">
        <f t="shared" si="9"/>
        <v>0.003</v>
      </c>
      <c r="L5" s="7">
        <f t="shared" si="9"/>
        <v>0.00025</v>
      </c>
      <c r="M5" s="7">
        <f t="shared" si="9"/>
        <v>0.00085</v>
      </c>
      <c r="N5" s="7">
        <f t="shared" si="9"/>
        <v>0.0003</v>
      </c>
      <c r="O5" s="7">
        <f t="shared" si="9"/>
        <v>0.0093</v>
      </c>
      <c r="P5" s="7">
        <f t="shared" si="7"/>
        <v>1.830561542</v>
      </c>
      <c r="Q5" s="7">
        <f t="shared" si="8"/>
        <v>0.09032148244</v>
      </c>
      <c r="R5" s="7">
        <f t="shared" si="2"/>
        <v>0.9197201456</v>
      </c>
      <c r="S5" s="7">
        <f t="shared" si="3"/>
        <v>1.957447317</v>
      </c>
      <c r="T5" s="7">
        <f t="shared" si="4"/>
        <v>1</v>
      </c>
      <c r="U5" s="7">
        <f t="shared" si="5"/>
        <v>1</v>
      </c>
      <c r="V5" s="8">
        <v>1.0</v>
      </c>
      <c r="W5" s="8">
        <v>1.0</v>
      </c>
      <c r="X5" s="8">
        <v>1.0</v>
      </c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ht="22.5" customHeight="1">
      <c r="A6" s="6">
        <v>5.0</v>
      </c>
      <c r="B6" s="6">
        <v>1259.0</v>
      </c>
      <c r="C6" s="6">
        <v>3.88</v>
      </c>
      <c r="D6" s="6">
        <v>-0.23</v>
      </c>
      <c r="E6" s="6">
        <v>11.03</v>
      </c>
      <c r="F6" s="6">
        <v>-0.06</v>
      </c>
      <c r="G6" s="6">
        <v>0.07</v>
      </c>
      <c r="H6" s="6">
        <v>0.29</v>
      </c>
      <c r="I6" s="6">
        <v>33.18</v>
      </c>
      <c r="J6" s="7">
        <f t="shared" ref="J6:O6" si="10">abs(C6-C5)/200</f>
        <v>0.0175</v>
      </c>
      <c r="K6" s="7">
        <f t="shared" si="10"/>
        <v>0.00305</v>
      </c>
      <c r="L6" s="7">
        <f t="shared" si="10"/>
        <v>0.00175</v>
      </c>
      <c r="M6" s="7">
        <f t="shared" si="10"/>
        <v>0.001</v>
      </c>
      <c r="N6" s="7">
        <f t="shared" si="10"/>
        <v>0.00045</v>
      </c>
      <c r="O6" s="7">
        <f t="shared" si="10"/>
        <v>0.01115</v>
      </c>
      <c r="P6" s="7">
        <f t="shared" si="7"/>
        <v>1.653144836</v>
      </c>
      <c r="Q6" s="7">
        <f t="shared" si="8"/>
        <v>0.9750735678</v>
      </c>
      <c r="R6" s="7">
        <f t="shared" si="2"/>
        <v>1.894793713</v>
      </c>
      <c r="S6" s="7">
        <f t="shared" si="3"/>
        <v>0.3043024811</v>
      </c>
      <c r="T6" s="7">
        <f t="shared" si="4"/>
        <v>1</v>
      </c>
      <c r="U6" s="7">
        <f t="shared" si="5"/>
        <v>1</v>
      </c>
      <c r="V6" s="8">
        <v>1.0</v>
      </c>
      <c r="W6" s="8">
        <v>1.0</v>
      </c>
      <c r="X6" s="8">
        <v>1.0</v>
      </c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ht="22.5" customHeight="1">
      <c r="A7" s="6">
        <v>6.0</v>
      </c>
      <c r="B7" s="6">
        <v>1463.0</v>
      </c>
      <c r="C7" s="6">
        <v>4.67</v>
      </c>
      <c r="D7" s="6">
        <v>-0.06</v>
      </c>
      <c r="E7" s="6">
        <v>10.74</v>
      </c>
      <c r="F7" s="6">
        <v>-0.31</v>
      </c>
      <c r="G7" s="6">
        <v>-0.12</v>
      </c>
      <c r="H7" s="6">
        <v>-1.97</v>
      </c>
      <c r="I7" s="6">
        <v>33.19</v>
      </c>
      <c r="J7" s="7">
        <f t="shared" ref="J7:O7" si="11">abs(C7-C6)/200</f>
        <v>0.00395</v>
      </c>
      <c r="K7" s="7">
        <f t="shared" si="11"/>
        <v>0.00085</v>
      </c>
      <c r="L7" s="7">
        <f t="shared" si="11"/>
        <v>0.00145</v>
      </c>
      <c r="M7" s="7">
        <f t="shared" si="11"/>
        <v>0.00125</v>
      </c>
      <c r="N7" s="7">
        <f t="shared" si="11"/>
        <v>0.00095</v>
      </c>
      <c r="O7" s="7">
        <f t="shared" si="11"/>
        <v>0.0113</v>
      </c>
      <c r="P7" s="7">
        <f t="shared" si="7"/>
        <v>1.693546362</v>
      </c>
      <c r="Q7" s="7">
        <f t="shared" si="8"/>
        <v>0.01674333342</v>
      </c>
      <c r="R7" s="7">
        <f t="shared" si="2"/>
        <v>1.911537047</v>
      </c>
      <c r="S7" s="7">
        <f t="shared" si="3"/>
        <v>1.997848843</v>
      </c>
      <c r="T7" s="7">
        <f t="shared" si="4"/>
        <v>1</v>
      </c>
      <c r="U7" s="7">
        <f t="shared" si="5"/>
        <v>1</v>
      </c>
      <c r="V7" s="8">
        <v>1.0</v>
      </c>
      <c r="W7" s="8">
        <v>1.0</v>
      </c>
      <c r="X7" s="8">
        <v>1.0</v>
      </c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ht="22.5" customHeight="1">
      <c r="A8" s="6">
        <v>7.0</v>
      </c>
      <c r="B8" s="6">
        <v>1667.0</v>
      </c>
      <c r="C8" s="6">
        <v>-4.06</v>
      </c>
      <c r="D8" s="6">
        <v>0.48</v>
      </c>
      <c r="E8" s="6">
        <v>11.23</v>
      </c>
      <c r="F8" s="6">
        <v>-0.13</v>
      </c>
      <c r="G8" s="6">
        <v>0.32</v>
      </c>
      <c r="H8" s="6">
        <v>-0.35</v>
      </c>
      <c r="I8" s="6">
        <v>33.19</v>
      </c>
      <c r="J8" s="7">
        <f t="shared" ref="J8:O8" si="12">abs(C8-C7)/200</f>
        <v>0.04365</v>
      </c>
      <c r="K8" s="7">
        <f t="shared" si="12"/>
        <v>0.0027</v>
      </c>
      <c r="L8" s="7">
        <f t="shared" si="12"/>
        <v>0.00245</v>
      </c>
      <c r="M8" s="7">
        <f t="shared" si="12"/>
        <v>0.0009</v>
      </c>
      <c r="N8" s="7">
        <f t="shared" si="12"/>
        <v>0.0022</v>
      </c>
      <c r="O8" s="7">
        <f t="shared" si="12"/>
        <v>0.0081</v>
      </c>
      <c r="P8" s="7">
        <f t="shared" si="7"/>
        <v>1.506117209</v>
      </c>
      <c r="Q8" s="7">
        <f t="shared" si="8"/>
        <v>0.23948383</v>
      </c>
      <c r="R8" s="7">
        <f t="shared" si="2"/>
        <v>2.151020877</v>
      </c>
      <c r="S8" s="7">
        <f t="shared" si="3"/>
        <v>0.4917316341</v>
      </c>
      <c r="T8" s="7">
        <f t="shared" si="4"/>
        <v>1</v>
      </c>
      <c r="U8" s="7">
        <f t="shared" si="5"/>
        <v>1</v>
      </c>
      <c r="V8" s="8">
        <v>1.0</v>
      </c>
      <c r="W8" s="8">
        <v>1.0</v>
      </c>
      <c r="X8" s="8">
        <v>1.0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ht="22.5" customHeight="1">
      <c r="A9" s="6">
        <v>8.0</v>
      </c>
      <c r="B9" s="6">
        <v>1871.0</v>
      </c>
      <c r="C9" s="6">
        <v>-0.9</v>
      </c>
      <c r="D9" s="6">
        <v>-1.49</v>
      </c>
      <c r="E9" s="6">
        <v>10.98</v>
      </c>
      <c r="F9" s="6">
        <v>0.1</v>
      </c>
      <c r="G9" s="6">
        <v>-0.12</v>
      </c>
      <c r="H9" s="6">
        <v>0.85</v>
      </c>
      <c r="I9" s="6">
        <v>33.19</v>
      </c>
      <c r="J9" s="7">
        <f t="shared" ref="J9:O9" si="13">abs(C9-C8)/200</f>
        <v>0.0158</v>
      </c>
      <c r="K9" s="7">
        <f t="shared" si="13"/>
        <v>0.00985</v>
      </c>
      <c r="L9" s="7">
        <f t="shared" si="13"/>
        <v>0.00125</v>
      </c>
      <c r="M9" s="7">
        <f t="shared" si="13"/>
        <v>0.00115</v>
      </c>
      <c r="N9" s="7">
        <f t="shared" si="13"/>
        <v>0.0022</v>
      </c>
      <c r="O9" s="7">
        <f t="shared" si="13"/>
        <v>0.006</v>
      </c>
      <c r="P9" s="7">
        <f t="shared" si="7"/>
        <v>0.3725021305</v>
      </c>
      <c r="Q9" s="7">
        <f t="shared" si="8"/>
        <v>0.8338944496</v>
      </c>
      <c r="R9" s="7">
        <f t="shared" si="2"/>
        <v>1.317126427</v>
      </c>
      <c r="S9" s="7">
        <f t="shared" si="3"/>
        <v>0.8642337647</v>
      </c>
      <c r="T9" s="7">
        <f t="shared" si="4"/>
        <v>1</v>
      </c>
      <c r="U9" s="7">
        <f t="shared" si="5"/>
        <v>1</v>
      </c>
      <c r="V9" s="8">
        <v>1.0</v>
      </c>
      <c r="W9" s="8">
        <v>1.0</v>
      </c>
      <c r="X9" s="8">
        <v>1.0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ht="22.5" customHeight="1">
      <c r="A10" s="6">
        <v>9.0</v>
      </c>
      <c r="B10" s="6">
        <v>2075.0</v>
      </c>
      <c r="C10" s="6">
        <v>7.2</v>
      </c>
      <c r="D10" s="6">
        <v>-1.86</v>
      </c>
      <c r="E10" s="6">
        <v>10.47</v>
      </c>
      <c r="F10" s="6">
        <v>0.07</v>
      </c>
      <c r="G10" s="6">
        <v>0.23</v>
      </c>
      <c r="H10" s="6">
        <v>1.55</v>
      </c>
      <c r="I10" s="6">
        <v>33.2</v>
      </c>
      <c r="J10" s="7">
        <f t="shared" ref="J10:O10" si="14">abs(C10-C9)/200</f>
        <v>0.0405</v>
      </c>
      <c r="K10" s="7">
        <f t="shared" si="14"/>
        <v>0.00185</v>
      </c>
      <c r="L10" s="7">
        <f t="shared" si="14"/>
        <v>0.00255</v>
      </c>
      <c r="M10" s="7">
        <f t="shared" si="14"/>
        <v>0.00015</v>
      </c>
      <c r="N10" s="7">
        <f t="shared" si="14"/>
        <v>0.00175</v>
      </c>
      <c r="O10" s="7">
        <f t="shared" si="14"/>
        <v>0.0035</v>
      </c>
      <c r="P10" s="7">
        <f t="shared" si="7"/>
        <v>0.7043005831</v>
      </c>
      <c r="Q10" s="7">
        <f t="shared" si="8"/>
        <v>1.725011245</v>
      </c>
      <c r="R10" s="7">
        <f t="shared" si="2"/>
        <v>3.042137673</v>
      </c>
      <c r="S10" s="7">
        <f t="shared" si="3"/>
        <v>1.568534348</v>
      </c>
      <c r="T10" s="7">
        <f t="shared" si="4"/>
        <v>1</v>
      </c>
      <c r="U10" s="7">
        <f t="shared" si="5"/>
        <v>1</v>
      </c>
      <c r="V10" s="8">
        <v>1.0</v>
      </c>
      <c r="W10" s="8">
        <v>1.0</v>
      </c>
      <c r="X10" s="8">
        <v>1.0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ht="22.5" customHeight="1">
      <c r="A11" s="6">
        <v>10.0</v>
      </c>
      <c r="B11" s="6">
        <v>2279.0</v>
      </c>
      <c r="C11" s="6">
        <v>5.65</v>
      </c>
      <c r="D11" s="6">
        <v>-1.33</v>
      </c>
      <c r="E11" s="6">
        <v>10.41</v>
      </c>
      <c r="F11" s="6">
        <v>-0.27</v>
      </c>
      <c r="G11" s="6">
        <v>-0.19</v>
      </c>
      <c r="H11" s="6">
        <v>-0.5</v>
      </c>
      <c r="I11" s="6">
        <v>33.2</v>
      </c>
      <c r="J11" s="7">
        <f t="shared" ref="J11:O11" si="15">abs(C11-C10)/200</f>
        <v>0.00775</v>
      </c>
      <c r="K11" s="7">
        <f t="shared" si="15"/>
        <v>0.00265</v>
      </c>
      <c r="L11" s="7">
        <f t="shared" si="15"/>
        <v>0.0003</v>
      </c>
      <c r="M11" s="7">
        <f t="shared" si="15"/>
        <v>0.0017</v>
      </c>
      <c r="N11" s="7">
        <f t="shared" si="15"/>
        <v>0.0021</v>
      </c>
      <c r="O11" s="7">
        <f t="shared" si="15"/>
        <v>0.01025</v>
      </c>
      <c r="P11" s="7">
        <f t="shared" si="7"/>
        <v>0.9693682606</v>
      </c>
      <c r="Q11" s="7">
        <f t="shared" si="8"/>
        <v>0.9232660816</v>
      </c>
      <c r="R11" s="7">
        <f t="shared" si="2"/>
        <v>2.118871591</v>
      </c>
      <c r="S11" s="7">
        <f t="shared" si="3"/>
        <v>0.5991660872</v>
      </c>
      <c r="T11" s="7">
        <f t="shared" si="4"/>
        <v>1</v>
      </c>
      <c r="U11" s="7">
        <f t="shared" si="5"/>
        <v>1</v>
      </c>
      <c r="V11" s="8">
        <v>1.0</v>
      </c>
      <c r="W11" s="8">
        <v>1.0</v>
      </c>
      <c r="X11" s="8">
        <v>1.0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ht="22.5" customHeight="1">
      <c r="A12" s="6">
        <v>11.0</v>
      </c>
      <c r="B12" s="6">
        <v>2483.0</v>
      </c>
      <c r="C12" s="6">
        <v>-2.7</v>
      </c>
      <c r="D12" s="6">
        <v>2.58</v>
      </c>
      <c r="E12" s="6">
        <v>11.23</v>
      </c>
      <c r="F12" s="6">
        <v>-0.08</v>
      </c>
      <c r="G12" s="6">
        <v>0.05</v>
      </c>
      <c r="H12" s="6">
        <v>-0.37</v>
      </c>
      <c r="I12" s="6">
        <v>33.2</v>
      </c>
      <c r="J12" s="7">
        <f t="shared" ref="J12:O12" si="16">abs(C12-C11)/200</f>
        <v>0.04175</v>
      </c>
      <c r="K12" s="7">
        <f t="shared" si="16"/>
        <v>0.01955</v>
      </c>
      <c r="L12" s="7">
        <f t="shared" si="16"/>
        <v>0.0041</v>
      </c>
      <c r="M12" s="7">
        <f t="shared" si="16"/>
        <v>0.00095</v>
      </c>
      <c r="N12" s="7">
        <f t="shared" si="16"/>
        <v>0.0012</v>
      </c>
      <c r="O12" s="7">
        <f t="shared" si="16"/>
        <v>0.00065</v>
      </c>
      <c r="P12" s="7">
        <f t="shared" si="7"/>
        <v>0.2173284253</v>
      </c>
      <c r="Q12" s="7">
        <f t="shared" si="8"/>
        <v>0.08420640762</v>
      </c>
      <c r="R12" s="7">
        <f t="shared" si="2"/>
        <v>2.034665183</v>
      </c>
      <c r="S12" s="7">
        <f t="shared" si="3"/>
        <v>0.3818376618</v>
      </c>
      <c r="T12" s="7">
        <f t="shared" si="4"/>
        <v>1</v>
      </c>
      <c r="U12" s="7">
        <f t="shared" si="5"/>
        <v>1</v>
      </c>
      <c r="V12" s="8">
        <v>1.0</v>
      </c>
      <c r="W12" s="8">
        <v>1.0</v>
      </c>
      <c r="X12" s="8">
        <v>1.0</v>
      </c>
      <c r="Y12" s="8">
        <v>1.0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ht="22.5" customHeight="1">
      <c r="A13" s="6">
        <v>12.0</v>
      </c>
      <c r="B13" s="6">
        <v>2687.0</v>
      </c>
      <c r="C13" s="6">
        <v>-0.48</v>
      </c>
      <c r="D13" s="6">
        <v>0.16</v>
      </c>
      <c r="E13" s="6">
        <v>10.85</v>
      </c>
      <c r="F13" s="6">
        <v>0.07</v>
      </c>
      <c r="G13" s="6">
        <v>-0.09</v>
      </c>
      <c r="H13" s="6">
        <v>1.07</v>
      </c>
      <c r="I13" s="6">
        <v>33.21</v>
      </c>
      <c r="J13" s="7">
        <f t="shared" ref="J13:O13" si="17">abs(C13-C12)/200</f>
        <v>0.0111</v>
      </c>
      <c r="K13" s="7">
        <f t="shared" si="17"/>
        <v>0.0121</v>
      </c>
      <c r="L13" s="7">
        <f t="shared" si="17"/>
        <v>0.0019</v>
      </c>
      <c r="M13" s="7">
        <f t="shared" si="17"/>
        <v>0.00075</v>
      </c>
      <c r="N13" s="7">
        <f t="shared" si="17"/>
        <v>0.0007</v>
      </c>
      <c r="O13" s="7">
        <f t="shared" si="17"/>
        <v>0.0072</v>
      </c>
      <c r="P13" s="7">
        <f t="shared" si="7"/>
        <v>0.6942199574</v>
      </c>
      <c r="Q13" s="7">
        <f t="shared" si="8"/>
        <v>0.9728743549</v>
      </c>
      <c r="R13" s="7">
        <f t="shared" si="2"/>
        <v>1.061790828</v>
      </c>
      <c r="S13" s="7">
        <f t="shared" si="3"/>
        <v>1.076057619</v>
      </c>
      <c r="T13" s="7">
        <f t="shared" si="4"/>
        <v>1</v>
      </c>
      <c r="U13" s="7">
        <f t="shared" si="5"/>
        <v>1</v>
      </c>
      <c r="V13" s="8">
        <v>1.0</v>
      </c>
      <c r="W13" s="8">
        <v>1.0</v>
      </c>
      <c r="X13" s="8">
        <v>1.0</v>
      </c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ht="22.5" customHeight="1">
      <c r="A14" s="6">
        <v>13.0</v>
      </c>
      <c r="B14" s="6">
        <v>2891.0</v>
      </c>
      <c r="C14" s="6">
        <v>3.61</v>
      </c>
      <c r="D14" s="6">
        <v>-2.35</v>
      </c>
      <c r="E14" s="6">
        <v>10.62</v>
      </c>
      <c r="F14" s="6">
        <v>-0.01</v>
      </c>
      <c r="G14" s="6">
        <v>-0.11</v>
      </c>
      <c r="H14" s="6">
        <v>0.69</v>
      </c>
      <c r="I14" s="6">
        <v>33.22</v>
      </c>
      <c r="J14" s="7">
        <f t="shared" ref="J14:O14" si="18">abs(C14-C13)/200</f>
        <v>0.02045</v>
      </c>
      <c r="K14" s="7">
        <f t="shared" si="18"/>
        <v>0.01255</v>
      </c>
      <c r="L14" s="7">
        <f t="shared" si="18"/>
        <v>0.00115</v>
      </c>
      <c r="M14" s="7">
        <f t="shared" si="18"/>
        <v>0.0004</v>
      </c>
      <c r="N14" s="7">
        <f t="shared" si="18"/>
        <v>0.0001</v>
      </c>
      <c r="O14" s="7">
        <f t="shared" si="18"/>
        <v>0.0019</v>
      </c>
      <c r="P14" s="7">
        <f t="shared" si="7"/>
        <v>0.37727296</v>
      </c>
      <c r="Q14" s="7">
        <f t="shared" si="8"/>
        <v>0.5985320292</v>
      </c>
      <c r="R14" s="7">
        <f t="shared" si="2"/>
        <v>1.660322858</v>
      </c>
      <c r="S14" s="7">
        <f t="shared" si="3"/>
        <v>0.6987846592</v>
      </c>
      <c r="T14" s="7">
        <f t="shared" si="4"/>
        <v>1</v>
      </c>
      <c r="U14" s="7">
        <f t="shared" si="5"/>
        <v>1</v>
      </c>
      <c r="V14" s="8">
        <v>1.0</v>
      </c>
      <c r="W14" s="8">
        <v>1.0</v>
      </c>
      <c r="X14" s="8">
        <v>1.0</v>
      </c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ht="22.5" customHeight="1">
      <c r="A15" s="6">
        <v>14.0</v>
      </c>
      <c r="B15" s="6">
        <v>3095.0</v>
      </c>
      <c r="C15" s="6">
        <v>2.7</v>
      </c>
      <c r="D15" s="6">
        <v>-2.33</v>
      </c>
      <c r="E15" s="6">
        <v>10.76</v>
      </c>
      <c r="F15" s="6">
        <v>-0.35</v>
      </c>
      <c r="G15" s="6">
        <v>-0.13</v>
      </c>
      <c r="H15" s="6">
        <v>-1.72</v>
      </c>
      <c r="I15" s="6">
        <v>33.2</v>
      </c>
      <c r="J15" s="7">
        <f t="shared" ref="J15:O15" si="19">abs(C15-C14)/200</f>
        <v>0.00455</v>
      </c>
      <c r="K15" s="7">
        <f t="shared" si="19"/>
        <v>0.0001</v>
      </c>
      <c r="L15" s="7">
        <f t="shared" si="19"/>
        <v>0.0007</v>
      </c>
      <c r="M15" s="7">
        <f t="shared" si="19"/>
        <v>0.0017</v>
      </c>
      <c r="N15" s="7">
        <f t="shared" si="19"/>
        <v>0.0001</v>
      </c>
      <c r="O15" s="7">
        <f t="shared" si="19"/>
        <v>0.01205</v>
      </c>
      <c r="P15" s="7">
        <f t="shared" si="7"/>
        <v>1.061272158</v>
      </c>
      <c r="Q15" s="7">
        <f t="shared" si="8"/>
        <v>0.1246931883</v>
      </c>
      <c r="R15" s="7">
        <f t="shared" si="2"/>
        <v>1.535629669</v>
      </c>
      <c r="S15" s="7">
        <f t="shared" si="3"/>
        <v>1.760056817</v>
      </c>
      <c r="T15" s="7">
        <f t="shared" si="4"/>
        <v>1</v>
      </c>
      <c r="U15" s="7">
        <f t="shared" si="5"/>
        <v>1</v>
      </c>
      <c r="V15" s="8">
        <v>1.0</v>
      </c>
      <c r="W15" s="8">
        <v>1.0</v>
      </c>
      <c r="X15" s="8">
        <v>1.0</v>
      </c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ht="22.5" customHeight="1">
      <c r="A16" s="6">
        <v>15.0</v>
      </c>
      <c r="B16" s="6">
        <v>3299.0</v>
      </c>
      <c r="C16" s="6">
        <v>-1.01</v>
      </c>
      <c r="D16" s="6">
        <v>2.99</v>
      </c>
      <c r="E16" s="6">
        <v>9.96</v>
      </c>
      <c r="F16" s="6">
        <v>-0.13</v>
      </c>
      <c r="G16" s="6">
        <v>0.02</v>
      </c>
      <c r="H16" s="6">
        <v>-0.38</v>
      </c>
      <c r="I16" s="6">
        <v>33.2</v>
      </c>
      <c r="J16" s="7">
        <f t="shared" ref="J16:O16" si="20">abs(C16-C15)/200</f>
        <v>0.01855</v>
      </c>
      <c r="K16" s="7">
        <f t="shared" si="20"/>
        <v>0.0266</v>
      </c>
      <c r="L16" s="7">
        <f t="shared" si="20"/>
        <v>0.004</v>
      </c>
      <c r="M16" s="7">
        <f t="shared" si="20"/>
        <v>0.0011</v>
      </c>
      <c r="N16" s="7">
        <f t="shared" si="20"/>
        <v>0.00075</v>
      </c>
      <c r="O16" s="7">
        <f t="shared" si="20"/>
        <v>0.0067</v>
      </c>
      <c r="P16" s="7">
        <f t="shared" si="7"/>
        <v>1.357937432</v>
      </c>
      <c r="Q16" s="7">
        <f t="shared" si="8"/>
        <v>0.8875772192</v>
      </c>
      <c r="R16" s="7">
        <f t="shared" si="2"/>
        <v>0.6480524501</v>
      </c>
      <c r="S16" s="7">
        <f t="shared" si="3"/>
        <v>0.4021193853</v>
      </c>
      <c r="T16" s="7">
        <f t="shared" si="4"/>
        <v>1</v>
      </c>
      <c r="U16" s="7">
        <f t="shared" si="5"/>
        <v>1</v>
      </c>
      <c r="V16" s="8">
        <v>1.0</v>
      </c>
      <c r="W16" s="8">
        <v>1.0</v>
      </c>
      <c r="X16" s="8">
        <v>1.0</v>
      </c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ht="22.5" customHeight="1">
      <c r="A17" s="6">
        <v>16.0</v>
      </c>
      <c r="B17" s="6">
        <v>3503.0</v>
      </c>
      <c r="C17" s="6">
        <v>0.72</v>
      </c>
      <c r="D17" s="6">
        <v>0.18</v>
      </c>
      <c r="E17" s="6">
        <v>10.83</v>
      </c>
      <c r="F17" s="6">
        <v>0.11</v>
      </c>
      <c r="G17" s="6">
        <v>-0.1</v>
      </c>
      <c r="H17" s="6">
        <v>0.77</v>
      </c>
      <c r="I17" s="6">
        <v>33.22</v>
      </c>
      <c r="J17" s="7">
        <f t="shared" ref="J17:O17" si="21">abs(C17-C16)/200</f>
        <v>0.00865</v>
      </c>
      <c r="K17" s="7">
        <f t="shared" si="21"/>
        <v>0.01405</v>
      </c>
      <c r="L17" s="7">
        <f t="shared" si="21"/>
        <v>0.00435</v>
      </c>
      <c r="M17" s="7">
        <f t="shared" si="21"/>
        <v>0.0012</v>
      </c>
      <c r="N17" s="7">
        <f t="shared" si="21"/>
        <v>0.0006</v>
      </c>
      <c r="O17" s="7">
        <f t="shared" si="21"/>
        <v>0.00575</v>
      </c>
      <c r="P17" s="7">
        <f t="shared" si="7"/>
        <v>0.3820999718</v>
      </c>
      <c r="Q17" s="7">
        <f t="shared" si="8"/>
        <v>0.407347128</v>
      </c>
      <c r="R17" s="7">
        <f t="shared" si="2"/>
        <v>1.055399578</v>
      </c>
      <c r="S17" s="7">
        <f t="shared" si="3"/>
        <v>0.7842193571</v>
      </c>
      <c r="T17" s="7">
        <f t="shared" si="4"/>
        <v>1</v>
      </c>
      <c r="U17" s="7">
        <f t="shared" si="5"/>
        <v>1</v>
      </c>
      <c r="V17" s="8">
        <v>1.0</v>
      </c>
      <c r="W17" s="8">
        <v>1.0</v>
      </c>
      <c r="X17" s="8">
        <v>1.0</v>
      </c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ht="22.5" customHeight="1">
      <c r="A18" s="6">
        <v>17.0</v>
      </c>
      <c r="B18" s="6">
        <v>3707.0</v>
      </c>
      <c r="C18" s="6">
        <v>3.16</v>
      </c>
      <c r="D18" s="6">
        <v>-2.03</v>
      </c>
      <c r="E18" s="6">
        <v>11.02</v>
      </c>
      <c r="F18" s="6">
        <v>-0.08</v>
      </c>
      <c r="G18" s="6">
        <v>0.08</v>
      </c>
      <c r="H18" s="6">
        <v>0.3</v>
      </c>
      <c r="I18" s="6">
        <v>33.21</v>
      </c>
      <c r="J18" s="7">
        <f t="shared" ref="J18:O18" si="22">abs(C18-C17)/200</f>
        <v>0.0122</v>
      </c>
      <c r="K18" s="7">
        <f t="shared" si="22"/>
        <v>0.01105</v>
      </c>
      <c r="L18" s="7">
        <f t="shared" si="22"/>
        <v>0.00095</v>
      </c>
      <c r="M18" s="7">
        <f t="shared" si="22"/>
        <v>0.00095</v>
      </c>
      <c r="N18" s="7">
        <f t="shared" si="22"/>
        <v>0.0009</v>
      </c>
      <c r="O18" s="7">
        <f t="shared" si="22"/>
        <v>0.00235</v>
      </c>
      <c r="P18" s="7">
        <f t="shared" si="7"/>
        <v>0.4635949662</v>
      </c>
      <c r="Q18" s="7">
        <f t="shared" si="8"/>
        <v>0.7870615019</v>
      </c>
      <c r="R18" s="7">
        <f t="shared" si="2"/>
        <v>1.84246108</v>
      </c>
      <c r="S18" s="7">
        <f t="shared" si="3"/>
        <v>0.3206243908</v>
      </c>
      <c r="T18" s="7">
        <f t="shared" si="4"/>
        <v>1</v>
      </c>
      <c r="U18" s="7">
        <f t="shared" si="5"/>
        <v>1</v>
      </c>
      <c r="V18" s="8">
        <v>1.0</v>
      </c>
      <c r="W18" s="8">
        <v>1.0</v>
      </c>
      <c r="X18" s="8">
        <v>1.0</v>
      </c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ht="22.5" customHeight="1">
      <c r="A19" s="6">
        <v>18.0</v>
      </c>
      <c r="B19" s="6">
        <v>3911.0</v>
      </c>
      <c r="C19" s="6">
        <v>2.4</v>
      </c>
      <c r="D19" s="6">
        <v>-1.97</v>
      </c>
      <c r="E19" s="6">
        <v>10.67</v>
      </c>
      <c r="F19" s="6">
        <v>-0.21</v>
      </c>
      <c r="G19" s="6">
        <v>0.06</v>
      </c>
      <c r="H19" s="6">
        <v>-0.74</v>
      </c>
      <c r="I19" s="6">
        <v>33.22</v>
      </c>
      <c r="J19" s="7">
        <f t="shared" ref="J19:O19" si="23">abs(C19-C18)/200</f>
        <v>0.0038</v>
      </c>
      <c r="K19" s="7">
        <f t="shared" si="23"/>
        <v>0.0003</v>
      </c>
      <c r="L19" s="7">
        <f t="shared" si="23"/>
        <v>0.00175</v>
      </c>
      <c r="M19" s="7">
        <f t="shared" si="23"/>
        <v>0.00065</v>
      </c>
      <c r="N19" s="7">
        <f t="shared" si="23"/>
        <v>0.0001</v>
      </c>
      <c r="O19" s="7">
        <f t="shared" si="23"/>
        <v>0.0052</v>
      </c>
      <c r="P19" s="7">
        <f t="shared" si="7"/>
        <v>0.4509324768</v>
      </c>
      <c r="Q19" s="7">
        <f t="shared" si="8"/>
        <v>0.5298646238</v>
      </c>
      <c r="R19" s="7">
        <f t="shared" si="2"/>
        <v>1.312596456</v>
      </c>
      <c r="S19" s="7">
        <f t="shared" si="3"/>
        <v>0.7715568676</v>
      </c>
      <c r="T19" s="7">
        <f t="shared" si="4"/>
        <v>1</v>
      </c>
      <c r="U19" s="7">
        <f t="shared" si="5"/>
        <v>1</v>
      </c>
      <c r="V19" s="8">
        <v>1.0</v>
      </c>
      <c r="W19" s="8">
        <v>1.0</v>
      </c>
      <c r="X19" s="8">
        <v>1.0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ht="22.5" customHeight="1">
      <c r="A20" s="6">
        <v>19.0</v>
      </c>
      <c r="B20" s="6">
        <v>4115.0</v>
      </c>
      <c r="C20" s="6">
        <v>-1.06</v>
      </c>
      <c r="D20" s="6">
        <v>3.55</v>
      </c>
      <c r="E20" s="6">
        <v>10.76</v>
      </c>
      <c r="F20" s="6">
        <v>-0.26</v>
      </c>
      <c r="G20" s="6">
        <v>0.11</v>
      </c>
      <c r="H20" s="6">
        <v>-0.69</v>
      </c>
      <c r="I20" s="6">
        <v>33.22</v>
      </c>
      <c r="J20" s="7">
        <f t="shared" ref="J20:O20" si="24">abs(C20-C19)/200</f>
        <v>0.0173</v>
      </c>
      <c r="K20" s="7">
        <f t="shared" si="24"/>
        <v>0.0276</v>
      </c>
      <c r="L20" s="7">
        <f t="shared" si="24"/>
        <v>0.00045</v>
      </c>
      <c r="M20" s="7">
        <f t="shared" si="24"/>
        <v>0.00025</v>
      </c>
      <c r="N20" s="7">
        <f t="shared" si="24"/>
        <v>0.00025</v>
      </c>
      <c r="O20" s="7">
        <f t="shared" si="24"/>
        <v>0.00025</v>
      </c>
      <c r="P20" s="7">
        <f t="shared" si="7"/>
        <v>0.02603691485</v>
      </c>
      <c r="Q20" s="7">
        <f t="shared" si="8"/>
        <v>0.267372788</v>
      </c>
      <c r="R20" s="7">
        <f t="shared" si="2"/>
        <v>1.579969244</v>
      </c>
      <c r="S20" s="7">
        <f t="shared" si="3"/>
        <v>0.7455199528</v>
      </c>
      <c r="T20" s="7">
        <f t="shared" si="4"/>
        <v>1</v>
      </c>
      <c r="U20" s="7">
        <f t="shared" si="5"/>
        <v>0</v>
      </c>
      <c r="V20" s="8">
        <v>1.0</v>
      </c>
      <c r="W20" s="8">
        <v>1.0</v>
      </c>
      <c r="X20" s="8">
        <v>1.0</v>
      </c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ht="22.5" customHeight="1">
      <c r="A21" s="6">
        <v>20.0</v>
      </c>
      <c r="B21" s="6">
        <v>4319.0</v>
      </c>
      <c r="C21" s="6">
        <v>-0.15</v>
      </c>
      <c r="D21" s="6">
        <v>1.88</v>
      </c>
      <c r="E21" s="6">
        <v>10.53</v>
      </c>
      <c r="F21" s="6">
        <v>0.06</v>
      </c>
      <c r="G21" s="6">
        <v>0.02</v>
      </c>
      <c r="H21" s="6">
        <v>0.32</v>
      </c>
      <c r="I21" s="6">
        <v>33.21</v>
      </c>
      <c r="J21" s="7">
        <f t="shared" ref="J21:O21" si="25">abs(C21-C20)/200</f>
        <v>0.00455</v>
      </c>
      <c r="K21" s="7">
        <f t="shared" si="25"/>
        <v>0.00835</v>
      </c>
      <c r="L21" s="7">
        <f t="shared" si="25"/>
        <v>0.00115</v>
      </c>
      <c r="M21" s="7">
        <f t="shared" si="25"/>
        <v>0.0016</v>
      </c>
      <c r="N21" s="7">
        <f t="shared" si="25"/>
        <v>0.00045</v>
      </c>
      <c r="O21" s="7">
        <f t="shared" si="25"/>
        <v>0.00505</v>
      </c>
      <c r="P21" s="7">
        <f t="shared" si="7"/>
        <v>0.4193298242</v>
      </c>
      <c r="Q21" s="7">
        <f t="shared" si="8"/>
        <v>0.6824087747</v>
      </c>
      <c r="R21" s="7">
        <f t="shared" si="2"/>
        <v>0.8975604696</v>
      </c>
      <c r="S21" s="7">
        <f t="shared" si="3"/>
        <v>0.3261901286</v>
      </c>
      <c r="T21" s="7">
        <f t="shared" si="4"/>
        <v>1</v>
      </c>
      <c r="U21" s="7">
        <f t="shared" si="5"/>
        <v>1</v>
      </c>
      <c r="V21" s="8">
        <v>1.0</v>
      </c>
      <c r="W21" s="8">
        <v>1.0</v>
      </c>
      <c r="X21" s="8">
        <v>1.0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ht="22.5" customHeight="1">
      <c r="A22" s="6">
        <v>21.0</v>
      </c>
      <c r="B22" s="6">
        <v>4523.0</v>
      </c>
      <c r="C22" s="6">
        <v>2.98</v>
      </c>
      <c r="D22" s="6">
        <v>-1.89</v>
      </c>
      <c r="E22" s="6">
        <v>10.68</v>
      </c>
      <c r="F22" s="6">
        <v>-0.02</v>
      </c>
      <c r="G22" s="6">
        <v>-0.06</v>
      </c>
      <c r="H22" s="6">
        <v>0.83</v>
      </c>
      <c r="I22" s="6">
        <v>33.21</v>
      </c>
      <c r="J22" s="7">
        <f t="shared" ref="J22:O22" si="26">abs(C22-C21)/200</f>
        <v>0.01565</v>
      </c>
      <c r="K22" s="7">
        <f t="shared" si="26"/>
        <v>0.01885</v>
      </c>
      <c r="L22" s="7">
        <f t="shared" si="26"/>
        <v>0.00075</v>
      </c>
      <c r="M22" s="7">
        <f t="shared" si="26"/>
        <v>0.0004</v>
      </c>
      <c r="N22" s="7">
        <f t="shared" si="26"/>
        <v>0.0004</v>
      </c>
      <c r="O22" s="7">
        <f t="shared" si="26"/>
        <v>0.00255</v>
      </c>
      <c r="P22" s="7">
        <f t="shared" si="7"/>
        <v>0.5062160223</v>
      </c>
      <c r="Q22" s="7">
        <f t="shared" si="8"/>
        <v>0.5503237759</v>
      </c>
      <c r="R22" s="7">
        <f t="shared" si="2"/>
        <v>1.447884245</v>
      </c>
      <c r="S22" s="7">
        <f t="shared" si="3"/>
        <v>0.8324061509</v>
      </c>
      <c r="T22" s="7">
        <f t="shared" si="4"/>
        <v>1</v>
      </c>
      <c r="U22" s="7">
        <f t="shared" si="5"/>
        <v>1</v>
      </c>
      <c r="V22" s="8">
        <v>1.0</v>
      </c>
      <c r="W22" s="8">
        <v>1.0</v>
      </c>
      <c r="X22" s="8">
        <v>1.0</v>
      </c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ht="22.5" customHeight="1">
      <c r="A23" s="6">
        <v>22.0</v>
      </c>
      <c r="B23" s="6">
        <v>4727.0</v>
      </c>
      <c r="C23" s="6">
        <v>3.88</v>
      </c>
      <c r="D23" s="6">
        <v>-3.08</v>
      </c>
      <c r="E23" s="6">
        <v>10.32</v>
      </c>
      <c r="F23" s="6">
        <v>-0.13</v>
      </c>
      <c r="G23" s="6">
        <v>-0.08</v>
      </c>
      <c r="H23" s="6">
        <v>0.02</v>
      </c>
      <c r="I23" s="6">
        <v>33.21</v>
      </c>
      <c r="J23" s="7">
        <f t="shared" ref="J23:O23" si="27">abs(C23-C22)/200</f>
        <v>0.0045</v>
      </c>
      <c r="K23" s="7">
        <f t="shared" si="27"/>
        <v>0.00595</v>
      </c>
      <c r="L23" s="7">
        <f t="shared" si="27"/>
        <v>0.0018</v>
      </c>
      <c r="M23" s="7">
        <f t="shared" si="27"/>
        <v>0.00055</v>
      </c>
      <c r="N23" s="7">
        <f t="shared" si="27"/>
        <v>0.0001</v>
      </c>
      <c r="O23" s="7">
        <f t="shared" si="27"/>
        <v>0.00405</v>
      </c>
      <c r="P23" s="7">
        <f t="shared" si="7"/>
        <v>0.6784581077</v>
      </c>
      <c r="Q23" s="7">
        <f t="shared" si="8"/>
        <v>0.199525942</v>
      </c>
      <c r="R23" s="7">
        <f t="shared" si="2"/>
        <v>1.647410187</v>
      </c>
      <c r="S23" s="7">
        <f t="shared" si="3"/>
        <v>0.1539480432</v>
      </c>
      <c r="T23" s="7">
        <f t="shared" si="4"/>
        <v>1</v>
      </c>
      <c r="U23" s="7">
        <f t="shared" si="5"/>
        <v>1</v>
      </c>
      <c r="V23" s="8">
        <v>1.0</v>
      </c>
      <c r="W23" s="8">
        <v>1.0</v>
      </c>
      <c r="X23" s="8">
        <v>1.0</v>
      </c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ht="22.5" customHeight="1">
      <c r="A24" s="6">
        <v>23.0</v>
      </c>
      <c r="B24" s="6">
        <v>7175.0</v>
      </c>
      <c r="C24" s="6">
        <v>2.67</v>
      </c>
      <c r="D24" s="6">
        <v>-1.39</v>
      </c>
      <c r="E24" s="6">
        <v>10.57</v>
      </c>
      <c r="F24" s="6">
        <v>-0.19</v>
      </c>
      <c r="G24" s="6">
        <v>-0.05</v>
      </c>
      <c r="H24" s="6">
        <v>-0.11</v>
      </c>
      <c r="I24" s="6">
        <v>33.22</v>
      </c>
      <c r="J24" s="7">
        <f t="shared" ref="J24:O24" si="28">abs(C24-C23)/200</f>
        <v>0.00605</v>
      </c>
      <c r="K24" s="7">
        <f t="shared" si="28"/>
        <v>0.00845</v>
      </c>
      <c r="L24" s="7">
        <f t="shared" si="28"/>
        <v>0.00125</v>
      </c>
      <c r="M24" s="7">
        <f t="shared" si="28"/>
        <v>0.0003</v>
      </c>
      <c r="N24" s="7">
        <f t="shared" si="28"/>
        <v>0.00015</v>
      </c>
      <c r="O24" s="7">
        <f t="shared" si="28"/>
        <v>0.00065</v>
      </c>
      <c r="P24" s="7">
        <f t="shared" si="7"/>
        <v>0.0712185618</v>
      </c>
      <c r="Q24" s="7">
        <f t="shared" si="8"/>
        <v>0.4571463144</v>
      </c>
      <c r="R24" s="7">
        <f t="shared" si="2"/>
        <v>1.190263873</v>
      </c>
      <c r="S24" s="7">
        <f t="shared" si="3"/>
        <v>0.225166605</v>
      </c>
      <c r="T24" s="7">
        <f t="shared" si="4"/>
        <v>1</v>
      </c>
      <c r="U24" s="7">
        <f t="shared" si="5"/>
        <v>1</v>
      </c>
      <c r="V24" s="8">
        <v>1.0</v>
      </c>
      <c r="W24" s="8">
        <v>1.0</v>
      </c>
      <c r="X24" s="8">
        <v>1.0</v>
      </c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ht="22.5" customHeight="1">
      <c r="A25" s="6">
        <v>24.0</v>
      </c>
      <c r="B25" s="6">
        <v>7379.0</v>
      </c>
      <c r="C25" s="6">
        <v>0.85</v>
      </c>
      <c r="D25" s="6">
        <v>1.53</v>
      </c>
      <c r="E25" s="6">
        <v>10.62</v>
      </c>
      <c r="F25" s="6">
        <v>-0.12</v>
      </c>
      <c r="G25" s="6">
        <v>0.0</v>
      </c>
      <c r="H25" s="6">
        <v>-0.05</v>
      </c>
      <c r="I25" s="6">
        <v>33.23</v>
      </c>
      <c r="J25" s="7">
        <f t="shared" ref="J25:O25" si="29">abs(C25-C24)/200</f>
        <v>0.0091</v>
      </c>
      <c r="K25" s="7">
        <f t="shared" si="29"/>
        <v>0.0146</v>
      </c>
      <c r="L25" s="7">
        <f t="shared" si="29"/>
        <v>0.00025</v>
      </c>
      <c r="M25" s="7">
        <f t="shared" si="29"/>
        <v>0.00035</v>
      </c>
      <c r="N25" s="7">
        <f t="shared" si="29"/>
        <v>0.00025</v>
      </c>
      <c r="O25" s="7">
        <f t="shared" si="29"/>
        <v>0.0003</v>
      </c>
      <c r="P25" s="7">
        <f t="shared" si="7"/>
        <v>0.09516660498</v>
      </c>
      <c r="Q25" s="7">
        <f t="shared" si="8"/>
        <v>0.2270022856</v>
      </c>
      <c r="R25" s="7">
        <f t="shared" si="2"/>
        <v>0.9632615875</v>
      </c>
      <c r="S25" s="7">
        <f t="shared" si="3"/>
        <v>0.13</v>
      </c>
      <c r="T25" s="7">
        <f t="shared" si="4"/>
        <v>1</v>
      </c>
      <c r="U25" s="7">
        <f t="shared" si="5"/>
        <v>1</v>
      </c>
      <c r="V25" s="8">
        <v>1.0</v>
      </c>
      <c r="W25" s="8">
        <v>1.0</v>
      </c>
      <c r="X25" s="8">
        <v>1.0</v>
      </c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ht="22.5" customHeight="1">
      <c r="A26" s="6">
        <v>25.0</v>
      </c>
      <c r="B26" s="6">
        <v>7583.0</v>
      </c>
      <c r="C26" s="6">
        <v>0.98</v>
      </c>
      <c r="D26" s="6">
        <v>1.45</v>
      </c>
      <c r="E26" s="6">
        <v>10.71</v>
      </c>
      <c r="F26" s="6">
        <v>0.02</v>
      </c>
      <c r="G26" s="6">
        <v>0.09</v>
      </c>
      <c r="H26" s="6">
        <v>-0.04</v>
      </c>
      <c r="I26" s="6">
        <v>33.22</v>
      </c>
      <c r="J26" s="7">
        <f t="shared" ref="J26:O26" si="30">abs(C26-C25)/200</f>
        <v>0.00065</v>
      </c>
      <c r="K26" s="7">
        <f t="shared" si="30"/>
        <v>0.0004</v>
      </c>
      <c r="L26" s="7">
        <f t="shared" si="30"/>
        <v>0.00045</v>
      </c>
      <c r="M26" s="7">
        <f t="shared" si="30"/>
        <v>0.0007</v>
      </c>
      <c r="N26" s="7">
        <f t="shared" si="30"/>
        <v>0.00045</v>
      </c>
      <c r="O26" s="7">
        <f t="shared" si="30"/>
        <v>0.00005</v>
      </c>
      <c r="P26" s="7">
        <f t="shared" si="7"/>
        <v>0.02950124379</v>
      </c>
      <c r="Q26" s="7">
        <f t="shared" si="8"/>
        <v>0.08878891003</v>
      </c>
      <c r="R26" s="7">
        <f t="shared" si="2"/>
        <v>1.052050497</v>
      </c>
      <c r="S26" s="7">
        <f t="shared" si="3"/>
        <v>0.1004987562</v>
      </c>
      <c r="T26" s="7">
        <f t="shared" si="4"/>
        <v>1</v>
      </c>
      <c r="U26" s="7">
        <f t="shared" si="5"/>
        <v>1</v>
      </c>
      <c r="V26" s="8">
        <v>1.0</v>
      </c>
      <c r="W26" s="8">
        <v>1.0</v>
      </c>
      <c r="X26" s="8">
        <v>1.0</v>
      </c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ht="22.5" customHeight="1">
      <c r="A27" s="6">
        <v>26.0</v>
      </c>
      <c r="B27" s="6">
        <v>7787.0</v>
      </c>
      <c r="C27" s="6">
        <v>3.02</v>
      </c>
      <c r="D27" s="6">
        <v>-1.88</v>
      </c>
      <c r="E27" s="6">
        <v>10.71</v>
      </c>
      <c r="F27" s="6">
        <v>-0.13</v>
      </c>
      <c r="G27" s="6">
        <v>-0.04</v>
      </c>
      <c r="H27" s="6">
        <v>0.02</v>
      </c>
      <c r="I27" s="6">
        <v>33.22</v>
      </c>
      <c r="J27" s="7">
        <f t="shared" ref="J27:O27" si="31">abs(C27-C26)/200</f>
        <v>0.0102</v>
      </c>
      <c r="K27" s="7">
        <f t="shared" si="31"/>
        <v>0.01665</v>
      </c>
      <c r="L27" s="7">
        <f t="shared" si="31"/>
        <v>0</v>
      </c>
      <c r="M27" s="7">
        <f t="shared" si="31"/>
        <v>0.00075</v>
      </c>
      <c r="N27" s="7">
        <f t="shared" si="31"/>
        <v>0.00065</v>
      </c>
      <c r="O27" s="7">
        <f t="shared" si="31"/>
        <v>0.0003</v>
      </c>
      <c r="P27" s="7">
        <f t="shared" si="7"/>
        <v>0.03697851464</v>
      </c>
      <c r="Q27" s="7">
        <f t="shared" si="8"/>
        <v>0.4332895506</v>
      </c>
      <c r="R27" s="7">
        <f t="shared" si="2"/>
        <v>1.485340048</v>
      </c>
      <c r="S27" s="7">
        <f t="shared" si="3"/>
        <v>0.1374772708</v>
      </c>
      <c r="T27" s="7">
        <f t="shared" si="4"/>
        <v>1</v>
      </c>
      <c r="U27" s="7">
        <f t="shared" si="5"/>
        <v>1</v>
      </c>
      <c r="V27" s="8">
        <v>1.0</v>
      </c>
      <c r="W27" s="8">
        <v>1.0</v>
      </c>
      <c r="X27" s="8">
        <v>1.0</v>
      </c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ht="22.5" customHeight="1">
      <c r="A28" s="6">
        <v>27.0</v>
      </c>
      <c r="B28" s="6">
        <v>7991.0</v>
      </c>
      <c r="C28" s="6">
        <v>3.08</v>
      </c>
      <c r="D28" s="6">
        <v>-1.46</v>
      </c>
      <c r="E28" s="6">
        <v>10.71</v>
      </c>
      <c r="F28" s="6">
        <v>-0.27</v>
      </c>
      <c r="G28" s="6">
        <v>-0.13</v>
      </c>
      <c r="H28" s="6">
        <v>-0.49</v>
      </c>
      <c r="I28" s="6">
        <v>33.21</v>
      </c>
      <c r="J28" s="7">
        <f t="shared" ref="J28:O28" si="32">abs(C28-C27)/200</f>
        <v>0.0003</v>
      </c>
      <c r="K28" s="7">
        <f t="shared" si="32"/>
        <v>0.0021</v>
      </c>
      <c r="L28" s="7">
        <f t="shared" si="32"/>
        <v>0</v>
      </c>
      <c r="M28" s="7">
        <f t="shared" si="32"/>
        <v>0.0007</v>
      </c>
      <c r="N28" s="7">
        <f t="shared" si="32"/>
        <v>0.00045</v>
      </c>
      <c r="O28" s="7">
        <f t="shared" si="32"/>
        <v>0.00255</v>
      </c>
      <c r="P28" s="7">
        <f t="shared" si="7"/>
        <v>0.4368919484</v>
      </c>
      <c r="Q28" s="7">
        <f t="shared" si="8"/>
        <v>0.04602957097</v>
      </c>
      <c r="R28" s="7">
        <f t="shared" si="2"/>
        <v>1.439310477</v>
      </c>
      <c r="S28" s="7">
        <f t="shared" si="3"/>
        <v>0.5743692192</v>
      </c>
      <c r="T28" s="7">
        <f t="shared" si="4"/>
        <v>1</v>
      </c>
      <c r="U28" s="7">
        <f t="shared" si="5"/>
        <v>1</v>
      </c>
      <c r="V28" s="8">
        <v>1.0</v>
      </c>
      <c r="W28" s="8">
        <v>1.0</v>
      </c>
      <c r="X28" s="8">
        <v>1.0</v>
      </c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ht="22.5" customHeight="1">
      <c r="A29" s="6">
        <v>28.0</v>
      </c>
      <c r="B29" s="6">
        <v>8195.0</v>
      </c>
      <c r="C29" s="6">
        <v>-1.0</v>
      </c>
      <c r="D29" s="6">
        <v>3.09</v>
      </c>
      <c r="E29" s="6">
        <v>10.33</v>
      </c>
      <c r="F29" s="6">
        <v>-0.16</v>
      </c>
      <c r="G29" s="6">
        <v>-0.11</v>
      </c>
      <c r="H29" s="6">
        <v>-0.45</v>
      </c>
      <c r="I29" s="6">
        <v>33.22</v>
      </c>
      <c r="J29" s="7">
        <f t="shared" ref="J29:O29" si="33">abs(C29-C28)/200</f>
        <v>0.0204</v>
      </c>
      <c r="K29" s="7">
        <f t="shared" si="33"/>
        <v>0.02275</v>
      </c>
      <c r="L29" s="7">
        <f t="shared" si="33"/>
        <v>0.0019</v>
      </c>
      <c r="M29" s="7">
        <f t="shared" si="33"/>
        <v>0.00055</v>
      </c>
      <c r="N29" s="7">
        <f t="shared" si="33"/>
        <v>0.0001</v>
      </c>
      <c r="O29" s="7">
        <f t="shared" si="33"/>
        <v>0.0002</v>
      </c>
      <c r="P29" s="7">
        <f t="shared" si="7"/>
        <v>0.08426718904</v>
      </c>
      <c r="Q29" s="7">
        <f t="shared" si="8"/>
        <v>0.4107833381</v>
      </c>
      <c r="R29" s="7">
        <f t="shared" si="2"/>
        <v>1.028527139</v>
      </c>
      <c r="S29" s="7">
        <f t="shared" si="3"/>
        <v>0.4901020302</v>
      </c>
      <c r="T29" s="7">
        <f t="shared" si="4"/>
        <v>1</v>
      </c>
      <c r="U29" s="7">
        <f t="shared" si="5"/>
        <v>1</v>
      </c>
      <c r="V29" s="8">
        <v>1.0</v>
      </c>
      <c r="W29" s="8">
        <v>1.0</v>
      </c>
      <c r="X29" s="8">
        <v>1.0</v>
      </c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ht="22.5" customHeight="1">
      <c r="A30" s="6">
        <v>29.0</v>
      </c>
      <c r="B30" s="6">
        <v>8399.0</v>
      </c>
      <c r="C30" s="6">
        <v>0.06</v>
      </c>
      <c r="D30" s="6">
        <v>-0.06</v>
      </c>
      <c r="E30" s="6">
        <v>10.98</v>
      </c>
      <c r="F30" s="6">
        <v>0.12</v>
      </c>
      <c r="G30" s="6">
        <v>0.09</v>
      </c>
      <c r="H30" s="6">
        <v>0.54</v>
      </c>
      <c r="I30" s="6">
        <v>33.22</v>
      </c>
      <c r="J30" s="7">
        <f t="shared" ref="J30:O30" si="34">abs(C30-C29)/200</f>
        <v>0.0053</v>
      </c>
      <c r="K30" s="7">
        <f t="shared" si="34"/>
        <v>0.01575</v>
      </c>
      <c r="L30" s="7">
        <f t="shared" si="34"/>
        <v>0.00325</v>
      </c>
      <c r="M30" s="7">
        <f t="shared" si="34"/>
        <v>0.0014</v>
      </c>
      <c r="N30" s="7">
        <f t="shared" si="34"/>
        <v>0.001</v>
      </c>
      <c r="O30" s="7">
        <f t="shared" si="34"/>
        <v>0.00495</v>
      </c>
      <c r="P30" s="7">
        <f t="shared" si="7"/>
        <v>0.07034422057</v>
      </c>
      <c r="Q30" s="7">
        <f t="shared" si="8"/>
        <v>0.151800725</v>
      </c>
      <c r="R30" s="7">
        <f t="shared" si="2"/>
        <v>1.180327864</v>
      </c>
      <c r="S30" s="7">
        <f t="shared" si="3"/>
        <v>0.5604462508</v>
      </c>
      <c r="T30" s="7">
        <f t="shared" si="4"/>
        <v>1</v>
      </c>
      <c r="U30" s="7">
        <f t="shared" si="5"/>
        <v>1</v>
      </c>
      <c r="V30" s="8">
        <v>1.0</v>
      </c>
      <c r="W30" s="8">
        <v>1.0</v>
      </c>
      <c r="X30" s="8">
        <v>1.0</v>
      </c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ht="22.5" customHeight="1">
      <c r="A31" s="6">
        <v>30.0</v>
      </c>
      <c r="B31" s="6">
        <v>8603.0</v>
      </c>
      <c r="C31" s="6">
        <v>3.93</v>
      </c>
      <c r="D31" s="6">
        <v>-2.76</v>
      </c>
      <c r="E31" s="6">
        <v>10.26</v>
      </c>
      <c r="F31" s="6">
        <v>0.01</v>
      </c>
      <c r="G31" s="6">
        <v>-0.18</v>
      </c>
      <c r="H31" s="6">
        <v>1.13</v>
      </c>
      <c r="I31" s="6">
        <v>33.22</v>
      </c>
      <c r="J31" s="7">
        <f t="shared" ref="J31:O31" si="35">abs(C31-C30)/200</f>
        <v>0.01935</v>
      </c>
      <c r="K31" s="7">
        <f t="shared" si="35"/>
        <v>0.0135</v>
      </c>
      <c r="L31" s="7">
        <f t="shared" si="35"/>
        <v>0.0036</v>
      </c>
      <c r="M31" s="7">
        <f t="shared" si="35"/>
        <v>0.00055</v>
      </c>
      <c r="N31" s="7">
        <f t="shared" si="35"/>
        <v>0.00135</v>
      </c>
      <c r="O31" s="7">
        <f t="shared" si="35"/>
        <v>0.00295</v>
      </c>
      <c r="P31" s="7">
        <f t="shared" si="7"/>
        <v>0.5838439222</v>
      </c>
      <c r="Q31" s="7">
        <f t="shared" si="8"/>
        <v>0.3479597383</v>
      </c>
      <c r="R31" s="7">
        <f t="shared" si="2"/>
        <v>1.528287602</v>
      </c>
      <c r="S31" s="7">
        <f t="shared" si="3"/>
        <v>1.144290173</v>
      </c>
      <c r="T31" s="7">
        <f t="shared" si="4"/>
        <v>1</v>
      </c>
      <c r="U31" s="7">
        <f t="shared" si="5"/>
        <v>1</v>
      </c>
      <c r="V31" s="8">
        <v>1.0</v>
      </c>
      <c r="W31" s="8">
        <v>1.0</v>
      </c>
      <c r="X31" s="8">
        <v>1.0</v>
      </c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ht="22.5" customHeight="1">
      <c r="A32" s="6">
        <v>31.0</v>
      </c>
      <c r="B32" s="6">
        <v>8807.0</v>
      </c>
      <c r="C32" s="6">
        <v>0.3</v>
      </c>
      <c r="D32" s="6">
        <v>-0.65</v>
      </c>
      <c r="E32" s="6">
        <v>10.53</v>
      </c>
      <c r="F32" s="6">
        <v>-0.43</v>
      </c>
      <c r="G32" s="6">
        <v>0.23</v>
      </c>
      <c r="H32" s="6">
        <v>-2.11</v>
      </c>
      <c r="I32" s="6">
        <v>33.23</v>
      </c>
      <c r="J32" s="7">
        <f t="shared" ref="J32:O32" si="36">abs(C32-C31)/200</f>
        <v>0.01815</v>
      </c>
      <c r="K32" s="7">
        <f t="shared" si="36"/>
        <v>0.01055</v>
      </c>
      <c r="L32" s="7">
        <f t="shared" si="36"/>
        <v>0.00135</v>
      </c>
      <c r="M32" s="7">
        <f t="shared" si="36"/>
        <v>0.0022</v>
      </c>
      <c r="N32" s="7">
        <f t="shared" si="36"/>
        <v>0.00205</v>
      </c>
      <c r="O32" s="7">
        <f t="shared" si="36"/>
        <v>0.0162</v>
      </c>
      <c r="P32" s="7">
        <f t="shared" si="7"/>
        <v>1.021327522</v>
      </c>
      <c r="Q32" s="7">
        <f t="shared" si="8"/>
        <v>0.7739804246</v>
      </c>
      <c r="R32" s="7">
        <f t="shared" si="2"/>
        <v>0.7543071776</v>
      </c>
      <c r="S32" s="7">
        <f t="shared" si="3"/>
        <v>2.165617695</v>
      </c>
      <c r="T32" s="7">
        <f t="shared" si="4"/>
        <v>1</v>
      </c>
      <c r="U32" s="7">
        <f t="shared" si="5"/>
        <v>1</v>
      </c>
      <c r="V32" s="8">
        <v>1.0</v>
      </c>
      <c r="W32" s="8">
        <v>1.0</v>
      </c>
      <c r="X32" s="8">
        <v>1.0</v>
      </c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ht="22.5" customHeight="1">
      <c r="A33" s="6">
        <v>32.0</v>
      </c>
      <c r="B33" s="6">
        <v>9011.0</v>
      </c>
      <c r="C33" s="6">
        <v>-1.53</v>
      </c>
      <c r="D33" s="6">
        <v>4.2</v>
      </c>
      <c r="E33" s="6">
        <v>10.9</v>
      </c>
      <c r="F33" s="6">
        <v>-0.03</v>
      </c>
      <c r="G33" s="6">
        <v>0.03</v>
      </c>
      <c r="H33" s="6">
        <v>0.14</v>
      </c>
      <c r="I33" s="6">
        <v>33.24</v>
      </c>
      <c r="J33" s="7">
        <f t="shared" ref="J33:O33" si="37">abs(C33-C32)/200</f>
        <v>0.00915</v>
      </c>
      <c r="K33" s="7">
        <f t="shared" si="37"/>
        <v>0.02425</v>
      </c>
      <c r="L33" s="7">
        <f t="shared" si="37"/>
        <v>0.00185</v>
      </c>
      <c r="M33" s="7">
        <f t="shared" si="37"/>
        <v>0.002</v>
      </c>
      <c r="N33" s="7">
        <f t="shared" si="37"/>
        <v>0.001</v>
      </c>
      <c r="O33" s="7">
        <f t="shared" si="37"/>
        <v>0.01125</v>
      </c>
      <c r="P33" s="7">
        <f t="shared" si="7"/>
        <v>2.019330306</v>
      </c>
      <c r="Q33" s="7">
        <f t="shared" si="8"/>
        <v>1.226647792</v>
      </c>
      <c r="R33" s="7">
        <f t="shared" si="2"/>
        <v>1.98095497</v>
      </c>
      <c r="S33" s="7">
        <f t="shared" si="3"/>
        <v>0.1462873884</v>
      </c>
      <c r="T33" s="7">
        <f t="shared" si="4"/>
        <v>1</v>
      </c>
      <c r="U33" s="7">
        <f t="shared" si="5"/>
        <v>1</v>
      </c>
      <c r="V33" s="8">
        <v>1.0</v>
      </c>
      <c r="W33" s="8">
        <v>1.0</v>
      </c>
      <c r="X33" s="8">
        <v>1.0</v>
      </c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ht="22.5" customHeight="1">
      <c r="A34" s="6">
        <v>33.0</v>
      </c>
      <c r="B34" s="6">
        <v>9215.0</v>
      </c>
      <c r="C34" s="6">
        <v>2.95</v>
      </c>
      <c r="D34" s="6">
        <v>-3.31</v>
      </c>
      <c r="E34" s="6">
        <v>10.85</v>
      </c>
      <c r="F34" s="6">
        <v>0.15</v>
      </c>
      <c r="G34" s="6">
        <v>0.03</v>
      </c>
      <c r="H34" s="6">
        <v>2.29</v>
      </c>
      <c r="I34" s="6">
        <v>33.23</v>
      </c>
      <c r="J34" s="7">
        <f t="shared" ref="J34:O34" si="38">abs(C34-C33)/200</f>
        <v>0.0224</v>
      </c>
      <c r="K34" s="7">
        <f t="shared" si="38"/>
        <v>0.03755</v>
      </c>
      <c r="L34" s="7">
        <f t="shared" si="38"/>
        <v>0.00025</v>
      </c>
      <c r="M34" s="7">
        <f t="shared" si="38"/>
        <v>0.0009</v>
      </c>
      <c r="N34" s="7">
        <f t="shared" si="38"/>
        <v>0</v>
      </c>
      <c r="O34" s="7">
        <f t="shared" si="38"/>
        <v>0.01075</v>
      </c>
      <c r="P34" s="7">
        <f t="shared" si="7"/>
        <v>2.148816095</v>
      </c>
      <c r="Q34" s="7">
        <f t="shared" si="8"/>
        <v>0.05998657975</v>
      </c>
      <c r="R34" s="7">
        <f t="shared" si="2"/>
        <v>1.92096839</v>
      </c>
      <c r="S34" s="7">
        <f t="shared" si="3"/>
        <v>2.295103484</v>
      </c>
      <c r="T34" s="7">
        <f t="shared" si="4"/>
        <v>1</v>
      </c>
      <c r="U34" s="7">
        <f t="shared" si="5"/>
        <v>1</v>
      </c>
      <c r="V34" s="8">
        <v>1.0</v>
      </c>
      <c r="W34" s="8">
        <v>1.0</v>
      </c>
      <c r="X34" s="8">
        <v>1.0</v>
      </c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ht="22.5" customHeight="1">
      <c r="A35" s="6">
        <v>34.0</v>
      </c>
      <c r="B35" s="6">
        <v>9419.0</v>
      </c>
      <c r="C35" s="6">
        <v>4.21</v>
      </c>
      <c r="D35" s="6">
        <v>-2.95</v>
      </c>
      <c r="E35" s="6">
        <v>10.26</v>
      </c>
      <c r="F35" s="6">
        <v>-0.19</v>
      </c>
      <c r="G35" s="6">
        <v>-0.12</v>
      </c>
      <c r="H35" s="6">
        <v>-0.21</v>
      </c>
      <c r="I35" s="6">
        <v>33.24</v>
      </c>
      <c r="J35" s="7">
        <f t="shared" ref="J35:O35" si="39">abs(C35-C34)/200</f>
        <v>0.0063</v>
      </c>
      <c r="K35" s="7">
        <f t="shared" si="39"/>
        <v>0.0018</v>
      </c>
      <c r="L35" s="7">
        <f t="shared" si="39"/>
        <v>0.00295</v>
      </c>
      <c r="M35" s="7">
        <f t="shared" si="39"/>
        <v>0.0017</v>
      </c>
      <c r="N35" s="7">
        <f t="shared" si="39"/>
        <v>0.00075</v>
      </c>
      <c r="O35" s="7">
        <f t="shared" si="39"/>
        <v>0.0125</v>
      </c>
      <c r="P35" s="7">
        <f t="shared" si="7"/>
        <v>1.987532354</v>
      </c>
      <c r="Q35" s="7">
        <f t="shared" si="8"/>
        <v>0.2451590504</v>
      </c>
      <c r="R35" s="7">
        <f t="shared" si="2"/>
        <v>1.67580934</v>
      </c>
      <c r="S35" s="7">
        <f t="shared" si="3"/>
        <v>0.30757113</v>
      </c>
      <c r="T35" s="7">
        <f t="shared" si="4"/>
        <v>1</v>
      </c>
      <c r="U35" s="7">
        <f t="shared" si="5"/>
        <v>1</v>
      </c>
      <c r="V35" s="8">
        <v>1.0</v>
      </c>
      <c r="W35" s="8">
        <v>1.0</v>
      </c>
      <c r="X35" s="8">
        <v>1.0</v>
      </c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22.5" customHeight="1">
      <c r="A36" s="6">
        <v>35.0</v>
      </c>
      <c r="B36" s="6">
        <v>9623.0</v>
      </c>
      <c r="C36" s="6">
        <v>1.41</v>
      </c>
      <c r="D36" s="6">
        <v>1.09</v>
      </c>
      <c r="E36" s="6">
        <v>10.69</v>
      </c>
      <c r="F36" s="6">
        <v>-0.39</v>
      </c>
      <c r="G36" s="6">
        <v>0.06</v>
      </c>
      <c r="H36" s="6">
        <v>-1.61</v>
      </c>
      <c r="I36" s="6">
        <v>33.24</v>
      </c>
      <c r="J36" s="7">
        <f t="shared" ref="J36:O36" si="40">abs(C36-C35)/200</f>
        <v>0.014</v>
      </c>
      <c r="K36" s="7">
        <f t="shared" si="40"/>
        <v>0.0202</v>
      </c>
      <c r="L36" s="7">
        <f t="shared" si="40"/>
        <v>0.00215</v>
      </c>
      <c r="M36" s="7">
        <f t="shared" si="40"/>
        <v>0.001</v>
      </c>
      <c r="N36" s="7">
        <f t="shared" si="40"/>
        <v>0.0009</v>
      </c>
      <c r="O36" s="7">
        <f t="shared" si="40"/>
        <v>0.007</v>
      </c>
      <c r="P36" s="7">
        <f t="shared" si="7"/>
        <v>1.350077808</v>
      </c>
      <c r="Q36" s="7">
        <f t="shared" si="8"/>
        <v>0.6382681056</v>
      </c>
      <c r="R36" s="7">
        <f t="shared" si="2"/>
        <v>1.037541234</v>
      </c>
      <c r="S36" s="7">
        <f t="shared" si="3"/>
        <v>1.657648938</v>
      </c>
      <c r="T36" s="7">
        <f t="shared" si="4"/>
        <v>1</v>
      </c>
      <c r="U36" s="7">
        <f t="shared" si="5"/>
        <v>1</v>
      </c>
      <c r="V36" s="8">
        <v>1.0</v>
      </c>
      <c r="W36" s="8">
        <v>1.0</v>
      </c>
      <c r="X36" s="8">
        <v>1.0</v>
      </c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22.5" customHeight="1">
      <c r="A37" s="6">
        <v>36.0</v>
      </c>
      <c r="B37" s="6">
        <v>9827.0</v>
      </c>
      <c r="C37" s="6">
        <v>-2.24</v>
      </c>
      <c r="D37" s="6">
        <v>2.94</v>
      </c>
      <c r="E37" s="6">
        <v>10.98</v>
      </c>
      <c r="F37" s="6">
        <v>0.03</v>
      </c>
      <c r="G37" s="6">
        <v>0.03</v>
      </c>
      <c r="H37" s="6">
        <v>-0.12</v>
      </c>
      <c r="I37" s="6">
        <v>33.24</v>
      </c>
      <c r="J37" s="7">
        <f t="shared" ref="J37:O37" si="41">abs(C37-C36)/200</f>
        <v>0.01825</v>
      </c>
      <c r="K37" s="7">
        <f t="shared" si="41"/>
        <v>0.00925</v>
      </c>
      <c r="L37" s="7">
        <f t="shared" si="41"/>
        <v>0.00145</v>
      </c>
      <c r="M37" s="7">
        <f t="shared" si="41"/>
        <v>0.0021</v>
      </c>
      <c r="N37" s="7">
        <f t="shared" si="41"/>
        <v>0.00015</v>
      </c>
      <c r="O37" s="7">
        <f t="shared" si="41"/>
        <v>0.00745</v>
      </c>
      <c r="P37" s="7">
        <f t="shared" si="7"/>
        <v>1.530369717</v>
      </c>
      <c r="Q37" s="7">
        <f t="shared" si="8"/>
        <v>0.7478633769</v>
      </c>
      <c r="R37" s="7">
        <f t="shared" si="2"/>
        <v>1.785404611</v>
      </c>
      <c r="S37" s="7">
        <f t="shared" si="3"/>
        <v>0.1272792206</v>
      </c>
      <c r="T37" s="7">
        <f t="shared" si="4"/>
        <v>1</v>
      </c>
      <c r="U37" s="7">
        <f t="shared" si="5"/>
        <v>1</v>
      </c>
      <c r="V37" s="8">
        <v>1.0</v>
      </c>
      <c r="W37" s="8">
        <v>1.0</v>
      </c>
      <c r="X37" s="8">
        <v>1.0</v>
      </c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22.5" customHeight="1">
      <c r="A38" s="6">
        <v>37.0</v>
      </c>
      <c r="B38" s="6">
        <v>10031.0</v>
      </c>
      <c r="C38" s="6">
        <v>6.42</v>
      </c>
      <c r="D38" s="6">
        <v>-3.27</v>
      </c>
      <c r="E38" s="6">
        <v>10.37</v>
      </c>
      <c r="F38" s="6">
        <v>0.17</v>
      </c>
      <c r="G38" s="6">
        <v>0.16</v>
      </c>
      <c r="H38" s="6">
        <v>2.09</v>
      </c>
      <c r="I38" s="6">
        <v>33.25</v>
      </c>
      <c r="J38" s="7">
        <f t="shared" ref="J38:O38" si="42">abs(C38-C37)/200</f>
        <v>0.0433</v>
      </c>
      <c r="K38" s="7">
        <f t="shared" si="42"/>
        <v>0.03105</v>
      </c>
      <c r="L38" s="7">
        <f t="shared" si="42"/>
        <v>0.00305</v>
      </c>
      <c r="M38" s="7">
        <f t="shared" si="42"/>
        <v>0.0007</v>
      </c>
      <c r="N38" s="7">
        <f t="shared" si="42"/>
        <v>0.00065</v>
      </c>
      <c r="O38" s="7">
        <f t="shared" si="42"/>
        <v>0.01105</v>
      </c>
      <c r="P38" s="7">
        <f t="shared" si="7"/>
        <v>1.97571864</v>
      </c>
      <c r="Q38" s="7">
        <f t="shared" si="8"/>
        <v>1.041796187</v>
      </c>
      <c r="R38" s="7">
        <f t="shared" si="2"/>
        <v>2.827200798</v>
      </c>
      <c r="S38" s="7">
        <f t="shared" si="3"/>
        <v>2.10299786</v>
      </c>
      <c r="T38" s="7">
        <f t="shared" si="4"/>
        <v>1</v>
      </c>
      <c r="U38" s="7">
        <f t="shared" si="5"/>
        <v>1</v>
      </c>
      <c r="V38" s="8">
        <v>1.0</v>
      </c>
      <c r="W38" s="8">
        <v>1.0</v>
      </c>
      <c r="X38" s="8">
        <v>1.0</v>
      </c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22.5" customHeight="1">
      <c r="A39" s="6">
        <v>38.0</v>
      </c>
      <c r="B39" s="6">
        <v>10235.0</v>
      </c>
      <c r="C39" s="6">
        <v>4.02</v>
      </c>
      <c r="D39" s="6">
        <v>-2.68</v>
      </c>
      <c r="E39" s="6">
        <v>10.43</v>
      </c>
      <c r="F39" s="6">
        <v>-0.21</v>
      </c>
      <c r="G39" s="6">
        <v>-0.15</v>
      </c>
      <c r="H39" s="6">
        <v>-0.08</v>
      </c>
      <c r="I39" s="6">
        <v>33.24</v>
      </c>
      <c r="J39" s="7">
        <f t="shared" ref="J39:O39" si="43">abs(C39-C38)/200</f>
        <v>0.012</v>
      </c>
      <c r="K39" s="7">
        <f t="shared" si="43"/>
        <v>0.00295</v>
      </c>
      <c r="L39" s="7">
        <f t="shared" si="43"/>
        <v>0.0003</v>
      </c>
      <c r="M39" s="7">
        <f t="shared" si="43"/>
        <v>0.0019</v>
      </c>
      <c r="N39" s="7">
        <f t="shared" si="43"/>
        <v>0.00155</v>
      </c>
      <c r="O39" s="7">
        <f t="shared" si="43"/>
        <v>0.01085</v>
      </c>
      <c r="P39" s="7">
        <f t="shared" si="7"/>
        <v>1.832812738</v>
      </c>
      <c r="Q39" s="7">
        <f t="shared" si="8"/>
        <v>1.132519419</v>
      </c>
      <c r="R39" s="7">
        <f t="shared" si="2"/>
        <v>1.694681379</v>
      </c>
      <c r="S39" s="7">
        <f t="shared" si="3"/>
        <v>0.2701851217</v>
      </c>
      <c r="T39" s="7">
        <f t="shared" si="4"/>
        <v>1</v>
      </c>
      <c r="U39" s="7">
        <f t="shared" si="5"/>
        <v>1</v>
      </c>
      <c r="V39" s="8">
        <v>1.0</v>
      </c>
      <c r="W39" s="8">
        <v>1.0</v>
      </c>
      <c r="X39" s="8">
        <v>1.0</v>
      </c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22.5" customHeight="1">
      <c r="A40" s="6">
        <v>39.0</v>
      </c>
      <c r="B40" s="6">
        <v>10439.0</v>
      </c>
      <c r="C40" s="6">
        <v>0.89</v>
      </c>
      <c r="D40" s="6">
        <v>0.75</v>
      </c>
      <c r="E40" s="6">
        <v>10.32</v>
      </c>
      <c r="F40" s="6">
        <v>-0.37</v>
      </c>
      <c r="G40" s="6">
        <v>0.09</v>
      </c>
      <c r="H40" s="6">
        <v>-1.82</v>
      </c>
      <c r="I40" s="6">
        <v>33.24</v>
      </c>
      <c r="J40" s="7">
        <f t="shared" ref="J40:O40" si="44">abs(C40-C39)/200</f>
        <v>0.01565</v>
      </c>
      <c r="K40" s="7">
        <f t="shared" si="44"/>
        <v>0.01715</v>
      </c>
      <c r="L40" s="7">
        <f t="shared" si="44"/>
        <v>0.00055</v>
      </c>
      <c r="M40" s="7">
        <f t="shared" si="44"/>
        <v>0.0008</v>
      </c>
      <c r="N40" s="7">
        <f t="shared" si="44"/>
        <v>0.0012</v>
      </c>
      <c r="O40" s="7">
        <f t="shared" si="44"/>
        <v>0.0087</v>
      </c>
      <c r="P40" s="7">
        <f t="shared" si="7"/>
        <v>1.589223386</v>
      </c>
      <c r="Q40" s="7">
        <f t="shared" si="8"/>
        <v>1.109258903</v>
      </c>
      <c r="R40" s="7">
        <f t="shared" si="2"/>
        <v>0.5854224758</v>
      </c>
      <c r="S40" s="7">
        <f t="shared" si="3"/>
        <v>1.859408508</v>
      </c>
      <c r="T40" s="7">
        <f t="shared" si="4"/>
        <v>1</v>
      </c>
      <c r="U40" s="7">
        <f t="shared" si="5"/>
        <v>1</v>
      </c>
      <c r="V40" s="8">
        <v>1.0</v>
      </c>
      <c r="W40" s="8">
        <v>1.0</v>
      </c>
      <c r="X40" s="8">
        <v>1.0</v>
      </c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22.5" customHeight="1">
      <c r="A41" s="6">
        <v>40.0</v>
      </c>
      <c r="B41" s="6">
        <v>10643.0</v>
      </c>
      <c r="C41" s="6">
        <v>-3.06</v>
      </c>
      <c r="D41" s="6">
        <v>3.21</v>
      </c>
      <c r="E41" s="6">
        <v>11.07</v>
      </c>
      <c r="F41" s="6">
        <v>0.03</v>
      </c>
      <c r="G41" s="6">
        <v>0.02</v>
      </c>
      <c r="H41" s="6">
        <v>-0.07</v>
      </c>
      <c r="I41" s="6">
        <v>33.24</v>
      </c>
      <c r="J41" s="7">
        <f t="shared" ref="J41:O41" si="45">abs(C41-C40)/200</f>
        <v>0.01975</v>
      </c>
      <c r="K41" s="7">
        <f t="shared" si="45"/>
        <v>0.0123</v>
      </c>
      <c r="L41" s="7">
        <f t="shared" si="45"/>
        <v>0.00375</v>
      </c>
      <c r="M41" s="7">
        <f t="shared" si="45"/>
        <v>0.002</v>
      </c>
      <c r="N41" s="7">
        <f t="shared" si="45"/>
        <v>0.00035</v>
      </c>
      <c r="O41" s="7">
        <f t="shared" si="45"/>
        <v>0.00875</v>
      </c>
      <c r="P41" s="7">
        <f t="shared" si="7"/>
        <v>1.780668429</v>
      </c>
      <c r="Q41" s="7">
        <f t="shared" si="8"/>
        <v>1.539869973</v>
      </c>
      <c r="R41" s="7">
        <f t="shared" si="2"/>
        <v>2.125292449</v>
      </c>
      <c r="S41" s="7">
        <f t="shared" si="3"/>
        <v>0.07874007874</v>
      </c>
      <c r="T41" s="7">
        <f t="shared" si="4"/>
        <v>1</v>
      </c>
      <c r="U41" s="7">
        <f t="shared" si="5"/>
        <v>1</v>
      </c>
      <c r="V41" s="8">
        <v>1.0</v>
      </c>
      <c r="W41" s="8">
        <v>1.0</v>
      </c>
      <c r="X41" s="8">
        <v>1.0</v>
      </c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22.5" customHeight="1">
      <c r="A42" s="6">
        <v>41.0</v>
      </c>
      <c r="B42" s="6">
        <v>10847.0</v>
      </c>
      <c r="C42" s="6">
        <v>6.84</v>
      </c>
      <c r="D42" s="6">
        <v>-3.73</v>
      </c>
      <c r="E42" s="6">
        <v>10.41</v>
      </c>
      <c r="F42" s="6">
        <v>0.21</v>
      </c>
      <c r="G42" s="6">
        <v>0.19</v>
      </c>
      <c r="H42" s="6">
        <v>2.33</v>
      </c>
      <c r="I42" s="6">
        <v>33.24</v>
      </c>
      <c r="J42" s="7">
        <f t="shared" ref="J42:O42" si="46">abs(C42-C41)/200</f>
        <v>0.0495</v>
      </c>
      <c r="K42" s="7">
        <f t="shared" si="46"/>
        <v>0.0347</v>
      </c>
      <c r="L42" s="7">
        <f t="shared" si="46"/>
        <v>0.0033</v>
      </c>
      <c r="M42" s="7">
        <f t="shared" si="46"/>
        <v>0.0009</v>
      </c>
      <c r="N42" s="7">
        <f t="shared" si="46"/>
        <v>0.00085</v>
      </c>
      <c r="O42" s="7">
        <f t="shared" si="46"/>
        <v>0.012</v>
      </c>
      <c r="P42" s="7">
        <f t="shared" si="7"/>
        <v>2.268407126</v>
      </c>
      <c r="Q42" s="7">
        <f t="shared" si="8"/>
        <v>1.077268837</v>
      </c>
      <c r="R42" s="7">
        <f t="shared" si="2"/>
        <v>3.202561286</v>
      </c>
      <c r="S42" s="7">
        <f t="shared" si="3"/>
        <v>2.347147205</v>
      </c>
      <c r="T42" s="7">
        <f t="shared" si="4"/>
        <v>1</v>
      </c>
      <c r="U42" s="7">
        <f t="shared" si="5"/>
        <v>1</v>
      </c>
      <c r="V42" s="8">
        <v>1.0</v>
      </c>
      <c r="W42" s="8">
        <v>1.0</v>
      </c>
      <c r="X42" s="8">
        <v>1.0</v>
      </c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22.5" customHeight="1">
      <c r="A43" s="6">
        <v>42.0</v>
      </c>
      <c r="B43" s="6">
        <v>11051.0</v>
      </c>
      <c r="C43" s="6">
        <v>4.98</v>
      </c>
      <c r="D43" s="6">
        <v>-3.84</v>
      </c>
      <c r="E43" s="6">
        <v>10.47</v>
      </c>
      <c r="F43" s="6">
        <v>-0.31</v>
      </c>
      <c r="G43" s="6">
        <v>-0.21</v>
      </c>
      <c r="H43" s="6">
        <v>-0.78</v>
      </c>
      <c r="I43" s="6">
        <v>33.24</v>
      </c>
      <c r="J43" s="7">
        <f t="shared" ref="J43:O43" si="47">abs(C43-C42)/200</f>
        <v>0.0093</v>
      </c>
      <c r="K43" s="7">
        <f t="shared" si="47"/>
        <v>0.00055</v>
      </c>
      <c r="L43" s="7">
        <f t="shared" si="47"/>
        <v>0.0003</v>
      </c>
      <c r="M43" s="7">
        <f t="shared" si="47"/>
        <v>0.0026</v>
      </c>
      <c r="N43" s="7">
        <f t="shared" si="47"/>
        <v>0.002</v>
      </c>
      <c r="O43" s="7">
        <f t="shared" si="47"/>
        <v>0.01555</v>
      </c>
      <c r="P43" s="7">
        <f t="shared" si="7"/>
        <v>1.481930469</v>
      </c>
      <c r="Q43" s="7">
        <f t="shared" si="8"/>
        <v>0.7891710934</v>
      </c>
      <c r="R43" s="7">
        <f t="shared" si="2"/>
        <v>2.413390193</v>
      </c>
      <c r="S43" s="7">
        <f t="shared" si="3"/>
        <v>0.8652167359</v>
      </c>
      <c r="T43" s="7">
        <f t="shared" si="4"/>
        <v>1</v>
      </c>
      <c r="U43" s="7">
        <f t="shared" si="5"/>
        <v>1</v>
      </c>
      <c r="V43" s="8">
        <v>1.0</v>
      </c>
      <c r="W43" s="8">
        <v>1.0</v>
      </c>
      <c r="X43" s="8">
        <v>1.0</v>
      </c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22.5" customHeight="1">
      <c r="A44" s="6">
        <v>43.0</v>
      </c>
      <c r="B44" s="6">
        <v>11255.0</v>
      </c>
      <c r="C44" s="6">
        <v>-1.18</v>
      </c>
      <c r="D44" s="6">
        <v>1.28</v>
      </c>
      <c r="E44" s="6">
        <v>10.92</v>
      </c>
      <c r="F44" s="6">
        <v>-0.4</v>
      </c>
      <c r="G44" s="6">
        <v>0.06</v>
      </c>
      <c r="H44" s="6">
        <v>-1.61</v>
      </c>
      <c r="I44" s="6">
        <v>33.25</v>
      </c>
      <c r="J44" s="7">
        <f t="shared" ref="J44:O44" si="48">abs(C44-C43)/200</f>
        <v>0.0308</v>
      </c>
      <c r="K44" s="7">
        <f t="shared" si="48"/>
        <v>0.0256</v>
      </c>
      <c r="L44" s="7">
        <f t="shared" si="48"/>
        <v>0.00225</v>
      </c>
      <c r="M44" s="7">
        <f t="shared" si="48"/>
        <v>0.00045</v>
      </c>
      <c r="N44" s="7">
        <f t="shared" si="48"/>
        <v>0.00135</v>
      </c>
      <c r="O44" s="7">
        <f t="shared" si="48"/>
        <v>0.00415</v>
      </c>
      <c r="P44" s="7">
        <f t="shared" si="7"/>
        <v>0.7948133844</v>
      </c>
      <c r="Q44" s="7">
        <f t="shared" si="8"/>
        <v>1.155488041</v>
      </c>
      <c r="R44" s="7">
        <f t="shared" si="2"/>
        <v>1.257902152</v>
      </c>
      <c r="S44" s="7">
        <f t="shared" si="3"/>
        <v>1.66003012</v>
      </c>
      <c r="T44" s="7">
        <f t="shared" si="4"/>
        <v>1</v>
      </c>
      <c r="U44" s="7">
        <f t="shared" si="5"/>
        <v>1</v>
      </c>
      <c r="V44" s="8">
        <v>1.0</v>
      </c>
      <c r="W44" s="8">
        <v>1.0</v>
      </c>
      <c r="X44" s="8">
        <v>1.0</v>
      </c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22.5" customHeight="1">
      <c r="A45" s="6">
        <v>44.0</v>
      </c>
      <c r="B45" s="6">
        <v>11459.0</v>
      </c>
      <c r="C45" s="6">
        <v>-1.98</v>
      </c>
      <c r="D45" s="6">
        <v>3.47</v>
      </c>
      <c r="E45" s="6">
        <v>10.92</v>
      </c>
      <c r="F45" s="6">
        <v>-0.01</v>
      </c>
      <c r="G45" s="6">
        <v>0.01</v>
      </c>
      <c r="H45" s="6">
        <v>0.06</v>
      </c>
      <c r="I45" s="6">
        <v>33.25</v>
      </c>
      <c r="J45" s="7">
        <f t="shared" ref="J45:O45" si="49">abs(C45-C44)/200</f>
        <v>0.004</v>
      </c>
      <c r="K45" s="7">
        <f t="shared" si="49"/>
        <v>0.01095</v>
      </c>
      <c r="L45" s="7">
        <f t="shared" si="49"/>
        <v>0</v>
      </c>
      <c r="M45" s="7">
        <f t="shared" si="49"/>
        <v>0.00195</v>
      </c>
      <c r="N45" s="7">
        <f t="shared" si="49"/>
        <v>0.00025</v>
      </c>
      <c r="O45" s="7">
        <f t="shared" si="49"/>
        <v>0.00835</v>
      </c>
      <c r="P45" s="7">
        <f t="shared" si="7"/>
        <v>1.59838598</v>
      </c>
      <c r="Q45" s="7">
        <f t="shared" si="8"/>
        <v>0.5699824365</v>
      </c>
      <c r="R45" s="7">
        <f t="shared" si="2"/>
        <v>1.827884588</v>
      </c>
      <c r="S45" s="7">
        <f t="shared" si="3"/>
        <v>0.06164414003</v>
      </c>
      <c r="T45" s="7">
        <f t="shared" si="4"/>
        <v>1</v>
      </c>
      <c r="U45" s="7">
        <f t="shared" si="5"/>
        <v>1</v>
      </c>
      <c r="V45" s="8">
        <v>1.0</v>
      </c>
      <c r="W45" s="8">
        <v>1.0</v>
      </c>
      <c r="X45" s="8">
        <v>1.0</v>
      </c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22.5" customHeight="1">
      <c r="A46" s="6">
        <v>45.0</v>
      </c>
      <c r="B46" s="6">
        <v>11663.0</v>
      </c>
      <c r="C46" s="6">
        <v>4.18</v>
      </c>
      <c r="D46" s="6">
        <v>-4.02</v>
      </c>
      <c r="E46" s="6">
        <v>10.96</v>
      </c>
      <c r="F46" s="6">
        <v>0.14</v>
      </c>
      <c r="G46" s="6">
        <v>0.14</v>
      </c>
      <c r="H46" s="6">
        <v>2.48</v>
      </c>
      <c r="I46" s="6">
        <v>33.24</v>
      </c>
      <c r="J46" s="7">
        <f t="shared" ref="J46:O46" si="50">abs(C46-C45)/200</f>
        <v>0.0308</v>
      </c>
      <c r="K46" s="7">
        <f t="shared" si="50"/>
        <v>0.03745</v>
      </c>
      <c r="L46" s="7">
        <f t="shared" si="50"/>
        <v>0.0002</v>
      </c>
      <c r="M46" s="7">
        <f t="shared" si="50"/>
        <v>0.00075</v>
      </c>
      <c r="N46" s="7">
        <f t="shared" si="50"/>
        <v>0.00065</v>
      </c>
      <c r="O46" s="7">
        <f t="shared" si="50"/>
        <v>0.0121</v>
      </c>
      <c r="P46" s="7">
        <f t="shared" si="7"/>
        <v>2.426246533</v>
      </c>
      <c r="Q46" s="7">
        <f t="shared" si="8"/>
        <v>0.7718896031</v>
      </c>
      <c r="R46" s="7">
        <f t="shared" si="2"/>
        <v>2.599774191</v>
      </c>
      <c r="S46" s="7">
        <f t="shared" si="3"/>
        <v>2.487890673</v>
      </c>
      <c r="T46" s="7">
        <f t="shared" si="4"/>
        <v>1</v>
      </c>
      <c r="U46" s="7">
        <f t="shared" si="5"/>
        <v>1</v>
      </c>
      <c r="V46" s="8">
        <v>1.0</v>
      </c>
      <c r="W46" s="8">
        <v>1.0</v>
      </c>
      <c r="X46" s="8">
        <v>1.0</v>
      </c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22.5" customHeight="1">
      <c r="A47" s="6">
        <v>46.0</v>
      </c>
      <c r="B47" s="6">
        <v>11867.0</v>
      </c>
      <c r="C47" s="6">
        <v>5.5</v>
      </c>
      <c r="D47" s="6">
        <v>-3.13</v>
      </c>
      <c r="E47" s="6">
        <v>10.39</v>
      </c>
      <c r="F47" s="6">
        <v>-0.21</v>
      </c>
      <c r="G47" s="6">
        <v>-0.33</v>
      </c>
      <c r="H47" s="6">
        <v>0.07</v>
      </c>
      <c r="I47" s="6">
        <v>33.25</v>
      </c>
      <c r="J47" s="7">
        <f t="shared" ref="J47:O47" si="51">abs(C47-C46)/200</f>
        <v>0.0066</v>
      </c>
      <c r="K47" s="7">
        <f t="shared" si="51"/>
        <v>0.00445</v>
      </c>
      <c r="L47" s="7">
        <f t="shared" si="51"/>
        <v>0.00285</v>
      </c>
      <c r="M47" s="7">
        <f t="shared" si="51"/>
        <v>0.00175</v>
      </c>
      <c r="N47" s="7">
        <f t="shared" si="51"/>
        <v>0.00235</v>
      </c>
      <c r="O47" s="7">
        <f t="shared" si="51"/>
        <v>0.01205</v>
      </c>
      <c r="P47" s="7">
        <f t="shared" si="7"/>
        <v>2.090524343</v>
      </c>
      <c r="Q47" s="7">
        <f t="shared" si="8"/>
        <v>0.2342902307</v>
      </c>
      <c r="R47" s="7">
        <f t="shared" si="2"/>
        <v>2.365483961</v>
      </c>
      <c r="S47" s="7">
        <f t="shared" si="3"/>
        <v>0.3973663297</v>
      </c>
      <c r="T47" s="7">
        <f t="shared" si="4"/>
        <v>1</v>
      </c>
      <c r="U47" s="7">
        <f t="shared" si="5"/>
        <v>1</v>
      </c>
      <c r="V47" s="8">
        <v>1.0</v>
      </c>
      <c r="W47" s="8">
        <v>1.0</v>
      </c>
      <c r="X47" s="8">
        <v>1.0</v>
      </c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22.5" customHeight="1">
      <c r="A48" s="6">
        <v>47.0</v>
      </c>
      <c r="B48" s="6">
        <v>12071.0</v>
      </c>
      <c r="C48" s="6">
        <v>-1.17</v>
      </c>
      <c r="D48" s="6">
        <v>1.06</v>
      </c>
      <c r="E48" s="6">
        <v>11.22</v>
      </c>
      <c r="F48" s="6">
        <v>-0.53</v>
      </c>
      <c r="G48" s="6">
        <v>0.16</v>
      </c>
      <c r="H48" s="6">
        <v>-2.3</v>
      </c>
      <c r="I48" s="6">
        <v>33.25</v>
      </c>
      <c r="J48" s="7">
        <f t="shared" ref="J48:O48" si="52">abs(C48-C47)/200</f>
        <v>0.03335</v>
      </c>
      <c r="K48" s="7">
        <f t="shared" si="52"/>
        <v>0.02095</v>
      </c>
      <c r="L48" s="7">
        <f t="shared" si="52"/>
        <v>0.00415</v>
      </c>
      <c r="M48" s="7">
        <f t="shared" si="52"/>
        <v>0.0016</v>
      </c>
      <c r="N48" s="7">
        <f t="shared" si="52"/>
        <v>0.00245</v>
      </c>
      <c r="O48" s="7">
        <f t="shared" si="52"/>
        <v>0.01185</v>
      </c>
      <c r="P48" s="7">
        <f t="shared" si="7"/>
        <v>1.968325958</v>
      </c>
      <c r="Q48" s="7">
        <f t="shared" si="8"/>
        <v>0.8349544056</v>
      </c>
      <c r="R48" s="7">
        <f t="shared" si="2"/>
        <v>1.530529555</v>
      </c>
      <c r="S48" s="7">
        <f t="shared" si="3"/>
        <v>2.365692288</v>
      </c>
      <c r="T48" s="7">
        <f t="shared" si="4"/>
        <v>1</v>
      </c>
      <c r="U48" s="7">
        <f t="shared" si="5"/>
        <v>1</v>
      </c>
      <c r="V48" s="8">
        <v>1.0</v>
      </c>
      <c r="W48" s="8">
        <v>1.0</v>
      </c>
      <c r="X48" s="8">
        <v>1.0</v>
      </c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22.5" customHeight="1">
      <c r="A49" s="6">
        <v>48.0</v>
      </c>
      <c r="B49" s="6">
        <v>275.0</v>
      </c>
      <c r="C49" s="6">
        <v>-3.57</v>
      </c>
      <c r="D49" s="6">
        <v>2.74</v>
      </c>
      <c r="E49" s="6">
        <v>11.45</v>
      </c>
      <c r="F49" s="6">
        <v>-0.04</v>
      </c>
      <c r="G49" s="6">
        <v>0.05</v>
      </c>
      <c r="H49" s="6">
        <v>-0.48</v>
      </c>
      <c r="I49" s="6">
        <v>33.25</v>
      </c>
      <c r="J49" s="7">
        <f t="shared" ref="J49:O49" si="53">abs(C49-C48)/200</f>
        <v>0.012</v>
      </c>
      <c r="K49" s="7">
        <f t="shared" si="53"/>
        <v>0.0084</v>
      </c>
      <c r="L49" s="7">
        <f t="shared" si="53"/>
        <v>0.00115</v>
      </c>
      <c r="M49" s="7">
        <f t="shared" si="53"/>
        <v>0.00245</v>
      </c>
      <c r="N49" s="7">
        <f t="shared" si="53"/>
        <v>0.00055</v>
      </c>
      <c r="O49" s="7">
        <f t="shared" si="53"/>
        <v>0.0091</v>
      </c>
      <c r="P49" s="7">
        <f t="shared" si="7"/>
        <v>1.881440287</v>
      </c>
      <c r="Q49" s="7">
        <f t="shared" si="8"/>
        <v>0.9721124375</v>
      </c>
      <c r="R49" s="7">
        <f t="shared" si="2"/>
        <v>2.502641993</v>
      </c>
      <c r="S49" s="7">
        <f t="shared" si="3"/>
        <v>0.4842520005</v>
      </c>
      <c r="T49" s="7">
        <f t="shared" si="4"/>
        <v>1</v>
      </c>
      <c r="U49" s="7">
        <f t="shared" si="5"/>
        <v>1</v>
      </c>
      <c r="V49" s="8">
        <v>1.0</v>
      </c>
      <c r="W49" s="8">
        <v>1.0</v>
      </c>
      <c r="X49" s="8">
        <v>1.0</v>
      </c>
      <c r="Y49" s="7"/>
      <c r="Z49" s="7"/>
      <c r="AA49" s="7"/>
      <c r="AB49" s="6"/>
      <c r="AC49" s="7"/>
      <c r="AD49" s="7"/>
      <c r="AE49" s="7"/>
      <c r="AF49" s="7"/>
      <c r="AG49" s="7"/>
      <c r="AH49" s="7"/>
      <c r="AI49" s="7"/>
      <c r="AJ49" s="7"/>
      <c r="AK49" s="7"/>
    </row>
    <row r="50" ht="22.5" customHeight="1">
      <c r="A50" s="6">
        <v>49.0</v>
      </c>
      <c r="B50" s="6">
        <v>12479.0</v>
      </c>
      <c r="C50" s="6">
        <v>6.91</v>
      </c>
      <c r="D50" s="6">
        <v>-3.65</v>
      </c>
      <c r="E50" s="6">
        <v>10.17</v>
      </c>
      <c r="F50" s="6">
        <v>0.18</v>
      </c>
      <c r="G50" s="6">
        <v>0.06</v>
      </c>
      <c r="H50" s="6">
        <v>2.63</v>
      </c>
      <c r="I50" s="6">
        <v>33.25</v>
      </c>
      <c r="J50" s="7">
        <f t="shared" ref="J50:O50" si="54">abs(C50-C49)/200</f>
        <v>0.0524</v>
      </c>
      <c r="K50" s="7">
        <f t="shared" si="54"/>
        <v>0.03195</v>
      </c>
      <c r="L50" s="7">
        <f t="shared" si="54"/>
        <v>0.0064</v>
      </c>
      <c r="M50" s="7">
        <f t="shared" si="54"/>
        <v>0.0011</v>
      </c>
      <c r="N50" s="7">
        <f t="shared" si="54"/>
        <v>0.00005</v>
      </c>
      <c r="O50" s="7">
        <f t="shared" si="54"/>
        <v>0.01555</v>
      </c>
      <c r="P50" s="7">
        <f t="shared" si="7"/>
        <v>2.152583224</v>
      </c>
      <c r="Q50" s="7">
        <f t="shared" si="8"/>
        <v>0.5230938537</v>
      </c>
      <c r="R50" s="7">
        <f t="shared" si="2"/>
        <v>3.025735846</v>
      </c>
      <c r="S50" s="7">
        <f t="shared" si="3"/>
        <v>2.636835224</v>
      </c>
      <c r="T50" s="7">
        <f t="shared" si="4"/>
        <v>1</v>
      </c>
      <c r="U50" s="7">
        <f t="shared" si="5"/>
        <v>1</v>
      </c>
      <c r="V50" s="8">
        <v>1.0</v>
      </c>
      <c r="W50" s="8">
        <v>1.0</v>
      </c>
      <c r="X50" s="8">
        <v>1.0</v>
      </c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22.5" customHeight="1">
      <c r="A51" s="6">
        <v>50.0</v>
      </c>
      <c r="B51" s="6">
        <v>12683.0</v>
      </c>
      <c r="C51" s="6">
        <v>4.84</v>
      </c>
      <c r="D51" s="6">
        <v>-3.62</v>
      </c>
      <c r="E51" s="6">
        <v>10.29</v>
      </c>
      <c r="F51" s="6">
        <v>-0.23</v>
      </c>
      <c r="G51" s="6">
        <v>-0.08</v>
      </c>
      <c r="H51" s="6">
        <v>-0.29</v>
      </c>
      <c r="I51" s="6">
        <v>33.25</v>
      </c>
      <c r="J51" s="7">
        <f t="shared" ref="J51:O51" si="55">abs(C51-C50)/200</f>
        <v>0.01035</v>
      </c>
      <c r="K51" s="7">
        <f t="shared" si="55"/>
        <v>0.00015</v>
      </c>
      <c r="L51" s="7">
        <f t="shared" si="55"/>
        <v>0.0006</v>
      </c>
      <c r="M51" s="7">
        <f t="shared" si="55"/>
        <v>0.00205</v>
      </c>
      <c r="N51" s="7">
        <f t="shared" si="55"/>
        <v>0.0007</v>
      </c>
      <c r="O51" s="7">
        <f t="shared" si="55"/>
        <v>0.0146</v>
      </c>
      <c r="P51" s="7">
        <f t="shared" si="7"/>
        <v>2.2581533</v>
      </c>
      <c r="Q51" s="7">
        <f t="shared" si="8"/>
        <v>0.8919979575</v>
      </c>
      <c r="R51" s="7">
        <f t="shared" si="2"/>
        <v>2.133737889</v>
      </c>
      <c r="S51" s="7">
        <f t="shared" si="3"/>
        <v>0.3786819246</v>
      </c>
      <c r="T51" s="7">
        <f t="shared" si="4"/>
        <v>1</v>
      </c>
      <c r="U51" s="7">
        <f t="shared" si="5"/>
        <v>1</v>
      </c>
      <c r="V51" s="8">
        <v>1.0</v>
      </c>
      <c r="W51" s="8">
        <v>1.0</v>
      </c>
      <c r="X51" s="8">
        <v>1.0</v>
      </c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22.5" customHeight="1">
      <c r="A52" s="6">
        <v>51.0</v>
      </c>
      <c r="B52" s="6">
        <v>12887.0</v>
      </c>
      <c r="C52" s="6">
        <v>-1.29</v>
      </c>
      <c r="D52" s="6">
        <v>1.33</v>
      </c>
      <c r="E52" s="6">
        <v>10.37</v>
      </c>
      <c r="F52" s="6">
        <v>-0.45</v>
      </c>
      <c r="G52" s="6">
        <v>0.13</v>
      </c>
      <c r="H52" s="6">
        <v>-1.99</v>
      </c>
      <c r="I52" s="6">
        <v>33.25</v>
      </c>
      <c r="J52" s="7">
        <f t="shared" ref="J52:O52" si="56">abs(C52-C51)/200</f>
        <v>0.03065</v>
      </c>
      <c r="K52" s="7">
        <f t="shared" si="56"/>
        <v>0.02475</v>
      </c>
      <c r="L52" s="7">
        <f t="shared" si="56"/>
        <v>0.0004</v>
      </c>
      <c r="M52" s="7">
        <f t="shared" si="56"/>
        <v>0.0011</v>
      </c>
      <c r="N52" s="7">
        <f t="shared" si="56"/>
        <v>0.00105</v>
      </c>
      <c r="O52" s="7">
        <f t="shared" si="56"/>
        <v>0.0085</v>
      </c>
      <c r="P52" s="7">
        <f t="shared" si="7"/>
        <v>1.665700623</v>
      </c>
      <c r="Q52" s="7">
        <f t="shared" si="8"/>
        <v>1.399512716</v>
      </c>
      <c r="R52" s="7">
        <f t="shared" si="2"/>
        <v>0.7342251732</v>
      </c>
      <c r="S52" s="7">
        <f t="shared" si="3"/>
        <v>2.044382547</v>
      </c>
      <c r="T52" s="7">
        <f t="shared" si="4"/>
        <v>1</v>
      </c>
      <c r="U52" s="7">
        <f t="shared" si="5"/>
        <v>1</v>
      </c>
      <c r="V52" s="8">
        <v>1.0</v>
      </c>
      <c r="W52" s="8">
        <v>1.0</v>
      </c>
      <c r="X52" s="8">
        <v>1.0</v>
      </c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22.5" customHeight="1">
      <c r="A53" s="6">
        <v>52.0</v>
      </c>
      <c r="B53" s="6">
        <v>13091.0</v>
      </c>
      <c r="C53" s="6">
        <v>-3.1</v>
      </c>
      <c r="D53" s="6">
        <v>2.27</v>
      </c>
      <c r="E53" s="6">
        <v>11.05</v>
      </c>
      <c r="F53" s="6">
        <v>0.06</v>
      </c>
      <c r="G53" s="6">
        <v>-0.06</v>
      </c>
      <c r="H53" s="6">
        <v>0.3</v>
      </c>
      <c r="I53" s="6">
        <v>33.26</v>
      </c>
      <c r="J53" s="7">
        <f t="shared" ref="J53:O53" si="57">abs(C53-C52)/200</f>
        <v>0.00905</v>
      </c>
      <c r="K53" s="7">
        <f t="shared" si="57"/>
        <v>0.0047</v>
      </c>
      <c r="L53" s="7">
        <f t="shared" si="57"/>
        <v>0.0034</v>
      </c>
      <c r="M53" s="7">
        <f t="shared" si="57"/>
        <v>0.00255</v>
      </c>
      <c r="N53" s="7">
        <f t="shared" si="57"/>
        <v>0.00095</v>
      </c>
      <c r="O53" s="7">
        <f t="shared" si="57"/>
        <v>0.01145</v>
      </c>
      <c r="P53" s="7">
        <f t="shared" si="7"/>
        <v>1.732613402</v>
      </c>
      <c r="Q53" s="7">
        <f t="shared" si="8"/>
        <v>1.164723497</v>
      </c>
      <c r="R53" s="7">
        <f t="shared" si="2"/>
        <v>1.898948671</v>
      </c>
      <c r="S53" s="7">
        <f t="shared" si="3"/>
        <v>0.3117691454</v>
      </c>
      <c r="T53" s="7">
        <f t="shared" si="4"/>
        <v>1</v>
      </c>
      <c r="U53" s="7">
        <f t="shared" si="5"/>
        <v>1</v>
      </c>
      <c r="V53" s="8">
        <v>1.0</v>
      </c>
      <c r="W53" s="8">
        <v>1.0</v>
      </c>
      <c r="X53" s="8">
        <v>1.0</v>
      </c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22.5" customHeight="1">
      <c r="A54" s="6">
        <v>53.0</v>
      </c>
      <c r="B54" s="6">
        <v>13295.0</v>
      </c>
      <c r="C54" s="6">
        <v>6.76</v>
      </c>
      <c r="D54" s="6">
        <v>-3.21</v>
      </c>
      <c r="E54" s="6">
        <v>10.44</v>
      </c>
      <c r="F54" s="6">
        <v>0.16</v>
      </c>
      <c r="G54" s="6">
        <v>0.12</v>
      </c>
      <c r="H54" s="6">
        <v>2.23</v>
      </c>
      <c r="I54" s="6">
        <v>33.25</v>
      </c>
      <c r="J54" s="7">
        <f t="shared" ref="J54:O54" si="58">abs(C54-C53)/200</f>
        <v>0.0493</v>
      </c>
      <c r="K54" s="7">
        <f t="shared" si="58"/>
        <v>0.0274</v>
      </c>
      <c r="L54" s="7">
        <f t="shared" si="58"/>
        <v>0.00305</v>
      </c>
      <c r="M54" s="7">
        <f t="shared" si="58"/>
        <v>0.0005</v>
      </c>
      <c r="N54" s="7">
        <f t="shared" si="58"/>
        <v>0.0009</v>
      </c>
      <c r="O54" s="7">
        <f t="shared" si="58"/>
        <v>0.00965</v>
      </c>
      <c r="P54" s="7">
        <f t="shared" si="7"/>
        <v>1.927181502</v>
      </c>
      <c r="Q54" s="7">
        <f t="shared" si="8"/>
        <v>1.146100959</v>
      </c>
      <c r="R54" s="7">
        <f t="shared" si="2"/>
        <v>3.04504963</v>
      </c>
      <c r="S54" s="7">
        <f t="shared" si="3"/>
        <v>2.238950647</v>
      </c>
      <c r="T54" s="7">
        <f t="shared" si="4"/>
        <v>1</v>
      </c>
      <c r="U54" s="7">
        <f t="shared" si="5"/>
        <v>1</v>
      </c>
      <c r="V54" s="8">
        <v>1.0</v>
      </c>
      <c r="W54" s="8">
        <v>1.0</v>
      </c>
      <c r="X54" s="8">
        <v>1.0</v>
      </c>
      <c r="Y54" s="7"/>
      <c r="Z54" s="7"/>
      <c r="AA54" s="7"/>
      <c r="AB54" s="8"/>
      <c r="AC54" s="7"/>
      <c r="AD54" s="7"/>
      <c r="AE54" s="7"/>
      <c r="AF54" s="7"/>
      <c r="AG54" s="7"/>
      <c r="AH54" s="7"/>
      <c r="AI54" s="7"/>
      <c r="AJ54" s="7"/>
      <c r="AK54" s="7"/>
    </row>
    <row r="55" ht="22.5" customHeight="1">
      <c r="A55" s="6">
        <v>54.0</v>
      </c>
      <c r="B55" s="6">
        <v>13499.0</v>
      </c>
      <c r="C55" s="6">
        <v>4.44</v>
      </c>
      <c r="D55" s="6">
        <v>-2.42</v>
      </c>
      <c r="E55" s="6">
        <v>10.42</v>
      </c>
      <c r="F55" s="6">
        <v>-0.24</v>
      </c>
      <c r="G55" s="6">
        <v>-0.11</v>
      </c>
      <c r="H55" s="6">
        <v>-0.83</v>
      </c>
      <c r="I55" s="6">
        <v>33.26</v>
      </c>
      <c r="J55" s="7">
        <f t="shared" ref="J55:O55" si="59">abs(C55-C54)/200</f>
        <v>0.0116</v>
      </c>
      <c r="K55" s="7">
        <f t="shared" si="59"/>
        <v>0.00395</v>
      </c>
      <c r="L55" s="7">
        <f t="shared" si="59"/>
        <v>0.0001</v>
      </c>
      <c r="M55" s="7">
        <f t="shared" si="59"/>
        <v>0.002</v>
      </c>
      <c r="N55" s="7">
        <f t="shared" si="59"/>
        <v>0.00115</v>
      </c>
      <c r="O55" s="7">
        <f t="shared" si="59"/>
        <v>0.0153</v>
      </c>
      <c r="P55" s="7">
        <f t="shared" si="7"/>
        <v>1.367974184</v>
      </c>
      <c r="Q55" s="7">
        <f t="shared" si="8"/>
        <v>1.262890937</v>
      </c>
      <c r="R55" s="7">
        <f t="shared" si="2"/>
        <v>1.782158693</v>
      </c>
      <c r="S55" s="7">
        <f t="shared" si="3"/>
        <v>0.8709764635</v>
      </c>
      <c r="T55" s="7">
        <f t="shared" si="4"/>
        <v>1</v>
      </c>
      <c r="U55" s="7">
        <f t="shared" si="5"/>
        <v>1</v>
      </c>
      <c r="V55" s="8">
        <v>1.0</v>
      </c>
      <c r="W55" s="8">
        <v>1.0</v>
      </c>
      <c r="X55" s="8">
        <v>1.0</v>
      </c>
      <c r="Y55" s="7"/>
      <c r="Z55" s="7"/>
      <c r="AA55" s="7"/>
      <c r="AB55" s="8"/>
      <c r="AC55" s="7"/>
      <c r="AD55" s="7"/>
      <c r="AE55" s="7"/>
      <c r="AF55" s="7"/>
      <c r="AG55" s="7"/>
      <c r="AH55" s="7"/>
      <c r="AI55" s="7"/>
      <c r="AJ55" s="7"/>
      <c r="AK55" s="7"/>
    </row>
    <row r="56" ht="22.5" customHeight="1">
      <c r="A56" s="6">
        <v>55.0</v>
      </c>
      <c r="B56" s="6">
        <v>13703.0</v>
      </c>
      <c r="C56" s="6">
        <v>-1.08</v>
      </c>
      <c r="D56" s="6">
        <v>0.07</v>
      </c>
      <c r="E56" s="6">
        <v>11.04</v>
      </c>
      <c r="F56" s="6">
        <v>-0.62</v>
      </c>
      <c r="G56" s="6">
        <v>0.31</v>
      </c>
      <c r="H56" s="6">
        <v>-2.93</v>
      </c>
      <c r="I56" s="6">
        <v>33.26</v>
      </c>
      <c r="J56" s="7">
        <f t="shared" ref="J56:O56" si="60">abs(C56-C55)/200</f>
        <v>0.0276</v>
      </c>
      <c r="K56" s="7">
        <f t="shared" si="60"/>
        <v>0.01245</v>
      </c>
      <c r="L56" s="7">
        <f t="shared" si="60"/>
        <v>0.0031</v>
      </c>
      <c r="M56" s="7">
        <f t="shared" si="60"/>
        <v>0.0019</v>
      </c>
      <c r="N56" s="7">
        <f t="shared" si="60"/>
        <v>0.0021</v>
      </c>
      <c r="O56" s="7">
        <f t="shared" si="60"/>
        <v>0.0105</v>
      </c>
      <c r="P56" s="7">
        <f t="shared" si="7"/>
        <v>2.139903806</v>
      </c>
      <c r="Q56" s="7">
        <f t="shared" si="8"/>
        <v>0.4892375272</v>
      </c>
      <c r="R56" s="7">
        <f t="shared" si="2"/>
        <v>1.292921166</v>
      </c>
      <c r="S56" s="7">
        <f t="shared" si="3"/>
        <v>3.01088027</v>
      </c>
      <c r="T56" s="7">
        <f t="shared" si="4"/>
        <v>1</v>
      </c>
      <c r="U56" s="7">
        <f t="shared" si="5"/>
        <v>1</v>
      </c>
      <c r="V56" s="8">
        <v>1.0</v>
      </c>
      <c r="W56" s="8">
        <v>1.0</v>
      </c>
      <c r="X56" s="8">
        <v>1.0</v>
      </c>
      <c r="Y56" s="7"/>
      <c r="Z56" s="7"/>
      <c r="AA56" s="7"/>
      <c r="AB56" s="6"/>
      <c r="AC56" s="7"/>
      <c r="AD56" s="7"/>
      <c r="AE56" s="7"/>
      <c r="AF56" s="7"/>
      <c r="AG56" s="7"/>
      <c r="AH56" s="7"/>
      <c r="AI56" s="7"/>
      <c r="AJ56" s="7"/>
      <c r="AK56" s="7"/>
    </row>
    <row r="57" ht="22.5" customHeight="1">
      <c r="A57" s="6">
        <v>56.0</v>
      </c>
      <c r="B57" s="6">
        <v>13907.0</v>
      </c>
      <c r="C57" s="6">
        <v>-2.85</v>
      </c>
      <c r="D57" s="6">
        <v>1.83</v>
      </c>
      <c r="E57" s="6">
        <v>11.28</v>
      </c>
      <c r="F57" s="6">
        <v>0.03</v>
      </c>
      <c r="G57" s="6">
        <v>0.02</v>
      </c>
      <c r="H57" s="6">
        <v>0.26</v>
      </c>
      <c r="I57" s="6">
        <v>33.25</v>
      </c>
      <c r="J57" s="7">
        <f t="shared" ref="J57:O57" si="61">abs(C57-C56)/200</f>
        <v>0.00885</v>
      </c>
      <c r="K57" s="7">
        <f t="shared" si="61"/>
        <v>0.0088</v>
      </c>
      <c r="L57" s="7">
        <f t="shared" si="61"/>
        <v>0.0012</v>
      </c>
      <c r="M57" s="7">
        <f t="shared" si="61"/>
        <v>0.00325</v>
      </c>
      <c r="N57" s="7">
        <f t="shared" si="61"/>
        <v>0.00145</v>
      </c>
      <c r="O57" s="7">
        <f t="shared" si="61"/>
        <v>0.01595</v>
      </c>
      <c r="P57" s="7">
        <f t="shared" si="7"/>
        <v>2.748392175</v>
      </c>
      <c r="Q57" s="7">
        <f t="shared" si="8"/>
        <v>0.6845913046</v>
      </c>
      <c r="R57" s="7">
        <f t="shared" si="2"/>
        <v>1.977512471</v>
      </c>
      <c r="S57" s="7">
        <f t="shared" si="3"/>
        <v>0.262488095</v>
      </c>
      <c r="T57" s="7">
        <f t="shared" si="4"/>
        <v>1</v>
      </c>
      <c r="U57" s="7">
        <f t="shared" si="5"/>
        <v>1</v>
      </c>
      <c r="V57" s="8">
        <v>1.0</v>
      </c>
      <c r="W57" s="8">
        <v>1.0</v>
      </c>
      <c r="X57" s="8">
        <v>1.0</v>
      </c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22.5" customHeight="1">
      <c r="A58" s="6">
        <v>57.0</v>
      </c>
      <c r="B58" s="6">
        <v>14111.0</v>
      </c>
      <c r="C58" s="6">
        <v>3.5</v>
      </c>
      <c r="D58" s="6">
        <v>-2.77</v>
      </c>
      <c r="E58" s="6">
        <v>10.62</v>
      </c>
      <c r="F58" s="6">
        <v>0.19</v>
      </c>
      <c r="G58" s="6">
        <v>0.1</v>
      </c>
      <c r="H58" s="6">
        <v>2.73</v>
      </c>
      <c r="I58" s="6">
        <v>33.25</v>
      </c>
      <c r="J58" s="7">
        <f t="shared" ref="J58:O58" si="62">abs(C58-C57)/200</f>
        <v>0.03175</v>
      </c>
      <c r="K58" s="7">
        <f t="shared" si="62"/>
        <v>0.023</v>
      </c>
      <c r="L58" s="7">
        <f t="shared" si="62"/>
        <v>0.0033</v>
      </c>
      <c r="M58" s="7">
        <f t="shared" si="62"/>
        <v>0.0008</v>
      </c>
      <c r="N58" s="7">
        <f t="shared" si="62"/>
        <v>0.0004</v>
      </c>
      <c r="O58" s="7">
        <f t="shared" si="62"/>
        <v>0.01235</v>
      </c>
      <c r="P58" s="7">
        <f t="shared" si="7"/>
        <v>2.475942112</v>
      </c>
      <c r="Q58" s="7">
        <f t="shared" si="8"/>
        <v>0.2576470202</v>
      </c>
      <c r="R58" s="7">
        <f t="shared" si="2"/>
        <v>1.719865451</v>
      </c>
      <c r="S58" s="7">
        <f t="shared" si="3"/>
        <v>2.738430207</v>
      </c>
      <c r="T58" s="7">
        <f t="shared" si="4"/>
        <v>1</v>
      </c>
      <c r="U58" s="7">
        <f t="shared" si="5"/>
        <v>1</v>
      </c>
      <c r="V58" s="8">
        <v>1.0</v>
      </c>
      <c r="W58" s="8">
        <v>1.0</v>
      </c>
      <c r="X58" s="8">
        <v>1.0</v>
      </c>
      <c r="Y58" s="7"/>
      <c r="Z58" s="7"/>
      <c r="AA58" s="7"/>
      <c r="AB58" s="8"/>
      <c r="AC58" s="7"/>
      <c r="AD58" s="7"/>
      <c r="AE58" s="7"/>
      <c r="AF58" s="7"/>
      <c r="AG58" s="7"/>
      <c r="AH58" s="7"/>
      <c r="AI58" s="7"/>
      <c r="AJ58" s="7"/>
      <c r="AK58" s="7"/>
    </row>
    <row r="59" ht="22.5" customHeight="1">
      <c r="A59" s="6">
        <v>58.0</v>
      </c>
      <c r="B59" s="6">
        <v>14315.0</v>
      </c>
      <c r="C59" s="6">
        <v>4.19</v>
      </c>
      <c r="D59" s="6">
        <v>-2.56</v>
      </c>
      <c r="E59" s="6">
        <v>10.24</v>
      </c>
      <c r="F59" s="6">
        <v>-0.15</v>
      </c>
      <c r="G59" s="6">
        <v>-0.1</v>
      </c>
      <c r="H59" s="6">
        <v>0.09</v>
      </c>
      <c r="I59" s="6">
        <v>33.26</v>
      </c>
      <c r="J59" s="7">
        <f t="shared" ref="J59:O59" si="63">abs(C59-C58)/200</f>
        <v>0.00345</v>
      </c>
      <c r="K59" s="7">
        <f t="shared" si="63"/>
        <v>0.00105</v>
      </c>
      <c r="L59" s="7">
        <f t="shared" si="63"/>
        <v>0.0019</v>
      </c>
      <c r="M59" s="7">
        <f t="shared" si="63"/>
        <v>0.0017</v>
      </c>
      <c r="N59" s="7">
        <f t="shared" si="63"/>
        <v>0.001</v>
      </c>
      <c r="O59" s="7">
        <f t="shared" si="63"/>
        <v>0.0132</v>
      </c>
      <c r="P59" s="7">
        <f t="shared" si="7"/>
        <v>2.53693579</v>
      </c>
      <c r="Q59" s="7">
        <f t="shared" si="8"/>
        <v>0.1634883875</v>
      </c>
      <c r="R59" s="7">
        <f t="shared" si="2"/>
        <v>1.556377063</v>
      </c>
      <c r="S59" s="7">
        <f t="shared" si="3"/>
        <v>0.2014944168</v>
      </c>
      <c r="T59" s="7">
        <f t="shared" si="4"/>
        <v>1</v>
      </c>
      <c r="U59" s="7">
        <f t="shared" si="5"/>
        <v>1</v>
      </c>
      <c r="V59" s="8">
        <v>1.0</v>
      </c>
      <c r="W59" s="8">
        <v>1.0</v>
      </c>
      <c r="X59" s="8">
        <v>1.0</v>
      </c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22.5" customHeight="1">
      <c r="A60" s="6">
        <v>59.0</v>
      </c>
      <c r="B60" s="6">
        <v>14519.0</v>
      </c>
      <c r="C60" s="6">
        <v>2.86</v>
      </c>
      <c r="D60" s="6">
        <v>-1.08</v>
      </c>
      <c r="E60" s="6">
        <v>9.54</v>
      </c>
      <c r="F60" s="6">
        <v>-0.42</v>
      </c>
      <c r="G60" s="6">
        <v>0.15</v>
      </c>
      <c r="H60" s="6">
        <v>-2.62</v>
      </c>
      <c r="I60" s="6">
        <v>33.26</v>
      </c>
      <c r="J60" s="7">
        <f t="shared" ref="J60:O60" si="64">abs(C60-C59)/200</f>
        <v>0.00665</v>
      </c>
      <c r="K60" s="7">
        <f t="shared" si="64"/>
        <v>0.0074</v>
      </c>
      <c r="L60" s="7">
        <f t="shared" si="64"/>
        <v>0.0035</v>
      </c>
      <c r="M60" s="7">
        <f t="shared" si="64"/>
        <v>0.00135</v>
      </c>
      <c r="N60" s="7">
        <f t="shared" si="64"/>
        <v>0.00125</v>
      </c>
      <c r="O60" s="7">
        <f t="shared" si="64"/>
        <v>0.01355</v>
      </c>
      <c r="P60" s="7">
        <f t="shared" si="7"/>
        <v>2.456192547</v>
      </c>
      <c r="Q60" s="7">
        <f t="shared" si="8"/>
        <v>1.338513019</v>
      </c>
      <c r="R60" s="7">
        <f t="shared" si="2"/>
        <v>0.2178640438</v>
      </c>
      <c r="S60" s="7">
        <f t="shared" si="3"/>
        <v>2.657686964</v>
      </c>
      <c r="T60" s="7">
        <f t="shared" si="4"/>
        <v>1</v>
      </c>
      <c r="U60" s="7">
        <f t="shared" si="5"/>
        <v>1</v>
      </c>
      <c r="V60" s="8">
        <v>1.0</v>
      </c>
      <c r="W60" s="8">
        <v>1.0</v>
      </c>
      <c r="X60" s="8">
        <v>1.0</v>
      </c>
      <c r="Y60" s="7"/>
      <c r="Z60" s="7"/>
      <c r="AA60" s="7"/>
      <c r="AB60" s="8"/>
      <c r="AC60" s="7"/>
      <c r="AD60" s="7"/>
      <c r="AE60" s="7"/>
      <c r="AF60" s="7"/>
      <c r="AG60" s="7"/>
      <c r="AH60" s="7"/>
      <c r="AI60" s="7"/>
      <c r="AJ60" s="7"/>
      <c r="AK60" s="7"/>
    </row>
    <row r="61" ht="22.5" customHeight="1">
      <c r="A61" s="6">
        <v>60.0</v>
      </c>
      <c r="B61" s="6">
        <v>14723.0</v>
      </c>
      <c r="C61" s="6">
        <v>-2.33</v>
      </c>
      <c r="D61" s="6">
        <v>2.09</v>
      </c>
      <c r="E61" s="6">
        <v>11.15</v>
      </c>
      <c r="F61" s="6">
        <v>-0.07</v>
      </c>
      <c r="G61" s="6">
        <v>0.09</v>
      </c>
      <c r="H61" s="6">
        <v>0.1</v>
      </c>
      <c r="I61" s="6">
        <v>33.27</v>
      </c>
      <c r="J61" s="7">
        <f t="shared" ref="J61:O61" si="65">abs(C61-C60)/200</f>
        <v>0.02595</v>
      </c>
      <c r="K61" s="7">
        <f t="shared" si="65"/>
        <v>0.01585</v>
      </c>
      <c r="L61" s="7">
        <f t="shared" si="65"/>
        <v>0.00805</v>
      </c>
      <c r="M61" s="7">
        <f t="shared" si="65"/>
        <v>0.00175</v>
      </c>
      <c r="N61" s="7">
        <f t="shared" si="65"/>
        <v>0.0003</v>
      </c>
      <c r="O61" s="7">
        <f t="shared" si="65"/>
        <v>0.0136</v>
      </c>
      <c r="P61" s="7">
        <f t="shared" si="7"/>
        <v>2.506029455</v>
      </c>
      <c r="Q61" s="7">
        <f t="shared" si="8"/>
        <v>1.563133323</v>
      </c>
      <c r="R61" s="7">
        <f t="shared" si="2"/>
        <v>1.780997366</v>
      </c>
      <c r="S61" s="7">
        <f t="shared" si="3"/>
        <v>0.1516575089</v>
      </c>
      <c r="T61" s="7">
        <f t="shared" si="4"/>
        <v>1</v>
      </c>
      <c r="U61" s="7">
        <f t="shared" si="5"/>
        <v>1</v>
      </c>
      <c r="V61" s="8">
        <v>1.0</v>
      </c>
      <c r="W61" s="8">
        <v>1.0</v>
      </c>
      <c r="X61" s="8">
        <v>1.0</v>
      </c>
      <c r="Y61" s="7"/>
      <c r="Z61" s="7"/>
      <c r="AA61" s="7"/>
      <c r="AB61" s="8"/>
      <c r="AC61" s="7"/>
      <c r="AD61" s="7"/>
      <c r="AE61" s="7"/>
      <c r="AF61" s="7"/>
      <c r="AG61" s="7"/>
      <c r="AH61" s="7"/>
      <c r="AI61" s="7"/>
      <c r="AJ61" s="7"/>
      <c r="AK61" s="7"/>
    </row>
    <row r="62" ht="22.5" customHeight="1">
      <c r="A62" s="6">
        <v>61.0</v>
      </c>
      <c r="B62" s="6">
        <v>14927.0</v>
      </c>
      <c r="C62" s="6">
        <v>1.28</v>
      </c>
      <c r="D62" s="6">
        <v>-0.9</v>
      </c>
      <c r="E62" s="6">
        <v>10.28</v>
      </c>
      <c r="F62" s="6">
        <v>0.16</v>
      </c>
      <c r="G62" s="6">
        <v>-0.04</v>
      </c>
      <c r="H62" s="6">
        <v>2.08</v>
      </c>
      <c r="I62" s="6">
        <v>33.27</v>
      </c>
      <c r="J62" s="7">
        <f t="shared" ref="J62:O62" si="66">abs(C62-C61)/200</f>
        <v>0.01805</v>
      </c>
      <c r="K62" s="7">
        <f t="shared" si="66"/>
        <v>0.01495</v>
      </c>
      <c r="L62" s="7">
        <f t="shared" si="66"/>
        <v>0.00435</v>
      </c>
      <c r="M62" s="7">
        <f t="shared" si="66"/>
        <v>0.00115</v>
      </c>
      <c r="N62" s="7">
        <f t="shared" si="66"/>
        <v>0.00065</v>
      </c>
      <c r="O62" s="7">
        <f t="shared" si="66"/>
        <v>0.0099</v>
      </c>
      <c r="P62" s="7">
        <f t="shared" si="7"/>
        <v>1.934870708</v>
      </c>
      <c r="Q62" s="7">
        <f t="shared" si="8"/>
        <v>1.182593643</v>
      </c>
      <c r="R62" s="7">
        <f t="shared" si="2"/>
        <v>0.5984037236</v>
      </c>
      <c r="S62" s="7">
        <f t="shared" si="3"/>
        <v>2.086528217</v>
      </c>
      <c r="T62" s="7">
        <f t="shared" si="4"/>
        <v>1</v>
      </c>
      <c r="U62" s="7">
        <f t="shared" si="5"/>
        <v>1</v>
      </c>
      <c r="V62" s="7">
        <f t="shared" ref="V62:W62" si="67">IF(AVERAGE(T2:T61) &gt; 0.25, 1, 0)</f>
        <v>1</v>
      </c>
      <c r="W62" s="7">
        <f t="shared" si="67"/>
        <v>1</v>
      </c>
      <c r="X62" s="8">
        <v>1.0</v>
      </c>
      <c r="Y62" s="7"/>
      <c r="Z62" s="7"/>
      <c r="AA62" s="7"/>
      <c r="AB62" s="8"/>
      <c r="AC62" s="7"/>
      <c r="AD62" s="7"/>
      <c r="AE62" s="7"/>
      <c r="AF62" s="7"/>
      <c r="AG62" s="7"/>
      <c r="AH62" s="7"/>
      <c r="AI62" s="7"/>
      <c r="AJ62" s="7"/>
      <c r="AK62" s="7"/>
    </row>
    <row r="63" ht="22.5" customHeight="1">
      <c r="A63" s="6">
        <v>62.0</v>
      </c>
      <c r="B63" s="6">
        <v>15131.0</v>
      </c>
      <c r="C63" s="6">
        <v>4.09</v>
      </c>
      <c r="D63" s="6">
        <v>-2.18</v>
      </c>
      <c r="E63" s="6">
        <v>10.4</v>
      </c>
      <c r="F63" s="6">
        <v>-0.05</v>
      </c>
      <c r="G63" s="6">
        <v>-0.2</v>
      </c>
      <c r="H63" s="6">
        <v>0.9</v>
      </c>
      <c r="I63" s="6">
        <v>33.26</v>
      </c>
      <c r="J63" s="7">
        <f t="shared" ref="J63:O63" si="68">abs(C63-C62)/200</f>
        <v>0.01405</v>
      </c>
      <c r="K63" s="7">
        <f t="shared" si="68"/>
        <v>0.0064</v>
      </c>
      <c r="L63" s="7">
        <f t="shared" si="68"/>
        <v>0.0006</v>
      </c>
      <c r="M63" s="7">
        <f t="shared" si="68"/>
        <v>0.00105</v>
      </c>
      <c r="N63" s="7">
        <f t="shared" si="68"/>
        <v>0.0008</v>
      </c>
      <c r="O63" s="7">
        <f t="shared" si="68"/>
        <v>0.0059</v>
      </c>
      <c r="P63" s="7">
        <f t="shared" si="7"/>
        <v>1.163218951</v>
      </c>
      <c r="Q63" s="7">
        <f t="shared" si="8"/>
        <v>0.9875744952</v>
      </c>
      <c r="R63" s="7">
        <f t="shared" si="2"/>
        <v>1.585978219</v>
      </c>
      <c r="S63" s="7">
        <f t="shared" si="3"/>
        <v>0.9233092656</v>
      </c>
      <c r="T63" s="7">
        <f t="shared" si="4"/>
        <v>1</v>
      </c>
      <c r="U63" s="7">
        <f t="shared" si="5"/>
        <v>1</v>
      </c>
      <c r="V63" s="7">
        <f t="shared" ref="V63:W63" si="69">IF(AVERAGE(T3:T62) &gt; 0.25, 1, 0)</f>
        <v>1</v>
      </c>
      <c r="W63" s="7">
        <f t="shared" si="69"/>
        <v>1</v>
      </c>
      <c r="X63" s="8">
        <v>1.0</v>
      </c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22.5" customHeight="1">
      <c r="A64" s="6">
        <v>63.0</v>
      </c>
      <c r="B64" s="6">
        <v>15335.0</v>
      </c>
      <c r="C64" s="6">
        <v>2.6</v>
      </c>
      <c r="D64" s="6">
        <v>-1.08</v>
      </c>
      <c r="E64" s="6">
        <v>10.09</v>
      </c>
      <c r="F64" s="6">
        <v>-0.4</v>
      </c>
      <c r="G64" s="6">
        <v>0.05</v>
      </c>
      <c r="H64" s="6">
        <v>-2.49</v>
      </c>
      <c r="I64" s="6">
        <v>33.27</v>
      </c>
      <c r="J64" s="7">
        <f t="shared" ref="J64:O64" si="70">abs(C64-C63)/200</f>
        <v>0.00745</v>
      </c>
      <c r="K64" s="7">
        <f t="shared" si="70"/>
        <v>0.0055</v>
      </c>
      <c r="L64" s="7">
        <f t="shared" si="70"/>
        <v>0.00155</v>
      </c>
      <c r="M64" s="7">
        <f t="shared" si="70"/>
        <v>0.00175</v>
      </c>
      <c r="N64" s="7">
        <f t="shared" si="70"/>
        <v>0.00125</v>
      </c>
      <c r="O64" s="7">
        <f t="shared" si="70"/>
        <v>0.01695</v>
      </c>
      <c r="P64" s="7">
        <f t="shared" si="7"/>
        <v>1.599110208</v>
      </c>
      <c r="Q64" s="7">
        <f t="shared" si="8"/>
        <v>0.9105545997</v>
      </c>
      <c r="R64" s="7">
        <f t="shared" si="2"/>
        <v>0.6754236191</v>
      </c>
      <c r="S64" s="7">
        <f t="shared" si="3"/>
        <v>2.522419473</v>
      </c>
      <c r="T64" s="7">
        <f t="shared" si="4"/>
        <v>1</v>
      </c>
      <c r="U64" s="7">
        <f t="shared" si="5"/>
        <v>1</v>
      </c>
      <c r="V64" s="7">
        <f t="shared" ref="V64:W64" si="71">IF(AVERAGE(T4:T63) &gt; 0.25, 1, 0)</f>
        <v>1</v>
      </c>
      <c r="W64" s="7">
        <f t="shared" si="71"/>
        <v>1</v>
      </c>
      <c r="X64" s="8">
        <v>1.0</v>
      </c>
      <c r="Y64" s="7"/>
      <c r="Z64" s="7"/>
      <c r="AA64" s="7"/>
      <c r="AB64" s="6"/>
      <c r="AC64" s="7"/>
      <c r="AD64" s="7"/>
      <c r="AE64" s="7"/>
      <c r="AF64" s="7"/>
      <c r="AG64" s="7"/>
      <c r="AH64" s="7"/>
      <c r="AI64" s="7"/>
      <c r="AJ64" s="7"/>
      <c r="AK64" s="7"/>
    </row>
    <row r="65" ht="22.5" customHeight="1">
      <c r="A65" s="6">
        <v>64.0</v>
      </c>
      <c r="B65" s="6">
        <v>15539.0</v>
      </c>
      <c r="C65" s="6">
        <v>-2.72</v>
      </c>
      <c r="D65" s="6">
        <v>2.02</v>
      </c>
      <c r="E65" s="6">
        <v>11.04</v>
      </c>
      <c r="F65" s="6">
        <v>-0.13</v>
      </c>
      <c r="G65" s="6">
        <v>0.13</v>
      </c>
      <c r="H65" s="6">
        <v>-0.32</v>
      </c>
      <c r="I65" s="6">
        <v>33.27</v>
      </c>
      <c r="J65" s="7">
        <f t="shared" ref="J65:O65" si="72">abs(C65-C64)/200</f>
        <v>0.0266</v>
      </c>
      <c r="K65" s="7">
        <f t="shared" si="72"/>
        <v>0.0155</v>
      </c>
      <c r="L65" s="7">
        <f t="shared" si="72"/>
        <v>0.00475</v>
      </c>
      <c r="M65" s="7">
        <f t="shared" si="72"/>
        <v>0.00135</v>
      </c>
      <c r="N65" s="7">
        <f t="shared" si="72"/>
        <v>0.0004</v>
      </c>
      <c r="O65" s="7">
        <f t="shared" si="72"/>
        <v>0.01085</v>
      </c>
      <c r="P65" s="7">
        <f t="shared" si="7"/>
        <v>2.153366632</v>
      </c>
      <c r="Q65" s="7">
        <f t="shared" si="8"/>
        <v>1.072753726</v>
      </c>
      <c r="R65" s="7">
        <f t="shared" si="2"/>
        <v>1.748177345</v>
      </c>
      <c r="S65" s="7">
        <f t="shared" si="3"/>
        <v>0.3690528417</v>
      </c>
      <c r="T65" s="7">
        <f t="shared" si="4"/>
        <v>1</v>
      </c>
      <c r="U65" s="7">
        <f t="shared" si="5"/>
        <v>1</v>
      </c>
      <c r="V65" s="7">
        <f t="shared" ref="V65:W65" si="73">IF(AVERAGE(T5:T64) &gt; 0.25, 1, 0)</f>
        <v>1</v>
      </c>
      <c r="W65" s="7">
        <f t="shared" si="73"/>
        <v>1</v>
      </c>
      <c r="X65" s="8">
        <v>1.0</v>
      </c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22.5" customHeight="1">
      <c r="A66" s="6">
        <v>65.0</v>
      </c>
      <c r="B66" s="6">
        <v>15743.0</v>
      </c>
      <c r="C66" s="6">
        <v>1.65</v>
      </c>
      <c r="D66" s="6">
        <v>-1.58</v>
      </c>
      <c r="E66" s="6">
        <v>10.17</v>
      </c>
      <c r="F66" s="6">
        <v>0.15</v>
      </c>
      <c r="G66" s="6">
        <v>0.09</v>
      </c>
      <c r="H66" s="6">
        <v>2.27</v>
      </c>
      <c r="I66" s="6">
        <v>33.26</v>
      </c>
      <c r="J66" s="7">
        <f t="shared" ref="J66:O66" si="74">abs(C66-C65)/200</f>
        <v>0.02185</v>
      </c>
      <c r="K66" s="7">
        <f t="shared" si="74"/>
        <v>0.018</v>
      </c>
      <c r="L66" s="7">
        <f t="shared" si="74"/>
        <v>0.00435</v>
      </c>
      <c r="M66" s="7">
        <f t="shared" si="74"/>
        <v>0.0014</v>
      </c>
      <c r="N66" s="7">
        <f t="shared" si="74"/>
        <v>0.0002</v>
      </c>
      <c r="O66" s="7">
        <f t="shared" si="74"/>
        <v>0.01295</v>
      </c>
      <c r="P66" s="7">
        <f t="shared" si="7"/>
        <v>1.90767727</v>
      </c>
      <c r="Q66" s="7">
        <f t="shared" si="8"/>
        <v>1.124751805</v>
      </c>
      <c r="R66" s="7">
        <f t="shared" si="2"/>
        <v>0.6234255406</v>
      </c>
      <c r="S66" s="7">
        <f t="shared" si="3"/>
        <v>2.276730111</v>
      </c>
      <c r="T66" s="7">
        <f t="shared" si="4"/>
        <v>1</v>
      </c>
      <c r="U66" s="7">
        <f t="shared" si="5"/>
        <v>1</v>
      </c>
      <c r="V66" s="7">
        <f t="shared" ref="V66:W66" si="75">IF(AVERAGE(T6:T65) &gt; 0.25, 1, 0)</f>
        <v>1</v>
      </c>
      <c r="W66" s="7">
        <f t="shared" si="75"/>
        <v>1</v>
      </c>
      <c r="X66" s="8">
        <v>1.0</v>
      </c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22.5" customHeight="1">
      <c r="A67" s="6">
        <v>66.0</v>
      </c>
      <c r="B67" s="6">
        <v>15947.0</v>
      </c>
      <c r="C67" s="6">
        <v>4.84</v>
      </c>
      <c r="D67" s="6">
        <v>-2.99</v>
      </c>
      <c r="E67" s="6">
        <v>10.09</v>
      </c>
      <c r="F67" s="6">
        <v>-0.07</v>
      </c>
      <c r="G67" s="6">
        <v>-0.19</v>
      </c>
      <c r="H67" s="6">
        <v>0.7</v>
      </c>
      <c r="I67" s="6">
        <v>33.27</v>
      </c>
      <c r="J67" s="7">
        <f t="shared" ref="J67:O67" si="76">abs(C67-C66)/200</f>
        <v>0.01595</v>
      </c>
      <c r="K67" s="7">
        <f t="shared" si="76"/>
        <v>0.00705</v>
      </c>
      <c r="L67" s="7">
        <f t="shared" si="76"/>
        <v>0.0004</v>
      </c>
      <c r="M67" s="7">
        <f t="shared" si="76"/>
        <v>0.0011</v>
      </c>
      <c r="N67" s="7">
        <f t="shared" si="76"/>
        <v>0.0014</v>
      </c>
      <c r="O67" s="7">
        <f t="shared" si="76"/>
        <v>0.00785</v>
      </c>
      <c r="P67" s="7">
        <f t="shared" si="7"/>
        <v>1.548032643</v>
      </c>
      <c r="Q67" s="7">
        <f t="shared" si="8"/>
        <v>1.159915946</v>
      </c>
      <c r="R67" s="7">
        <f t="shared" si="2"/>
        <v>1.783341487</v>
      </c>
      <c r="S67" s="7">
        <f t="shared" si="3"/>
        <v>0.7286974681</v>
      </c>
      <c r="T67" s="7">
        <f t="shared" si="4"/>
        <v>1</v>
      </c>
      <c r="U67" s="7">
        <f t="shared" si="5"/>
        <v>1</v>
      </c>
      <c r="V67" s="7">
        <f t="shared" ref="V67:W67" si="77">IF(AVERAGE(T7:T66) &gt; 0.25, 1, 0)</f>
        <v>1</v>
      </c>
      <c r="W67" s="7">
        <f t="shared" si="77"/>
        <v>1</v>
      </c>
      <c r="X67" s="8">
        <v>1.0</v>
      </c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22.5" customHeight="1">
      <c r="A68" s="6">
        <v>67.0</v>
      </c>
      <c r="B68" s="6">
        <v>16151.0</v>
      </c>
      <c r="C68" s="6">
        <v>2.4</v>
      </c>
      <c r="D68" s="6">
        <v>-1.27</v>
      </c>
      <c r="E68" s="6">
        <v>9.73</v>
      </c>
      <c r="F68" s="6">
        <v>-0.41</v>
      </c>
      <c r="G68" s="6">
        <v>0.13</v>
      </c>
      <c r="H68" s="6">
        <v>-2.47</v>
      </c>
      <c r="I68" s="6">
        <v>33.27</v>
      </c>
      <c r="J68" s="7">
        <f t="shared" ref="J68:O68" si="78">abs(C68-C67)/200</f>
        <v>0.0122</v>
      </c>
      <c r="K68" s="7">
        <f t="shared" si="78"/>
        <v>0.0086</v>
      </c>
      <c r="L68" s="7">
        <f t="shared" si="78"/>
        <v>0.0018</v>
      </c>
      <c r="M68" s="7">
        <f t="shared" si="78"/>
        <v>0.0017</v>
      </c>
      <c r="N68" s="7">
        <f t="shared" si="78"/>
        <v>0.0016</v>
      </c>
      <c r="O68" s="7">
        <f t="shared" si="78"/>
        <v>0.01585</v>
      </c>
      <c r="P68" s="7">
        <f t="shared" si="7"/>
        <v>1.778472251</v>
      </c>
      <c r="Q68" s="7">
        <f t="shared" si="8"/>
        <v>1.481569365</v>
      </c>
      <c r="R68" s="7">
        <f t="shared" si="2"/>
        <v>0.3017721218</v>
      </c>
      <c r="S68" s="7">
        <f t="shared" si="3"/>
        <v>2.507169719</v>
      </c>
      <c r="T68" s="7">
        <f t="shared" si="4"/>
        <v>1</v>
      </c>
      <c r="U68" s="7">
        <f t="shared" si="5"/>
        <v>1</v>
      </c>
      <c r="V68" s="7">
        <f t="shared" ref="V68:W68" si="79">IF(AVERAGE(T8:T67) &gt; 0.25, 1, 0)</f>
        <v>1</v>
      </c>
      <c r="W68" s="7">
        <f t="shared" si="79"/>
        <v>1</v>
      </c>
      <c r="X68" s="8">
        <v>1.0</v>
      </c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22.5" customHeight="1">
      <c r="A69" s="6">
        <v>68.0</v>
      </c>
      <c r="B69" s="6">
        <v>16355.0</v>
      </c>
      <c r="C69" s="6">
        <v>-2.62</v>
      </c>
      <c r="D69" s="6">
        <v>2.35</v>
      </c>
      <c r="E69" s="6">
        <v>10.94</v>
      </c>
      <c r="F69" s="6">
        <v>-0.13</v>
      </c>
      <c r="G69" s="6">
        <v>-0.02</v>
      </c>
      <c r="H69" s="6">
        <v>-0.16</v>
      </c>
      <c r="I69" s="6">
        <v>33.28</v>
      </c>
      <c r="J69" s="7">
        <f t="shared" ref="J69:O69" si="80">abs(C69-C68)/200</f>
        <v>0.0251</v>
      </c>
      <c r="K69" s="7">
        <f t="shared" si="80"/>
        <v>0.0181</v>
      </c>
      <c r="L69" s="7">
        <f t="shared" si="80"/>
        <v>0.00605</v>
      </c>
      <c r="M69" s="7">
        <f t="shared" si="80"/>
        <v>0.0014</v>
      </c>
      <c r="N69" s="7">
        <f t="shared" si="80"/>
        <v>0.00075</v>
      </c>
      <c r="O69" s="7">
        <f t="shared" si="80"/>
        <v>0.01155</v>
      </c>
      <c r="P69" s="7">
        <f t="shared" si="7"/>
        <v>2.300046567</v>
      </c>
      <c r="Q69" s="7">
        <f t="shared" si="8"/>
        <v>1.39042088</v>
      </c>
      <c r="R69" s="7">
        <f t="shared" si="2"/>
        <v>1.692193002</v>
      </c>
      <c r="S69" s="7">
        <f t="shared" si="3"/>
        <v>0.2071231518</v>
      </c>
      <c r="T69" s="7">
        <f t="shared" si="4"/>
        <v>1</v>
      </c>
      <c r="U69" s="7">
        <f t="shared" si="5"/>
        <v>1</v>
      </c>
      <c r="V69" s="7">
        <f t="shared" ref="V69:W69" si="81">IF(AVERAGE(T9:T68) &gt; 0.25, 1, 0)</f>
        <v>1</v>
      </c>
      <c r="W69" s="7">
        <f t="shared" si="81"/>
        <v>1</v>
      </c>
      <c r="X69" s="8">
        <v>1.0</v>
      </c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22.5" customHeight="1">
      <c r="A70" s="6">
        <v>69.0</v>
      </c>
      <c r="B70" s="6">
        <v>16559.0</v>
      </c>
      <c r="C70" s="6">
        <v>-0.17</v>
      </c>
      <c r="D70" s="6">
        <v>-0.72</v>
      </c>
      <c r="E70" s="6">
        <v>10.45</v>
      </c>
      <c r="F70" s="6">
        <v>0.25</v>
      </c>
      <c r="G70" s="6">
        <v>-0.16</v>
      </c>
      <c r="H70" s="6">
        <v>2.06</v>
      </c>
      <c r="I70" s="6">
        <v>33.27</v>
      </c>
      <c r="J70" s="7">
        <f t="shared" ref="J70:O70" si="82">abs(C70-C69)/200</f>
        <v>0.01225</v>
      </c>
      <c r="K70" s="7">
        <f t="shared" si="82"/>
        <v>0.01535</v>
      </c>
      <c r="L70" s="7">
        <f t="shared" si="82"/>
        <v>0.00245</v>
      </c>
      <c r="M70" s="7">
        <f t="shared" si="82"/>
        <v>0.0019</v>
      </c>
      <c r="N70" s="7">
        <f t="shared" si="82"/>
        <v>0.0007</v>
      </c>
      <c r="O70" s="7">
        <f t="shared" si="82"/>
        <v>0.0111</v>
      </c>
      <c r="P70" s="7">
        <f t="shared" si="7"/>
        <v>1.874150497</v>
      </c>
      <c r="Q70" s="7">
        <f t="shared" si="8"/>
        <v>1.016039128</v>
      </c>
      <c r="R70" s="7">
        <f t="shared" si="2"/>
        <v>0.6761538744</v>
      </c>
      <c r="S70" s="7">
        <f t="shared" si="3"/>
        <v>2.081273649</v>
      </c>
      <c r="T70" s="7">
        <f t="shared" si="4"/>
        <v>1</v>
      </c>
      <c r="U70" s="7">
        <f t="shared" si="5"/>
        <v>1</v>
      </c>
      <c r="V70" s="7">
        <f t="shared" ref="V70:W70" si="83">IF(AVERAGE(T10:T69) &gt; 0.25, 1, 0)</f>
        <v>1</v>
      </c>
      <c r="W70" s="7">
        <f t="shared" si="83"/>
        <v>1</v>
      </c>
      <c r="X70" s="8">
        <v>1.0</v>
      </c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22.5" customHeight="1">
      <c r="A71" s="6">
        <v>70.0</v>
      </c>
      <c r="B71" s="6">
        <v>16763.0</v>
      </c>
      <c r="C71" s="6">
        <v>5.17</v>
      </c>
      <c r="D71" s="6">
        <v>-2.09</v>
      </c>
      <c r="E71" s="6">
        <v>10.42</v>
      </c>
      <c r="F71" s="6">
        <v>0.0</v>
      </c>
      <c r="G71" s="6">
        <v>-0.11</v>
      </c>
      <c r="H71" s="6">
        <v>0.99</v>
      </c>
      <c r="I71" s="6">
        <v>33.26</v>
      </c>
      <c r="J71" s="7">
        <f t="shared" ref="J71:O71" si="84">abs(C71-C70)/200</f>
        <v>0.0267</v>
      </c>
      <c r="K71" s="7">
        <f t="shared" si="84"/>
        <v>0.00685</v>
      </c>
      <c r="L71" s="7">
        <f t="shared" si="84"/>
        <v>0.00015</v>
      </c>
      <c r="M71" s="7">
        <f t="shared" si="84"/>
        <v>0.00125</v>
      </c>
      <c r="N71" s="7">
        <f t="shared" si="84"/>
        <v>0.00025</v>
      </c>
      <c r="O71" s="7">
        <f t="shared" si="84"/>
        <v>0.00535</v>
      </c>
      <c r="P71" s="7">
        <f t="shared" si="7"/>
        <v>1.085181283</v>
      </c>
      <c r="Q71" s="7">
        <f t="shared" si="8"/>
        <v>1.342196264</v>
      </c>
      <c r="R71" s="7">
        <f t="shared" si="2"/>
        <v>2.018350139</v>
      </c>
      <c r="S71" s="7">
        <f t="shared" si="3"/>
        <v>0.9960923652</v>
      </c>
      <c r="T71" s="7">
        <f t="shared" si="4"/>
        <v>1</v>
      </c>
      <c r="U71" s="7">
        <f t="shared" si="5"/>
        <v>1</v>
      </c>
      <c r="V71" s="7">
        <f t="shared" ref="V71:W71" si="85">IF(AVERAGE(T11:T70) &gt; 0.25, 1, 0)</f>
        <v>1</v>
      </c>
      <c r="W71" s="7">
        <f t="shared" si="85"/>
        <v>1</v>
      </c>
      <c r="X71" s="8">
        <v>1.0</v>
      </c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22.5" customHeight="1">
      <c r="A72" s="6">
        <v>71.0</v>
      </c>
      <c r="B72" s="6">
        <v>16967.0</v>
      </c>
      <c r="C72" s="6">
        <v>3.16</v>
      </c>
      <c r="D72" s="6">
        <v>-0.47</v>
      </c>
      <c r="E72" s="6">
        <v>10.19</v>
      </c>
      <c r="F72" s="6">
        <v>-0.37</v>
      </c>
      <c r="G72" s="6">
        <v>0.14</v>
      </c>
      <c r="H72" s="6">
        <v>-2.57</v>
      </c>
      <c r="I72" s="6">
        <v>33.27</v>
      </c>
      <c r="J72" s="7">
        <f t="shared" ref="J72:O72" si="86">abs(C72-C71)/200</f>
        <v>0.01005</v>
      </c>
      <c r="K72" s="7">
        <f t="shared" si="86"/>
        <v>0.0081</v>
      </c>
      <c r="L72" s="7">
        <f t="shared" si="86"/>
        <v>0.00115</v>
      </c>
      <c r="M72" s="7">
        <f t="shared" si="86"/>
        <v>0.00185</v>
      </c>
      <c r="N72" s="7">
        <f t="shared" si="86"/>
        <v>0.00125</v>
      </c>
      <c r="O72" s="7">
        <f t="shared" si="86"/>
        <v>0.0178</v>
      </c>
      <c r="P72" s="7">
        <f t="shared" si="7"/>
        <v>1.604176852</v>
      </c>
      <c r="Q72" s="7">
        <f t="shared" si="8"/>
        <v>1.139277145</v>
      </c>
      <c r="R72" s="7">
        <f t="shared" si="2"/>
        <v>0.8790729935</v>
      </c>
      <c r="S72" s="7">
        <f t="shared" si="3"/>
        <v>2.600269217</v>
      </c>
      <c r="T72" s="7">
        <f t="shared" si="4"/>
        <v>1</v>
      </c>
      <c r="U72" s="7">
        <f t="shared" si="5"/>
        <v>1</v>
      </c>
      <c r="V72" s="7">
        <f t="shared" ref="V72:W72" si="87">IF(AVERAGE(T12:T71) &gt; 0.25, 1, 0)</f>
        <v>1</v>
      </c>
      <c r="W72" s="7">
        <f t="shared" si="87"/>
        <v>1</v>
      </c>
      <c r="X72" s="8">
        <v>1.0</v>
      </c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22.5" customHeight="1">
      <c r="A73" s="6">
        <v>72.0</v>
      </c>
      <c r="B73" s="6">
        <v>17171.0</v>
      </c>
      <c r="C73" s="6">
        <v>-2.24</v>
      </c>
      <c r="D73" s="6">
        <v>1.62</v>
      </c>
      <c r="E73" s="6">
        <v>11.02</v>
      </c>
      <c r="F73" s="6">
        <v>-0.14</v>
      </c>
      <c r="G73" s="6">
        <v>-0.03</v>
      </c>
      <c r="H73" s="6">
        <v>-0.24</v>
      </c>
      <c r="I73" s="6">
        <v>33.28</v>
      </c>
      <c r="J73" s="7">
        <f t="shared" ref="J73:O73" si="88">abs(C73-C72)/200</f>
        <v>0.027</v>
      </c>
      <c r="K73" s="7">
        <f t="shared" si="88"/>
        <v>0.01045</v>
      </c>
      <c r="L73" s="7">
        <f t="shared" si="88"/>
        <v>0.00415</v>
      </c>
      <c r="M73" s="7">
        <f t="shared" si="88"/>
        <v>0.00115</v>
      </c>
      <c r="N73" s="7">
        <f t="shared" si="88"/>
        <v>0.00085</v>
      </c>
      <c r="O73" s="7">
        <f t="shared" si="88"/>
        <v>0.01165</v>
      </c>
      <c r="P73" s="7">
        <f t="shared" si="7"/>
        <v>2.320805445</v>
      </c>
      <c r="Q73" s="7">
        <f t="shared" si="8"/>
        <v>0.6823705768</v>
      </c>
      <c r="R73" s="7">
        <f t="shared" si="2"/>
        <v>1.56144357</v>
      </c>
      <c r="S73" s="7">
        <f t="shared" si="3"/>
        <v>0.2794637722</v>
      </c>
      <c r="T73" s="7">
        <f t="shared" si="4"/>
        <v>1</v>
      </c>
      <c r="U73" s="7">
        <f t="shared" si="5"/>
        <v>1</v>
      </c>
      <c r="V73" s="7">
        <f t="shared" ref="V73:W73" si="89">IF(AVERAGE(T13:T72) &gt; 0.25, 1, 0)</f>
        <v>1</v>
      </c>
      <c r="W73" s="7">
        <f t="shared" si="89"/>
        <v>1</v>
      </c>
      <c r="X73" s="8">
        <v>1.0</v>
      </c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22.5" customHeight="1">
      <c r="A74" s="6">
        <v>73.0</v>
      </c>
      <c r="B74" s="6">
        <v>17375.0</v>
      </c>
      <c r="C74" s="6">
        <v>-0.11</v>
      </c>
      <c r="D74" s="6">
        <v>-2.08</v>
      </c>
      <c r="E74" s="6">
        <v>10.89</v>
      </c>
      <c r="F74" s="6">
        <v>0.12</v>
      </c>
      <c r="G74" s="6">
        <v>0.01</v>
      </c>
      <c r="H74" s="6">
        <v>0.92</v>
      </c>
      <c r="I74" s="6">
        <v>33.27</v>
      </c>
      <c r="J74" s="7">
        <f t="shared" ref="J74:O74" si="90">abs(C74-C73)/200</f>
        <v>0.01065</v>
      </c>
      <c r="K74" s="7">
        <f t="shared" si="90"/>
        <v>0.0185</v>
      </c>
      <c r="L74" s="7">
        <f t="shared" si="90"/>
        <v>0.00065</v>
      </c>
      <c r="M74" s="7">
        <f t="shared" si="90"/>
        <v>0.0013</v>
      </c>
      <c r="N74" s="7">
        <f t="shared" si="90"/>
        <v>0.0002</v>
      </c>
      <c r="O74" s="7">
        <f t="shared" si="90"/>
        <v>0.0058</v>
      </c>
      <c r="P74" s="7">
        <f t="shared" si="7"/>
        <v>0.6483831979</v>
      </c>
      <c r="Q74" s="7">
        <f t="shared" si="8"/>
        <v>0.2740362989</v>
      </c>
      <c r="R74" s="7">
        <f t="shared" si="2"/>
        <v>1.287407271</v>
      </c>
      <c r="S74" s="7">
        <f t="shared" si="3"/>
        <v>0.9278469701</v>
      </c>
      <c r="T74" s="7">
        <f t="shared" si="4"/>
        <v>1</v>
      </c>
      <c r="U74" s="7">
        <f t="shared" si="5"/>
        <v>1</v>
      </c>
      <c r="V74" s="7">
        <f t="shared" ref="V74:W74" si="91">IF(AVERAGE(T14:T73) &gt; 0.25, 1, 0)</f>
        <v>1</v>
      </c>
      <c r="W74" s="7">
        <f t="shared" si="91"/>
        <v>1</v>
      </c>
      <c r="X74" s="8">
        <v>1.0</v>
      </c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22.5" customHeight="1">
      <c r="A75" s="6">
        <v>74.0</v>
      </c>
      <c r="B75" s="6">
        <v>17579.0</v>
      </c>
      <c r="C75" s="6">
        <v>0.85</v>
      </c>
      <c r="D75" s="6">
        <v>-1.91</v>
      </c>
      <c r="E75" s="6">
        <v>10.63</v>
      </c>
      <c r="F75" s="6">
        <v>0.05</v>
      </c>
      <c r="G75" s="6">
        <v>-0.28</v>
      </c>
      <c r="H75" s="6">
        <v>0.93</v>
      </c>
      <c r="I75" s="6">
        <v>33.27</v>
      </c>
      <c r="J75" s="7">
        <f t="shared" ref="J75:O75" si="92">abs(C75-C74)/200</f>
        <v>0.0048</v>
      </c>
      <c r="K75" s="7">
        <f t="shared" si="92"/>
        <v>0.00085</v>
      </c>
      <c r="L75" s="7">
        <f t="shared" si="92"/>
        <v>0.0013</v>
      </c>
      <c r="M75" s="7">
        <f t="shared" si="92"/>
        <v>0.00035</v>
      </c>
      <c r="N75" s="7">
        <f t="shared" si="92"/>
        <v>0.00145</v>
      </c>
      <c r="O75" s="7">
        <f t="shared" si="92"/>
        <v>0.00005</v>
      </c>
      <c r="P75" s="7">
        <f t="shared" si="7"/>
        <v>0.04467552317</v>
      </c>
      <c r="Q75" s="7">
        <f t="shared" si="8"/>
        <v>0.2537790702</v>
      </c>
      <c r="R75" s="7">
        <f t="shared" si="2"/>
        <v>1.033628201</v>
      </c>
      <c r="S75" s="7">
        <f t="shared" si="3"/>
        <v>0.9725224933</v>
      </c>
      <c r="T75" s="7">
        <f t="shared" si="4"/>
        <v>1</v>
      </c>
      <c r="U75" s="7">
        <f t="shared" si="5"/>
        <v>1</v>
      </c>
      <c r="V75" s="7">
        <f t="shared" ref="V75:W75" si="93">IF(AVERAGE(T15:T74) &gt; 0.25, 1, 0)</f>
        <v>1</v>
      </c>
      <c r="W75" s="7">
        <f t="shared" si="93"/>
        <v>1</v>
      </c>
      <c r="X75" s="8">
        <v>1.0</v>
      </c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22.5" customHeight="1">
      <c r="A76" s="6">
        <v>75.0</v>
      </c>
      <c r="B76" s="6">
        <v>17783.0</v>
      </c>
      <c r="C76" s="6">
        <v>4.0</v>
      </c>
      <c r="D76" s="6">
        <v>-1.39</v>
      </c>
      <c r="E76" s="6">
        <v>10.54</v>
      </c>
      <c r="F76" s="6">
        <v>-0.16</v>
      </c>
      <c r="G76" s="6">
        <v>0.1</v>
      </c>
      <c r="H76" s="6">
        <v>0.28</v>
      </c>
      <c r="I76" s="6">
        <v>33.27</v>
      </c>
      <c r="J76" s="7">
        <f t="shared" ref="J76:O76" si="94">abs(C76-C75)/200</f>
        <v>0.01575</v>
      </c>
      <c r="K76" s="7">
        <f t="shared" si="94"/>
        <v>0.0026</v>
      </c>
      <c r="L76" s="7">
        <f t="shared" si="94"/>
        <v>0.00045</v>
      </c>
      <c r="M76" s="7">
        <f t="shared" si="94"/>
        <v>0.00105</v>
      </c>
      <c r="N76" s="7">
        <f t="shared" si="94"/>
        <v>0.0019</v>
      </c>
      <c r="O76" s="7">
        <f t="shared" si="94"/>
        <v>0.00325</v>
      </c>
      <c r="P76" s="7">
        <f t="shared" si="7"/>
        <v>0.634883633</v>
      </c>
      <c r="Q76" s="7">
        <f t="shared" si="8"/>
        <v>0.5252317769</v>
      </c>
      <c r="R76" s="7">
        <f t="shared" si="2"/>
        <v>1.558859978</v>
      </c>
      <c r="S76" s="7">
        <f t="shared" si="3"/>
        <v>0.3376388603</v>
      </c>
      <c r="T76" s="7">
        <f t="shared" si="4"/>
        <v>1</v>
      </c>
      <c r="U76" s="7">
        <f t="shared" si="5"/>
        <v>1</v>
      </c>
      <c r="V76" s="7">
        <f t="shared" ref="V76:W76" si="95">IF(AVERAGE(T16:T75) &gt; 0.25, 1, 0)</f>
        <v>1</v>
      </c>
      <c r="W76" s="7">
        <f t="shared" si="95"/>
        <v>1</v>
      </c>
      <c r="X76" s="8">
        <v>1.0</v>
      </c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22.5" customHeight="1">
      <c r="A77" s="6">
        <v>76.0</v>
      </c>
      <c r="B77" s="6">
        <v>17987.0</v>
      </c>
      <c r="C77" s="6">
        <v>2.71</v>
      </c>
      <c r="D77" s="6">
        <v>1.85</v>
      </c>
      <c r="E77" s="6">
        <v>10.52</v>
      </c>
      <c r="F77" s="6">
        <v>-0.26</v>
      </c>
      <c r="G77" s="6">
        <v>0.0</v>
      </c>
      <c r="H77" s="6">
        <v>-0.44</v>
      </c>
      <c r="I77" s="6">
        <v>33.27</v>
      </c>
      <c r="J77" s="7">
        <f t="shared" ref="J77:O77" si="96">abs(C77-C76)/200</f>
        <v>0.00645</v>
      </c>
      <c r="K77" s="7">
        <f t="shared" si="96"/>
        <v>0.0162</v>
      </c>
      <c r="L77" s="7">
        <f t="shared" si="96"/>
        <v>0.0001</v>
      </c>
      <c r="M77" s="7">
        <f t="shared" si="96"/>
        <v>0.0005</v>
      </c>
      <c r="N77" s="7">
        <f t="shared" si="96"/>
        <v>0.0005</v>
      </c>
      <c r="O77" s="7">
        <f t="shared" si="96"/>
        <v>0.0036</v>
      </c>
      <c r="P77" s="7">
        <f t="shared" si="7"/>
        <v>0.1734384332</v>
      </c>
      <c r="Q77" s="7">
        <f t="shared" si="8"/>
        <v>0.3390142441</v>
      </c>
      <c r="R77" s="7">
        <f t="shared" si="2"/>
        <v>1.219845734</v>
      </c>
      <c r="S77" s="7">
        <f t="shared" si="3"/>
        <v>0.5110772936</v>
      </c>
      <c r="T77" s="7">
        <f t="shared" si="4"/>
        <v>1</v>
      </c>
      <c r="U77" s="7">
        <f t="shared" si="5"/>
        <v>1</v>
      </c>
      <c r="V77" s="7">
        <f t="shared" ref="V77:W77" si="97">IF(AVERAGE(T17:T76) &gt; 0.25, 1, 0)</f>
        <v>1</v>
      </c>
      <c r="W77" s="7">
        <f t="shared" si="97"/>
        <v>1</v>
      </c>
      <c r="X77" s="8">
        <v>1.0</v>
      </c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8"/>
      <c r="AK77" s="7"/>
    </row>
    <row r="78" ht="22.5" customHeight="1">
      <c r="A78" s="6">
        <v>77.0</v>
      </c>
      <c r="B78" s="6">
        <v>18191.0</v>
      </c>
      <c r="C78" s="6">
        <v>2.63</v>
      </c>
      <c r="D78" s="6">
        <v>1.7</v>
      </c>
      <c r="E78" s="6">
        <v>10.41</v>
      </c>
      <c r="F78" s="6">
        <v>-0.11</v>
      </c>
      <c r="G78" s="6">
        <v>0.05</v>
      </c>
      <c r="H78" s="6">
        <v>-0.65</v>
      </c>
      <c r="I78" s="6">
        <v>33.27</v>
      </c>
      <c r="J78" s="7">
        <f t="shared" ref="J78:O78" si="98">abs(C78-C77)/200</f>
        <v>0.0004</v>
      </c>
      <c r="K78" s="7">
        <f t="shared" si="98"/>
        <v>0.00075</v>
      </c>
      <c r="L78" s="7">
        <f t="shared" si="98"/>
        <v>0.00055</v>
      </c>
      <c r="M78" s="7">
        <f t="shared" si="98"/>
        <v>0.00075</v>
      </c>
      <c r="N78" s="7">
        <f t="shared" si="98"/>
        <v>0.00025</v>
      </c>
      <c r="O78" s="7">
        <f t="shared" si="98"/>
        <v>0.00105</v>
      </c>
      <c r="P78" s="7">
        <f t="shared" si="7"/>
        <v>0.1500580935</v>
      </c>
      <c r="Q78" s="7">
        <f t="shared" si="8"/>
        <v>0.1490131991</v>
      </c>
      <c r="R78" s="7">
        <f t="shared" si="2"/>
        <v>1.070832535</v>
      </c>
      <c r="S78" s="7">
        <f t="shared" si="3"/>
        <v>0.661135387</v>
      </c>
      <c r="T78" s="7">
        <f t="shared" si="4"/>
        <v>1</v>
      </c>
      <c r="U78" s="7">
        <f t="shared" si="5"/>
        <v>1</v>
      </c>
      <c r="V78" s="7">
        <f t="shared" ref="V78:W78" si="99">IF(AVERAGE(T18:T77) &gt; 0.25, 1, 0)</f>
        <v>1</v>
      </c>
      <c r="W78" s="7">
        <f t="shared" si="99"/>
        <v>1</v>
      </c>
      <c r="X78" s="8">
        <v>1.0</v>
      </c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22.5" customHeight="1">
      <c r="A79" s="6">
        <v>78.0</v>
      </c>
      <c r="B79" s="6">
        <v>18395.0</v>
      </c>
      <c r="C79" s="6">
        <v>-1.08</v>
      </c>
      <c r="D79" s="6">
        <v>0.64</v>
      </c>
      <c r="E79" s="6">
        <v>10.97</v>
      </c>
      <c r="F79" s="6">
        <v>-0.1</v>
      </c>
      <c r="G79" s="6">
        <v>0.09</v>
      </c>
      <c r="H79" s="6">
        <v>-0.18</v>
      </c>
      <c r="I79" s="6">
        <v>33.28</v>
      </c>
      <c r="J79" s="7">
        <f t="shared" ref="J79:O79" si="100">abs(C79-C78)/200</f>
        <v>0.01855</v>
      </c>
      <c r="K79" s="7">
        <f t="shared" si="100"/>
        <v>0.0053</v>
      </c>
      <c r="L79" s="7">
        <f t="shared" si="100"/>
        <v>0.0028</v>
      </c>
      <c r="M79" s="7">
        <f t="shared" si="100"/>
        <v>0.00005</v>
      </c>
      <c r="N79" s="7">
        <f t="shared" si="100"/>
        <v>0.0002</v>
      </c>
      <c r="O79" s="7">
        <f t="shared" si="100"/>
        <v>0.00235</v>
      </c>
      <c r="P79" s="7">
        <f t="shared" si="7"/>
        <v>0.4364133365</v>
      </c>
      <c r="Q79" s="7">
        <f t="shared" si="8"/>
        <v>0.1707660813</v>
      </c>
      <c r="R79" s="7">
        <f t="shared" si="2"/>
        <v>1.241598616</v>
      </c>
      <c r="S79" s="7">
        <f t="shared" si="3"/>
        <v>0.2247220505</v>
      </c>
      <c r="T79" s="7">
        <f t="shared" si="4"/>
        <v>1</v>
      </c>
      <c r="U79" s="7">
        <f t="shared" si="5"/>
        <v>1</v>
      </c>
      <c r="V79" s="7">
        <f t="shared" ref="V79:W79" si="101">IF(AVERAGE(T19:T78) &gt; 0.25, 1, 0)</f>
        <v>1</v>
      </c>
      <c r="W79" s="7">
        <f t="shared" si="101"/>
        <v>1</v>
      </c>
      <c r="X79" s="8">
        <v>1.0</v>
      </c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22.5" customHeight="1">
      <c r="A80" s="6">
        <v>79.0</v>
      </c>
      <c r="B80" s="6">
        <v>18599.0</v>
      </c>
      <c r="C80" s="6">
        <v>0.55</v>
      </c>
      <c r="D80" s="6">
        <v>-1.52</v>
      </c>
      <c r="E80" s="6">
        <v>10.88</v>
      </c>
      <c r="F80" s="6">
        <v>0.04</v>
      </c>
      <c r="G80" s="6">
        <v>-0.04</v>
      </c>
      <c r="H80" s="6">
        <v>0.36</v>
      </c>
      <c r="I80" s="6">
        <v>33.29</v>
      </c>
      <c r="J80" s="7">
        <f t="shared" ref="J80:O80" si="102">abs(C80-C79)/200</f>
        <v>0.00815</v>
      </c>
      <c r="K80" s="7">
        <f t="shared" si="102"/>
        <v>0.0108</v>
      </c>
      <c r="L80" s="7">
        <f t="shared" si="102"/>
        <v>0.00045</v>
      </c>
      <c r="M80" s="7">
        <f t="shared" si="102"/>
        <v>0.0007</v>
      </c>
      <c r="N80" s="7">
        <f t="shared" si="102"/>
        <v>0.00065</v>
      </c>
      <c r="O80" s="7">
        <f t="shared" si="102"/>
        <v>0.0027</v>
      </c>
      <c r="P80" s="7">
        <f t="shared" si="7"/>
        <v>0.1396952926</v>
      </c>
      <c r="Q80" s="7">
        <f t="shared" si="8"/>
        <v>0.04217590402</v>
      </c>
      <c r="R80" s="7">
        <f t="shared" si="2"/>
        <v>1.199422712</v>
      </c>
      <c r="S80" s="7">
        <f t="shared" si="3"/>
        <v>0.3644173432</v>
      </c>
      <c r="T80" s="7">
        <f t="shared" si="4"/>
        <v>1</v>
      </c>
      <c r="U80" s="7">
        <f t="shared" si="5"/>
        <v>1</v>
      </c>
      <c r="V80" s="7">
        <f t="shared" ref="V80:W80" si="103">IF(AVERAGE(T20:T79) &gt; 0.25, 1, 0)</f>
        <v>1</v>
      </c>
      <c r="W80" s="7">
        <f t="shared" si="103"/>
        <v>1</v>
      </c>
      <c r="X80" s="8">
        <v>1.0</v>
      </c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22.5" customHeight="1">
      <c r="A81" s="6">
        <v>80.0</v>
      </c>
      <c r="B81" s="6">
        <v>18803.0</v>
      </c>
      <c r="C81" s="6">
        <v>1.79</v>
      </c>
      <c r="D81" s="6">
        <v>-2.0</v>
      </c>
      <c r="E81" s="6">
        <v>10.46</v>
      </c>
      <c r="F81" s="6">
        <v>0.09</v>
      </c>
      <c r="G81" s="6">
        <v>-0.41</v>
      </c>
      <c r="H81" s="6">
        <v>1.22</v>
      </c>
      <c r="I81" s="6">
        <v>33.28</v>
      </c>
      <c r="J81" s="7">
        <f t="shared" ref="J81:O81" si="104">abs(C81-C80)/200</f>
        <v>0.0062</v>
      </c>
      <c r="K81" s="7">
        <f t="shared" si="104"/>
        <v>0.0024</v>
      </c>
      <c r="L81" s="7">
        <f t="shared" si="104"/>
        <v>0.0021</v>
      </c>
      <c r="M81" s="7">
        <f t="shared" si="104"/>
        <v>0.00025</v>
      </c>
      <c r="N81" s="7">
        <f t="shared" si="104"/>
        <v>0.00185</v>
      </c>
      <c r="O81" s="7">
        <f t="shared" si="104"/>
        <v>0.0043</v>
      </c>
      <c r="P81" s="7">
        <f t="shared" si="7"/>
        <v>0.9257764407</v>
      </c>
      <c r="Q81" s="7">
        <f t="shared" si="8"/>
        <v>0.2005477707</v>
      </c>
      <c r="R81" s="7">
        <f t="shared" si="2"/>
        <v>0.9988749414</v>
      </c>
      <c r="S81" s="7">
        <f t="shared" si="3"/>
        <v>1.290193784</v>
      </c>
      <c r="T81" s="7">
        <f t="shared" si="4"/>
        <v>1</v>
      </c>
      <c r="U81" s="7">
        <f t="shared" si="5"/>
        <v>1</v>
      </c>
      <c r="V81" s="7">
        <f t="shared" ref="V81:W81" si="105">IF(AVERAGE(T21:T80) &gt; 0.25, 1, 0)</f>
        <v>1</v>
      </c>
      <c r="W81" s="7">
        <f t="shared" si="105"/>
        <v>1</v>
      </c>
      <c r="X81" s="8">
        <v>1.0</v>
      </c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22.5" customHeight="1">
      <c r="A82" s="6">
        <v>81.0</v>
      </c>
      <c r="B82" s="6">
        <v>19007.0</v>
      </c>
      <c r="C82" s="6">
        <v>3.9</v>
      </c>
      <c r="D82" s="6">
        <v>-0.93</v>
      </c>
      <c r="E82" s="6">
        <v>10.43</v>
      </c>
      <c r="F82" s="6">
        <v>-0.16</v>
      </c>
      <c r="G82" s="6">
        <v>-0.02</v>
      </c>
      <c r="H82" s="6">
        <v>0.14</v>
      </c>
      <c r="I82" s="6">
        <v>33.28</v>
      </c>
      <c r="J82" s="7">
        <f t="shared" ref="J82:O82" si="106">abs(C82-C81)/200</f>
        <v>0.01055</v>
      </c>
      <c r="K82" s="7">
        <f t="shared" si="106"/>
        <v>0.00535</v>
      </c>
      <c r="L82" s="7">
        <f t="shared" si="106"/>
        <v>0.00015</v>
      </c>
      <c r="M82" s="7">
        <f t="shared" si="106"/>
        <v>0.00125</v>
      </c>
      <c r="N82" s="7">
        <f t="shared" si="106"/>
        <v>0.00195</v>
      </c>
      <c r="O82" s="7">
        <f t="shared" si="106"/>
        <v>0.0054</v>
      </c>
      <c r="P82" s="7">
        <f t="shared" si="7"/>
        <v>1.076652219</v>
      </c>
      <c r="Q82" s="7">
        <f t="shared" si="8"/>
        <v>0.3751932524</v>
      </c>
      <c r="R82" s="7">
        <f t="shared" si="2"/>
        <v>1.374068194</v>
      </c>
      <c r="S82" s="7">
        <f t="shared" si="3"/>
        <v>0.213541565</v>
      </c>
      <c r="T82" s="7">
        <f t="shared" si="4"/>
        <v>1</v>
      </c>
      <c r="U82" s="7">
        <f t="shared" si="5"/>
        <v>1</v>
      </c>
      <c r="V82" s="7">
        <f t="shared" ref="V82:W82" si="107">IF(AVERAGE(T22:T81) &gt; 0.25, 1, 0)</f>
        <v>1</v>
      </c>
      <c r="W82" s="7">
        <f t="shared" si="107"/>
        <v>1</v>
      </c>
      <c r="X82" s="8">
        <v>1.0</v>
      </c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ht="22.5" customHeight="1">
      <c r="A83" s="6">
        <v>82.0</v>
      </c>
      <c r="B83" s="6">
        <v>19211.0</v>
      </c>
      <c r="C83" s="6">
        <v>1.97</v>
      </c>
      <c r="D83" s="6">
        <v>2.04</v>
      </c>
      <c r="E83" s="6">
        <v>10.45</v>
      </c>
      <c r="F83" s="6">
        <v>-0.19</v>
      </c>
      <c r="G83" s="6">
        <v>-0.04</v>
      </c>
      <c r="H83" s="6">
        <v>-0.71</v>
      </c>
      <c r="I83" s="6">
        <v>33.28</v>
      </c>
      <c r="J83" s="7">
        <f t="shared" ref="J83:O83" si="108">abs(C83-C82)/200</f>
        <v>0.00965</v>
      </c>
      <c r="K83" s="7">
        <f t="shared" si="108"/>
        <v>0.01485</v>
      </c>
      <c r="L83" s="7">
        <f t="shared" si="108"/>
        <v>0.0001</v>
      </c>
      <c r="M83" s="7">
        <f t="shared" si="108"/>
        <v>0.00015</v>
      </c>
      <c r="N83" s="7">
        <f t="shared" si="108"/>
        <v>0.0001</v>
      </c>
      <c r="O83" s="7">
        <f t="shared" si="108"/>
        <v>0.00425</v>
      </c>
      <c r="P83" s="7">
        <f t="shared" si="7"/>
        <v>0.5225290837</v>
      </c>
      <c r="Q83" s="7">
        <f t="shared" si="8"/>
        <v>0.346095161</v>
      </c>
      <c r="R83" s="7">
        <f t="shared" si="2"/>
        <v>1.027973033</v>
      </c>
      <c r="S83" s="7">
        <f t="shared" si="3"/>
        <v>0.7360706488</v>
      </c>
      <c r="T83" s="7">
        <f t="shared" si="4"/>
        <v>1</v>
      </c>
      <c r="U83" s="7">
        <f t="shared" si="5"/>
        <v>1</v>
      </c>
      <c r="V83" s="7">
        <f t="shared" ref="V83:W83" si="109">IF(AVERAGE(T23:T82) &gt; 0.25, 1, 0)</f>
        <v>1</v>
      </c>
      <c r="W83" s="7">
        <f t="shared" si="109"/>
        <v>1</v>
      </c>
      <c r="X83" s="8">
        <v>1.0</v>
      </c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ht="22.5" customHeight="1">
      <c r="A84" s="6">
        <v>83.0</v>
      </c>
      <c r="B84" s="6">
        <v>19415.0</v>
      </c>
      <c r="C84" s="6">
        <v>3.02</v>
      </c>
      <c r="D84" s="6">
        <v>1.17</v>
      </c>
      <c r="E84" s="6">
        <v>10.47</v>
      </c>
      <c r="F84" s="6">
        <v>-0.06</v>
      </c>
      <c r="G84" s="6">
        <v>0.02</v>
      </c>
      <c r="H84" s="6">
        <v>-0.08</v>
      </c>
      <c r="I84" s="6">
        <v>33.29</v>
      </c>
      <c r="J84" s="7">
        <f t="shared" ref="J84:O84" si="110">abs(C84-C83)/200</f>
        <v>0.00525</v>
      </c>
      <c r="K84" s="7">
        <f t="shared" si="110"/>
        <v>0.00435</v>
      </c>
      <c r="L84" s="7">
        <f t="shared" si="110"/>
        <v>0.0001</v>
      </c>
      <c r="M84" s="7">
        <f t="shared" si="110"/>
        <v>0.00065</v>
      </c>
      <c r="N84" s="7">
        <f t="shared" si="110"/>
        <v>0.0003</v>
      </c>
      <c r="O84" s="7">
        <f t="shared" si="110"/>
        <v>0.00315</v>
      </c>
      <c r="P84" s="7">
        <f t="shared" si="7"/>
        <v>0.6340902585</v>
      </c>
      <c r="Q84" s="7">
        <f t="shared" si="8"/>
        <v>0.1315068818</v>
      </c>
      <c r="R84" s="7">
        <f t="shared" si="2"/>
        <v>1.159479915</v>
      </c>
      <c r="S84" s="7">
        <f t="shared" si="3"/>
        <v>0.1019803903</v>
      </c>
      <c r="T84" s="7">
        <f t="shared" si="4"/>
        <v>1</v>
      </c>
      <c r="U84" s="7">
        <f t="shared" si="5"/>
        <v>1</v>
      </c>
      <c r="V84" s="7">
        <f t="shared" ref="V84:W84" si="111">IF(AVERAGE(T24:T83) &gt; 0.25, 1, 0)</f>
        <v>1</v>
      </c>
      <c r="W84" s="7">
        <f t="shared" si="111"/>
        <v>1</v>
      </c>
      <c r="X84" s="8">
        <v>1.0</v>
      </c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ht="22.5" customHeight="1">
      <c r="A85" s="6">
        <v>84.0</v>
      </c>
      <c r="B85" s="6">
        <v>19619.0</v>
      </c>
      <c r="C85" s="6">
        <v>-1.22</v>
      </c>
      <c r="D85" s="6">
        <v>0.36</v>
      </c>
      <c r="E85" s="6">
        <v>11.16</v>
      </c>
      <c r="F85" s="6">
        <v>-0.05</v>
      </c>
      <c r="G85" s="6">
        <v>0.11</v>
      </c>
      <c r="H85" s="6">
        <v>-0.18</v>
      </c>
      <c r="I85" s="6">
        <v>33.29</v>
      </c>
      <c r="J85" s="7">
        <f t="shared" ref="J85:O85" si="112">abs(C85-C84)/200</f>
        <v>0.0212</v>
      </c>
      <c r="K85" s="7">
        <f t="shared" si="112"/>
        <v>0.00405</v>
      </c>
      <c r="L85" s="7">
        <f t="shared" si="112"/>
        <v>0.00345</v>
      </c>
      <c r="M85" s="7">
        <f t="shared" si="112"/>
        <v>0.00005</v>
      </c>
      <c r="N85" s="7">
        <f t="shared" si="112"/>
        <v>0.00045</v>
      </c>
      <c r="O85" s="7">
        <f t="shared" si="112"/>
        <v>0.0005</v>
      </c>
      <c r="P85" s="7">
        <f t="shared" si="7"/>
        <v>0.1148144436</v>
      </c>
      <c r="Q85" s="7">
        <f t="shared" si="8"/>
        <v>0.2727772049</v>
      </c>
      <c r="R85" s="7">
        <f t="shared" si="2"/>
        <v>1.43225712</v>
      </c>
      <c r="S85" s="7">
        <f t="shared" si="3"/>
        <v>0.2167948339</v>
      </c>
      <c r="T85" s="7">
        <f t="shared" si="4"/>
        <v>1</v>
      </c>
      <c r="U85" s="7">
        <f t="shared" si="5"/>
        <v>1</v>
      </c>
      <c r="V85" s="7">
        <f t="shared" ref="V85:W85" si="113">IF(AVERAGE(T25:T84) &gt; 0.25, 1, 0)</f>
        <v>1</v>
      </c>
      <c r="W85" s="7">
        <f t="shared" si="113"/>
        <v>1</v>
      </c>
      <c r="X85" s="8">
        <v>1.0</v>
      </c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ht="22.5" customHeight="1">
      <c r="A86" s="6">
        <v>85.0</v>
      </c>
      <c r="B86" s="6">
        <v>19823.0</v>
      </c>
      <c r="C86" s="6">
        <v>0.05</v>
      </c>
      <c r="D86" s="6">
        <v>-1.92</v>
      </c>
      <c r="E86" s="6">
        <v>10.64</v>
      </c>
      <c r="F86" s="6">
        <v>0.03</v>
      </c>
      <c r="G86" s="6">
        <v>-0.18</v>
      </c>
      <c r="H86" s="6">
        <v>0.93</v>
      </c>
      <c r="I86" s="6">
        <v>33.29</v>
      </c>
      <c r="J86" s="7">
        <f t="shared" ref="J86:O86" si="114">abs(C86-C85)/200</f>
        <v>0.00635</v>
      </c>
      <c r="K86" s="7">
        <f t="shared" si="114"/>
        <v>0.0114</v>
      </c>
      <c r="L86" s="7">
        <f t="shared" si="114"/>
        <v>0.0026</v>
      </c>
      <c r="M86" s="7">
        <f t="shared" si="114"/>
        <v>0.0004</v>
      </c>
      <c r="N86" s="7">
        <f t="shared" si="114"/>
        <v>0.00145</v>
      </c>
      <c r="O86" s="7">
        <f t="shared" si="114"/>
        <v>0.00555</v>
      </c>
      <c r="P86" s="7">
        <f t="shared" si="7"/>
        <v>0.730939306</v>
      </c>
      <c r="Q86" s="7">
        <f t="shared" si="8"/>
        <v>0.4202961503</v>
      </c>
      <c r="R86" s="7">
        <f t="shared" si="2"/>
        <v>1.011960969</v>
      </c>
      <c r="S86" s="7">
        <f t="shared" si="3"/>
        <v>0.9477341399</v>
      </c>
      <c r="T86" s="7">
        <f t="shared" si="4"/>
        <v>1</v>
      </c>
      <c r="U86" s="7">
        <f t="shared" si="5"/>
        <v>1</v>
      </c>
      <c r="V86" s="7">
        <f t="shared" ref="V86:W86" si="115">IF(AVERAGE(T26:T85) &gt; 0.25, 1, 0)</f>
        <v>1</v>
      </c>
      <c r="W86" s="7">
        <f t="shared" si="115"/>
        <v>1</v>
      </c>
      <c r="X86" s="8">
        <v>1.0</v>
      </c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ht="22.5" customHeight="1">
      <c r="A87" s="6">
        <v>86.0</v>
      </c>
      <c r="B87" s="6">
        <v>20027.0</v>
      </c>
      <c r="C87" s="6">
        <v>4.13</v>
      </c>
      <c r="D87" s="6">
        <v>-1.68</v>
      </c>
      <c r="E87" s="6">
        <v>10.42</v>
      </c>
      <c r="F87" s="6">
        <v>-0.08</v>
      </c>
      <c r="G87" s="6">
        <v>0.14</v>
      </c>
      <c r="H87" s="6">
        <v>0.46</v>
      </c>
      <c r="I87" s="6">
        <v>33.29</v>
      </c>
      <c r="J87" s="7">
        <f t="shared" ref="J87:O87" si="116">abs(C87-C86)/200</f>
        <v>0.0204</v>
      </c>
      <c r="K87" s="7">
        <f t="shared" si="116"/>
        <v>0.0012</v>
      </c>
      <c r="L87" s="7">
        <f t="shared" si="116"/>
        <v>0.0011</v>
      </c>
      <c r="M87" s="7">
        <f t="shared" si="116"/>
        <v>0.00055</v>
      </c>
      <c r="N87" s="7">
        <f t="shared" si="116"/>
        <v>0.0016</v>
      </c>
      <c r="O87" s="7">
        <f t="shared" si="116"/>
        <v>0.00235</v>
      </c>
      <c r="P87" s="7">
        <f t="shared" si="7"/>
        <v>0.4602918357</v>
      </c>
      <c r="Q87" s="7">
        <f t="shared" si="8"/>
        <v>0.5218689219</v>
      </c>
      <c r="R87" s="7">
        <f t="shared" si="2"/>
        <v>1.533829891</v>
      </c>
      <c r="S87" s="7">
        <f t="shared" si="3"/>
        <v>0.4874423043</v>
      </c>
      <c r="T87" s="7">
        <f t="shared" si="4"/>
        <v>1</v>
      </c>
      <c r="U87" s="7">
        <f t="shared" si="5"/>
        <v>1</v>
      </c>
      <c r="V87" s="7">
        <f t="shared" ref="V87:W87" si="117">IF(AVERAGE(T27:T86) &gt; 0.25, 1, 0)</f>
        <v>1</v>
      </c>
      <c r="W87" s="7">
        <f t="shared" si="117"/>
        <v>1</v>
      </c>
      <c r="X87" s="8">
        <v>1.0</v>
      </c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ht="22.5" customHeight="1">
      <c r="A88" s="6">
        <v>87.0</v>
      </c>
      <c r="B88" s="6">
        <v>20231.0</v>
      </c>
      <c r="C88" s="6">
        <v>2.7</v>
      </c>
      <c r="D88" s="6">
        <v>0.46</v>
      </c>
      <c r="E88" s="6">
        <v>10.63</v>
      </c>
      <c r="F88" s="6">
        <v>-0.26</v>
      </c>
      <c r="G88" s="6">
        <v>-0.03</v>
      </c>
      <c r="H88" s="6">
        <v>-0.21</v>
      </c>
      <c r="I88" s="6">
        <v>33.3</v>
      </c>
      <c r="J88" s="7">
        <f t="shared" ref="J88:O88" si="118">abs(C88-C87)/200</f>
        <v>0.00715</v>
      </c>
      <c r="K88" s="7">
        <f t="shared" si="118"/>
        <v>0.0107</v>
      </c>
      <c r="L88" s="7">
        <f t="shared" si="118"/>
        <v>0.00105</v>
      </c>
      <c r="M88" s="7">
        <f t="shared" si="118"/>
        <v>0.0009</v>
      </c>
      <c r="N88" s="7">
        <f t="shared" si="118"/>
        <v>0.00085</v>
      </c>
      <c r="O88" s="7">
        <f t="shared" si="118"/>
        <v>0.00335</v>
      </c>
      <c r="P88" s="7">
        <f t="shared" si="7"/>
        <v>0.1518830696</v>
      </c>
      <c r="Q88" s="7">
        <f t="shared" si="8"/>
        <v>0.3566490144</v>
      </c>
      <c r="R88" s="7">
        <f t="shared" si="2"/>
        <v>1.177180877</v>
      </c>
      <c r="S88" s="7">
        <f t="shared" si="3"/>
        <v>0.3355592347</v>
      </c>
      <c r="T88" s="7">
        <f t="shared" si="4"/>
        <v>1</v>
      </c>
      <c r="U88" s="7">
        <f t="shared" si="5"/>
        <v>1</v>
      </c>
      <c r="V88" s="7">
        <f t="shared" ref="V88:W88" si="119">IF(AVERAGE(T28:T87) &gt; 0.25, 1, 0)</f>
        <v>1</v>
      </c>
      <c r="W88" s="7">
        <f t="shared" si="119"/>
        <v>1</v>
      </c>
      <c r="X88" s="8">
        <v>1.0</v>
      </c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ht="22.5" customHeight="1">
      <c r="A89" s="6">
        <v>88.0</v>
      </c>
      <c r="B89" s="6">
        <v>20435.0</v>
      </c>
      <c r="C89" s="6">
        <v>2.82</v>
      </c>
      <c r="D89" s="6">
        <v>1.33</v>
      </c>
      <c r="E89" s="6">
        <v>10.47</v>
      </c>
      <c r="F89" s="6">
        <v>-0.14</v>
      </c>
      <c r="G89" s="6">
        <v>-0.13</v>
      </c>
      <c r="H89" s="6">
        <v>-0.33</v>
      </c>
      <c r="I89" s="6">
        <v>33.29</v>
      </c>
      <c r="J89" s="7">
        <f t="shared" ref="J89:O89" si="120">abs(C89-C88)/200</f>
        <v>0.0006</v>
      </c>
      <c r="K89" s="7">
        <f t="shared" si="120"/>
        <v>0.00435</v>
      </c>
      <c r="L89" s="7">
        <f t="shared" si="120"/>
        <v>0.0008</v>
      </c>
      <c r="M89" s="7">
        <f t="shared" si="120"/>
        <v>0.0006</v>
      </c>
      <c r="N89" s="7">
        <f t="shared" si="120"/>
        <v>0.0005</v>
      </c>
      <c r="O89" s="7">
        <f t="shared" si="120"/>
        <v>0.0006</v>
      </c>
      <c r="P89" s="7">
        <f t="shared" si="7"/>
        <v>0.04575428459</v>
      </c>
      <c r="Q89" s="7">
        <f t="shared" si="8"/>
        <v>0.05279531046</v>
      </c>
      <c r="R89" s="7">
        <f t="shared" si="2"/>
        <v>1.124385566</v>
      </c>
      <c r="S89" s="7">
        <f t="shared" si="3"/>
        <v>0.3813135193</v>
      </c>
      <c r="T89" s="7">
        <f t="shared" si="4"/>
        <v>1</v>
      </c>
      <c r="U89" s="7">
        <f t="shared" si="5"/>
        <v>1</v>
      </c>
      <c r="V89" s="7">
        <f t="shared" ref="V89:W89" si="121">IF(AVERAGE(T29:T88) &gt; 0.25, 1, 0)</f>
        <v>1</v>
      </c>
      <c r="W89" s="7">
        <f t="shared" si="121"/>
        <v>1</v>
      </c>
      <c r="X89" s="8">
        <v>1.0</v>
      </c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ht="22.5" customHeight="1">
      <c r="A90" s="6">
        <v>89.0</v>
      </c>
      <c r="B90" s="6">
        <v>20639.0</v>
      </c>
      <c r="C90" s="6">
        <v>-0.86</v>
      </c>
      <c r="D90" s="6">
        <v>0.96</v>
      </c>
      <c r="E90" s="6">
        <v>10.78</v>
      </c>
      <c r="F90" s="6">
        <v>-0.22</v>
      </c>
      <c r="G90" s="6">
        <v>0.29</v>
      </c>
      <c r="H90" s="6">
        <v>-1.06</v>
      </c>
      <c r="I90" s="6">
        <v>33.3</v>
      </c>
      <c r="J90" s="7">
        <f t="shared" ref="J90:O90" si="122">abs(C90-C89)/200</f>
        <v>0.0184</v>
      </c>
      <c r="K90" s="7">
        <f t="shared" si="122"/>
        <v>0.00185</v>
      </c>
      <c r="L90" s="7">
        <f t="shared" si="122"/>
        <v>0.00155</v>
      </c>
      <c r="M90" s="7">
        <f t="shared" si="122"/>
        <v>0.0004</v>
      </c>
      <c r="N90" s="7">
        <f t="shared" si="122"/>
        <v>0.0021</v>
      </c>
      <c r="O90" s="7">
        <f t="shared" si="122"/>
        <v>0.00365</v>
      </c>
      <c r="P90" s="7">
        <f t="shared" si="7"/>
        <v>0.7394451523</v>
      </c>
      <c r="Q90" s="7">
        <f t="shared" si="8"/>
        <v>0.06760888069</v>
      </c>
      <c r="R90" s="7">
        <f t="shared" si="2"/>
        <v>1.056776686</v>
      </c>
      <c r="S90" s="7">
        <f t="shared" si="3"/>
        <v>1.120758672</v>
      </c>
      <c r="T90" s="7">
        <f t="shared" si="4"/>
        <v>1</v>
      </c>
      <c r="U90" s="7">
        <f t="shared" si="5"/>
        <v>1</v>
      </c>
      <c r="V90" s="7">
        <f t="shared" ref="V90:W90" si="123">IF(AVERAGE(T30:T89) &gt; 0.25, 1, 0)</f>
        <v>1</v>
      </c>
      <c r="W90" s="7">
        <f t="shared" si="123"/>
        <v>1</v>
      </c>
      <c r="X90" s="8">
        <v>1.0</v>
      </c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ht="22.5" customHeight="1">
      <c r="A91" s="6">
        <v>90.0</v>
      </c>
      <c r="B91" s="6">
        <v>20843.0</v>
      </c>
      <c r="C91" s="6">
        <v>-0.61</v>
      </c>
      <c r="D91" s="6">
        <v>-1.24</v>
      </c>
      <c r="E91" s="6">
        <v>11.04</v>
      </c>
      <c r="F91" s="6">
        <v>0.07</v>
      </c>
      <c r="G91" s="6">
        <v>-0.04</v>
      </c>
      <c r="H91" s="6">
        <v>0.19</v>
      </c>
      <c r="I91" s="6">
        <v>33.29</v>
      </c>
      <c r="J91" s="7">
        <f t="shared" ref="J91:O91" si="124">abs(C91-C90)/200</f>
        <v>0.00125</v>
      </c>
      <c r="K91" s="7">
        <f t="shared" si="124"/>
        <v>0.011</v>
      </c>
      <c r="L91" s="7">
        <f t="shared" si="124"/>
        <v>0.0013</v>
      </c>
      <c r="M91" s="7">
        <f t="shared" si="124"/>
        <v>0.00145</v>
      </c>
      <c r="N91" s="7">
        <f t="shared" si="124"/>
        <v>0.00165</v>
      </c>
      <c r="O91" s="7">
        <f t="shared" si="124"/>
        <v>0.00625</v>
      </c>
      <c r="P91" s="7">
        <f t="shared" si="7"/>
        <v>0.9143609972</v>
      </c>
      <c r="Q91" s="7">
        <f t="shared" si="8"/>
        <v>0.2693771872</v>
      </c>
      <c r="R91" s="7">
        <f t="shared" si="2"/>
        <v>1.326153873</v>
      </c>
      <c r="S91" s="7">
        <f t="shared" si="3"/>
        <v>0.2063976744</v>
      </c>
      <c r="T91" s="7">
        <f t="shared" si="4"/>
        <v>1</v>
      </c>
      <c r="U91" s="7">
        <f t="shared" si="5"/>
        <v>1</v>
      </c>
      <c r="V91" s="7">
        <f t="shared" ref="V91:W91" si="125">IF(AVERAGE(T31:T90) &gt; 0.25, 1, 0)</f>
        <v>1</v>
      </c>
      <c r="W91" s="7">
        <f t="shared" si="125"/>
        <v>1</v>
      </c>
      <c r="X91" s="8">
        <v>1.0</v>
      </c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ht="22.5" customHeight="1">
      <c r="A92" s="6">
        <v>91.0</v>
      </c>
      <c r="B92" s="6">
        <v>21047.0</v>
      </c>
      <c r="C92" s="6">
        <v>2.44</v>
      </c>
      <c r="D92" s="6">
        <v>-2.22</v>
      </c>
      <c r="E92" s="6">
        <v>10.43</v>
      </c>
      <c r="F92" s="6">
        <v>0.0</v>
      </c>
      <c r="G92" s="6">
        <v>0.16</v>
      </c>
      <c r="H92" s="6">
        <v>1.22</v>
      </c>
      <c r="I92" s="6">
        <v>33.29</v>
      </c>
      <c r="J92" s="7">
        <f t="shared" ref="J92:O92" si="126">abs(C92-C91)/200</f>
        <v>0.01525</v>
      </c>
      <c r="K92" s="7">
        <f t="shared" si="126"/>
        <v>0.0049</v>
      </c>
      <c r="L92" s="7">
        <f t="shared" si="126"/>
        <v>0.00305</v>
      </c>
      <c r="M92" s="7">
        <f t="shared" si="126"/>
        <v>0.00035</v>
      </c>
      <c r="N92" s="7">
        <f t="shared" si="126"/>
        <v>0.001</v>
      </c>
      <c r="O92" s="7">
        <f t="shared" si="126"/>
        <v>0.00515</v>
      </c>
      <c r="P92" s="7">
        <f t="shared" si="7"/>
        <v>1.024049399</v>
      </c>
      <c r="Q92" s="7">
        <f t="shared" si="8"/>
        <v>0.1869171535</v>
      </c>
      <c r="R92" s="7">
        <f t="shared" si="2"/>
        <v>1.139236719</v>
      </c>
      <c r="S92" s="7">
        <f t="shared" si="3"/>
        <v>1.230447073</v>
      </c>
      <c r="T92" s="7">
        <f t="shared" si="4"/>
        <v>1</v>
      </c>
      <c r="U92" s="7">
        <f t="shared" si="5"/>
        <v>1</v>
      </c>
      <c r="V92" s="7">
        <f t="shared" ref="V92:W92" si="127">IF(AVERAGE(T32:T91) &gt; 0.25, 1, 0)</f>
        <v>1</v>
      </c>
      <c r="W92" s="7">
        <f t="shared" si="127"/>
        <v>1</v>
      </c>
      <c r="X92" s="8">
        <v>1.0</v>
      </c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ht="22.5" customHeight="1">
      <c r="A93" s="6">
        <v>92.0</v>
      </c>
      <c r="B93" s="6">
        <v>21251.0</v>
      </c>
      <c r="C93" s="6">
        <v>3.86</v>
      </c>
      <c r="D93" s="6">
        <v>-1.29</v>
      </c>
      <c r="E93" s="6">
        <v>10.58</v>
      </c>
      <c r="F93" s="6">
        <v>-0.18</v>
      </c>
      <c r="G93" s="6">
        <v>0.03</v>
      </c>
      <c r="H93" s="6">
        <v>0.15</v>
      </c>
      <c r="I93" s="6">
        <v>33.29</v>
      </c>
      <c r="J93" s="7">
        <f t="shared" ref="J93:O93" si="128">abs(C93-C92)/200</f>
        <v>0.0071</v>
      </c>
      <c r="K93" s="7">
        <f t="shared" si="128"/>
        <v>0.00465</v>
      </c>
      <c r="L93" s="7">
        <f t="shared" si="128"/>
        <v>0.00075</v>
      </c>
      <c r="M93" s="7">
        <f t="shared" si="128"/>
        <v>0.0009</v>
      </c>
      <c r="N93" s="7">
        <f t="shared" si="128"/>
        <v>0.00065</v>
      </c>
      <c r="O93" s="7">
        <f t="shared" si="128"/>
        <v>0.00535</v>
      </c>
      <c r="P93" s="7">
        <f t="shared" si="7"/>
        <v>0.994226837</v>
      </c>
      <c r="Q93" s="7">
        <f t="shared" si="8"/>
        <v>0.3965517403</v>
      </c>
      <c r="R93" s="7">
        <f t="shared" si="2"/>
        <v>1.53578846</v>
      </c>
      <c r="S93" s="7">
        <f t="shared" si="3"/>
        <v>0.2362202362</v>
      </c>
      <c r="T93" s="7">
        <f t="shared" si="4"/>
        <v>1</v>
      </c>
      <c r="U93" s="7">
        <f t="shared" si="5"/>
        <v>1</v>
      </c>
      <c r="V93" s="7">
        <f t="shared" ref="V93:W93" si="129">IF(AVERAGE(T33:T92) &gt; 0.25, 1, 0)</f>
        <v>1</v>
      </c>
      <c r="W93" s="7">
        <f t="shared" si="129"/>
        <v>1</v>
      </c>
      <c r="X93" s="8">
        <v>1.0</v>
      </c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ht="22.5" customHeight="1">
      <c r="A94" s="6">
        <v>93.0</v>
      </c>
      <c r="B94" s="6">
        <v>21455.0</v>
      </c>
      <c r="C94" s="6">
        <v>3.3</v>
      </c>
      <c r="D94" s="6">
        <v>1.02</v>
      </c>
      <c r="E94" s="6">
        <v>10.46</v>
      </c>
      <c r="F94" s="6">
        <v>-0.19</v>
      </c>
      <c r="G94" s="6">
        <v>-0.13</v>
      </c>
      <c r="H94" s="6">
        <v>-0.55</v>
      </c>
      <c r="I94" s="6">
        <v>33.29</v>
      </c>
      <c r="J94" s="7">
        <f t="shared" ref="J94:O94" si="130">abs(C94-C93)/200</f>
        <v>0.0028</v>
      </c>
      <c r="K94" s="7">
        <f t="shared" si="130"/>
        <v>0.01155</v>
      </c>
      <c r="L94" s="7">
        <f t="shared" si="130"/>
        <v>0.0006</v>
      </c>
      <c r="M94" s="7">
        <f t="shared" si="130"/>
        <v>0.00005</v>
      </c>
      <c r="N94" s="7">
        <f t="shared" si="130"/>
        <v>0.0008</v>
      </c>
      <c r="O94" s="7">
        <f t="shared" si="130"/>
        <v>0.0035</v>
      </c>
      <c r="P94" s="7">
        <f t="shared" si="7"/>
        <v>0.3600179712</v>
      </c>
      <c r="Q94" s="7">
        <f t="shared" si="8"/>
        <v>0.3202539741</v>
      </c>
      <c r="R94" s="7">
        <f t="shared" si="2"/>
        <v>1.215534485</v>
      </c>
      <c r="S94" s="7">
        <f t="shared" si="3"/>
        <v>0.5962382074</v>
      </c>
      <c r="T94" s="7">
        <f t="shared" si="4"/>
        <v>1</v>
      </c>
      <c r="U94" s="7">
        <f t="shared" si="5"/>
        <v>1</v>
      </c>
      <c r="V94" s="7">
        <f t="shared" ref="V94:W94" si="131">IF(AVERAGE(T34:T93) &gt; 0.25, 1, 0)</f>
        <v>1</v>
      </c>
      <c r="W94" s="7">
        <f t="shared" si="131"/>
        <v>1</v>
      </c>
      <c r="X94" s="8">
        <v>1.0</v>
      </c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ht="22.5" customHeight="1">
      <c r="A95" s="6">
        <v>94.0</v>
      </c>
      <c r="B95" s="6">
        <v>21659.0</v>
      </c>
      <c r="C95" s="6">
        <v>-1.03</v>
      </c>
      <c r="D95" s="6">
        <v>1.54</v>
      </c>
      <c r="E95" s="6">
        <v>10.44</v>
      </c>
      <c r="F95" s="6">
        <v>-0.26</v>
      </c>
      <c r="G95" s="6">
        <v>0.17</v>
      </c>
      <c r="H95" s="6">
        <v>-1.31</v>
      </c>
      <c r="I95" s="6">
        <v>33.3</v>
      </c>
      <c r="J95" s="7">
        <f t="shared" ref="J95:O95" si="132">abs(C95-C94)/200</f>
        <v>0.02165</v>
      </c>
      <c r="K95" s="7">
        <f t="shared" si="132"/>
        <v>0.0026</v>
      </c>
      <c r="L95" s="7">
        <f t="shared" si="132"/>
        <v>0.0001</v>
      </c>
      <c r="M95" s="7">
        <f t="shared" si="132"/>
        <v>0.00035</v>
      </c>
      <c r="N95" s="7">
        <f t="shared" si="132"/>
        <v>0.0015</v>
      </c>
      <c r="O95" s="7">
        <f t="shared" si="132"/>
        <v>0.0038</v>
      </c>
      <c r="P95" s="7">
        <f t="shared" si="7"/>
        <v>0.7500901329</v>
      </c>
      <c r="Q95" s="7">
        <f t="shared" si="8"/>
        <v>0.4124170193</v>
      </c>
      <c r="R95" s="7">
        <f t="shared" si="2"/>
        <v>0.8031174661</v>
      </c>
      <c r="S95" s="7">
        <f t="shared" si="3"/>
        <v>1.34632834</v>
      </c>
      <c r="T95" s="7">
        <f t="shared" si="4"/>
        <v>1</v>
      </c>
      <c r="U95" s="7">
        <f t="shared" si="5"/>
        <v>1</v>
      </c>
      <c r="V95" s="7">
        <f t="shared" ref="V95:W95" si="133">IF(AVERAGE(T35:T94) &gt; 0.25, 1, 0)</f>
        <v>1</v>
      </c>
      <c r="W95" s="7">
        <f t="shared" si="133"/>
        <v>1</v>
      </c>
      <c r="X95" s="8">
        <v>1.0</v>
      </c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ht="22.5" customHeight="1">
      <c r="A96" s="6">
        <v>95.0</v>
      </c>
      <c r="B96" s="6">
        <v>21863.0</v>
      </c>
      <c r="C96" s="6">
        <v>-0.46</v>
      </c>
      <c r="D96" s="6">
        <v>-0.18</v>
      </c>
      <c r="E96" s="6">
        <v>11.04</v>
      </c>
      <c r="F96" s="6">
        <v>0.04</v>
      </c>
      <c r="G96" s="6">
        <v>0.05</v>
      </c>
      <c r="H96" s="6">
        <v>0.21</v>
      </c>
      <c r="I96" s="6">
        <v>33.29</v>
      </c>
      <c r="J96" s="7">
        <f t="shared" ref="J96:O96" si="134">abs(C96-C95)/200</f>
        <v>0.00285</v>
      </c>
      <c r="K96" s="7">
        <f t="shared" si="134"/>
        <v>0.0086</v>
      </c>
      <c r="L96" s="7">
        <f t="shared" si="134"/>
        <v>0.003</v>
      </c>
      <c r="M96" s="7">
        <f t="shared" si="134"/>
        <v>0.0015</v>
      </c>
      <c r="N96" s="7">
        <f t="shared" si="134"/>
        <v>0.0006</v>
      </c>
      <c r="O96" s="7">
        <f t="shared" si="134"/>
        <v>0.0076</v>
      </c>
      <c r="P96" s="7">
        <f t="shared" si="7"/>
        <v>1.126783356</v>
      </c>
      <c r="Q96" s="7">
        <f t="shared" si="8"/>
        <v>0.4479277333</v>
      </c>
      <c r="R96" s="7">
        <f t="shared" si="2"/>
        <v>1.251045199</v>
      </c>
      <c r="S96" s="7">
        <f t="shared" si="3"/>
        <v>0.219544984</v>
      </c>
      <c r="T96" s="7">
        <f t="shared" si="4"/>
        <v>1</v>
      </c>
      <c r="U96" s="7">
        <f t="shared" si="5"/>
        <v>1</v>
      </c>
      <c r="V96" s="7">
        <f t="shared" ref="V96:W96" si="135">IF(AVERAGE(T36:T95) &gt; 0.25, 1, 0)</f>
        <v>1</v>
      </c>
      <c r="W96" s="7">
        <f t="shared" si="135"/>
        <v>1</v>
      </c>
      <c r="X96" s="8">
        <v>1.0</v>
      </c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ht="22.5" customHeight="1">
      <c r="A97" s="6">
        <v>96.0</v>
      </c>
      <c r="B97" s="6">
        <v>22067.0</v>
      </c>
      <c r="C97" s="6">
        <v>1.04</v>
      </c>
      <c r="D97" s="6">
        <v>-1.97</v>
      </c>
      <c r="E97" s="6">
        <v>10.54</v>
      </c>
      <c r="F97" s="6">
        <v>0.02</v>
      </c>
      <c r="G97" s="6">
        <v>-0.14</v>
      </c>
      <c r="H97" s="6">
        <v>1.1</v>
      </c>
      <c r="I97" s="6">
        <v>33.31</v>
      </c>
      <c r="J97" s="7">
        <f t="shared" ref="J97:O97" si="136">abs(C97-C96)/200</f>
        <v>0.0075</v>
      </c>
      <c r="K97" s="7">
        <f t="shared" si="136"/>
        <v>0.00895</v>
      </c>
      <c r="L97" s="7">
        <f t="shared" si="136"/>
        <v>0.0025</v>
      </c>
      <c r="M97" s="7">
        <f t="shared" si="136"/>
        <v>0.0001</v>
      </c>
      <c r="N97" s="7">
        <f t="shared" si="136"/>
        <v>0.00095</v>
      </c>
      <c r="O97" s="7">
        <f t="shared" si="136"/>
        <v>0.00445</v>
      </c>
      <c r="P97" s="7">
        <f t="shared" si="7"/>
        <v>0.8895086666</v>
      </c>
      <c r="Q97" s="7">
        <f t="shared" si="8"/>
        <v>0.2782043485</v>
      </c>
      <c r="R97" s="7">
        <f t="shared" si="2"/>
        <v>0.972840851</v>
      </c>
      <c r="S97" s="7">
        <f t="shared" si="3"/>
        <v>1.109053651</v>
      </c>
      <c r="T97" s="7">
        <f t="shared" si="4"/>
        <v>1</v>
      </c>
      <c r="U97" s="7">
        <f t="shared" si="5"/>
        <v>1</v>
      </c>
      <c r="V97" s="7">
        <f t="shared" ref="V97:W97" si="137">IF(AVERAGE(T37:T96) &gt; 0.25, 1, 0)</f>
        <v>1</v>
      </c>
      <c r="W97" s="7">
        <f t="shared" si="137"/>
        <v>1</v>
      </c>
      <c r="X97" s="8">
        <v>1.0</v>
      </c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ht="22.5" customHeight="1">
      <c r="A98" s="6">
        <v>97.0</v>
      </c>
      <c r="B98" s="6">
        <v>22271.0</v>
      </c>
      <c r="C98" s="6">
        <v>4.27</v>
      </c>
      <c r="D98" s="6">
        <v>-1.87</v>
      </c>
      <c r="E98" s="6">
        <v>10.61</v>
      </c>
      <c r="F98" s="6">
        <v>-0.13</v>
      </c>
      <c r="G98" s="6">
        <v>0.09</v>
      </c>
      <c r="H98" s="6">
        <v>0.28</v>
      </c>
      <c r="I98" s="6">
        <v>33.32</v>
      </c>
      <c r="J98" s="7">
        <f t="shared" ref="J98:O98" si="138">abs(C98-C97)/200</f>
        <v>0.01615</v>
      </c>
      <c r="K98" s="7">
        <f t="shared" si="138"/>
        <v>0.0005</v>
      </c>
      <c r="L98" s="7">
        <f t="shared" si="138"/>
        <v>0.00035</v>
      </c>
      <c r="M98" s="7">
        <f t="shared" si="138"/>
        <v>0.00075</v>
      </c>
      <c r="N98" s="7">
        <f t="shared" si="138"/>
        <v>0.00115</v>
      </c>
      <c r="O98" s="7">
        <f t="shared" si="138"/>
        <v>0.0041</v>
      </c>
      <c r="P98" s="7">
        <f t="shared" si="7"/>
        <v>0.7874949468</v>
      </c>
      <c r="Q98" s="7">
        <f t="shared" si="8"/>
        <v>0.8160288092</v>
      </c>
      <c r="R98" s="7">
        <f t="shared" si="2"/>
        <v>1.78886966</v>
      </c>
      <c r="S98" s="7">
        <f t="shared" si="3"/>
        <v>0.3215587038</v>
      </c>
      <c r="T98" s="7">
        <f t="shared" si="4"/>
        <v>1</v>
      </c>
      <c r="U98" s="7">
        <f t="shared" si="5"/>
        <v>1</v>
      </c>
      <c r="V98" s="7">
        <f t="shared" ref="V98:W98" si="139">IF(AVERAGE(T38:T97) &gt; 0.25, 1, 0)</f>
        <v>1</v>
      </c>
      <c r="W98" s="7">
        <f t="shared" si="139"/>
        <v>1</v>
      </c>
      <c r="X98" s="8">
        <v>1.0</v>
      </c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ht="22.5" customHeight="1">
      <c r="A99" s="6">
        <v>98.0</v>
      </c>
      <c r="B99" s="6">
        <v>22475.0</v>
      </c>
      <c r="C99" s="6">
        <v>2.53</v>
      </c>
      <c r="D99" s="6">
        <v>0.58</v>
      </c>
      <c r="E99" s="6">
        <v>10.74</v>
      </c>
      <c r="F99" s="6">
        <v>-0.31</v>
      </c>
      <c r="G99" s="6">
        <v>-0.07</v>
      </c>
      <c r="H99" s="6">
        <v>-0.24</v>
      </c>
      <c r="I99" s="6">
        <v>33.29</v>
      </c>
      <c r="J99" s="7">
        <f t="shared" ref="J99:O99" si="140">abs(C99-C98)/200</f>
        <v>0.0087</v>
      </c>
      <c r="K99" s="7">
        <f t="shared" si="140"/>
        <v>0.01225</v>
      </c>
      <c r="L99" s="7">
        <f t="shared" si="140"/>
        <v>0.00065</v>
      </c>
      <c r="M99" s="7">
        <f t="shared" si="140"/>
        <v>0.0009</v>
      </c>
      <c r="N99" s="7">
        <f t="shared" si="140"/>
        <v>0.0008</v>
      </c>
      <c r="O99" s="7">
        <f t="shared" si="140"/>
        <v>0.0026</v>
      </c>
      <c r="P99" s="7">
        <f t="shared" si="7"/>
        <v>0.07668745122</v>
      </c>
      <c r="Q99" s="7">
        <f t="shared" si="8"/>
        <v>0.5396660689</v>
      </c>
      <c r="R99" s="7">
        <f t="shared" si="2"/>
        <v>1.249203591</v>
      </c>
      <c r="S99" s="7">
        <f t="shared" si="3"/>
        <v>0.398246155</v>
      </c>
      <c r="T99" s="7">
        <f t="shared" si="4"/>
        <v>1</v>
      </c>
      <c r="U99" s="7">
        <f t="shared" si="5"/>
        <v>1</v>
      </c>
      <c r="V99" s="7">
        <f t="shared" ref="V99:W99" si="141">IF(AVERAGE(T39:T98) &gt; 0.25, 1, 0)</f>
        <v>1</v>
      </c>
      <c r="W99" s="7">
        <f t="shared" si="141"/>
        <v>1</v>
      </c>
      <c r="X99" s="8">
        <v>1.0</v>
      </c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ht="22.5" customHeight="1">
      <c r="A100" s="6">
        <v>99.0</v>
      </c>
      <c r="B100" s="6">
        <v>22679.0</v>
      </c>
      <c r="C100" s="6">
        <v>1.61</v>
      </c>
      <c r="D100" s="6">
        <v>1.81</v>
      </c>
      <c r="E100" s="6">
        <v>10.61</v>
      </c>
      <c r="F100" s="6">
        <v>-0.08</v>
      </c>
      <c r="G100" s="6">
        <v>-0.03</v>
      </c>
      <c r="H100" s="6">
        <v>-0.42</v>
      </c>
      <c r="I100" s="6">
        <v>33.31</v>
      </c>
      <c r="J100" s="7">
        <f t="shared" ref="J100:O100" si="142">abs(C100-C99)/200</f>
        <v>0.0046</v>
      </c>
      <c r="K100" s="7">
        <f t="shared" si="142"/>
        <v>0.00615</v>
      </c>
      <c r="L100" s="7">
        <f t="shared" si="142"/>
        <v>0.00065</v>
      </c>
      <c r="M100" s="7">
        <f t="shared" si="142"/>
        <v>0.00115</v>
      </c>
      <c r="N100" s="7">
        <f t="shared" si="142"/>
        <v>0.0002</v>
      </c>
      <c r="O100" s="7">
        <f t="shared" si="142"/>
        <v>0.0009</v>
      </c>
      <c r="P100" s="7">
        <f t="shared" si="7"/>
        <v>0.0303562248</v>
      </c>
      <c r="Q100" s="7">
        <f t="shared" si="8"/>
        <v>0.1661755199</v>
      </c>
      <c r="R100" s="7">
        <f t="shared" si="2"/>
        <v>1.083028071</v>
      </c>
      <c r="S100" s="7">
        <f t="shared" si="3"/>
        <v>0.4286023798</v>
      </c>
      <c r="T100" s="7">
        <f t="shared" si="4"/>
        <v>1</v>
      </c>
      <c r="U100" s="7">
        <f t="shared" si="5"/>
        <v>1</v>
      </c>
      <c r="V100" s="7">
        <f t="shared" ref="V100:W100" si="143">IF(AVERAGE(T40:T99) &gt; 0.25, 1, 0)</f>
        <v>1</v>
      </c>
      <c r="W100" s="7">
        <f t="shared" si="143"/>
        <v>1</v>
      </c>
      <c r="X100" s="8">
        <v>1.0</v>
      </c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ht="22.5" customHeight="1">
      <c r="A101" s="6">
        <v>100.0</v>
      </c>
      <c r="B101" s="6">
        <v>22883.0</v>
      </c>
      <c r="C101" s="6">
        <v>0.28</v>
      </c>
      <c r="D101" s="6">
        <v>1.02</v>
      </c>
      <c r="E101" s="6">
        <v>10.81</v>
      </c>
      <c r="F101" s="6">
        <v>-0.06</v>
      </c>
      <c r="G101" s="6">
        <v>0.03</v>
      </c>
      <c r="H101" s="6">
        <v>-0.3</v>
      </c>
      <c r="I101" s="6">
        <v>33.3</v>
      </c>
      <c r="J101" s="7">
        <f t="shared" ref="J101:O101" si="144">abs(C101-C100)/200</f>
        <v>0.00665</v>
      </c>
      <c r="K101" s="7">
        <f t="shared" si="144"/>
        <v>0.00395</v>
      </c>
      <c r="L101" s="7">
        <f t="shared" si="144"/>
        <v>0.001</v>
      </c>
      <c r="M101" s="7">
        <f t="shared" si="144"/>
        <v>0.0001</v>
      </c>
      <c r="N101" s="7">
        <f t="shared" si="144"/>
        <v>0.0003</v>
      </c>
      <c r="O101" s="7">
        <f t="shared" si="144"/>
        <v>0.0006</v>
      </c>
      <c r="P101" s="7">
        <f t="shared" si="7"/>
        <v>0.1211938569</v>
      </c>
      <c r="Q101" s="7">
        <f t="shared" si="8"/>
        <v>0.02140296266</v>
      </c>
      <c r="R101" s="7">
        <f t="shared" si="2"/>
        <v>1.061625109</v>
      </c>
      <c r="S101" s="7">
        <f t="shared" si="3"/>
        <v>0.307408523</v>
      </c>
      <c r="T101" s="7">
        <f t="shared" si="4"/>
        <v>1</v>
      </c>
      <c r="U101" s="7">
        <f t="shared" si="5"/>
        <v>1</v>
      </c>
      <c r="V101" s="7">
        <f t="shared" ref="V101:W101" si="145">IF(AVERAGE(T41:T100) &gt; 0.25, 1, 0)</f>
        <v>1</v>
      </c>
      <c r="W101" s="7">
        <f t="shared" si="145"/>
        <v>1</v>
      </c>
      <c r="X101" s="8">
        <v>1.0</v>
      </c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ht="22.5" customHeight="1">
      <c r="A102" s="6">
        <v>101.0</v>
      </c>
      <c r="B102" s="6">
        <v>23087.0</v>
      </c>
      <c r="C102" s="6">
        <v>0.46</v>
      </c>
      <c r="D102" s="6">
        <v>-0.89</v>
      </c>
      <c r="E102" s="6">
        <v>10.93</v>
      </c>
      <c r="F102" s="6">
        <v>0.0</v>
      </c>
      <c r="G102" s="6">
        <v>-0.01</v>
      </c>
      <c r="H102" s="6">
        <v>0.22</v>
      </c>
      <c r="I102" s="6">
        <v>33.31</v>
      </c>
      <c r="J102" s="7">
        <f t="shared" ref="J102:O102" si="146">abs(C102-C101)/200</f>
        <v>0.0009</v>
      </c>
      <c r="K102" s="7">
        <f t="shared" si="146"/>
        <v>0.00955</v>
      </c>
      <c r="L102" s="7">
        <f t="shared" si="146"/>
        <v>0.0006</v>
      </c>
      <c r="M102" s="7">
        <f t="shared" si="146"/>
        <v>0.0003</v>
      </c>
      <c r="N102" s="7">
        <f t="shared" si="146"/>
        <v>0.0002</v>
      </c>
      <c r="O102" s="7">
        <f t="shared" si="146"/>
        <v>0.0026</v>
      </c>
      <c r="P102" s="7">
        <f t="shared" si="7"/>
        <v>0.08718136752</v>
      </c>
      <c r="Q102" s="7">
        <f t="shared" si="8"/>
        <v>0.1141937674</v>
      </c>
      <c r="R102" s="7">
        <f t="shared" si="2"/>
        <v>1.175818876</v>
      </c>
      <c r="S102" s="7">
        <f t="shared" si="3"/>
        <v>0.2202271555</v>
      </c>
      <c r="T102" s="7">
        <f t="shared" si="4"/>
        <v>1</v>
      </c>
      <c r="U102" s="7">
        <f t="shared" si="5"/>
        <v>1</v>
      </c>
      <c r="V102" s="7">
        <f t="shared" ref="V102:W102" si="147">IF(AVERAGE(T42:T101) &gt; 0.25, 1, 0)</f>
        <v>1</v>
      </c>
      <c r="W102" s="7">
        <f t="shared" si="147"/>
        <v>1</v>
      </c>
      <c r="X102" s="8">
        <v>1.0</v>
      </c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ht="22.5" customHeight="1">
      <c r="A103" s="6">
        <v>102.0</v>
      </c>
      <c r="B103" s="6">
        <v>23291.0</v>
      </c>
      <c r="C103" s="6">
        <v>1.38</v>
      </c>
      <c r="D103" s="6">
        <v>-2.05</v>
      </c>
      <c r="E103" s="6">
        <v>10.65</v>
      </c>
      <c r="F103" s="6">
        <v>-0.07</v>
      </c>
      <c r="G103" s="6">
        <v>0.13</v>
      </c>
      <c r="H103" s="6">
        <v>0.65</v>
      </c>
      <c r="I103" s="6">
        <v>33.32</v>
      </c>
      <c r="J103" s="7">
        <f t="shared" ref="J103:O103" si="148">abs(C103-C102)/200</f>
        <v>0.0046</v>
      </c>
      <c r="K103" s="7">
        <f t="shared" si="148"/>
        <v>0.0058</v>
      </c>
      <c r="L103" s="7">
        <f t="shared" si="148"/>
        <v>0.0014</v>
      </c>
      <c r="M103" s="7">
        <f t="shared" si="148"/>
        <v>0.00035</v>
      </c>
      <c r="N103" s="7">
        <f t="shared" si="148"/>
        <v>0.0007</v>
      </c>
      <c r="O103" s="7">
        <f t="shared" si="148"/>
        <v>0.00215</v>
      </c>
      <c r="P103" s="7">
        <f t="shared" si="7"/>
        <v>0.4463311691</v>
      </c>
      <c r="Q103" s="7">
        <f t="shared" si="8"/>
        <v>0.04286867952</v>
      </c>
      <c r="R103" s="7">
        <f t="shared" si="2"/>
        <v>1.132950197</v>
      </c>
      <c r="S103" s="7">
        <f t="shared" si="3"/>
        <v>0.6665583245</v>
      </c>
      <c r="T103" s="7">
        <f t="shared" si="4"/>
        <v>1</v>
      </c>
      <c r="U103" s="7">
        <f t="shared" si="5"/>
        <v>1</v>
      </c>
      <c r="V103" s="7">
        <f t="shared" ref="V103:W103" si="149">IF(AVERAGE(T43:T102) &gt; 0.25, 1, 0)</f>
        <v>1</v>
      </c>
      <c r="W103" s="7">
        <f t="shared" si="149"/>
        <v>1</v>
      </c>
      <c r="X103" s="8">
        <v>1.0</v>
      </c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ht="22.5" customHeight="1">
      <c r="A104" s="6">
        <v>103.0</v>
      </c>
      <c r="B104" s="6">
        <v>23495.0</v>
      </c>
      <c r="C104" s="6">
        <v>3.55</v>
      </c>
      <c r="D104" s="6">
        <v>-0.64</v>
      </c>
      <c r="E104" s="6">
        <v>10.58</v>
      </c>
      <c r="F104" s="6">
        <v>-0.19</v>
      </c>
      <c r="G104" s="6">
        <v>0.0</v>
      </c>
      <c r="H104" s="6">
        <v>0.14</v>
      </c>
      <c r="I104" s="6">
        <v>33.3</v>
      </c>
      <c r="J104" s="7">
        <f t="shared" ref="J104:O104" si="150">abs(C104-C103)/200</f>
        <v>0.01085</v>
      </c>
      <c r="K104" s="7">
        <f t="shared" si="150"/>
        <v>0.00705</v>
      </c>
      <c r="L104" s="7">
        <f t="shared" si="150"/>
        <v>0.00035</v>
      </c>
      <c r="M104" s="7">
        <f t="shared" si="150"/>
        <v>0.0006</v>
      </c>
      <c r="N104" s="7">
        <f t="shared" si="150"/>
        <v>0.00065</v>
      </c>
      <c r="O104" s="7">
        <f t="shared" si="150"/>
        <v>0.00255</v>
      </c>
      <c r="P104" s="7">
        <f t="shared" si="7"/>
        <v>0.4305498501</v>
      </c>
      <c r="Q104" s="7">
        <f t="shared" si="8"/>
        <v>0.2450863037</v>
      </c>
      <c r="R104" s="7">
        <f t="shared" si="2"/>
        <v>1.3780365</v>
      </c>
      <c r="S104" s="7">
        <f t="shared" si="3"/>
        <v>0.2360084744</v>
      </c>
      <c r="T104" s="7">
        <f t="shared" si="4"/>
        <v>1</v>
      </c>
      <c r="U104" s="7">
        <f t="shared" si="5"/>
        <v>1</v>
      </c>
      <c r="V104" s="7">
        <f t="shared" ref="V104:W104" si="151">IF(AVERAGE(T44:T103) &gt; 0.25, 1, 0)</f>
        <v>1</v>
      </c>
      <c r="W104" s="7">
        <f t="shared" si="151"/>
        <v>1</v>
      </c>
      <c r="X104" s="8">
        <v>1.0</v>
      </c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ht="22.5" customHeight="1">
      <c r="A105" s="6">
        <v>104.0</v>
      </c>
      <c r="B105" s="6">
        <v>23699.0</v>
      </c>
      <c r="C105" s="6">
        <v>2.29</v>
      </c>
      <c r="D105" s="6">
        <v>1.49</v>
      </c>
      <c r="E105" s="6">
        <v>10.57</v>
      </c>
      <c r="F105" s="6">
        <v>-0.17</v>
      </c>
      <c r="G105" s="6">
        <v>-0.12</v>
      </c>
      <c r="H105" s="6">
        <v>-0.43</v>
      </c>
      <c r="I105" s="6">
        <v>33.32</v>
      </c>
      <c r="J105" s="7">
        <f t="shared" ref="J105:O105" si="152">abs(C105-C104)/200</f>
        <v>0.0063</v>
      </c>
      <c r="K105" s="7">
        <f t="shared" si="152"/>
        <v>0.01065</v>
      </c>
      <c r="L105" s="7">
        <f t="shared" si="152"/>
        <v>0.00005</v>
      </c>
      <c r="M105" s="7">
        <f t="shared" si="152"/>
        <v>0.0001</v>
      </c>
      <c r="N105" s="7">
        <f t="shared" si="152"/>
        <v>0.0006</v>
      </c>
      <c r="O105" s="7">
        <f t="shared" si="152"/>
        <v>0.00285</v>
      </c>
      <c r="P105" s="7">
        <f t="shared" si="7"/>
        <v>0.2416943621</v>
      </c>
      <c r="Q105" s="7">
        <f t="shared" si="8"/>
        <v>0.2606604418</v>
      </c>
      <c r="R105" s="7">
        <f t="shared" si="2"/>
        <v>1.117376058</v>
      </c>
      <c r="S105" s="7">
        <f t="shared" si="3"/>
        <v>0.4777028365</v>
      </c>
      <c r="T105" s="7">
        <f t="shared" si="4"/>
        <v>1</v>
      </c>
      <c r="U105" s="7">
        <f t="shared" si="5"/>
        <v>1</v>
      </c>
      <c r="V105" s="7">
        <f t="shared" ref="V105:W105" si="153">IF(AVERAGE(T45:T104) &gt; 0.25, 1, 0)</f>
        <v>1</v>
      </c>
      <c r="W105" s="7">
        <f t="shared" si="153"/>
        <v>1</v>
      </c>
      <c r="X105" s="8">
        <v>1.0</v>
      </c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ht="22.5" customHeight="1">
      <c r="A106" s="6">
        <v>105.0</v>
      </c>
      <c r="B106" s="6">
        <v>23903.0</v>
      </c>
      <c r="C106" s="6">
        <v>1.0</v>
      </c>
      <c r="D106" s="6">
        <v>1.06</v>
      </c>
      <c r="E106" s="6">
        <v>10.63</v>
      </c>
      <c r="F106" s="6">
        <v>-0.06</v>
      </c>
      <c r="G106" s="6">
        <v>0.07</v>
      </c>
      <c r="H106" s="6">
        <v>-0.55</v>
      </c>
      <c r="I106" s="6">
        <v>33.31</v>
      </c>
      <c r="J106" s="7">
        <f t="shared" ref="J106:O106" si="154">abs(C106-C105)/200</f>
        <v>0.00645</v>
      </c>
      <c r="K106" s="7">
        <f t="shared" si="154"/>
        <v>0.00215</v>
      </c>
      <c r="L106" s="7">
        <f t="shared" si="154"/>
        <v>0.0003</v>
      </c>
      <c r="M106" s="7">
        <f t="shared" si="154"/>
        <v>0.00055</v>
      </c>
      <c r="N106" s="7">
        <f t="shared" si="154"/>
        <v>0.00095</v>
      </c>
      <c r="O106" s="7">
        <f t="shared" si="154"/>
        <v>0.0006</v>
      </c>
      <c r="P106" s="7">
        <f t="shared" si="7"/>
        <v>0.07997090324</v>
      </c>
      <c r="Q106" s="7">
        <f t="shared" si="8"/>
        <v>0.1879538931</v>
      </c>
      <c r="R106" s="7">
        <f t="shared" si="2"/>
        <v>0.9294221652</v>
      </c>
      <c r="S106" s="7">
        <f t="shared" si="3"/>
        <v>0.5576737397</v>
      </c>
      <c r="T106" s="7">
        <f t="shared" si="4"/>
        <v>1</v>
      </c>
      <c r="U106" s="7">
        <f t="shared" si="5"/>
        <v>1</v>
      </c>
      <c r="V106" s="7">
        <f t="shared" ref="V106:W106" si="155">IF(AVERAGE(T46:T105) &gt; 0.25, 1, 0)</f>
        <v>1</v>
      </c>
      <c r="W106" s="7">
        <f t="shared" si="155"/>
        <v>1</v>
      </c>
      <c r="X106" s="8">
        <v>1.0</v>
      </c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ht="22.5" customHeight="1">
      <c r="A107" s="6">
        <v>106.0</v>
      </c>
      <c r="B107" s="6">
        <v>24107.0</v>
      </c>
      <c r="C107" s="6">
        <v>0.21</v>
      </c>
      <c r="D107" s="6">
        <v>-0.16</v>
      </c>
      <c r="E107" s="6">
        <v>10.75</v>
      </c>
      <c r="F107" s="6">
        <v>-0.02</v>
      </c>
      <c r="G107" s="6">
        <v>-0.03</v>
      </c>
      <c r="H107" s="6">
        <v>-0.04</v>
      </c>
      <c r="I107" s="6">
        <v>33.31</v>
      </c>
      <c r="J107" s="7">
        <f t="shared" ref="J107:O107" si="156">abs(C107-C106)/200</f>
        <v>0.00395</v>
      </c>
      <c r="K107" s="7">
        <f t="shared" si="156"/>
        <v>0.0061</v>
      </c>
      <c r="L107" s="7">
        <f t="shared" si="156"/>
        <v>0.0006</v>
      </c>
      <c r="M107" s="7">
        <f t="shared" si="156"/>
        <v>0.0002</v>
      </c>
      <c r="N107" s="7">
        <f t="shared" si="156"/>
        <v>0.0005</v>
      </c>
      <c r="O107" s="7">
        <f t="shared" si="156"/>
        <v>0.00255</v>
      </c>
      <c r="P107" s="7">
        <f t="shared" si="7"/>
        <v>0.5038220917</v>
      </c>
      <c r="Q107" s="7">
        <f t="shared" si="8"/>
        <v>0.02381920655</v>
      </c>
      <c r="R107" s="7">
        <f t="shared" si="2"/>
        <v>0.9532413718</v>
      </c>
      <c r="S107" s="7">
        <f t="shared" si="3"/>
        <v>0.05385164807</v>
      </c>
      <c r="T107" s="7">
        <f t="shared" si="4"/>
        <v>1</v>
      </c>
      <c r="U107" s="7">
        <f t="shared" si="5"/>
        <v>1</v>
      </c>
      <c r="V107" s="7">
        <f t="shared" ref="V107:W107" si="157">IF(AVERAGE(T47:T106) &gt; 0.25, 1, 0)</f>
        <v>1</v>
      </c>
      <c r="W107" s="7">
        <f t="shared" si="157"/>
        <v>1</v>
      </c>
      <c r="X107" s="8">
        <v>1.0</v>
      </c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ht="22.5" customHeight="1">
      <c r="A108" s="6">
        <v>107.0</v>
      </c>
      <c r="B108" s="6">
        <v>24311.0</v>
      </c>
      <c r="C108" s="6">
        <v>1.75</v>
      </c>
      <c r="D108" s="6">
        <v>-1.33</v>
      </c>
      <c r="E108" s="6">
        <v>10.63</v>
      </c>
      <c r="F108" s="6">
        <v>-0.05</v>
      </c>
      <c r="G108" s="6">
        <v>-0.08</v>
      </c>
      <c r="H108" s="6">
        <v>0.5</v>
      </c>
      <c r="I108" s="6">
        <v>33.32</v>
      </c>
      <c r="J108" s="7">
        <f t="shared" ref="J108:O108" si="158">abs(C108-C107)/200</f>
        <v>0.0077</v>
      </c>
      <c r="K108" s="7">
        <f t="shared" si="158"/>
        <v>0.00585</v>
      </c>
      <c r="L108" s="7">
        <f t="shared" si="158"/>
        <v>0.0006</v>
      </c>
      <c r="M108" s="7">
        <f t="shared" si="158"/>
        <v>0.00015</v>
      </c>
      <c r="N108" s="7">
        <f t="shared" si="158"/>
        <v>0.00025</v>
      </c>
      <c r="O108" s="7">
        <f t="shared" si="158"/>
        <v>0.0027</v>
      </c>
      <c r="P108" s="7">
        <f t="shared" si="7"/>
        <v>0.4549705213</v>
      </c>
      <c r="Q108" s="7">
        <f t="shared" si="8"/>
        <v>0.1016331093</v>
      </c>
      <c r="R108" s="7">
        <f t="shared" si="2"/>
        <v>1.054874481</v>
      </c>
      <c r="S108" s="7">
        <f t="shared" si="3"/>
        <v>0.5088221693</v>
      </c>
      <c r="T108" s="7">
        <f t="shared" si="4"/>
        <v>1</v>
      </c>
      <c r="U108" s="7">
        <f t="shared" si="5"/>
        <v>1</v>
      </c>
      <c r="V108" s="7">
        <f t="shared" ref="V108:W108" si="159">IF(AVERAGE(T48:T107) &gt; 0.25, 1, 0)</f>
        <v>1</v>
      </c>
      <c r="W108" s="7">
        <f t="shared" si="159"/>
        <v>1</v>
      </c>
      <c r="X108" s="8">
        <v>1.0</v>
      </c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ht="22.5" customHeight="1">
      <c r="A109" s="6">
        <v>108.0</v>
      </c>
      <c r="B109" s="6">
        <v>24515.0</v>
      </c>
      <c r="C109" s="6">
        <v>2.79</v>
      </c>
      <c r="D109" s="6">
        <v>-1.45</v>
      </c>
      <c r="E109" s="6">
        <v>10.57</v>
      </c>
      <c r="F109" s="6">
        <v>-0.14</v>
      </c>
      <c r="G109" s="6">
        <v>-0.04</v>
      </c>
      <c r="H109" s="6">
        <v>0.08</v>
      </c>
      <c r="I109" s="6">
        <v>33.31</v>
      </c>
      <c r="J109" s="7">
        <f t="shared" ref="J109:O109" si="160">abs(C109-C108)/200</f>
        <v>0.0052</v>
      </c>
      <c r="K109" s="7">
        <f t="shared" si="160"/>
        <v>0.0006</v>
      </c>
      <c r="L109" s="7">
        <f t="shared" si="160"/>
        <v>0.0003</v>
      </c>
      <c r="M109" s="7">
        <f t="shared" si="160"/>
        <v>0.00045</v>
      </c>
      <c r="N109" s="7">
        <f t="shared" si="160"/>
        <v>0.0002</v>
      </c>
      <c r="O109" s="7">
        <f t="shared" si="160"/>
        <v>0.0021</v>
      </c>
      <c r="P109" s="7">
        <f t="shared" si="7"/>
        <v>0.3426896921</v>
      </c>
      <c r="Q109" s="7">
        <f t="shared" si="8"/>
        <v>0.1728859443</v>
      </c>
      <c r="R109" s="7">
        <f t="shared" si="2"/>
        <v>1.227760425</v>
      </c>
      <c r="S109" s="7">
        <f t="shared" si="3"/>
        <v>0.1661324773</v>
      </c>
      <c r="T109" s="7">
        <f t="shared" si="4"/>
        <v>1</v>
      </c>
      <c r="U109" s="7">
        <f t="shared" si="5"/>
        <v>1</v>
      </c>
      <c r="V109" s="7">
        <f t="shared" ref="V109:W109" si="161">IF(AVERAGE(T49:T108) &gt; 0.25, 1, 0)</f>
        <v>1</v>
      </c>
      <c r="W109" s="7">
        <f t="shared" si="161"/>
        <v>1</v>
      </c>
      <c r="X109" s="8">
        <v>1.0</v>
      </c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ht="22.5" customHeight="1">
      <c r="A110" s="6">
        <v>109.0</v>
      </c>
      <c r="B110" s="6">
        <v>24719.0</v>
      </c>
      <c r="C110" s="6">
        <v>1.76</v>
      </c>
      <c r="D110" s="6">
        <v>1.94</v>
      </c>
      <c r="E110" s="6">
        <v>10.58</v>
      </c>
      <c r="F110" s="6">
        <v>-0.18</v>
      </c>
      <c r="G110" s="6">
        <v>0.05</v>
      </c>
      <c r="H110" s="6">
        <v>-0.08</v>
      </c>
      <c r="I110" s="6">
        <v>33.3</v>
      </c>
      <c r="J110" s="7">
        <f t="shared" ref="J110:O110" si="162">abs(C110-C109)/200</f>
        <v>0.00515</v>
      </c>
      <c r="K110" s="7">
        <f t="shared" si="162"/>
        <v>0.01695</v>
      </c>
      <c r="L110" s="7">
        <f t="shared" si="162"/>
        <v>0.00005</v>
      </c>
      <c r="M110" s="7">
        <f t="shared" si="162"/>
        <v>0.0002</v>
      </c>
      <c r="N110" s="7">
        <f t="shared" si="162"/>
        <v>0.00045</v>
      </c>
      <c r="O110" s="7">
        <f t="shared" si="162"/>
        <v>0.0008</v>
      </c>
      <c r="P110" s="7">
        <f t="shared" si="7"/>
        <v>0.03709153707</v>
      </c>
      <c r="Q110" s="7">
        <f t="shared" si="8"/>
        <v>0.1283292476</v>
      </c>
      <c r="R110" s="7">
        <f t="shared" si="2"/>
        <v>1.099431178</v>
      </c>
      <c r="S110" s="7">
        <f t="shared" si="3"/>
        <v>0.2032240143</v>
      </c>
      <c r="T110" s="7">
        <f t="shared" si="4"/>
        <v>1</v>
      </c>
      <c r="U110" s="7">
        <f t="shared" si="5"/>
        <v>1</v>
      </c>
      <c r="V110" s="7">
        <f t="shared" ref="V110:W110" si="163">IF(AVERAGE(T50:T109) &gt; 0.25, 1, 0)</f>
        <v>1</v>
      </c>
      <c r="W110" s="7">
        <f t="shared" si="163"/>
        <v>1</v>
      </c>
      <c r="X110" s="8">
        <v>1.0</v>
      </c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ht="22.5" customHeight="1">
      <c r="A111" s="6">
        <v>110.0</v>
      </c>
      <c r="B111" s="6">
        <v>24923.0</v>
      </c>
      <c r="C111" s="6">
        <v>1.3</v>
      </c>
      <c r="D111" s="6">
        <v>1.64</v>
      </c>
      <c r="E111" s="6">
        <v>10.59</v>
      </c>
      <c r="F111" s="6">
        <v>-0.04</v>
      </c>
      <c r="G111" s="6">
        <v>-0.02</v>
      </c>
      <c r="H111" s="6">
        <v>0.05</v>
      </c>
      <c r="I111" s="6">
        <v>33.32</v>
      </c>
      <c r="J111" s="7">
        <f t="shared" ref="J111:O111" si="164">abs(C111-C110)/200</f>
        <v>0.0023</v>
      </c>
      <c r="K111" s="7">
        <f t="shared" si="164"/>
        <v>0.0015</v>
      </c>
      <c r="L111" s="7">
        <f t="shared" si="164"/>
        <v>0.00005</v>
      </c>
      <c r="M111" s="7">
        <f t="shared" si="164"/>
        <v>0.0007</v>
      </c>
      <c r="N111" s="7">
        <f t="shared" si="164"/>
        <v>0.00035</v>
      </c>
      <c r="O111" s="7">
        <f t="shared" si="164"/>
        <v>0.00065</v>
      </c>
      <c r="P111" s="7">
        <f t="shared" si="7"/>
        <v>0.136141975</v>
      </c>
      <c r="Q111" s="7">
        <f t="shared" si="8"/>
        <v>0.1046315039</v>
      </c>
      <c r="R111" s="7">
        <f t="shared" si="2"/>
        <v>0.9947996739</v>
      </c>
      <c r="S111" s="7">
        <f t="shared" si="3"/>
        <v>0.06708203932</v>
      </c>
      <c r="T111" s="7">
        <f t="shared" si="4"/>
        <v>1</v>
      </c>
      <c r="U111" s="7">
        <f t="shared" si="5"/>
        <v>1</v>
      </c>
      <c r="V111" s="7">
        <f t="shared" ref="V111:W111" si="165">IF(AVERAGE(T51:T110) &gt; 0.25, 1, 0)</f>
        <v>1</v>
      </c>
      <c r="W111" s="7">
        <f t="shared" si="165"/>
        <v>1</v>
      </c>
      <c r="X111" s="8">
        <v>1.0</v>
      </c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ht="22.5" customHeight="1">
      <c r="A112" s="6">
        <v>111.0</v>
      </c>
      <c r="B112" s="6">
        <v>25127.0</v>
      </c>
      <c r="C112" s="6">
        <v>2.96</v>
      </c>
      <c r="D112" s="6">
        <v>-0.96</v>
      </c>
      <c r="E112" s="6">
        <v>10.58</v>
      </c>
      <c r="F112" s="6">
        <v>0.02</v>
      </c>
      <c r="G112" s="6">
        <v>-0.01</v>
      </c>
      <c r="H112" s="6">
        <v>0.75</v>
      </c>
      <c r="I112" s="6">
        <v>33.32</v>
      </c>
      <c r="J112" s="7">
        <f t="shared" ref="J112:O112" si="166">abs(C112-C111)/200</f>
        <v>0.0083</v>
      </c>
      <c r="K112" s="7">
        <f t="shared" si="166"/>
        <v>0.013</v>
      </c>
      <c r="L112" s="7">
        <f t="shared" si="166"/>
        <v>0.00005</v>
      </c>
      <c r="M112" s="7">
        <f t="shared" si="166"/>
        <v>0.0003</v>
      </c>
      <c r="N112" s="7">
        <f t="shared" si="166"/>
        <v>0.00005</v>
      </c>
      <c r="O112" s="7">
        <f t="shared" si="166"/>
        <v>0.0035</v>
      </c>
      <c r="P112" s="7">
        <f t="shared" si="7"/>
        <v>0.68325122</v>
      </c>
      <c r="Q112" s="7">
        <f t="shared" si="8"/>
        <v>0.2333280004</v>
      </c>
      <c r="R112" s="7">
        <f t="shared" si="2"/>
        <v>1.228127674</v>
      </c>
      <c r="S112" s="7">
        <f t="shared" si="3"/>
        <v>0.7503332593</v>
      </c>
      <c r="T112" s="7">
        <f t="shared" si="4"/>
        <v>1</v>
      </c>
      <c r="U112" s="7">
        <f t="shared" si="5"/>
        <v>1</v>
      </c>
      <c r="V112" s="7">
        <f t="shared" ref="V112:W112" si="167">IF(AVERAGE(T52:T111) &gt; 0.25, 1, 0)</f>
        <v>1</v>
      </c>
      <c r="W112" s="7">
        <f t="shared" si="167"/>
        <v>1</v>
      </c>
      <c r="X112" s="8">
        <v>1.0</v>
      </c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ht="22.5" customHeight="1">
      <c r="A113" s="6">
        <v>112.0</v>
      </c>
      <c r="B113" s="6">
        <v>25331.0</v>
      </c>
      <c r="C113" s="6">
        <v>2.87</v>
      </c>
      <c r="D113" s="6">
        <v>-2.77</v>
      </c>
      <c r="E113" s="6">
        <v>10.38</v>
      </c>
      <c r="F113" s="6">
        <v>-0.17</v>
      </c>
      <c r="G113" s="6">
        <v>0.01</v>
      </c>
      <c r="H113" s="6">
        <v>-1.25</v>
      </c>
      <c r="I113" s="6">
        <v>33.32</v>
      </c>
      <c r="J113" s="7">
        <f t="shared" ref="J113:O113" si="168">abs(C113-C112)/200</f>
        <v>0.00045</v>
      </c>
      <c r="K113" s="7">
        <f t="shared" si="168"/>
        <v>0.00905</v>
      </c>
      <c r="L113" s="7">
        <f t="shared" si="168"/>
        <v>0.001</v>
      </c>
      <c r="M113" s="7">
        <f t="shared" si="168"/>
        <v>0.00095</v>
      </c>
      <c r="N113" s="7">
        <f t="shared" si="168"/>
        <v>0.0001</v>
      </c>
      <c r="O113" s="7">
        <f t="shared" si="168"/>
        <v>0.01</v>
      </c>
      <c r="P113" s="7">
        <f t="shared" si="7"/>
        <v>0.5112134105</v>
      </c>
      <c r="Q113" s="7">
        <f t="shared" si="8"/>
        <v>0.09186333292</v>
      </c>
      <c r="R113" s="7">
        <f t="shared" si="2"/>
        <v>1.319991007</v>
      </c>
      <c r="S113" s="7">
        <f t="shared" si="3"/>
        <v>1.26154667</v>
      </c>
      <c r="T113" s="7">
        <f t="shared" si="4"/>
        <v>1</v>
      </c>
      <c r="U113" s="7">
        <f t="shared" si="5"/>
        <v>1</v>
      </c>
      <c r="V113" s="7">
        <f t="shared" ref="V113:W113" si="169">IF(AVERAGE(T53:T112) &gt; 0.25, 1, 0)</f>
        <v>1</v>
      </c>
      <c r="W113" s="7">
        <f t="shared" si="169"/>
        <v>1</v>
      </c>
      <c r="X113" s="8">
        <v>1.0</v>
      </c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ht="22.5" customHeight="1">
      <c r="A114" s="6">
        <v>113.0</v>
      </c>
      <c r="B114" s="6">
        <v>25535.0</v>
      </c>
      <c r="C114" s="6">
        <v>-0.01</v>
      </c>
      <c r="D114" s="6">
        <v>-0.64</v>
      </c>
      <c r="E114" s="6">
        <v>10.68</v>
      </c>
      <c r="F114" s="6">
        <v>-0.47</v>
      </c>
      <c r="G114" s="6">
        <v>0.1</v>
      </c>
      <c r="H114" s="6">
        <v>-1.72</v>
      </c>
      <c r="I114" s="6">
        <v>33.32</v>
      </c>
      <c r="J114" s="7">
        <f t="shared" ref="J114:O114" si="170">abs(C114-C113)/200</f>
        <v>0.0144</v>
      </c>
      <c r="K114" s="7">
        <f t="shared" si="170"/>
        <v>0.01065</v>
      </c>
      <c r="L114" s="7">
        <f t="shared" si="170"/>
        <v>0.0015</v>
      </c>
      <c r="M114" s="7">
        <f t="shared" si="170"/>
        <v>0.0015</v>
      </c>
      <c r="N114" s="7">
        <f t="shared" si="170"/>
        <v>0.00045</v>
      </c>
      <c r="O114" s="7">
        <f t="shared" si="170"/>
        <v>0.00235</v>
      </c>
      <c r="P114" s="7">
        <f t="shared" si="7"/>
        <v>0.5243144671</v>
      </c>
      <c r="Q114" s="7">
        <f t="shared" si="8"/>
        <v>0.4208274885</v>
      </c>
      <c r="R114" s="7">
        <f t="shared" si="2"/>
        <v>0.8991635187</v>
      </c>
      <c r="S114" s="7">
        <f t="shared" si="3"/>
        <v>1.785861137</v>
      </c>
      <c r="T114" s="7">
        <f t="shared" si="4"/>
        <v>1</v>
      </c>
      <c r="U114" s="7">
        <f t="shared" si="5"/>
        <v>1</v>
      </c>
      <c r="V114" s="7">
        <f t="shared" ref="V114:W114" si="171">IF(AVERAGE(T54:T113) &gt; 0.25, 1, 0)</f>
        <v>1</v>
      </c>
      <c r="W114" s="7">
        <f t="shared" si="171"/>
        <v>1</v>
      </c>
      <c r="X114" s="8">
        <v>1.0</v>
      </c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ht="22.5" customHeight="1">
      <c r="A115" s="6">
        <v>114.0</v>
      </c>
      <c r="B115" s="6">
        <v>25739.0</v>
      </c>
      <c r="C115" s="6">
        <v>0.16</v>
      </c>
      <c r="D115" s="6">
        <v>1.62</v>
      </c>
      <c r="E115" s="6">
        <v>10.61</v>
      </c>
      <c r="F115" s="6">
        <v>-0.12</v>
      </c>
      <c r="G115" s="6">
        <v>0.02</v>
      </c>
      <c r="H115" s="6">
        <v>-0.23</v>
      </c>
      <c r="I115" s="6">
        <v>33.32</v>
      </c>
      <c r="J115" s="7">
        <f t="shared" ref="J115:O115" si="172">abs(C115-C114)/200</f>
        <v>0.00085</v>
      </c>
      <c r="K115" s="7">
        <f t="shared" si="172"/>
        <v>0.0113</v>
      </c>
      <c r="L115" s="7">
        <f t="shared" si="172"/>
        <v>0.00035</v>
      </c>
      <c r="M115" s="7">
        <f t="shared" si="172"/>
        <v>0.00175</v>
      </c>
      <c r="N115" s="7">
        <f t="shared" si="172"/>
        <v>0.0004</v>
      </c>
      <c r="O115" s="7">
        <f t="shared" si="172"/>
        <v>0.00745</v>
      </c>
      <c r="P115" s="7">
        <f t="shared" si="7"/>
        <v>1.5256689</v>
      </c>
      <c r="Q115" s="7">
        <f t="shared" si="8"/>
        <v>0.03499224689</v>
      </c>
      <c r="R115" s="7">
        <f t="shared" si="2"/>
        <v>0.9341557656</v>
      </c>
      <c r="S115" s="7">
        <f t="shared" si="3"/>
        <v>0.2601922366</v>
      </c>
      <c r="T115" s="7">
        <f t="shared" si="4"/>
        <v>1</v>
      </c>
      <c r="U115" s="7">
        <f t="shared" si="5"/>
        <v>1</v>
      </c>
      <c r="V115" s="7">
        <f t="shared" ref="V115:W115" si="173">IF(AVERAGE(T55:T114) &gt; 0.25, 1, 0)</f>
        <v>1</v>
      </c>
      <c r="W115" s="7">
        <f t="shared" si="173"/>
        <v>1</v>
      </c>
      <c r="X115" s="8">
        <v>1.0</v>
      </c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ht="22.5" customHeight="1">
      <c r="A116" s="6">
        <v>115.0</v>
      </c>
      <c r="B116" s="6">
        <v>25943.0</v>
      </c>
      <c r="C116" s="6">
        <v>0.05</v>
      </c>
      <c r="D116" s="6">
        <v>0.39</v>
      </c>
      <c r="E116" s="6">
        <v>10.89</v>
      </c>
      <c r="F116" s="6">
        <v>0.13</v>
      </c>
      <c r="G116" s="6">
        <v>-0.1</v>
      </c>
      <c r="H116" s="6">
        <v>0.74</v>
      </c>
      <c r="I116" s="6">
        <v>33.32</v>
      </c>
      <c r="J116" s="7">
        <f t="shared" ref="J116:O116" si="174">abs(C116-C115)/200</f>
        <v>0.00055</v>
      </c>
      <c r="K116" s="7">
        <f t="shared" si="174"/>
        <v>0.00615</v>
      </c>
      <c r="L116" s="7">
        <f t="shared" si="174"/>
        <v>0.0014</v>
      </c>
      <c r="M116" s="7">
        <f t="shared" si="174"/>
        <v>0.00125</v>
      </c>
      <c r="N116" s="7">
        <f t="shared" si="174"/>
        <v>0.0006</v>
      </c>
      <c r="O116" s="7">
        <f t="shared" si="174"/>
        <v>0.00485</v>
      </c>
      <c r="P116" s="7">
        <f t="shared" si="7"/>
        <v>0.4977655458</v>
      </c>
      <c r="Q116" s="7">
        <f t="shared" si="8"/>
        <v>0.1629401778</v>
      </c>
      <c r="R116" s="7">
        <f t="shared" si="2"/>
        <v>1.097095943</v>
      </c>
      <c r="S116" s="7">
        <f t="shared" si="3"/>
        <v>0.7579577825</v>
      </c>
      <c r="T116" s="7">
        <f t="shared" si="4"/>
        <v>1</v>
      </c>
      <c r="U116" s="7">
        <f t="shared" si="5"/>
        <v>1</v>
      </c>
      <c r="V116" s="7">
        <f t="shared" ref="V116:W116" si="175">IF(AVERAGE(T56:T115) &gt; 0.25, 1, 0)</f>
        <v>1</v>
      </c>
      <c r="W116" s="7">
        <f t="shared" si="175"/>
        <v>1</v>
      </c>
      <c r="X116" s="8">
        <v>1.0</v>
      </c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ht="22.5" customHeight="1">
      <c r="A117" s="6">
        <v>116.0</v>
      </c>
      <c r="B117" s="6">
        <v>26147.0</v>
      </c>
      <c r="C117" s="6">
        <v>3.85</v>
      </c>
      <c r="D117" s="6">
        <v>-2.5</v>
      </c>
      <c r="E117" s="6">
        <v>10.41</v>
      </c>
      <c r="F117" s="6">
        <v>0.01</v>
      </c>
      <c r="G117" s="6">
        <v>0.12</v>
      </c>
      <c r="H117" s="6">
        <v>1.25</v>
      </c>
      <c r="I117" s="6">
        <v>33.32</v>
      </c>
      <c r="J117" s="7">
        <f t="shared" ref="J117:O117" si="176">abs(C117-C116)/200</f>
        <v>0.019</v>
      </c>
      <c r="K117" s="7">
        <f t="shared" si="176"/>
        <v>0.01445</v>
      </c>
      <c r="L117" s="7">
        <f t="shared" si="176"/>
        <v>0.0024</v>
      </c>
      <c r="M117" s="7">
        <f t="shared" si="176"/>
        <v>0.0006</v>
      </c>
      <c r="N117" s="7">
        <f t="shared" si="176"/>
        <v>0.0011</v>
      </c>
      <c r="O117" s="7">
        <f t="shared" si="176"/>
        <v>0.00255</v>
      </c>
      <c r="P117" s="7">
        <f t="shared" si="7"/>
        <v>0.4978288236</v>
      </c>
      <c r="Q117" s="7">
        <f t="shared" si="8"/>
        <v>0.4801005478</v>
      </c>
      <c r="R117" s="7">
        <f t="shared" si="2"/>
        <v>1.577196491</v>
      </c>
      <c r="S117" s="7">
        <f t="shared" si="3"/>
        <v>1.255786606</v>
      </c>
      <c r="T117" s="7">
        <f t="shared" si="4"/>
        <v>1</v>
      </c>
      <c r="U117" s="7">
        <f t="shared" si="5"/>
        <v>1</v>
      </c>
      <c r="V117" s="7">
        <f t="shared" ref="V117:W117" si="177">IF(AVERAGE(T57:T116) &gt; 0.25, 1, 0)</f>
        <v>1</v>
      </c>
      <c r="W117" s="7">
        <f t="shared" si="177"/>
        <v>1</v>
      </c>
      <c r="X117" s="8">
        <v>1.0</v>
      </c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ht="22.5" customHeight="1">
      <c r="A118" s="6">
        <v>117.0</v>
      </c>
      <c r="B118" s="6">
        <v>26351.0</v>
      </c>
      <c r="C118" s="6">
        <v>2.7</v>
      </c>
      <c r="D118" s="6">
        <v>-1.06</v>
      </c>
      <c r="E118" s="6">
        <v>10.64</v>
      </c>
      <c r="F118" s="6">
        <v>-0.16</v>
      </c>
      <c r="G118" s="6">
        <v>0.04</v>
      </c>
      <c r="H118" s="6">
        <v>0.24</v>
      </c>
      <c r="I118" s="6">
        <v>33.32</v>
      </c>
      <c r="J118" s="7">
        <f t="shared" ref="J118:O118" si="178">abs(C118-C117)/200</f>
        <v>0.00575</v>
      </c>
      <c r="K118" s="7">
        <f t="shared" si="178"/>
        <v>0.0072</v>
      </c>
      <c r="L118" s="7">
        <f t="shared" si="178"/>
        <v>0.00115</v>
      </c>
      <c r="M118" s="7">
        <f t="shared" si="178"/>
        <v>0.00085</v>
      </c>
      <c r="N118" s="7">
        <f t="shared" si="178"/>
        <v>0.0004</v>
      </c>
      <c r="O118" s="7">
        <f t="shared" si="178"/>
        <v>0.00505</v>
      </c>
      <c r="P118" s="7">
        <f t="shared" si="7"/>
        <v>0.9645822105</v>
      </c>
      <c r="Q118" s="7">
        <f t="shared" si="8"/>
        <v>0.3489055992</v>
      </c>
      <c r="R118" s="7">
        <f t="shared" si="2"/>
        <v>1.228290892</v>
      </c>
      <c r="S118" s="7">
        <f t="shared" si="3"/>
        <v>0.2912043956</v>
      </c>
      <c r="T118" s="7">
        <f t="shared" si="4"/>
        <v>1</v>
      </c>
      <c r="U118" s="7">
        <f t="shared" si="5"/>
        <v>1</v>
      </c>
      <c r="V118" s="7">
        <f t="shared" ref="V118:W118" si="179">IF(AVERAGE(T58:T117) &gt; 0.25, 1, 0)</f>
        <v>1</v>
      </c>
      <c r="W118" s="7">
        <f t="shared" si="179"/>
        <v>1</v>
      </c>
      <c r="X118" s="8">
        <v>1.0</v>
      </c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ht="22.5" customHeight="1">
      <c r="A119" s="6">
        <v>118.0</v>
      </c>
      <c r="B119" s="6">
        <v>26555.0</v>
      </c>
      <c r="C119" s="6">
        <v>1.97</v>
      </c>
      <c r="D119" s="6">
        <v>1.62</v>
      </c>
      <c r="E119" s="6">
        <v>10.66</v>
      </c>
      <c r="F119" s="6">
        <v>-0.16</v>
      </c>
      <c r="G119" s="6">
        <v>-0.03</v>
      </c>
      <c r="H119" s="6">
        <v>-0.24</v>
      </c>
      <c r="I119" s="6">
        <v>33.32</v>
      </c>
      <c r="J119" s="7">
        <f t="shared" ref="J119:O119" si="180">abs(C119-C118)/200</f>
        <v>0.00365</v>
      </c>
      <c r="K119" s="7">
        <f t="shared" si="180"/>
        <v>0.0134</v>
      </c>
      <c r="L119" s="7">
        <f t="shared" si="180"/>
        <v>0.0001</v>
      </c>
      <c r="M119" s="7">
        <f t="shared" si="180"/>
        <v>0</v>
      </c>
      <c r="N119" s="7">
        <f t="shared" si="180"/>
        <v>0.00035</v>
      </c>
      <c r="O119" s="7">
        <f t="shared" si="180"/>
        <v>0.0024</v>
      </c>
      <c r="P119" s="7">
        <f t="shared" si="7"/>
        <v>0.001204395571</v>
      </c>
      <c r="Q119" s="7">
        <f t="shared" si="8"/>
        <v>0.06741045298</v>
      </c>
      <c r="R119" s="7">
        <f t="shared" si="2"/>
        <v>1.160880439</v>
      </c>
      <c r="S119" s="7">
        <f t="shared" si="3"/>
        <v>0.29</v>
      </c>
      <c r="T119" s="7">
        <f t="shared" si="4"/>
        <v>1</v>
      </c>
      <c r="U119" s="7">
        <f t="shared" si="5"/>
        <v>1</v>
      </c>
      <c r="V119" s="7">
        <f t="shared" ref="V119:W119" si="181">IF(AVERAGE(T59:T118) &gt; 0.25, 1, 0)</f>
        <v>1</v>
      </c>
      <c r="W119" s="7">
        <f t="shared" si="181"/>
        <v>1</v>
      </c>
      <c r="X119" s="8">
        <v>1.0</v>
      </c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ht="22.5" customHeight="1">
      <c r="A120" s="6">
        <v>119.0</v>
      </c>
      <c r="B120" s="6">
        <v>26759.0</v>
      </c>
      <c r="C120" s="6">
        <v>3.86</v>
      </c>
      <c r="D120" s="6">
        <v>0.4</v>
      </c>
      <c r="E120" s="6">
        <v>10.37</v>
      </c>
      <c r="F120" s="6">
        <v>-0.09</v>
      </c>
      <c r="G120" s="6">
        <v>0.08</v>
      </c>
      <c r="H120" s="6">
        <v>-1.07</v>
      </c>
      <c r="I120" s="6">
        <v>33.32</v>
      </c>
      <c r="J120" s="7">
        <f t="shared" ref="J120:O120" si="182">abs(C120-C119)/200</f>
        <v>0.00945</v>
      </c>
      <c r="K120" s="7">
        <f t="shared" si="182"/>
        <v>0.0061</v>
      </c>
      <c r="L120" s="7">
        <f t="shared" si="182"/>
        <v>0.00145</v>
      </c>
      <c r="M120" s="7">
        <f t="shared" si="182"/>
        <v>0.00035</v>
      </c>
      <c r="N120" s="7">
        <f t="shared" si="182"/>
        <v>0.00055</v>
      </c>
      <c r="O120" s="7">
        <f t="shared" si="182"/>
        <v>0.00415</v>
      </c>
      <c r="P120" s="7">
        <f t="shared" si="7"/>
        <v>0.7867543824</v>
      </c>
      <c r="Q120" s="7">
        <f t="shared" si="8"/>
        <v>0.1114499389</v>
      </c>
      <c r="R120" s="7">
        <f t="shared" si="2"/>
        <v>1.272330378</v>
      </c>
      <c r="S120" s="7">
        <f t="shared" si="3"/>
        <v>1.076754382</v>
      </c>
      <c r="T120" s="7">
        <f t="shared" si="4"/>
        <v>1</v>
      </c>
      <c r="U120" s="7">
        <f t="shared" si="5"/>
        <v>1</v>
      </c>
      <c r="V120" s="7">
        <f t="shared" ref="V120:W120" si="183">IF(AVERAGE(T60:T119) &gt; 0.25, 1, 0)</f>
        <v>1</v>
      </c>
      <c r="W120" s="7">
        <f t="shared" si="183"/>
        <v>1</v>
      </c>
      <c r="X120" s="8">
        <v>1.0</v>
      </c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ht="22.5" customHeight="1">
      <c r="A121" s="6">
        <v>120.0</v>
      </c>
      <c r="B121" s="6">
        <v>26963.0</v>
      </c>
      <c r="C121" s="6">
        <v>-2.8</v>
      </c>
      <c r="D121" s="6">
        <v>0.15</v>
      </c>
      <c r="E121" s="6">
        <v>11.2</v>
      </c>
      <c r="F121" s="6">
        <v>-0.22</v>
      </c>
      <c r="G121" s="6">
        <v>0.07</v>
      </c>
      <c r="H121" s="6">
        <v>-0.9</v>
      </c>
      <c r="I121" s="6">
        <v>33.32</v>
      </c>
      <c r="J121" s="7">
        <f t="shared" ref="J121:O121" si="184">abs(C121-C120)/200</f>
        <v>0.0333</v>
      </c>
      <c r="K121" s="7">
        <f t="shared" si="184"/>
        <v>0.00125</v>
      </c>
      <c r="L121" s="7">
        <f t="shared" si="184"/>
        <v>0.00415</v>
      </c>
      <c r="M121" s="7">
        <f t="shared" si="184"/>
        <v>0.00065</v>
      </c>
      <c r="N121" s="7">
        <f t="shared" si="184"/>
        <v>0.00005</v>
      </c>
      <c r="O121" s="7">
        <f t="shared" si="184"/>
        <v>0.00085</v>
      </c>
      <c r="P121" s="7">
        <f t="shared" si="7"/>
        <v>0.1476149956</v>
      </c>
      <c r="Q121" s="7">
        <f t="shared" si="8"/>
        <v>0.4733398061</v>
      </c>
      <c r="R121" s="7">
        <f t="shared" si="2"/>
        <v>1.745670184</v>
      </c>
      <c r="S121" s="7">
        <f t="shared" si="3"/>
        <v>0.9291393867</v>
      </c>
      <c r="T121" s="7">
        <f t="shared" si="4"/>
        <v>1</v>
      </c>
      <c r="U121" s="7">
        <f t="shared" si="5"/>
        <v>1</v>
      </c>
      <c r="V121" s="7">
        <f t="shared" ref="V121:W121" si="185">IF(AVERAGE(T61:T120) &gt; 0.25, 1, 0)</f>
        <v>1</v>
      </c>
      <c r="W121" s="7">
        <f t="shared" si="185"/>
        <v>1</v>
      </c>
      <c r="X121" s="8">
        <v>1.0</v>
      </c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ht="22.5" customHeight="1">
      <c r="A122" s="6">
        <v>121.0</v>
      </c>
      <c r="B122" s="6">
        <v>27167.0</v>
      </c>
      <c r="C122" s="6">
        <v>0.1</v>
      </c>
      <c r="D122" s="6">
        <v>-1.32</v>
      </c>
      <c r="E122" s="6">
        <v>10.92</v>
      </c>
      <c r="F122" s="6">
        <v>0.04</v>
      </c>
      <c r="G122" s="6">
        <v>-0.01</v>
      </c>
      <c r="H122" s="6">
        <v>0.33</v>
      </c>
      <c r="I122" s="6">
        <v>33.32</v>
      </c>
      <c r="J122" s="7">
        <f t="shared" ref="J122:O122" si="186">abs(C122-C121)/200</f>
        <v>0.0145</v>
      </c>
      <c r="K122" s="7">
        <f t="shared" si="186"/>
        <v>0.00735</v>
      </c>
      <c r="L122" s="7">
        <f t="shared" si="186"/>
        <v>0.0014</v>
      </c>
      <c r="M122" s="7">
        <f t="shared" si="186"/>
        <v>0.0013</v>
      </c>
      <c r="N122" s="7">
        <f t="shared" si="186"/>
        <v>0.0004</v>
      </c>
      <c r="O122" s="7">
        <f t="shared" si="186"/>
        <v>0.00615</v>
      </c>
      <c r="P122" s="7">
        <f t="shared" si="7"/>
        <v>0.5965736038</v>
      </c>
      <c r="Q122" s="7">
        <f t="shared" si="8"/>
        <v>0.5457247297</v>
      </c>
      <c r="R122" s="7">
        <f t="shared" si="2"/>
        <v>1.199945454</v>
      </c>
      <c r="S122" s="7">
        <f t="shared" si="3"/>
        <v>0.332565783</v>
      </c>
      <c r="T122" s="7">
        <f t="shared" si="4"/>
        <v>1</v>
      </c>
      <c r="U122" s="7">
        <f t="shared" si="5"/>
        <v>1</v>
      </c>
      <c r="V122" s="7">
        <f t="shared" ref="V122:W122" si="187">IF(AVERAGE(T62:T121) &gt; 0.25, 1, 0)</f>
        <v>1</v>
      </c>
      <c r="W122" s="7">
        <f t="shared" si="187"/>
        <v>1</v>
      </c>
      <c r="X122" s="8">
        <v>1.0</v>
      </c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ht="22.5" customHeight="1">
      <c r="A123" s="6">
        <v>122.0</v>
      </c>
      <c r="B123" s="6">
        <v>27371.0</v>
      </c>
      <c r="C123" s="6">
        <v>1.03</v>
      </c>
      <c r="D123" s="6">
        <v>-1.94</v>
      </c>
      <c r="E123" s="6">
        <v>10.36</v>
      </c>
      <c r="F123" s="6">
        <v>0.13</v>
      </c>
      <c r="G123" s="6">
        <v>-0.44</v>
      </c>
      <c r="H123" s="6">
        <v>1.29</v>
      </c>
      <c r="I123" s="6">
        <v>33.33</v>
      </c>
      <c r="J123" s="7">
        <f t="shared" ref="J123:O123" si="188">abs(C123-C122)/200</f>
        <v>0.00465</v>
      </c>
      <c r="K123" s="7">
        <f t="shared" si="188"/>
        <v>0.0031</v>
      </c>
      <c r="L123" s="7">
        <f t="shared" si="188"/>
        <v>0.0028</v>
      </c>
      <c r="M123" s="7">
        <f t="shared" si="188"/>
        <v>0.00045</v>
      </c>
      <c r="N123" s="7">
        <f t="shared" si="188"/>
        <v>0.00215</v>
      </c>
      <c r="O123" s="7">
        <f t="shared" si="188"/>
        <v>0.0048</v>
      </c>
      <c r="P123" s="7">
        <f t="shared" si="7"/>
        <v>1.036594544</v>
      </c>
      <c r="Q123" s="7">
        <f t="shared" si="8"/>
        <v>0.4096621721</v>
      </c>
      <c r="R123" s="7">
        <f t="shared" si="2"/>
        <v>0.7902832823</v>
      </c>
      <c r="S123" s="7">
        <f t="shared" si="3"/>
        <v>1.369160327</v>
      </c>
      <c r="T123" s="7">
        <f t="shared" si="4"/>
        <v>1</v>
      </c>
      <c r="U123" s="7">
        <f t="shared" si="5"/>
        <v>1</v>
      </c>
      <c r="V123" s="7">
        <f t="shared" ref="V123:W123" si="189">IF(AVERAGE(T63:T122) &gt; 0.25, 1, 0)</f>
        <v>1</v>
      </c>
      <c r="W123" s="7">
        <f t="shared" si="189"/>
        <v>1</v>
      </c>
      <c r="X123" s="8">
        <v>1.0</v>
      </c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ht="22.5" customHeight="1">
      <c r="A124" s="6">
        <v>123.0</v>
      </c>
      <c r="B124" s="6">
        <v>27575.0</v>
      </c>
      <c r="C124" s="6">
        <v>3.67</v>
      </c>
      <c r="D124" s="6">
        <v>-0.71</v>
      </c>
      <c r="E124" s="6">
        <v>10.54</v>
      </c>
      <c r="F124" s="6">
        <v>-0.15</v>
      </c>
      <c r="G124" s="6">
        <v>-0.01</v>
      </c>
      <c r="H124" s="6">
        <v>0.22</v>
      </c>
      <c r="I124" s="6">
        <v>33.32</v>
      </c>
      <c r="J124" s="7">
        <f t="shared" ref="J124:O124" si="190">abs(C124-C123)/200</f>
        <v>0.0132</v>
      </c>
      <c r="K124" s="7">
        <f t="shared" si="190"/>
        <v>0.00615</v>
      </c>
      <c r="L124" s="7">
        <f t="shared" si="190"/>
        <v>0.0009</v>
      </c>
      <c r="M124" s="7">
        <f t="shared" si="190"/>
        <v>0.0014</v>
      </c>
      <c r="N124" s="7">
        <f t="shared" si="190"/>
        <v>0.00215</v>
      </c>
      <c r="O124" s="7">
        <f t="shared" si="190"/>
        <v>0.00535</v>
      </c>
      <c r="P124" s="7">
        <f t="shared" si="7"/>
        <v>1.102702075</v>
      </c>
      <c r="Q124" s="7">
        <f t="shared" si="8"/>
        <v>0.5929452318</v>
      </c>
      <c r="R124" s="7">
        <f t="shared" si="2"/>
        <v>1.383228514</v>
      </c>
      <c r="S124" s="7">
        <f t="shared" si="3"/>
        <v>0.2664582519</v>
      </c>
      <c r="T124" s="7">
        <f t="shared" si="4"/>
        <v>1</v>
      </c>
      <c r="U124" s="7">
        <f t="shared" si="5"/>
        <v>1</v>
      </c>
      <c r="V124" s="7">
        <f t="shared" ref="V124:W124" si="191">IF(AVERAGE(T64:T123) &gt; 0.25, 1, 0)</f>
        <v>1</v>
      </c>
      <c r="W124" s="7">
        <f t="shared" si="191"/>
        <v>1</v>
      </c>
      <c r="X124" s="8">
        <v>1.0</v>
      </c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ht="22.5" customHeight="1">
      <c r="A125" s="6">
        <v>124.0</v>
      </c>
      <c r="B125" s="6">
        <v>27779.0</v>
      </c>
      <c r="C125" s="6">
        <v>2.42</v>
      </c>
      <c r="D125" s="6">
        <v>1.29</v>
      </c>
      <c r="E125" s="6">
        <v>10.66</v>
      </c>
      <c r="F125" s="6">
        <v>-0.17</v>
      </c>
      <c r="G125" s="6">
        <v>0.01</v>
      </c>
      <c r="H125" s="6">
        <v>0.03</v>
      </c>
      <c r="I125" s="6">
        <v>33.33</v>
      </c>
      <c r="J125" s="7">
        <f t="shared" ref="J125:O125" si="192">abs(C125-C124)/200</f>
        <v>0.00625</v>
      </c>
      <c r="K125" s="7">
        <f t="shared" si="192"/>
        <v>0.01</v>
      </c>
      <c r="L125" s="7">
        <f t="shared" si="192"/>
        <v>0.0006</v>
      </c>
      <c r="M125" s="7">
        <f t="shared" si="192"/>
        <v>0.0001</v>
      </c>
      <c r="N125" s="7">
        <f t="shared" si="192"/>
        <v>0.0001</v>
      </c>
      <c r="O125" s="7">
        <f t="shared" si="192"/>
        <v>0.00095</v>
      </c>
      <c r="P125" s="7">
        <f t="shared" si="7"/>
        <v>0.09354208723</v>
      </c>
      <c r="Q125" s="7">
        <f t="shared" si="8"/>
        <v>0.1761353466</v>
      </c>
      <c r="R125" s="7">
        <f t="shared" si="2"/>
        <v>1.207093168</v>
      </c>
      <c r="S125" s="7">
        <f t="shared" si="3"/>
        <v>0.1729161647</v>
      </c>
      <c r="T125" s="7">
        <f t="shared" si="4"/>
        <v>1</v>
      </c>
      <c r="U125" s="7">
        <f t="shared" si="5"/>
        <v>1</v>
      </c>
      <c r="V125" s="7">
        <f t="shared" ref="V125:W125" si="193">IF(AVERAGE(T65:T124) &gt; 0.25, 1, 0)</f>
        <v>1</v>
      </c>
      <c r="W125" s="7">
        <f t="shared" si="193"/>
        <v>1</v>
      </c>
      <c r="X125" s="8">
        <v>1.0</v>
      </c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ht="22.5" customHeight="1">
      <c r="A126" s="6">
        <v>125.0</v>
      </c>
      <c r="B126" s="6">
        <v>27983.0</v>
      </c>
      <c r="C126" s="6">
        <v>0.55</v>
      </c>
      <c r="D126" s="6">
        <v>0.71</v>
      </c>
      <c r="E126" s="6">
        <v>10.52</v>
      </c>
      <c r="F126" s="6">
        <v>-0.37</v>
      </c>
      <c r="G126" s="6">
        <v>0.35</v>
      </c>
      <c r="H126" s="6">
        <v>-1.83</v>
      </c>
      <c r="I126" s="6">
        <v>33.32</v>
      </c>
      <c r="J126" s="7">
        <f t="shared" ref="J126:O126" si="194">abs(C126-C125)/200</f>
        <v>0.00935</v>
      </c>
      <c r="K126" s="7">
        <f t="shared" si="194"/>
        <v>0.0029</v>
      </c>
      <c r="L126" s="7">
        <f t="shared" si="194"/>
        <v>0.0007</v>
      </c>
      <c r="M126" s="7">
        <f t="shared" si="194"/>
        <v>0.001</v>
      </c>
      <c r="N126" s="7">
        <f t="shared" si="194"/>
        <v>0.0017</v>
      </c>
      <c r="O126" s="7">
        <f t="shared" si="194"/>
        <v>0.0093</v>
      </c>
      <c r="P126" s="7">
        <f t="shared" si="7"/>
        <v>1.726636414</v>
      </c>
      <c r="Q126" s="7">
        <f t="shared" si="8"/>
        <v>0.4488262644</v>
      </c>
      <c r="R126" s="7">
        <f t="shared" si="2"/>
        <v>0.7582669032</v>
      </c>
      <c r="S126" s="7">
        <f t="shared" si="3"/>
        <v>1.899552579</v>
      </c>
      <c r="T126" s="7">
        <f t="shared" si="4"/>
        <v>1</v>
      </c>
      <c r="U126" s="7">
        <f t="shared" si="5"/>
        <v>1</v>
      </c>
      <c r="V126" s="7">
        <f t="shared" ref="V126:W126" si="195">IF(AVERAGE(T66:T125) &gt; 0.25, 1, 0)</f>
        <v>1</v>
      </c>
      <c r="W126" s="7">
        <f t="shared" si="195"/>
        <v>1</v>
      </c>
      <c r="X126" s="8">
        <v>1.0</v>
      </c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ht="22.5" customHeight="1">
      <c r="A127" s="6">
        <v>126.0</v>
      </c>
      <c r="B127" s="6">
        <v>28187.0</v>
      </c>
      <c r="C127" s="6">
        <v>-0.61</v>
      </c>
      <c r="D127" s="6">
        <v>0.2</v>
      </c>
      <c r="E127" s="6">
        <v>10.94</v>
      </c>
      <c r="F127" s="6">
        <v>-0.07</v>
      </c>
      <c r="G127" s="6">
        <v>0.1</v>
      </c>
      <c r="H127" s="6">
        <v>-0.21</v>
      </c>
      <c r="I127" s="6">
        <v>33.32</v>
      </c>
      <c r="J127" s="7">
        <f t="shared" ref="J127:O127" si="196">abs(C127-C126)/200</f>
        <v>0.0058</v>
      </c>
      <c r="K127" s="7">
        <f t="shared" si="196"/>
        <v>0.00255</v>
      </c>
      <c r="L127" s="7">
        <f t="shared" si="196"/>
        <v>0.0021</v>
      </c>
      <c r="M127" s="7">
        <f t="shared" si="196"/>
        <v>0.0015</v>
      </c>
      <c r="N127" s="7">
        <f t="shared" si="196"/>
        <v>0.00125</v>
      </c>
      <c r="O127" s="7">
        <f t="shared" si="196"/>
        <v>0.0081</v>
      </c>
      <c r="P127" s="7">
        <f t="shared" si="7"/>
        <v>1.656653423</v>
      </c>
      <c r="Q127" s="7">
        <f t="shared" si="8"/>
        <v>0.4005514637</v>
      </c>
      <c r="R127" s="7">
        <f t="shared" si="2"/>
        <v>1.158818367</v>
      </c>
      <c r="S127" s="7">
        <f t="shared" si="3"/>
        <v>0.242899156</v>
      </c>
      <c r="T127" s="7">
        <f t="shared" si="4"/>
        <v>1</v>
      </c>
      <c r="U127" s="7">
        <f t="shared" si="5"/>
        <v>1</v>
      </c>
      <c r="V127" s="7">
        <f t="shared" ref="V127:W127" si="197">IF(AVERAGE(T67:T126) &gt; 0.25, 1, 0)</f>
        <v>1</v>
      </c>
      <c r="W127" s="7">
        <f t="shared" si="197"/>
        <v>1</v>
      </c>
      <c r="X127" s="8">
        <v>1.0</v>
      </c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ht="22.5" customHeight="1">
      <c r="A128" s="6">
        <v>127.0</v>
      </c>
      <c r="B128" s="6">
        <v>28391.0</v>
      </c>
      <c r="C128" s="6">
        <v>-0.56</v>
      </c>
      <c r="D128" s="6">
        <v>-1.94</v>
      </c>
      <c r="E128" s="6">
        <v>10.61</v>
      </c>
      <c r="F128" s="6">
        <v>0.12</v>
      </c>
      <c r="G128" s="6">
        <v>-0.31</v>
      </c>
      <c r="H128" s="6">
        <v>1.2</v>
      </c>
      <c r="I128" s="6">
        <v>33.31</v>
      </c>
      <c r="J128" s="7">
        <f t="shared" ref="J128:O128" si="198">abs(C128-C127)/200</f>
        <v>0.00025</v>
      </c>
      <c r="K128" s="7">
        <f t="shared" si="198"/>
        <v>0.0107</v>
      </c>
      <c r="L128" s="7">
        <f t="shared" si="198"/>
        <v>0.00165</v>
      </c>
      <c r="M128" s="7">
        <f t="shared" si="198"/>
        <v>0.00095</v>
      </c>
      <c r="N128" s="7">
        <f t="shared" si="198"/>
        <v>0.00205</v>
      </c>
      <c r="O128" s="7">
        <f t="shared" si="198"/>
        <v>0.00705</v>
      </c>
      <c r="P128" s="7">
        <f t="shared" si="7"/>
        <v>1.002291592</v>
      </c>
      <c r="Q128" s="7">
        <f t="shared" si="8"/>
        <v>0.15838782</v>
      </c>
      <c r="R128" s="7">
        <f t="shared" si="2"/>
        <v>1.000430547</v>
      </c>
      <c r="S128" s="7">
        <f t="shared" si="3"/>
        <v>1.245190748</v>
      </c>
      <c r="T128" s="7">
        <f t="shared" si="4"/>
        <v>1</v>
      </c>
      <c r="U128" s="7">
        <f t="shared" si="5"/>
        <v>1</v>
      </c>
      <c r="V128" s="7">
        <f t="shared" ref="V128:W128" si="199">IF(AVERAGE(T68:T127) &gt; 0.25, 1, 0)</f>
        <v>1</v>
      </c>
      <c r="W128" s="7">
        <f t="shared" si="199"/>
        <v>1</v>
      </c>
      <c r="X128" s="8">
        <v>1.0</v>
      </c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ht="22.5" customHeight="1">
      <c r="A129" s="6">
        <v>128.0</v>
      </c>
      <c r="B129" s="6">
        <v>28595.0</v>
      </c>
      <c r="C129" s="6">
        <v>5.01</v>
      </c>
      <c r="D129" s="6">
        <v>-1.43</v>
      </c>
      <c r="E129" s="6">
        <v>10.44</v>
      </c>
      <c r="F129" s="6">
        <v>-0.06</v>
      </c>
      <c r="G129" s="6">
        <v>0.17</v>
      </c>
      <c r="H129" s="6">
        <v>0.79</v>
      </c>
      <c r="I129" s="6">
        <v>33.32</v>
      </c>
      <c r="J129" s="7">
        <f t="shared" ref="J129:O129" si="200">abs(C129-C128)/200</f>
        <v>0.02785</v>
      </c>
      <c r="K129" s="7">
        <f t="shared" si="200"/>
        <v>0.00255</v>
      </c>
      <c r="L129" s="7">
        <f t="shared" si="200"/>
        <v>0.00085</v>
      </c>
      <c r="M129" s="7">
        <f t="shared" si="200"/>
        <v>0.0009</v>
      </c>
      <c r="N129" s="7">
        <f t="shared" si="200"/>
        <v>0.0024</v>
      </c>
      <c r="O129" s="7">
        <f t="shared" si="200"/>
        <v>0.00205</v>
      </c>
      <c r="P129" s="7">
        <f t="shared" si="7"/>
        <v>0.4348821652</v>
      </c>
      <c r="Q129" s="7">
        <f t="shared" si="8"/>
        <v>0.8674141555</v>
      </c>
      <c r="R129" s="7">
        <f t="shared" si="2"/>
        <v>1.867844702</v>
      </c>
      <c r="S129" s="7">
        <f t="shared" si="3"/>
        <v>0.8103085832</v>
      </c>
      <c r="T129" s="7">
        <f t="shared" si="4"/>
        <v>1</v>
      </c>
      <c r="U129" s="7">
        <f t="shared" si="5"/>
        <v>1</v>
      </c>
      <c r="V129" s="7">
        <f t="shared" ref="V129:W129" si="201">IF(AVERAGE(T69:T128) &gt; 0.25, 1, 0)</f>
        <v>1</v>
      </c>
      <c r="W129" s="7">
        <f t="shared" si="201"/>
        <v>1</v>
      </c>
      <c r="X129" s="8">
        <v>1.0</v>
      </c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ht="22.5" customHeight="1">
      <c r="A130" s="6">
        <v>129.0</v>
      </c>
      <c r="B130" s="6">
        <v>28799.0</v>
      </c>
      <c r="C130" s="6">
        <v>3.16</v>
      </c>
      <c r="D130" s="6">
        <v>-0.07</v>
      </c>
      <c r="E130" s="6">
        <v>10.68</v>
      </c>
      <c r="F130" s="6">
        <v>-0.25</v>
      </c>
      <c r="G130" s="6">
        <v>-0.08</v>
      </c>
      <c r="H130" s="6">
        <v>-0.05</v>
      </c>
      <c r="I130" s="6">
        <v>33.33</v>
      </c>
      <c r="J130" s="7">
        <f t="shared" ref="J130:O130" si="202">abs(C130-C129)/200</f>
        <v>0.00925</v>
      </c>
      <c r="K130" s="7">
        <f t="shared" si="202"/>
        <v>0.0068</v>
      </c>
      <c r="L130" s="7">
        <f t="shared" si="202"/>
        <v>0.0012</v>
      </c>
      <c r="M130" s="7">
        <f t="shared" si="202"/>
        <v>0.00095</v>
      </c>
      <c r="N130" s="7">
        <f t="shared" si="202"/>
        <v>0.00125</v>
      </c>
      <c r="O130" s="7">
        <f t="shared" si="202"/>
        <v>0.0042</v>
      </c>
      <c r="P130" s="7">
        <f t="shared" si="7"/>
        <v>0.5431007989</v>
      </c>
      <c r="Q130" s="7">
        <f t="shared" si="8"/>
        <v>0.5299409499</v>
      </c>
      <c r="R130" s="7">
        <f t="shared" si="2"/>
        <v>1.337903753</v>
      </c>
      <c r="S130" s="7">
        <f t="shared" si="3"/>
        <v>0.2672077843</v>
      </c>
      <c r="T130" s="7">
        <f t="shared" si="4"/>
        <v>1</v>
      </c>
      <c r="U130" s="7">
        <f t="shared" si="5"/>
        <v>1</v>
      </c>
      <c r="V130" s="7">
        <f t="shared" ref="V130:W130" si="203">IF(AVERAGE(T70:T129) &gt; 0.25, 1, 0)</f>
        <v>1</v>
      </c>
      <c r="W130" s="7">
        <f t="shared" si="203"/>
        <v>1</v>
      </c>
      <c r="X130" s="8">
        <v>1.0</v>
      </c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ht="22.5" customHeight="1">
      <c r="A131" s="6">
        <v>130.0</v>
      </c>
      <c r="B131" s="6">
        <v>29003.0</v>
      </c>
      <c r="C131" s="6">
        <v>1.47</v>
      </c>
      <c r="D131" s="6">
        <v>2.22</v>
      </c>
      <c r="E131" s="6">
        <v>10.66</v>
      </c>
      <c r="F131" s="6">
        <v>-0.11</v>
      </c>
      <c r="G131" s="6">
        <v>-0.05</v>
      </c>
      <c r="H131" s="6">
        <v>-0.31</v>
      </c>
      <c r="I131" s="6">
        <v>33.31</v>
      </c>
      <c r="J131" s="7">
        <f t="shared" ref="J131:O131" si="204">abs(C131-C130)/200</f>
        <v>0.00845</v>
      </c>
      <c r="K131" s="7">
        <f t="shared" si="204"/>
        <v>0.01145</v>
      </c>
      <c r="L131" s="7">
        <f t="shared" si="204"/>
        <v>0.0001</v>
      </c>
      <c r="M131" s="7">
        <f t="shared" si="204"/>
        <v>0.0007</v>
      </c>
      <c r="N131" s="7">
        <f t="shared" si="204"/>
        <v>0.00015</v>
      </c>
      <c r="O131" s="7">
        <f t="shared" si="204"/>
        <v>0.0013</v>
      </c>
      <c r="P131" s="7">
        <f t="shared" si="7"/>
        <v>0.06550831087</v>
      </c>
      <c r="Q131" s="7">
        <f t="shared" si="8"/>
        <v>0.1504154135</v>
      </c>
      <c r="R131" s="7">
        <f t="shared" si="2"/>
        <v>1.187488339</v>
      </c>
      <c r="S131" s="7">
        <f t="shared" si="3"/>
        <v>0.3327160952</v>
      </c>
      <c r="T131" s="7">
        <f t="shared" si="4"/>
        <v>1</v>
      </c>
      <c r="U131" s="7">
        <f t="shared" si="5"/>
        <v>1</v>
      </c>
      <c r="V131" s="7">
        <f t="shared" ref="V131:W131" si="205">IF(AVERAGE(T71:T130) &gt; 0.25, 1, 0)</f>
        <v>1</v>
      </c>
      <c r="W131" s="7">
        <f t="shared" si="205"/>
        <v>1</v>
      </c>
      <c r="X131" s="8">
        <v>1.0</v>
      </c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ht="22.5" customHeight="1">
      <c r="A132" s="6">
        <v>131.0</v>
      </c>
      <c r="B132" s="6">
        <v>29207.0</v>
      </c>
      <c r="C132" s="6">
        <v>1.53</v>
      </c>
      <c r="D132" s="6">
        <v>0.16</v>
      </c>
      <c r="E132" s="6">
        <v>10.5</v>
      </c>
      <c r="F132" s="6">
        <v>-0.19</v>
      </c>
      <c r="G132" s="6">
        <v>0.19</v>
      </c>
      <c r="H132" s="6">
        <v>-1.41</v>
      </c>
      <c r="I132" s="6">
        <v>33.32</v>
      </c>
      <c r="J132" s="7">
        <f t="shared" ref="J132:O132" si="206">abs(C132-C131)/200</f>
        <v>0.0003</v>
      </c>
      <c r="K132" s="7">
        <f t="shared" si="206"/>
        <v>0.0103</v>
      </c>
      <c r="L132" s="7">
        <f t="shared" si="206"/>
        <v>0.0008</v>
      </c>
      <c r="M132" s="7">
        <f t="shared" si="206"/>
        <v>0.0004</v>
      </c>
      <c r="N132" s="7">
        <f t="shared" si="206"/>
        <v>0.0012</v>
      </c>
      <c r="O132" s="7">
        <f t="shared" si="206"/>
        <v>0.0055</v>
      </c>
      <c r="P132" s="7">
        <f t="shared" si="7"/>
        <v>1.10265842</v>
      </c>
      <c r="Q132" s="7">
        <f t="shared" si="8"/>
        <v>0.3753961796</v>
      </c>
      <c r="R132" s="7">
        <f t="shared" si="2"/>
        <v>0.8120921594</v>
      </c>
      <c r="S132" s="7">
        <f t="shared" si="3"/>
        <v>1.435374516</v>
      </c>
      <c r="T132" s="7">
        <f t="shared" si="4"/>
        <v>1</v>
      </c>
      <c r="U132" s="7">
        <f t="shared" si="5"/>
        <v>1</v>
      </c>
      <c r="V132" s="7">
        <f t="shared" ref="V132:W132" si="207">IF(AVERAGE(T72:T131) &gt; 0.25, 1, 0)</f>
        <v>1</v>
      </c>
      <c r="W132" s="7">
        <f t="shared" si="207"/>
        <v>1</v>
      </c>
      <c r="X132" s="8">
        <v>1.0</v>
      </c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ht="22.5" customHeight="1">
      <c r="A133" s="6">
        <v>132.0</v>
      </c>
      <c r="B133" s="6">
        <v>29411.0</v>
      </c>
      <c r="C133" s="6">
        <v>-0.78</v>
      </c>
      <c r="D133" s="6">
        <v>-0.06</v>
      </c>
      <c r="E133" s="6">
        <v>10.79</v>
      </c>
      <c r="F133" s="6">
        <v>-0.06</v>
      </c>
      <c r="G133" s="6">
        <v>0.08</v>
      </c>
      <c r="H133" s="6">
        <v>-0.27</v>
      </c>
      <c r="I133" s="6">
        <v>33.32</v>
      </c>
      <c r="J133" s="7">
        <f t="shared" ref="J133:O133" si="208">abs(C133-C132)/200</f>
        <v>0.01155</v>
      </c>
      <c r="K133" s="7">
        <f t="shared" si="208"/>
        <v>0.0011</v>
      </c>
      <c r="L133" s="7">
        <f t="shared" si="208"/>
        <v>0.00145</v>
      </c>
      <c r="M133" s="7">
        <f t="shared" si="208"/>
        <v>0.00065</v>
      </c>
      <c r="N133" s="7">
        <f t="shared" si="208"/>
        <v>0.00055</v>
      </c>
      <c r="O133" s="7">
        <f t="shared" si="208"/>
        <v>0.0057</v>
      </c>
      <c r="P133" s="7">
        <f t="shared" si="7"/>
        <v>1.147450915</v>
      </c>
      <c r="Q133" s="7">
        <f t="shared" si="8"/>
        <v>0.2062302614</v>
      </c>
      <c r="R133" s="7">
        <f t="shared" si="2"/>
        <v>1.018322421</v>
      </c>
      <c r="S133" s="7">
        <f t="shared" si="3"/>
        <v>0.287923601</v>
      </c>
      <c r="T133" s="7">
        <f t="shared" si="4"/>
        <v>1</v>
      </c>
      <c r="U133" s="7">
        <f t="shared" si="5"/>
        <v>1</v>
      </c>
      <c r="V133" s="7">
        <f t="shared" ref="V133:W133" si="209">IF(AVERAGE(T73:T132) &gt; 0.25, 1, 0)</f>
        <v>1</v>
      </c>
      <c r="W133" s="7">
        <f t="shared" si="209"/>
        <v>1</v>
      </c>
      <c r="X133" s="8">
        <v>1.0</v>
      </c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ht="22.5" customHeight="1">
      <c r="A134" s="6">
        <v>133.0</v>
      </c>
      <c r="B134" s="6">
        <v>29615.0</v>
      </c>
      <c r="C134" s="6">
        <v>0.4</v>
      </c>
      <c r="D134" s="6">
        <v>-1.75</v>
      </c>
      <c r="E134" s="6">
        <v>10.63</v>
      </c>
      <c r="F134" s="6">
        <v>0.11</v>
      </c>
      <c r="G134" s="6">
        <v>-0.23</v>
      </c>
      <c r="H134" s="6">
        <v>1.14</v>
      </c>
      <c r="I134" s="6">
        <v>33.32</v>
      </c>
      <c r="J134" s="7">
        <f t="shared" ref="J134:O134" si="210">abs(C134-C133)/200</f>
        <v>0.0059</v>
      </c>
      <c r="K134" s="7">
        <f t="shared" si="210"/>
        <v>0.00845</v>
      </c>
      <c r="L134" s="7">
        <f t="shared" si="210"/>
        <v>0.0008</v>
      </c>
      <c r="M134" s="7">
        <f t="shared" si="210"/>
        <v>0.00085</v>
      </c>
      <c r="N134" s="7">
        <f t="shared" si="210"/>
        <v>0.00155</v>
      </c>
      <c r="O134" s="7">
        <f t="shared" si="210"/>
        <v>0.00705</v>
      </c>
      <c r="P134" s="7">
        <f t="shared" si="7"/>
        <v>0.8802373468</v>
      </c>
      <c r="Q134" s="7">
        <f t="shared" si="8"/>
        <v>0.03781222877</v>
      </c>
      <c r="R134" s="7">
        <f t="shared" si="2"/>
        <v>0.980510192</v>
      </c>
      <c r="S134" s="7">
        <f t="shared" si="3"/>
        <v>1.168160948</v>
      </c>
      <c r="T134" s="7">
        <f t="shared" si="4"/>
        <v>1</v>
      </c>
      <c r="U134" s="7">
        <f t="shared" si="5"/>
        <v>1</v>
      </c>
      <c r="V134" s="7">
        <f t="shared" ref="V134:W134" si="211">IF(AVERAGE(T74:T133) &gt; 0.25, 1, 0)</f>
        <v>1</v>
      </c>
      <c r="W134" s="7">
        <f t="shared" si="211"/>
        <v>1</v>
      </c>
      <c r="X134" s="8">
        <v>1.0</v>
      </c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ht="22.5" customHeight="1">
      <c r="A135" s="6">
        <v>134.0</v>
      </c>
      <c r="B135" s="6">
        <v>29819.0</v>
      </c>
      <c r="C135" s="6">
        <v>5.19</v>
      </c>
      <c r="D135" s="6">
        <v>-1.32</v>
      </c>
      <c r="E135" s="6">
        <v>10.49</v>
      </c>
      <c r="F135" s="6">
        <v>-0.02</v>
      </c>
      <c r="G135" s="6">
        <v>0.11</v>
      </c>
      <c r="H135" s="6">
        <v>1.08</v>
      </c>
      <c r="I135" s="6">
        <v>33.33</v>
      </c>
      <c r="J135" s="7">
        <f t="shared" ref="J135:O135" si="212">abs(C135-C134)/200</f>
        <v>0.02395</v>
      </c>
      <c r="K135" s="7">
        <f t="shared" si="212"/>
        <v>0.00215</v>
      </c>
      <c r="L135" s="7">
        <f t="shared" si="212"/>
        <v>0.0007</v>
      </c>
      <c r="M135" s="7">
        <f t="shared" si="212"/>
        <v>0.00065</v>
      </c>
      <c r="N135" s="7">
        <f t="shared" si="212"/>
        <v>0.0017</v>
      </c>
      <c r="O135" s="7">
        <f t="shared" si="212"/>
        <v>0.0003</v>
      </c>
      <c r="P135" s="7">
        <f t="shared" si="7"/>
        <v>0.08238933279</v>
      </c>
      <c r="Q135" s="7">
        <f t="shared" si="8"/>
        <v>0.9973758662</v>
      </c>
      <c r="R135" s="7">
        <f t="shared" si="2"/>
        <v>1.977886058</v>
      </c>
      <c r="S135" s="7">
        <f t="shared" si="3"/>
        <v>1.085771615</v>
      </c>
      <c r="T135" s="7">
        <f t="shared" si="4"/>
        <v>1</v>
      </c>
      <c r="U135" s="7">
        <f t="shared" si="5"/>
        <v>1</v>
      </c>
      <c r="V135" s="7">
        <f t="shared" ref="V135:W135" si="213">IF(AVERAGE(T75:T134) &gt; 0.25, 1, 0)</f>
        <v>1</v>
      </c>
      <c r="W135" s="7">
        <f t="shared" si="213"/>
        <v>1</v>
      </c>
      <c r="X135" s="8">
        <v>1.0</v>
      </c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ht="22.5" customHeight="1">
      <c r="A136" s="6">
        <v>135.0</v>
      </c>
      <c r="B136" s="6">
        <v>30023.0</v>
      </c>
      <c r="C136" s="6">
        <v>2.65</v>
      </c>
      <c r="D136" s="6">
        <v>0.3</v>
      </c>
      <c r="E136" s="6">
        <v>10.59</v>
      </c>
      <c r="F136" s="6">
        <v>-0.24</v>
      </c>
      <c r="G136" s="6">
        <v>-0.12</v>
      </c>
      <c r="H136" s="6">
        <v>-0.78</v>
      </c>
      <c r="I136" s="6">
        <v>33.31</v>
      </c>
      <c r="J136" s="7">
        <f t="shared" ref="J136:O136" si="214">abs(C136-C135)/200</f>
        <v>0.0127</v>
      </c>
      <c r="K136" s="7">
        <f t="shared" si="214"/>
        <v>0.0081</v>
      </c>
      <c r="L136" s="7">
        <f t="shared" si="214"/>
        <v>0.0005</v>
      </c>
      <c r="M136" s="7">
        <f t="shared" si="214"/>
        <v>0.0011</v>
      </c>
      <c r="N136" s="7">
        <f t="shared" si="214"/>
        <v>0.00115</v>
      </c>
      <c r="O136" s="7">
        <f t="shared" si="214"/>
        <v>0.0093</v>
      </c>
      <c r="P136" s="7">
        <f t="shared" si="7"/>
        <v>0.2609079899</v>
      </c>
      <c r="Q136" s="7">
        <f t="shared" si="8"/>
        <v>0.8572358944</v>
      </c>
      <c r="R136" s="7">
        <f t="shared" si="2"/>
        <v>1.120650164</v>
      </c>
      <c r="S136" s="7">
        <f t="shared" si="3"/>
        <v>0.8248636251</v>
      </c>
      <c r="T136" s="7">
        <f t="shared" si="4"/>
        <v>1</v>
      </c>
      <c r="U136" s="7">
        <f t="shared" si="5"/>
        <v>1</v>
      </c>
      <c r="V136" s="7">
        <f t="shared" ref="V136:W136" si="215">IF(AVERAGE(T76:T135) &gt; 0.25, 1, 0)</f>
        <v>1</v>
      </c>
      <c r="W136" s="7">
        <f t="shared" si="215"/>
        <v>1</v>
      </c>
      <c r="X136" s="8">
        <v>1.0</v>
      </c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ht="22.5" customHeight="1">
      <c r="A137" s="6">
        <v>136.0</v>
      </c>
      <c r="B137" s="6">
        <v>30227.0</v>
      </c>
      <c r="C137" s="6">
        <v>-1.03</v>
      </c>
      <c r="D137" s="6">
        <v>2.32</v>
      </c>
      <c r="E137" s="6">
        <v>10.86</v>
      </c>
      <c r="F137" s="6">
        <v>-0.2</v>
      </c>
      <c r="G137" s="6">
        <v>0.12</v>
      </c>
      <c r="H137" s="6">
        <v>-1.29</v>
      </c>
      <c r="I137" s="6">
        <v>33.32</v>
      </c>
      <c r="J137" s="7">
        <f t="shared" ref="J137:O137" si="216">abs(C137-C136)/200</f>
        <v>0.0184</v>
      </c>
      <c r="K137" s="7">
        <f t="shared" si="216"/>
        <v>0.0101</v>
      </c>
      <c r="L137" s="7">
        <f t="shared" si="216"/>
        <v>0.00135</v>
      </c>
      <c r="M137" s="7">
        <f t="shared" si="216"/>
        <v>0.0002</v>
      </c>
      <c r="N137" s="7">
        <f t="shared" si="216"/>
        <v>0.0012</v>
      </c>
      <c r="O137" s="7">
        <f t="shared" si="216"/>
        <v>0.00255</v>
      </c>
      <c r="P137" s="7">
        <f t="shared" si="7"/>
        <v>0.4860520854</v>
      </c>
      <c r="Q137" s="7">
        <f t="shared" si="8"/>
        <v>0.2320580275</v>
      </c>
      <c r="R137" s="7">
        <f t="shared" si="2"/>
        <v>1.352708191</v>
      </c>
      <c r="S137" s="7">
        <f t="shared" si="3"/>
        <v>1.31091571</v>
      </c>
      <c r="T137" s="7">
        <f t="shared" si="4"/>
        <v>1</v>
      </c>
      <c r="U137" s="7">
        <f t="shared" si="5"/>
        <v>1</v>
      </c>
      <c r="V137" s="7">
        <f t="shared" ref="V137:W137" si="217">IF(AVERAGE(T77:T136) &gt; 0.25, 1, 0)</f>
        <v>1</v>
      </c>
      <c r="W137" s="7">
        <f t="shared" si="217"/>
        <v>1</v>
      </c>
      <c r="X137" s="8">
        <v>1.0</v>
      </c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ht="22.5" customHeight="1">
      <c r="A138" s="6">
        <v>137.0</v>
      </c>
      <c r="B138" s="6">
        <v>30431.0</v>
      </c>
      <c r="C138" s="6">
        <v>0.0</v>
      </c>
      <c r="D138" s="6">
        <v>1.06</v>
      </c>
      <c r="E138" s="6">
        <v>10.82</v>
      </c>
      <c r="F138" s="6">
        <v>0.02</v>
      </c>
      <c r="G138" s="6">
        <v>-0.01</v>
      </c>
      <c r="H138" s="6">
        <v>0.23</v>
      </c>
      <c r="I138" s="6">
        <v>33.32</v>
      </c>
      <c r="J138" s="7">
        <f t="shared" ref="J138:O138" si="218">abs(C138-C137)/200</f>
        <v>0.00515</v>
      </c>
      <c r="K138" s="7">
        <f t="shared" si="218"/>
        <v>0.0063</v>
      </c>
      <c r="L138" s="7">
        <f t="shared" si="218"/>
        <v>0.0002</v>
      </c>
      <c r="M138" s="7">
        <f t="shared" si="218"/>
        <v>0.0011</v>
      </c>
      <c r="N138" s="7">
        <f t="shared" si="218"/>
        <v>0.00065</v>
      </c>
      <c r="O138" s="7">
        <f t="shared" si="218"/>
        <v>0.0076</v>
      </c>
      <c r="P138" s="7">
        <f t="shared" si="7"/>
        <v>1.07983131</v>
      </c>
      <c r="Q138" s="7">
        <f t="shared" si="8"/>
        <v>0.280909812</v>
      </c>
      <c r="R138" s="7">
        <f t="shared" si="2"/>
        <v>1.071798379</v>
      </c>
      <c r="S138" s="7">
        <f t="shared" si="3"/>
        <v>0.2310844002</v>
      </c>
      <c r="T138" s="7">
        <f t="shared" si="4"/>
        <v>1</v>
      </c>
      <c r="U138" s="7">
        <f t="shared" si="5"/>
        <v>1</v>
      </c>
      <c r="V138" s="7">
        <f t="shared" ref="V138:W138" si="219">IF(AVERAGE(T78:T137) &gt; 0.25, 1, 0)</f>
        <v>1</v>
      </c>
      <c r="W138" s="7">
        <f t="shared" si="219"/>
        <v>1</v>
      </c>
      <c r="X138" s="8">
        <v>1.0</v>
      </c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ht="22.5" customHeight="1">
      <c r="A139" s="6">
        <v>138.0</v>
      </c>
      <c r="B139" s="6">
        <v>30635.0</v>
      </c>
      <c r="C139" s="6">
        <v>0.37</v>
      </c>
      <c r="D139" s="6">
        <v>-1.2</v>
      </c>
      <c r="E139" s="6">
        <v>10.92</v>
      </c>
      <c r="F139" s="6">
        <v>0.04</v>
      </c>
      <c r="G139" s="6">
        <v>-0.19</v>
      </c>
      <c r="H139" s="6">
        <v>0.84</v>
      </c>
      <c r="I139" s="6">
        <v>33.33</v>
      </c>
      <c r="J139" s="7">
        <f t="shared" ref="J139:O139" si="220">abs(C139-C138)/200</f>
        <v>0.00185</v>
      </c>
      <c r="K139" s="7">
        <f t="shared" si="220"/>
        <v>0.0113</v>
      </c>
      <c r="L139" s="7">
        <f t="shared" si="220"/>
        <v>0.0005</v>
      </c>
      <c r="M139" s="7">
        <f t="shared" si="220"/>
        <v>0.0001</v>
      </c>
      <c r="N139" s="7">
        <f t="shared" si="220"/>
        <v>0.0009</v>
      </c>
      <c r="O139" s="7">
        <f t="shared" si="220"/>
        <v>0.00305</v>
      </c>
      <c r="P139" s="7">
        <f t="shared" si="7"/>
        <v>0.6310640789</v>
      </c>
      <c r="Q139" s="7">
        <f t="shared" si="8"/>
        <v>0.1201668681</v>
      </c>
      <c r="R139" s="7">
        <f t="shared" si="2"/>
        <v>1.191965247</v>
      </c>
      <c r="S139" s="7">
        <f t="shared" si="3"/>
        <v>0.8621484791</v>
      </c>
      <c r="T139" s="7">
        <f t="shared" si="4"/>
        <v>1</v>
      </c>
      <c r="U139" s="7">
        <f t="shared" si="5"/>
        <v>1</v>
      </c>
      <c r="V139" s="7">
        <f t="shared" ref="V139:W139" si="221">IF(AVERAGE(T79:T138) &gt; 0.25, 1, 0)</f>
        <v>1</v>
      </c>
      <c r="W139" s="7">
        <f t="shared" si="221"/>
        <v>1</v>
      </c>
      <c r="X139" s="8">
        <v>1.0</v>
      </c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ht="22.5" customHeight="1">
      <c r="A140" s="6">
        <v>139.0</v>
      </c>
      <c r="B140" s="6">
        <v>30839.0</v>
      </c>
      <c r="C140" s="6">
        <v>3.32</v>
      </c>
      <c r="D140" s="6">
        <v>-1.83</v>
      </c>
      <c r="E140" s="6">
        <v>10.63</v>
      </c>
      <c r="F140" s="6">
        <v>-0.08</v>
      </c>
      <c r="G140" s="6">
        <v>-0.05</v>
      </c>
      <c r="H140" s="6">
        <v>0.4</v>
      </c>
      <c r="I140" s="6">
        <v>33.33</v>
      </c>
      <c r="J140" s="7">
        <f t="shared" ref="J140:O140" si="222">abs(C140-C139)/200</f>
        <v>0.01475</v>
      </c>
      <c r="K140" s="7">
        <f t="shared" si="222"/>
        <v>0.00315</v>
      </c>
      <c r="L140" s="7">
        <f t="shared" si="222"/>
        <v>0.00145</v>
      </c>
      <c r="M140" s="7">
        <f t="shared" si="222"/>
        <v>0.0006</v>
      </c>
      <c r="N140" s="7">
        <f t="shared" si="222"/>
        <v>0.0007</v>
      </c>
      <c r="O140" s="7">
        <f t="shared" si="222"/>
        <v>0.0022</v>
      </c>
      <c r="P140" s="7">
        <f t="shared" si="7"/>
        <v>0.4511740273</v>
      </c>
      <c r="Q140" s="7">
        <f t="shared" si="8"/>
        <v>0.2937868321</v>
      </c>
      <c r="R140" s="7">
        <f t="shared" si="2"/>
        <v>1.48575208</v>
      </c>
      <c r="S140" s="7">
        <f t="shared" si="3"/>
        <v>0.4109744518</v>
      </c>
      <c r="T140" s="7">
        <f t="shared" si="4"/>
        <v>1</v>
      </c>
      <c r="U140" s="7">
        <f t="shared" si="5"/>
        <v>1</v>
      </c>
      <c r="V140" s="7">
        <f t="shared" ref="V140:W140" si="223">IF(AVERAGE(T80:T139) &gt; 0.25, 1, 0)</f>
        <v>1</v>
      </c>
      <c r="W140" s="7">
        <f t="shared" si="223"/>
        <v>1</v>
      </c>
      <c r="X140" s="8">
        <v>1.0</v>
      </c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ht="22.5" customHeight="1">
      <c r="A141" s="6">
        <v>140.0</v>
      </c>
      <c r="B141" s="6">
        <v>31043.0</v>
      </c>
      <c r="C141" s="6">
        <v>2.72</v>
      </c>
      <c r="D141" s="6">
        <v>-0.57</v>
      </c>
      <c r="E141" s="6">
        <v>9.97</v>
      </c>
      <c r="F141" s="6">
        <v>-0.45</v>
      </c>
      <c r="G141" s="6">
        <v>0.27</v>
      </c>
      <c r="H141" s="6">
        <v>-2.03</v>
      </c>
      <c r="I141" s="6">
        <v>33.33</v>
      </c>
      <c r="J141" s="7">
        <f t="shared" ref="J141:O141" si="224">abs(C141-C140)/200</f>
        <v>0.003</v>
      </c>
      <c r="K141" s="7">
        <f t="shared" si="224"/>
        <v>0.0063</v>
      </c>
      <c r="L141" s="7">
        <f t="shared" si="224"/>
        <v>0.0033</v>
      </c>
      <c r="M141" s="7">
        <f t="shared" si="224"/>
        <v>0.00185</v>
      </c>
      <c r="N141" s="7">
        <f t="shared" si="224"/>
        <v>0.0016</v>
      </c>
      <c r="O141" s="7">
        <f t="shared" si="224"/>
        <v>0.01215</v>
      </c>
      <c r="P141" s="7">
        <f t="shared" si="7"/>
        <v>1.685761106</v>
      </c>
      <c r="Q141" s="7">
        <f t="shared" si="8"/>
        <v>0.9356699542</v>
      </c>
      <c r="R141" s="7">
        <f t="shared" si="2"/>
        <v>0.5500821253</v>
      </c>
      <c r="S141" s="7">
        <f t="shared" si="3"/>
        <v>2.096735558</v>
      </c>
      <c r="T141" s="7">
        <f t="shared" si="4"/>
        <v>1</v>
      </c>
      <c r="U141" s="7">
        <f t="shared" si="5"/>
        <v>1</v>
      </c>
      <c r="V141" s="7">
        <f t="shared" ref="V141:W141" si="225">IF(AVERAGE(T81:T140) &gt; 0.25, 1, 0)</f>
        <v>1</v>
      </c>
      <c r="W141" s="7">
        <f t="shared" si="225"/>
        <v>1</v>
      </c>
      <c r="X141" s="8">
        <v>1.0</v>
      </c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ht="22.5" customHeight="1">
      <c r="A142" s="6">
        <v>141.0</v>
      </c>
      <c r="B142" s="6">
        <v>31247.0</v>
      </c>
      <c r="C142" s="6">
        <v>-1.63</v>
      </c>
      <c r="D142" s="6">
        <v>2.68</v>
      </c>
      <c r="E142" s="6">
        <v>10.68</v>
      </c>
      <c r="F142" s="6">
        <v>-0.08</v>
      </c>
      <c r="G142" s="6">
        <v>-0.04</v>
      </c>
      <c r="H142" s="6">
        <v>-0.18</v>
      </c>
      <c r="I142" s="6">
        <v>33.32</v>
      </c>
      <c r="J142" s="7">
        <f t="shared" ref="J142:O142" si="226">abs(C142-C141)/200</f>
        <v>0.02175</v>
      </c>
      <c r="K142" s="7">
        <f t="shared" si="226"/>
        <v>0.01625</v>
      </c>
      <c r="L142" s="7">
        <f t="shared" si="226"/>
        <v>0.00355</v>
      </c>
      <c r="M142" s="7">
        <f t="shared" si="226"/>
        <v>0.00185</v>
      </c>
      <c r="N142" s="7">
        <f t="shared" si="226"/>
        <v>0.00155</v>
      </c>
      <c r="O142" s="7">
        <f t="shared" si="226"/>
        <v>0.00925</v>
      </c>
      <c r="P142" s="7">
        <f t="shared" si="7"/>
        <v>1.895738046</v>
      </c>
      <c r="Q142" s="7">
        <f t="shared" si="8"/>
        <v>0.781031925</v>
      </c>
      <c r="R142" s="7">
        <f t="shared" si="2"/>
        <v>1.33111405</v>
      </c>
      <c r="S142" s="7">
        <f t="shared" si="3"/>
        <v>0.2009975124</v>
      </c>
      <c r="T142" s="7">
        <f t="shared" si="4"/>
        <v>1</v>
      </c>
      <c r="U142" s="7">
        <f t="shared" si="5"/>
        <v>1</v>
      </c>
      <c r="V142" s="7">
        <f t="shared" ref="V142:W142" si="227">IF(AVERAGE(T82:T141) &gt; 0.25, 1, 0)</f>
        <v>1</v>
      </c>
      <c r="W142" s="7">
        <f t="shared" si="227"/>
        <v>1</v>
      </c>
      <c r="X142" s="8">
        <v>1.0</v>
      </c>
      <c r="Y142" s="7"/>
      <c r="Z142" s="7"/>
      <c r="AA142" s="7"/>
      <c r="AB142" s="7"/>
      <c r="AC142" s="8"/>
      <c r="AD142" s="7"/>
      <c r="AE142" s="7"/>
      <c r="AF142" s="7"/>
      <c r="AG142" s="7"/>
      <c r="AH142" s="7"/>
      <c r="AI142" s="7"/>
      <c r="AJ142" s="7"/>
      <c r="AK142" s="7"/>
    </row>
    <row r="143" ht="22.5" customHeight="1">
      <c r="A143" s="6">
        <v>142.0</v>
      </c>
      <c r="B143" s="6">
        <v>31451.0</v>
      </c>
      <c r="C143" s="6">
        <v>1.08</v>
      </c>
      <c r="D143" s="6">
        <v>-1.79</v>
      </c>
      <c r="E143" s="6">
        <v>10.99</v>
      </c>
      <c r="F143" s="6">
        <v>0.29</v>
      </c>
      <c r="G143" s="6">
        <v>-0.33</v>
      </c>
      <c r="H143" s="6">
        <v>1.87</v>
      </c>
      <c r="I143" s="6">
        <v>33.33</v>
      </c>
      <c r="J143" s="7">
        <f t="shared" ref="J143:O143" si="228">abs(C143-C142)/200</f>
        <v>0.01355</v>
      </c>
      <c r="K143" s="7">
        <f t="shared" si="228"/>
        <v>0.02235</v>
      </c>
      <c r="L143" s="7">
        <f t="shared" si="228"/>
        <v>0.00155</v>
      </c>
      <c r="M143" s="7">
        <f t="shared" si="228"/>
        <v>0.00185</v>
      </c>
      <c r="N143" s="7">
        <f t="shared" si="228"/>
        <v>0.00145</v>
      </c>
      <c r="O143" s="7">
        <f t="shared" si="228"/>
        <v>0.01025</v>
      </c>
      <c r="P143" s="7">
        <f t="shared" si="7"/>
        <v>1.71991373</v>
      </c>
      <c r="Q143" s="7">
        <f t="shared" si="8"/>
        <v>0.05595884661</v>
      </c>
      <c r="R143" s="7">
        <f t="shared" si="2"/>
        <v>1.387072897</v>
      </c>
      <c r="S143" s="7">
        <f t="shared" si="3"/>
        <v>1.920911242</v>
      </c>
      <c r="T143" s="7">
        <f t="shared" si="4"/>
        <v>1</v>
      </c>
      <c r="U143" s="7">
        <f t="shared" si="5"/>
        <v>1</v>
      </c>
      <c r="V143" s="7">
        <f t="shared" ref="V143:W143" si="229">IF(AVERAGE(T83:T142) &gt; 0.25, 1, 0)</f>
        <v>1</v>
      </c>
      <c r="W143" s="7">
        <f t="shared" si="229"/>
        <v>1</v>
      </c>
      <c r="X143" s="8">
        <v>1.0</v>
      </c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ht="22.5" customHeight="1">
      <c r="A144" s="6">
        <v>143.0</v>
      </c>
      <c r="B144" s="6">
        <v>31655.0</v>
      </c>
      <c r="C144" s="6">
        <v>5.82</v>
      </c>
      <c r="D144" s="6">
        <v>-3.43</v>
      </c>
      <c r="E144" s="6">
        <v>10.15</v>
      </c>
      <c r="F144" s="6">
        <v>-0.18</v>
      </c>
      <c r="G144" s="6">
        <v>-0.01</v>
      </c>
      <c r="H144" s="6">
        <v>-0.03</v>
      </c>
      <c r="I144" s="6">
        <v>33.33</v>
      </c>
      <c r="J144" s="7">
        <f t="shared" ref="J144:O144" si="230">abs(C144-C143)/200</f>
        <v>0.0237</v>
      </c>
      <c r="K144" s="7">
        <f t="shared" si="230"/>
        <v>0.0082</v>
      </c>
      <c r="L144" s="7">
        <f t="shared" si="230"/>
        <v>0.0042</v>
      </c>
      <c r="M144" s="7">
        <f t="shared" si="230"/>
        <v>0.00235</v>
      </c>
      <c r="N144" s="7">
        <f t="shared" si="230"/>
        <v>0.0016</v>
      </c>
      <c r="O144" s="7">
        <f t="shared" si="230"/>
        <v>0.0095</v>
      </c>
      <c r="P144" s="7">
        <f t="shared" si="7"/>
        <v>1.738154573</v>
      </c>
      <c r="Q144" s="7">
        <f t="shared" si="8"/>
        <v>1.005539621</v>
      </c>
      <c r="R144" s="7">
        <f t="shared" si="2"/>
        <v>2.392612517</v>
      </c>
      <c r="S144" s="7">
        <f t="shared" si="3"/>
        <v>0.1827566688</v>
      </c>
      <c r="T144" s="7">
        <f t="shared" si="4"/>
        <v>1</v>
      </c>
      <c r="U144" s="7">
        <f t="shared" si="5"/>
        <v>1</v>
      </c>
      <c r="V144" s="7">
        <f t="shared" ref="V144:W144" si="231">IF(AVERAGE(T84:T143) &gt; 0.25, 1, 0)</f>
        <v>1</v>
      </c>
      <c r="W144" s="7">
        <f t="shared" si="231"/>
        <v>1</v>
      </c>
      <c r="X144" s="8">
        <v>1.0</v>
      </c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ht="22.5" customHeight="1">
      <c r="A145" s="6">
        <v>144.0</v>
      </c>
      <c r="B145" s="6">
        <v>31859.0</v>
      </c>
      <c r="C145" s="6">
        <v>-5.84</v>
      </c>
      <c r="D145" s="6">
        <v>1.47</v>
      </c>
      <c r="E145" s="6">
        <v>11.37</v>
      </c>
      <c r="F145" s="6">
        <v>-0.58</v>
      </c>
      <c r="G145" s="6">
        <v>0.03</v>
      </c>
      <c r="H145" s="6">
        <v>-2.34</v>
      </c>
      <c r="I145" s="6">
        <v>33.33</v>
      </c>
      <c r="J145" s="7">
        <f t="shared" ref="J145:O145" si="232">abs(C145-C144)/200</f>
        <v>0.0583</v>
      </c>
      <c r="K145" s="7">
        <f t="shared" si="232"/>
        <v>0.0245</v>
      </c>
      <c r="L145" s="7">
        <f t="shared" si="232"/>
        <v>0.0061</v>
      </c>
      <c r="M145" s="7">
        <f t="shared" si="232"/>
        <v>0.002</v>
      </c>
      <c r="N145" s="7">
        <f t="shared" si="232"/>
        <v>0.0002</v>
      </c>
      <c r="O145" s="7">
        <f t="shared" si="232"/>
        <v>0.01155</v>
      </c>
      <c r="P145" s="7">
        <f t="shared" si="7"/>
        <v>2.228238976</v>
      </c>
      <c r="Q145" s="7">
        <f t="shared" si="8"/>
        <v>0.6737544912</v>
      </c>
      <c r="R145" s="7">
        <f t="shared" si="2"/>
        <v>3.066367009</v>
      </c>
      <c r="S145" s="7">
        <f t="shared" si="3"/>
        <v>2.410995645</v>
      </c>
      <c r="T145" s="7">
        <f t="shared" si="4"/>
        <v>1</v>
      </c>
      <c r="U145" s="7">
        <f t="shared" si="5"/>
        <v>1</v>
      </c>
      <c r="V145" s="7">
        <f t="shared" ref="V145:W145" si="233">IF(AVERAGE(T85:T144) &gt; 0.25, 1, 0)</f>
        <v>1</v>
      </c>
      <c r="W145" s="7">
        <f t="shared" si="233"/>
        <v>1</v>
      </c>
      <c r="X145" s="8">
        <v>1.0</v>
      </c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ht="22.5" customHeight="1">
      <c r="A146" s="6">
        <v>145.0</v>
      </c>
      <c r="B146" s="6">
        <v>32063.0</v>
      </c>
      <c r="C146" s="6">
        <v>-3.1</v>
      </c>
      <c r="D146" s="6">
        <v>1.04</v>
      </c>
      <c r="E146" s="6">
        <v>11.44</v>
      </c>
      <c r="F146" s="6">
        <v>0.26</v>
      </c>
      <c r="G146" s="6">
        <v>0.06</v>
      </c>
      <c r="H146" s="6">
        <v>1.4</v>
      </c>
      <c r="I146" s="6">
        <v>33.34</v>
      </c>
      <c r="J146" s="7">
        <f t="shared" ref="J146:O146" si="234">abs(C146-C145)/200</f>
        <v>0.0137</v>
      </c>
      <c r="K146" s="7">
        <f t="shared" si="234"/>
        <v>0.00215</v>
      </c>
      <c r="L146" s="7">
        <f t="shared" si="234"/>
        <v>0.00035</v>
      </c>
      <c r="M146" s="7">
        <f t="shared" si="234"/>
        <v>0.0042</v>
      </c>
      <c r="N146" s="7">
        <f t="shared" si="234"/>
        <v>0.00015</v>
      </c>
      <c r="O146" s="7">
        <f t="shared" si="234"/>
        <v>0.0187</v>
      </c>
      <c r="P146" s="7">
        <f t="shared" si="7"/>
        <v>0.9857939049</v>
      </c>
      <c r="Q146" s="7">
        <f t="shared" si="8"/>
        <v>0.9682495104</v>
      </c>
      <c r="R146" s="7">
        <f t="shared" si="2"/>
        <v>2.098117498</v>
      </c>
      <c r="S146" s="7">
        <f t="shared" si="3"/>
        <v>1.42520174</v>
      </c>
      <c r="T146" s="7">
        <f t="shared" si="4"/>
        <v>1</v>
      </c>
      <c r="U146" s="7">
        <f t="shared" si="5"/>
        <v>1</v>
      </c>
      <c r="V146" s="7">
        <f t="shared" ref="V146:W146" si="235">IF(AVERAGE(T86:T145) &gt; 0.25, 1, 0)</f>
        <v>1</v>
      </c>
      <c r="W146" s="7">
        <f t="shared" si="235"/>
        <v>1</v>
      </c>
      <c r="X146" s="8">
        <v>1.0</v>
      </c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ht="22.5" customHeight="1">
      <c r="A147" s="6">
        <v>146.0</v>
      </c>
      <c r="B147" s="6">
        <v>32267.0</v>
      </c>
      <c r="C147" s="6">
        <v>7.27</v>
      </c>
      <c r="D147" s="6">
        <v>-3.96</v>
      </c>
      <c r="E147" s="6">
        <v>9.23</v>
      </c>
      <c r="F147" s="6">
        <v>0.06</v>
      </c>
      <c r="G147" s="6">
        <v>0.12</v>
      </c>
      <c r="H147" s="6">
        <v>1.52</v>
      </c>
      <c r="I147" s="6">
        <v>33.33</v>
      </c>
      <c r="J147" s="7">
        <f t="shared" ref="J147:O147" si="236">abs(C147-C146)/200</f>
        <v>0.05185</v>
      </c>
      <c r="K147" s="7">
        <f t="shared" si="236"/>
        <v>0.025</v>
      </c>
      <c r="L147" s="7">
        <f t="shared" si="236"/>
        <v>0.01105</v>
      </c>
      <c r="M147" s="7">
        <f t="shared" si="236"/>
        <v>0.001</v>
      </c>
      <c r="N147" s="7">
        <f t="shared" si="236"/>
        <v>0.0003</v>
      </c>
      <c r="O147" s="7">
        <f t="shared" si="236"/>
        <v>0.0006</v>
      </c>
      <c r="P147" s="7">
        <f t="shared" si="7"/>
        <v>0.1007078247</v>
      </c>
      <c r="Q147" s="7">
        <f t="shared" si="8"/>
        <v>0.500567916</v>
      </c>
      <c r="R147" s="7">
        <f t="shared" si="2"/>
        <v>2.598685414</v>
      </c>
      <c r="S147" s="7">
        <f t="shared" si="3"/>
        <v>1.525909565</v>
      </c>
      <c r="T147" s="7">
        <f t="shared" si="4"/>
        <v>1</v>
      </c>
      <c r="U147" s="7">
        <f t="shared" si="5"/>
        <v>1</v>
      </c>
      <c r="V147" s="7">
        <f t="shared" ref="V147:W147" si="237">IF(AVERAGE(T87:T146) &gt; 0.25, 1, 0)</f>
        <v>1</v>
      </c>
      <c r="W147" s="7">
        <f t="shared" si="237"/>
        <v>1</v>
      </c>
      <c r="X147" s="8">
        <v>1.0</v>
      </c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ht="22.5" customHeight="1">
      <c r="A148" s="6">
        <v>147.0</v>
      </c>
      <c r="B148" s="6">
        <v>32471.0</v>
      </c>
      <c r="C148" s="6">
        <v>3.53</v>
      </c>
      <c r="D148" s="6">
        <v>-3.09</v>
      </c>
      <c r="E148" s="6">
        <v>10.76</v>
      </c>
      <c r="F148" s="6">
        <v>-0.56</v>
      </c>
      <c r="G148" s="6">
        <v>0.39</v>
      </c>
      <c r="H148" s="6">
        <v>-2.79</v>
      </c>
      <c r="I148" s="6">
        <v>33.34</v>
      </c>
      <c r="J148" s="7">
        <f t="shared" ref="J148:O148" si="238">abs(C148-C147)/200</f>
        <v>0.0187</v>
      </c>
      <c r="K148" s="7">
        <f t="shared" si="238"/>
        <v>0.00435</v>
      </c>
      <c r="L148" s="7">
        <f t="shared" si="238"/>
        <v>0.00765</v>
      </c>
      <c r="M148" s="7">
        <f t="shared" si="238"/>
        <v>0.0031</v>
      </c>
      <c r="N148" s="7">
        <f t="shared" si="238"/>
        <v>0.00135</v>
      </c>
      <c r="O148" s="7">
        <f t="shared" si="238"/>
        <v>0.02155</v>
      </c>
      <c r="P148" s="7">
        <f t="shared" si="7"/>
        <v>1.346336943</v>
      </c>
      <c r="Q148" s="7">
        <f t="shared" si="8"/>
        <v>0.660431711</v>
      </c>
      <c r="R148" s="7">
        <f t="shared" si="2"/>
        <v>1.938253703</v>
      </c>
      <c r="S148" s="7">
        <f t="shared" si="3"/>
        <v>2.872246508</v>
      </c>
      <c r="T148" s="7">
        <f t="shared" si="4"/>
        <v>1</v>
      </c>
      <c r="U148" s="7">
        <f t="shared" si="5"/>
        <v>1</v>
      </c>
      <c r="V148" s="7">
        <f t="shared" ref="V148:W148" si="239">IF(AVERAGE(T88:T147) &gt; 0.25, 1, 0)</f>
        <v>1</v>
      </c>
      <c r="W148" s="7">
        <f t="shared" si="239"/>
        <v>1</v>
      </c>
      <c r="X148" s="8">
        <v>1.0</v>
      </c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ht="22.5" customHeight="1">
      <c r="A149" s="6">
        <v>148.0</v>
      </c>
      <c r="B149" s="6">
        <v>32675.0</v>
      </c>
      <c r="C149" s="6">
        <v>-8.54</v>
      </c>
      <c r="D149" s="6">
        <v>1.87</v>
      </c>
      <c r="E149" s="6">
        <v>12.23</v>
      </c>
      <c r="F149" s="6">
        <v>-0.31</v>
      </c>
      <c r="G149" s="6">
        <v>-0.09</v>
      </c>
      <c r="H149" s="6">
        <v>-1.56</v>
      </c>
      <c r="I149" s="6">
        <v>33.34</v>
      </c>
      <c r="J149" s="7">
        <f t="shared" ref="J149:O149" si="240">abs(C149-C148)/200</f>
        <v>0.06035</v>
      </c>
      <c r="K149" s="7">
        <f t="shared" si="240"/>
        <v>0.0248</v>
      </c>
      <c r="L149" s="7">
        <f t="shared" si="240"/>
        <v>0.00735</v>
      </c>
      <c r="M149" s="7">
        <f t="shared" si="240"/>
        <v>0.00125</v>
      </c>
      <c r="N149" s="7">
        <f t="shared" si="240"/>
        <v>0.0024</v>
      </c>
      <c r="O149" s="7">
        <f t="shared" si="240"/>
        <v>0.00615</v>
      </c>
      <c r="P149" s="7">
        <f t="shared" si="7"/>
        <v>1.279199113</v>
      </c>
      <c r="Q149" s="7">
        <f t="shared" si="8"/>
        <v>3.295089238</v>
      </c>
      <c r="R149" s="7">
        <f t="shared" si="2"/>
        <v>5.233342942</v>
      </c>
      <c r="S149" s="7">
        <f t="shared" si="3"/>
        <v>1.593047394</v>
      </c>
      <c r="T149" s="7">
        <f t="shared" si="4"/>
        <v>1</v>
      </c>
      <c r="U149" s="7">
        <f t="shared" si="5"/>
        <v>1</v>
      </c>
      <c r="V149" s="7">
        <f t="shared" ref="V149:W149" si="241">IF(AVERAGE(T89:T148) &gt; 0.25, 1, 0)</f>
        <v>1</v>
      </c>
      <c r="W149" s="7">
        <f t="shared" si="241"/>
        <v>1</v>
      </c>
      <c r="X149" s="8">
        <v>1.0</v>
      </c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ht="22.5" customHeight="1">
      <c r="A150" s="6">
        <v>149.0</v>
      </c>
      <c r="B150" s="6">
        <v>32879.0</v>
      </c>
      <c r="C150" s="6">
        <v>-1.2</v>
      </c>
      <c r="D150" s="6">
        <v>-1.29</v>
      </c>
      <c r="E150" s="6">
        <v>11.18</v>
      </c>
      <c r="F150" s="6">
        <v>0.25</v>
      </c>
      <c r="G150" s="6">
        <v>0.21</v>
      </c>
      <c r="H150" s="6">
        <v>2.07</v>
      </c>
      <c r="I150" s="6">
        <v>33.33</v>
      </c>
      <c r="J150" s="7">
        <f t="shared" ref="J150:O150" si="242">abs(C150-C149)/200</f>
        <v>0.0367</v>
      </c>
      <c r="K150" s="7">
        <f t="shared" si="242"/>
        <v>0.0158</v>
      </c>
      <c r="L150" s="7">
        <f t="shared" si="242"/>
        <v>0.00525</v>
      </c>
      <c r="M150" s="7">
        <f t="shared" si="242"/>
        <v>0.0028</v>
      </c>
      <c r="N150" s="7">
        <f t="shared" si="242"/>
        <v>0.0015</v>
      </c>
      <c r="O150" s="7">
        <f t="shared" si="242"/>
        <v>0.01815</v>
      </c>
      <c r="P150" s="7">
        <f t="shared" si="7"/>
        <v>0.5025432147</v>
      </c>
      <c r="Q150" s="7">
        <f t="shared" si="8"/>
        <v>3.715370508</v>
      </c>
      <c r="R150" s="7">
        <f t="shared" si="2"/>
        <v>1.517972433</v>
      </c>
      <c r="S150" s="7">
        <f t="shared" si="3"/>
        <v>2.095590609</v>
      </c>
      <c r="T150" s="7">
        <f t="shared" si="4"/>
        <v>1</v>
      </c>
      <c r="U150" s="7">
        <f t="shared" si="5"/>
        <v>1</v>
      </c>
      <c r="V150" s="7">
        <f t="shared" ref="V150:W150" si="243">IF(AVERAGE(T90:T149) &gt; 0.25, 1, 0)</f>
        <v>1</v>
      </c>
      <c r="W150" s="7">
        <f t="shared" si="243"/>
        <v>1</v>
      </c>
      <c r="X150" s="8">
        <v>1.0</v>
      </c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ht="22.5" customHeight="1">
      <c r="A151" s="6">
        <v>150.0</v>
      </c>
      <c r="B151" s="6">
        <v>33083.0</v>
      </c>
      <c r="C151" s="6">
        <v>5.19</v>
      </c>
      <c r="D151" s="6">
        <v>-0.79</v>
      </c>
      <c r="E151" s="6">
        <v>11.26</v>
      </c>
      <c r="F151" s="6">
        <v>-0.03</v>
      </c>
      <c r="G151" s="6">
        <v>-0.07</v>
      </c>
      <c r="H151" s="6">
        <v>1.14</v>
      </c>
      <c r="I151" s="6">
        <v>33.32</v>
      </c>
      <c r="J151" s="7">
        <f t="shared" ref="J151:O151" si="244">abs(C151-C150)/200</f>
        <v>0.03195</v>
      </c>
      <c r="K151" s="7">
        <f t="shared" si="244"/>
        <v>0.0025</v>
      </c>
      <c r="L151" s="7">
        <f t="shared" si="244"/>
        <v>0.0004</v>
      </c>
      <c r="M151" s="7">
        <f t="shared" si="244"/>
        <v>0.0014</v>
      </c>
      <c r="N151" s="7">
        <f t="shared" si="244"/>
        <v>0.0014</v>
      </c>
      <c r="O151" s="7">
        <f t="shared" si="244"/>
        <v>0.00465</v>
      </c>
      <c r="P151" s="7">
        <f t="shared" si="7"/>
        <v>0.9530495812</v>
      </c>
      <c r="Q151" s="7">
        <f t="shared" si="8"/>
        <v>1.105706571</v>
      </c>
      <c r="R151" s="7">
        <f t="shared" si="2"/>
        <v>2.623679004</v>
      </c>
      <c r="S151" s="7">
        <f t="shared" si="3"/>
        <v>1.142541028</v>
      </c>
      <c r="T151" s="7">
        <f t="shared" si="4"/>
        <v>1</v>
      </c>
      <c r="U151" s="7">
        <f t="shared" si="5"/>
        <v>1</v>
      </c>
      <c r="V151" s="7">
        <f t="shared" ref="V151:W151" si="245">IF(AVERAGE(T91:T150) &gt; 0.25, 1, 0)</f>
        <v>1</v>
      </c>
      <c r="W151" s="7">
        <f t="shared" si="245"/>
        <v>1</v>
      </c>
      <c r="X151" s="8">
        <v>1.0</v>
      </c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ht="22.5" customHeight="1">
      <c r="A152" s="6">
        <v>151.0</v>
      </c>
      <c r="B152" s="6">
        <v>33287.0</v>
      </c>
      <c r="C152" s="6">
        <v>1.69</v>
      </c>
      <c r="D152" s="6">
        <v>-2.21</v>
      </c>
      <c r="E152" s="6">
        <v>11.37</v>
      </c>
      <c r="F152" s="6">
        <v>-0.65</v>
      </c>
      <c r="G152" s="6">
        <v>-0.13</v>
      </c>
      <c r="H152" s="6">
        <v>-3.66</v>
      </c>
      <c r="I152" s="6">
        <v>33.33</v>
      </c>
      <c r="J152" s="7">
        <f t="shared" ref="J152:O152" si="246">abs(C152-C151)/200</f>
        <v>0.0175</v>
      </c>
      <c r="K152" s="7">
        <f t="shared" si="246"/>
        <v>0.0071</v>
      </c>
      <c r="L152" s="7">
        <f t="shared" si="246"/>
        <v>0.00055</v>
      </c>
      <c r="M152" s="7">
        <f t="shared" si="246"/>
        <v>0.0031</v>
      </c>
      <c r="N152" s="7">
        <f t="shared" si="246"/>
        <v>0.0003</v>
      </c>
      <c r="O152" s="7">
        <f t="shared" si="246"/>
        <v>0.024</v>
      </c>
      <c r="P152" s="7">
        <f t="shared" si="7"/>
        <v>2.577001955</v>
      </c>
      <c r="Q152" s="7">
        <f t="shared" si="8"/>
        <v>0.7182486405</v>
      </c>
      <c r="R152" s="7">
        <f t="shared" si="2"/>
        <v>1.905430364</v>
      </c>
      <c r="S152" s="7">
        <f t="shared" si="3"/>
        <v>3.719542983</v>
      </c>
      <c r="T152" s="7">
        <f t="shared" si="4"/>
        <v>1</v>
      </c>
      <c r="U152" s="7">
        <f t="shared" si="5"/>
        <v>1</v>
      </c>
      <c r="V152" s="7">
        <f t="shared" ref="V152:W152" si="247">IF(AVERAGE(T92:T151) &gt; 0.25, 1, 0)</f>
        <v>1</v>
      </c>
      <c r="W152" s="7">
        <f t="shared" si="247"/>
        <v>1</v>
      </c>
      <c r="X152" s="8">
        <v>1.0</v>
      </c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ht="22.5" customHeight="1">
      <c r="A153" s="6">
        <v>152.0</v>
      </c>
      <c r="B153" s="6">
        <v>33491.0</v>
      </c>
      <c r="C153" s="6">
        <v>-3.16</v>
      </c>
      <c r="D153" s="6">
        <v>-0.06</v>
      </c>
      <c r="E153" s="6">
        <v>10.83</v>
      </c>
      <c r="F153" s="6">
        <v>-0.13</v>
      </c>
      <c r="G153" s="6">
        <v>0.0</v>
      </c>
      <c r="H153" s="6">
        <v>-0.54</v>
      </c>
      <c r="I153" s="6">
        <v>33.34</v>
      </c>
      <c r="J153" s="7">
        <f t="shared" ref="J153:O153" si="248">abs(C153-C152)/200</f>
        <v>0.02425</v>
      </c>
      <c r="K153" s="7">
        <f t="shared" si="248"/>
        <v>0.01075</v>
      </c>
      <c r="L153" s="7">
        <f t="shared" si="248"/>
        <v>0.0027</v>
      </c>
      <c r="M153" s="7">
        <f t="shared" si="248"/>
        <v>0.0026</v>
      </c>
      <c r="N153" s="7">
        <f t="shared" si="248"/>
        <v>0.00065</v>
      </c>
      <c r="O153" s="7">
        <f t="shared" si="248"/>
        <v>0.0156</v>
      </c>
      <c r="P153" s="7">
        <f t="shared" si="7"/>
        <v>3.16411522</v>
      </c>
      <c r="Q153" s="7">
        <f t="shared" si="8"/>
        <v>0.4236707492</v>
      </c>
      <c r="R153" s="7">
        <f t="shared" si="2"/>
        <v>1.481759615</v>
      </c>
      <c r="S153" s="7">
        <f t="shared" si="3"/>
        <v>0.5554277631</v>
      </c>
      <c r="T153" s="7">
        <f t="shared" si="4"/>
        <v>1</v>
      </c>
      <c r="U153" s="7">
        <f t="shared" si="5"/>
        <v>1</v>
      </c>
      <c r="V153" s="7">
        <f t="shared" ref="V153:W153" si="249">IF(AVERAGE(T93:T152) &gt; 0.25, 1, 0)</f>
        <v>1</v>
      </c>
      <c r="W153" s="7">
        <f t="shared" si="249"/>
        <v>1</v>
      </c>
      <c r="X153" s="8">
        <v>1.0</v>
      </c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ht="22.5" customHeight="1">
      <c r="A154" s="6">
        <v>153.0</v>
      </c>
      <c r="B154" s="6">
        <v>33695.0</v>
      </c>
      <c r="C154" s="6">
        <v>1.3</v>
      </c>
      <c r="D154" s="6">
        <v>-1.2</v>
      </c>
      <c r="E154" s="6">
        <v>11.23</v>
      </c>
      <c r="F154" s="6">
        <v>0.33</v>
      </c>
      <c r="G154" s="6">
        <v>0.26</v>
      </c>
      <c r="H154" s="6">
        <v>2.44</v>
      </c>
      <c r="I154" s="6">
        <v>33.32</v>
      </c>
      <c r="J154" s="7">
        <f t="shared" ref="J154:O154" si="250">abs(C154-C153)/200</f>
        <v>0.0223</v>
      </c>
      <c r="K154" s="7">
        <f t="shared" si="250"/>
        <v>0.0057</v>
      </c>
      <c r="L154" s="7">
        <f t="shared" si="250"/>
        <v>0.002</v>
      </c>
      <c r="M154" s="7">
        <f t="shared" si="250"/>
        <v>0.0023</v>
      </c>
      <c r="N154" s="7">
        <f t="shared" si="250"/>
        <v>0.0013</v>
      </c>
      <c r="O154" s="7">
        <f t="shared" si="250"/>
        <v>0.0149</v>
      </c>
      <c r="P154" s="7">
        <f t="shared" si="7"/>
        <v>1.920476112</v>
      </c>
      <c r="Q154" s="7">
        <f t="shared" si="8"/>
        <v>0.08674512444</v>
      </c>
      <c r="R154" s="7">
        <f t="shared" si="2"/>
        <v>1.568504739</v>
      </c>
      <c r="S154" s="7">
        <f t="shared" si="3"/>
        <v>2.475903875</v>
      </c>
      <c r="T154" s="7">
        <f t="shared" si="4"/>
        <v>1</v>
      </c>
      <c r="U154" s="7">
        <f t="shared" si="5"/>
        <v>1</v>
      </c>
      <c r="V154" s="7">
        <f t="shared" ref="V154:W154" si="251">IF(AVERAGE(T94:T153) &gt; 0.25, 1, 0)</f>
        <v>1</v>
      </c>
      <c r="W154" s="7">
        <f t="shared" si="251"/>
        <v>1</v>
      </c>
      <c r="X154" s="8">
        <v>1.0</v>
      </c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ht="22.5" customHeight="1">
      <c r="A155" s="6">
        <v>154.0</v>
      </c>
      <c r="B155" s="6">
        <v>33899.0</v>
      </c>
      <c r="C155" s="6">
        <v>4.8</v>
      </c>
      <c r="D155" s="6">
        <v>-3.13</v>
      </c>
      <c r="E155" s="6">
        <v>9.96</v>
      </c>
      <c r="F155" s="6">
        <v>-0.13</v>
      </c>
      <c r="G155" s="6">
        <v>0.04</v>
      </c>
      <c r="H155" s="6">
        <v>-0.24</v>
      </c>
      <c r="I155" s="6">
        <v>33.33</v>
      </c>
      <c r="J155" s="7">
        <f t="shared" ref="J155:O155" si="252">abs(C155-C154)/200</f>
        <v>0.0175</v>
      </c>
      <c r="K155" s="7">
        <f t="shared" si="252"/>
        <v>0.00965</v>
      </c>
      <c r="L155" s="7">
        <f t="shared" si="252"/>
        <v>0.00635</v>
      </c>
      <c r="M155" s="7">
        <f t="shared" si="252"/>
        <v>0.0023</v>
      </c>
      <c r="N155" s="7">
        <f t="shared" si="252"/>
        <v>0.0011</v>
      </c>
      <c r="O155" s="7">
        <f t="shared" si="252"/>
        <v>0.0134</v>
      </c>
      <c r="P155" s="7">
        <f t="shared" si="7"/>
        <v>2.200041591</v>
      </c>
      <c r="Q155" s="7">
        <f t="shared" si="8"/>
        <v>0.1222959294</v>
      </c>
      <c r="R155" s="7">
        <f t="shared" si="2"/>
        <v>1.690800668</v>
      </c>
      <c r="S155" s="7">
        <f t="shared" si="3"/>
        <v>0.2758622845</v>
      </c>
      <c r="T155" s="7">
        <f t="shared" si="4"/>
        <v>1</v>
      </c>
      <c r="U155" s="7">
        <f t="shared" si="5"/>
        <v>1</v>
      </c>
      <c r="V155" s="7">
        <f t="shared" ref="V155:W155" si="253">IF(AVERAGE(T95:T154) &gt; 0.25, 1, 0)</f>
        <v>1</v>
      </c>
      <c r="W155" s="7">
        <f t="shared" si="253"/>
        <v>1</v>
      </c>
      <c r="X155" s="8">
        <v>1.0</v>
      </c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ht="22.5" customHeight="1">
      <c r="A156" s="6">
        <v>155.0</v>
      </c>
      <c r="B156" s="6">
        <v>34103.0</v>
      </c>
      <c r="C156" s="6">
        <v>-1.38</v>
      </c>
      <c r="D156" s="6">
        <v>-0.59</v>
      </c>
      <c r="E156" s="6">
        <v>11.31</v>
      </c>
      <c r="F156" s="6">
        <v>-0.35</v>
      </c>
      <c r="G156" s="6">
        <v>-0.21</v>
      </c>
      <c r="H156" s="6">
        <v>-0.69</v>
      </c>
      <c r="I156" s="6">
        <v>33.34</v>
      </c>
      <c r="J156" s="7">
        <f t="shared" ref="J156:O156" si="254">abs(C156-C155)/200</f>
        <v>0.0309</v>
      </c>
      <c r="K156" s="7">
        <f t="shared" si="254"/>
        <v>0.0127</v>
      </c>
      <c r="L156" s="7">
        <f t="shared" si="254"/>
        <v>0.00675</v>
      </c>
      <c r="M156" s="7">
        <f t="shared" si="254"/>
        <v>0.0011</v>
      </c>
      <c r="N156" s="7">
        <f t="shared" si="254"/>
        <v>0.00125</v>
      </c>
      <c r="O156" s="7">
        <f t="shared" si="254"/>
        <v>0.00225</v>
      </c>
      <c r="P156" s="7">
        <f t="shared" si="7"/>
        <v>0.5258234395</v>
      </c>
      <c r="Q156" s="7">
        <f t="shared" si="8"/>
        <v>0.08165521395</v>
      </c>
      <c r="R156" s="7">
        <f t="shared" si="2"/>
        <v>1.609145454</v>
      </c>
      <c r="S156" s="7">
        <f t="shared" si="3"/>
        <v>0.801685724</v>
      </c>
      <c r="T156" s="7">
        <f t="shared" si="4"/>
        <v>1</v>
      </c>
      <c r="U156" s="7">
        <f t="shared" si="5"/>
        <v>1</v>
      </c>
      <c r="V156" s="7">
        <f t="shared" ref="V156:W156" si="255">IF(AVERAGE(T96:T155) &gt; 0.25, 1, 0)</f>
        <v>1</v>
      </c>
      <c r="W156" s="7">
        <f t="shared" si="255"/>
        <v>1</v>
      </c>
      <c r="X156" s="8">
        <v>1.0</v>
      </c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ht="22.5" customHeight="1">
      <c r="A157" s="6">
        <v>156.0</v>
      </c>
      <c r="B157" s="6">
        <v>34307.0</v>
      </c>
      <c r="C157" s="6">
        <v>-0.92</v>
      </c>
      <c r="D157" s="6">
        <v>3.87</v>
      </c>
      <c r="E157" s="6">
        <v>11.21</v>
      </c>
      <c r="F157" s="6">
        <v>-0.08</v>
      </c>
      <c r="G157" s="6">
        <v>0.07</v>
      </c>
      <c r="H157" s="6">
        <v>0.29</v>
      </c>
      <c r="I157" s="6">
        <v>33.33</v>
      </c>
      <c r="J157" s="7">
        <f t="shared" ref="J157:O157" si="256">abs(C157-C156)/200</f>
        <v>0.0023</v>
      </c>
      <c r="K157" s="7">
        <f t="shared" si="256"/>
        <v>0.0223</v>
      </c>
      <c r="L157" s="7">
        <f t="shared" si="256"/>
        <v>0.0005</v>
      </c>
      <c r="M157" s="7">
        <f t="shared" si="256"/>
        <v>0.00135</v>
      </c>
      <c r="N157" s="7">
        <f t="shared" si="256"/>
        <v>0.0014</v>
      </c>
      <c r="O157" s="7">
        <f t="shared" si="256"/>
        <v>0.0049</v>
      </c>
      <c r="P157" s="7">
        <f t="shared" si="7"/>
        <v>0.4928168197</v>
      </c>
      <c r="Q157" s="7">
        <f t="shared" si="8"/>
        <v>0.4857021697</v>
      </c>
      <c r="R157" s="7">
        <f t="shared" si="2"/>
        <v>2.094847624</v>
      </c>
      <c r="S157" s="7">
        <f t="shared" si="3"/>
        <v>0.3088689042</v>
      </c>
      <c r="T157" s="7">
        <f t="shared" si="4"/>
        <v>1</v>
      </c>
      <c r="U157" s="7">
        <f t="shared" si="5"/>
        <v>1</v>
      </c>
      <c r="V157" s="7">
        <f t="shared" ref="V157:W157" si="257">IF(AVERAGE(T97:T156) &gt; 0.25, 1, 0)</f>
        <v>1</v>
      </c>
      <c r="W157" s="7">
        <f t="shared" si="257"/>
        <v>1</v>
      </c>
      <c r="X157" s="8">
        <v>1.0</v>
      </c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ht="22.5" customHeight="1">
      <c r="A158" s="6">
        <v>157.0</v>
      </c>
      <c r="B158" s="6">
        <v>34511.0</v>
      </c>
      <c r="C158" s="6">
        <v>0.01</v>
      </c>
      <c r="D158" s="6">
        <v>-0.15</v>
      </c>
      <c r="E158" s="6">
        <v>11.25</v>
      </c>
      <c r="F158" s="6">
        <v>0.22</v>
      </c>
      <c r="G158" s="6">
        <v>0.25</v>
      </c>
      <c r="H158" s="6">
        <v>0.72</v>
      </c>
      <c r="I158" s="6">
        <v>33.33</v>
      </c>
      <c r="J158" s="7">
        <f t="shared" ref="J158:O158" si="258">abs(C158-C157)/200</f>
        <v>0.00465</v>
      </c>
      <c r="K158" s="7">
        <f t="shared" si="258"/>
        <v>0.0201</v>
      </c>
      <c r="L158" s="7">
        <f t="shared" si="258"/>
        <v>0.0002</v>
      </c>
      <c r="M158" s="7">
        <f t="shared" si="258"/>
        <v>0.0015</v>
      </c>
      <c r="N158" s="7">
        <f t="shared" si="258"/>
        <v>0.0009</v>
      </c>
      <c r="O158" s="7">
        <f t="shared" si="258"/>
        <v>0.00215</v>
      </c>
      <c r="P158" s="7">
        <f t="shared" si="7"/>
        <v>0.484415408</v>
      </c>
      <c r="Q158" s="7">
        <f t="shared" si="8"/>
        <v>0.6438432245</v>
      </c>
      <c r="R158" s="7">
        <f t="shared" si="2"/>
        <v>1.4510044</v>
      </c>
      <c r="S158" s="7">
        <f t="shared" si="3"/>
        <v>0.7932843122</v>
      </c>
      <c r="T158" s="7">
        <f t="shared" si="4"/>
        <v>1</v>
      </c>
      <c r="U158" s="7">
        <f t="shared" si="5"/>
        <v>1</v>
      </c>
      <c r="V158" s="7">
        <f t="shared" ref="V158:W158" si="259">IF(AVERAGE(T98:T157) &gt; 0.25, 1, 0)</f>
        <v>1</v>
      </c>
      <c r="W158" s="7">
        <f t="shared" si="259"/>
        <v>1</v>
      </c>
      <c r="X158" s="8">
        <v>1.0</v>
      </c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ht="22.5" customHeight="1">
      <c r="A159" s="6">
        <v>158.0</v>
      </c>
      <c r="B159" s="6">
        <v>34715.0</v>
      </c>
      <c r="C159" s="6">
        <v>5.4</v>
      </c>
      <c r="D159" s="6">
        <v>-4.43</v>
      </c>
      <c r="E159" s="6">
        <v>10.26</v>
      </c>
      <c r="F159" s="6">
        <v>0.05</v>
      </c>
      <c r="G159" s="6">
        <v>-0.04</v>
      </c>
      <c r="H159" s="6">
        <v>0.51</v>
      </c>
      <c r="I159" s="6">
        <v>33.33</v>
      </c>
      <c r="J159" s="7">
        <f t="shared" ref="J159:O159" si="260">abs(C159-C158)/200</f>
        <v>0.02695</v>
      </c>
      <c r="K159" s="7">
        <f t="shared" si="260"/>
        <v>0.0214</v>
      </c>
      <c r="L159" s="7">
        <f t="shared" si="260"/>
        <v>0.00495</v>
      </c>
      <c r="M159" s="7">
        <f t="shared" si="260"/>
        <v>0.00085</v>
      </c>
      <c r="N159" s="7">
        <f t="shared" si="260"/>
        <v>0.00145</v>
      </c>
      <c r="O159" s="7">
        <f t="shared" si="260"/>
        <v>0.00105</v>
      </c>
      <c r="P159" s="7">
        <f t="shared" si="7"/>
        <v>0.2792804212</v>
      </c>
      <c r="Q159" s="7">
        <f t="shared" si="8"/>
        <v>1.160784351</v>
      </c>
      <c r="R159" s="7">
        <f t="shared" si="2"/>
        <v>2.611788751</v>
      </c>
      <c r="S159" s="7">
        <f t="shared" si="3"/>
        <v>0.514003891</v>
      </c>
      <c r="T159" s="7">
        <f t="shared" si="4"/>
        <v>1</v>
      </c>
      <c r="U159" s="7">
        <f t="shared" si="5"/>
        <v>1</v>
      </c>
      <c r="V159" s="7">
        <f t="shared" ref="V159:W159" si="261">IF(AVERAGE(T99:T158) &gt; 0.25, 1, 0)</f>
        <v>1</v>
      </c>
      <c r="W159" s="7">
        <f t="shared" si="261"/>
        <v>1</v>
      </c>
      <c r="X159" s="8">
        <v>1.0</v>
      </c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ht="22.5" customHeight="1">
      <c r="A160" s="6">
        <v>159.0</v>
      </c>
      <c r="B160" s="6">
        <v>34919.0</v>
      </c>
      <c r="C160" s="6">
        <v>1.46</v>
      </c>
      <c r="D160" s="6">
        <v>-2.01</v>
      </c>
      <c r="E160" s="6">
        <v>10.6</v>
      </c>
      <c r="F160" s="6">
        <v>-0.31</v>
      </c>
      <c r="G160" s="6">
        <v>-0.06</v>
      </c>
      <c r="H160" s="6">
        <v>-0.41</v>
      </c>
      <c r="I160" s="6">
        <v>33.33</v>
      </c>
      <c r="J160" s="7">
        <f t="shared" ref="J160:O160" si="262">abs(C160-C159)/200</f>
        <v>0.0197</v>
      </c>
      <c r="K160" s="7">
        <f t="shared" si="262"/>
        <v>0.0121</v>
      </c>
      <c r="L160" s="7">
        <f t="shared" si="262"/>
        <v>0.0017</v>
      </c>
      <c r="M160" s="7">
        <f t="shared" si="262"/>
        <v>0.0018</v>
      </c>
      <c r="N160" s="7">
        <f t="shared" si="262"/>
        <v>0.0001</v>
      </c>
      <c r="O160" s="7">
        <f t="shared" si="262"/>
        <v>0.0046</v>
      </c>
      <c r="P160" s="7">
        <f t="shared" si="7"/>
        <v>0.003490070282</v>
      </c>
      <c r="Q160" s="7">
        <f t="shared" si="8"/>
        <v>1.524562291</v>
      </c>
      <c r="R160" s="7">
        <f t="shared" si="2"/>
        <v>1.08722646</v>
      </c>
      <c r="S160" s="7">
        <f t="shared" si="3"/>
        <v>0.5174939613</v>
      </c>
      <c r="T160" s="7">
        <f t="shared" si="4"/>
        <v>1</v>
      </c>
      <c r="U160" s="7">
        <f t="shared" si="5"/>
        <v>1</v>
      </c>
      <c r="V160" s="7">
        <f t="shared" ref="V160:W160" si="263">IF(AVERAGE(T100:T159) &gt; 0.25, 1, 0)</f>
        <v>1</v>
      </c>
      <c r="W160" s="7">
        <f t="shared" si="263"/>
        <v>1</v>
      </c>
      <c r="X160" s="8">
        <v>1.0</v>
      </c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ht="22.5" customHeight="1">
      <c r="A161" s="6">
        <v>160.0</v>
      </c>
      <c r="B161" s="6">
        <v>35123.0</v>
      </c>
      <c r="C161" s="6">
        <v>1.0</v>
      </c>
      <c r="D161" s="6">
        <v>0.18</v>
      </c>
      <c r="E161" s="6">
        <v>10.98</v>
      </c>
      <c r="F161" s="6">
        <v>-0.21</v>
      </c>
      <c r="G161" s="6">
        <v>-0.29</v>
      </c>
      <c r="H161" s="6">
        <v>0.01</v>
      </c>
      <c r="I161" s="6">
        <v>33.32</v>
      </c>
      <c r="J161" s="7">
        <f t="shared" ref="J161:O161" si="264">abs(C161-C160)/200</f>
        <v>0.0023</v>
      </c>
      <c r="K161" s="7">
        <f t="shared" si="264"/>
        <v>0.01095</v>
      </c>
      <c r="L161" s="7">
        <f t="shared" si="264"/>
        <v>0.0019</v>
      </c>
      <c r="M161" s="7">
        <f t="shared" si="264"/>
        <v>0.0005</v>
      </c>
      <c r="N161" s="7">
        <f t="shared" si="264"/>
        <v>0.00115</v>
      </c>
      <c r="O161" s="7">
        <f t="shared" si="264"/>
        <v>0.0021</v>
      </c>
      <c r="P161" s="7">
        <f t="shared" si="7"/>
        <v>0.1593040675</v>
      </c>
      <c r="Q161" s="7">
        <f t="shared" si="8"/>
        <v>0.1396860721</v>
      </c>
      <c r="R161" s="7">
        <f t="shared" si="2"/>
        <v>1.226912533</v>
      </c>
      <c r="S161" s="7">
        <f t="shared" si="3"/>
        <v>0.3581898938</v>
      </c>
      <c r="T161" s="7">
        <f t="shared" si="4"/>
        <v>1</v>
      </c>
      <c r="U161" s="7">
        <f t="shared" si="5"/>
        <v>1</v>
      </c>
      <c r="V161" s="7">
        <f t="shared" ref="V161:W161" si="265">IF(AVERAGE(T101:T160) &gt; 0.25, 1, 0)</f>
        <v>1</v>
      </c>
      <c r="W161" s="7">
        <f t="shared" si="265"/>
        <v>1</v>
      </c>
      <c r="X161" s="8">
        <v>1.0</v>
      </c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ht="22.5" customHeight="1">
      <c r="A162" s="6">
        <v>161.0</v>
      </c>
      <c r="B162" s="6">
        <v>35327.0</v>
      </c>
      <c r="C162" s="6">
        <v>-0.75</v>
      </c>
      <c r="D162" s="6">
        <v>4.27</v>
      </c>
      <c r="E162" s="6">
        <v>10.73</v>
      </c>
      <c r="F162" s="6">
        <v>-0.12</v>
      </c>
      <c r="G162" s="6">
        <v>-0.07</v>
      </c>
      <c r="H162" s="6">
        <v>-0.2</v>
      </c>
      <c r="I162" s="6">
        <v>33.32</v>
      </c>
      <c r="J162" s="7">
        <f t="shared" ref="J162:O162" si="266">abs(C162-C161)/200</f>
        <v>0.00875</v>
      </c>
      <c r="K162" s="7">
        <f t="shared" si="266"/>
        <v>0.02045</v>
      </c>
      <c r="L162" s="7">
        <f t="shared" si="266"/>
        <v>0.00125</v>
      </c>
      <c r="M162" s="7">
        <f t="shared" si="266"/>
        <v>0.00045</v>
      </c>
      <c r="N162" s="7">
        <f t="shared" si="266"/>
        <v>0.0011</v>
      </c>
      <c r="O162" s="7">
        <f t="shared" si="266"/>
        <v>0.00105</v>
      </c>
      <c r="P162" s="7">
        <f t="shared" si="7"/>
        <v>0.1146739805</v>
      </c>
      <c r="Q162" s="7">
        <f t="shared" si="8"/>
        <v>0.5458269876</v>
      </c>
      <c r="R162" s="7">
        <f t="shared" si="2"/>
        <v>1.77273952</v>
      </c>
      <c r="S162" s="7">
        <f t="shared" si="3"/>
        <v>0.2435159132</v>
      </c>
      <c r="T162" s="7">
        <f t="shared" si="4"/>
        <v>1</v>
      </c>
      <c r="U162" s="7">
        <f t="shared" si="5"/>
        <v>1</v>
      </c>
      <c r="V162" s="7">
        <f t="shared" ref="V162:W162" si="267">IF(AVERAGE(T102:T161) &gt; 0.25, 1, 0)</f>
        <v>1</v>
      </c>
      <c r="W162" s="7">
        <f t="shared" si="267"/>
        <v>1</v>
      </c>
      <c r="X162" s="8">
        <v>1.0</v>
      </c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ht="22.5" customHeight="1">
      <c r="A163" s="6">
        <v>162.0</v>
      </c>
      <c r="B163" s="6">
        <v>35531.0</v>
      </c>
      <c r="C163" s="6">
        <v>-0.26</v>
      </c>
      <c r="D163" s="6">
        <v>2.15</v>
      </c>
      <c r="E163" s="6">
        <v>10.87</v>
      </c>
      <c r="F163" s="6">
        <v>-0.06</v>
      </c>
      <c r="G163" s="6">
        <v>0.24</v>
      </c>
      <c r="H163" s="6">
        <v>0.24</v>
      </c>
      <c r="I163" s="6">
        <v>33.33</v>
      </c>
      <c r="J163" s="7">
        <f t="shared" ref="J163:O163" si="268">abs(C163-C162)/200</f>
        <v>0.00245</v>
      </c>
      <c r="K163" s="7">
        <f t="shared" si="268"/>
        <v>0.0106</v>
      </c>
      <c r="L163" s="7">
        <f t="shared" si="268"/>
        <v>0.0007</v>
      </c>
      <c r="M163" s="7">
        <f t="shared" si="268"/>
        <v>0.0003</v>
      </c>
      <c r="N163" s="7">
        <f t="shared" si="268"/>
        <v>0.00155</v>
      </c>
      <c r="O163" s="7">
        <f t="shared" si="268"/>
        <v>0.0022</v>
      </c>
      <c r="P163" s="7">
        <f t="shared" si="7"/>
        <v>0.1011578456</v>
      </c>
      <c r="Q163" s="7">
        <f t="shared" si="8"/>
        <v>0.4891029328</v>
      </c>
      <c r="R163" s="7">
        <f t="shared" si="2"/>
        <v>1.283636587</v>
      </c>
      <c r="S163" s="7">
        <f t="shared" si="3"/>
        <v>0.3446737588</v>
      </c>
      <c r="T163" s="7">
        <f t="shared" si="4"/>
        <v>1</v>
      </c>
      <c r="U163" s="7">
        <f t="shared" si="5"/>
        <v>1</v>
      </c>
      <c r="V163" s="7">
        <f t="shared" ref="V163:W163" si="269">IF(AVERAGE(T103:T162) &gt; 0.25, 1, 0)</f>
        <v>1</v>
      </c>
      <c r="W163" s="7">
        <f t="shared" si="269"/>
        <v>1</v>
      </c>
      <c r="X163" s="8">
        <v>1.0</v>
      </c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ht="22.5" customHeight="1">
      <c r="A164" s="6">
        <v>163.0</v>
      </c>
      <c r="B164" s="6">
        <v>35735.0</v>
      </c>
      <c r="C164" s="6">
        <v>0.51</v>
      </c>
      <c r="D164" s="6">
        <v>-0.31</v>
      </c>
      <c r="E164" s="6">
        <v>11.2</v>
      </c>
      <c r="F164" s="6">
        <v>0.18</v>
      </c>
      <c r="G164" s="6">
        <v>0.18</v>
      </c>
      <c r="H164" s="6">
        <v>0.48</v>
      </c>
      <c r="I164" s="6">
        <v>33.33</v>
      </c>
      <c r="J164" s="7">
        <f t="shared" ref="J164:O164" si="270">abs(C164-C163)/200</f>
        <v>0.00385</v>
      </c>
      <c r="K164" s="7">
        <f t="shared" si="270"/>
        <v>0.0123</v>
      </c>
      <c r="L164" s="7">
        <f t="shared" si="270"/>
        <v>0.00165</v>
      </c>
      <c r="M164" s="7">
        <f t="shared" si="270"/>
        <v>0.0012</v>
      </c>
      <c r="N164" s="7">
        <f t="shared" si="270"/>
        <v>0.0003</v>
      </c>
      <c r="O164" s="7">
        <f t="shared" si="270"/>
        <v>0.0012</v>
      </c>
      <c r="P164" s="7">
        <f t="shared" si="7"/>
        <v>0.1986493495</v>
      </c>
      <c r="Q164" s="7">
        <f t="shared" si="8"/>
        <v>0.1322539257</v>
      </c>
      <c r="R164" s="7">
        <f t="shared" si="2"/>
        <v>1.415890513</v>
      </c>
      <c r="S164" s="7">
        <f t="shared" si="3"/>
        <v>0.5433231083</v>
      </c>
      <c r="T164" s="7">
        <f t="shared" si="4"/>
        <v>1</v>
      </c>
      <c r="U164" s="7">
        <f t="shared" si="5"/>
        <v>1</v>
      </c>
      <c r="V164" s="7">
        <f t="shared" ref="V164:W164" si="271">IF(AVERAGE(T104:T163) &gt; 0.25, 1, 0)</f>
        <v>1</v>
      </c>
      <c r="W164" s="7">
        <f t="shared" si="271"/>
        <v>1</v>
      </c>
      <c r="X164" s="8">
        <v>1.0</v>
      </c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ht="22.5" customHeight="1">
      <c r="A165" s="6">
        <v>164.0</v>
      </c>
      <c r="B165" s="6">
        <v>35939.0</v>
      </c>
      <c r="C165" s="6">
        <v>3.26</v>
      </c>
      <c r="D165" s="6">
        <v>-3.22</v>
      </c>
      <c r="E165" s="6">
        <v>10.65</v>
      </c>
      <c r="F165" s="6">
        <v>0.1</v>
      </c>
      <c r="G165" s="6">
        <v>-0.08</v>
      </c>
      <c r="H165" s="6">
        <v>0.62</v>
      </c>
      <c r="I165" s="6">
        <v>33.33</v>
      </c>
      <c r="J165" s="7">
        <f t="shared" ref="J165:O165" si="272">abs(C165-C164)/200</f>
        <v>0.01375</v>
      </c>
      <c r="K165" s="7">
        <f t="shared" si="272"/>
        <v>0.01455</v>
      </c>
      <c r="L165" s="7">
        <f t="shared" si="272"/>
        <v>0.00275</v>
      </c>
      <c r="M165" s="7">
        <f t="shared" si="272"/>
        <v>0.0004</v>
      </c>
      <c r="N165" s="7">
        <f t="shared" si="272"/>
        <v>0.0013</v>
      </c>
      <c r="O165" s="7">
        <f t="shared" si="272"/>
        <v>0.0007</v>
      </c>
      <c r="P165" s="7">
        <f t="shared" si="7"/>
        <v>0.08976456337</v>
      </c>
      <c r="Q165" s="7">
        <f t="shared" si="8"/>
        <v>0.3780087448</v>
      </c>
      <c r="R165" s="7">
        <f t="shared" si="2"/>
        <v>1.793899258</v>
      </c>
      <c r="S165" s="7">
        <f t="shared" si="3"/>
        <v>0.6330876717</v>
      </c>
      <c r="T165" s="7">
        <f t="shared" si="4"/>
        <v>1</v>
      </c>
      <c r="U165" s="7">
        <f t="shared" si="5"/>
        <v>1</v>
      </c>
      <c r="V165" s="7">
        <f t="shared" ref="V165:W165" si="273">IF(AVERAGE(T105:T164) &gt; 0.25, 1, 0)</f>
        <v>1</v>
      </c>
      <c r="W165" s="7">
        <f t="shared" si="273"/>
        <v>1</v>
      </c>
      <c r="X165" s="8">
        <v>1.0</v>
      </c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ht="22.5" customHeight="1">
      <c r="A166" s="6">
        <v>165.0</v>
      </c>
      <c r="B166" s="6">
        <v>36143.0</v>
      </c>
      <c r="C166" s="6">
        <v>1.68</v>
      </c>
      <c r="D166" s="6">
        <v>-1.99</v>
      </c>
      <c r="E166" s="6">
        <v>10.62</v>
      </c>
      <c r="F166" s="6">
        <v>-0.23</v>
      </c>
      <c r="G166" s="6">
        <v>-0.06</v>
      </c>
      <c r="H166" s="6">
        <v>-0.12</v>
      </c>
      <c r="I166" s="6">
        <v>33.32</v>
      </c>
      <c r="J166" s="7">
        <f t="shared" ref="J166:O166" si="274">abs(C166-C165)/200</f>
        <v>0.0079</v>
      </c>
      <c r="K166" s="7">
        <f t="shared" si="274"/>
        <v>0.00615</v>
      </c>
      <c r="L166" s="7">
        <f t="shared" si="274"/>
        <v>0.00015</v>
      </c>
      <c r="M166" s="7">
        <f t="shared" si="274"/>
        <v>0.00165</v>
      </c>
      <c r="N166" s="7">
        <f t="shared" si="274"/>
        <v>0.0001</v>
      </c>
      <c r="O166" s="7">
        <f t="shared" si="274"/>
        <v>0.0037</v>
      </c>
      <c r="P166" s="7">
        <f t="shared" si="7"/>
        <v>0.3668171325</v>
      </c>
      <c r="Q166" s="7">
        <f t="shared" si="8"/>
        <v>0.6592341966</v>
      </c>
      <c r="R166" s="7">
        <f t="shared" si="2"/>
        <v>1.134665061</v>
      </c>
      <c r="S166" s="7">
        <f t="shared" si="3"/>
        <v>0.2662705391</v>
      </c>
      <c r="T166" s="7">
        <f t="shared" si="4"/>
        <v>1</v>
      </c>
      <c r="U166" s="7">
        <f t="shared" si="5"/>
        <v>1</v>
      </c>
      <c r="V166" s="7">
        <f t="shared" ref="V166:W166" si="275">IF(AVERAGE(T106:T165) &gt; 0.25, 1, 0)</f>
        <v>1</v>
      </c>
      <c r="W166" s="7">
        <f t="shared" si="275"/>
        <v>1</v>
      </c>
      <c r="X166" s="8">
        <v>1.0</v>
      </c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ht="22.5" customHeight="1">
      <c r="A167" s="6">
        <v>166.0</v>
      </c>
      <c r="B167" s="6">
        <v>36347.0</v>
      </c>
      <c r="C167" s="6">
        <v>1.38</v>
      </c>
      <c r="D167" s="6">
        <v>-0.57</v>
      </c>
      <c r="E167" s="6">
        <v>10.81</v>
      </c>
      <c r="F167" s="6">
        <v>-0.22</v>
      </c>
      <c r="G167" s="6">
        <v>-0.13</v>
      </c>
      <c r="H167" s="6">
        <v>-0.31</v>
      </c>
      <c r="I167" s="6">
        <v>33.33</v>
      </c>
      <c r="J167" s="7">
        <f t="shared" ref="J167:O167" si="276">abs(C167-C166)/200</f>
        <v>0.0015</v>
      </c>
      <c r="K167" s="7">
        <f t="shared" si="276"/>
        <v>0.0071</v>
      </c>
      <c r="L167" s="7">
        <f t="shared" si="276"/>
        <v>0.00095</v>
      </c>
      <c r="M167" s="7">
        <f t="shared" si="276"/>
        <v>0.00005</v>
      </c>
      <c r="N167" s="7">
        <f t="shared" si="276"/>
        <v>0.00035</v>
      </c>
      <c r="O167" s="7">
        <f t="shared" si="276"/>
        <v>0.00095</v>
      </c>
      <c r="P167" s="7">
        <f t="shared" si="7"/>
        <v>0.1354756494</v>
      </c>
      <c r="Q167" s="7">
        <f t="shared" si="8"/>
        <v>0.02203934597</v>
      </c>
      <c r="R167" s="7">
        <f t="shared" si="2"/>
        <v>1.112625715</v>
      </c>
      <c r="S167" s="7">
        <f t="shared" si="3"/>
        <v>0.4017461885</v>
      </c>
      <c r="T167" s="7">
        <f t="shared" si="4"/>
        <v>1</v>
      </c>
      <c r="U167" s="7">
        <f t="shared" si="5"/>
        <v>1</v>
      </c>
      <c r="V167" s="7">
        <f t="shared" ref="V167:W167" si="277">IF(AVERAGE(T107:T166) &gt; 0.25, 1, 0)</f>
        <v>1</v>
      </c>
      <c r="W167" s="7">
        <f t="shared" si="277"/>
        <v>1</v>
      </c>
      <c r="X167" s="8">
        <v>1.0</v>
      </c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ht="22.5" customHeight="1">
      <c r="A168" s="6">
        <v>167.0</v>
      </c>
      <c r="B168" s="6">
        <v>36551.0</v>
      </c>
      <c r="C168" s="6">
        <v>0.21</v>
      </c>
      <c r="D168" s="6">
        <v>3.29</v>
      </c>
      <c r="E168" s="6">
        <v>10.86</v>
      </c>
      <c r="F168" s="6">
        <v>-0.23</v>
      </c>
      <c r="G168" s="6">
        <v>-0.03</v>
      </c>
      <c r="H168" s="6">
        <v>-0.38</v>
      </c>
      <c r="I168" s="6">
        <v>33.32</v>
      </c>
      <c r="J168" s="7">
        <f t="shared" ref="J168:O168" si="278">abs(C168-C167)/200</f>
        <v>0.00585</v>
      </c>
      <c r="K168" s="7">
        <f t="shared" si="278"/>
        <v>0.0193</v>
      </c>
      <c r="L168" s="7">
        <f t="shared" si="278"/>
        <v>0.00025</v>
      </c>
      <c r="M168" s="7">
        <f t="shared" si="278"/>
        <v>0.00005</v>
      </c>
      <c r="N168" s="7">
        <f t="shared" si="278"/>
        <v>0.0005</v>
      </c>
      <c r="O168" s="7">
        <f t="shared" si="278"/>
        <v>0.00035</v>
      </c>
      <c r="P168" s="7">
        <f t="shared" si="7"/>
        <v>0.04345039726</v>
      </c>
      <c r="Q168" s="7">
        <f t="shared" si="8"/>
        <v>0.4367266892</v>
      </c>
      <c r="R168" s="7">
        <f t="shared" si="2"/>
        <v>1.549352404</v>
      </c>
      <c r="S168" s="7">
        <f t="shared" si="3"/>
        <v>0.4451965858</v>
      </c>
      <c r="T168" s="7">
        <f t="shared" si="4"/>
        <v>1</v>
      </c>
      <c r="U168" s="7">
        <f t="shared" si="5"/>
        <v>1</v>
      </c>
      <c r="V168" s="7">
        <f t="shared" ref="V168:W168" si="279">IF(AVERAGE(T108:T167) &gt; 0.25, 1, 0)</f>
        <v>1</v>
      </c>
      <c r="W168" s="7">
        <f t="shared" si="279"/>
        <v>1</v>
      </c>
      <c r="X168" s="8">
        <v>1.0</v>
      </c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ht="22.5" customHeight="1">
      <c r="A169" s="6">
        <v>168.0</v>
      </c>
      <c r="B169" s="6">
        <v>36755.0</v>
      </c>
      <c r="C169" s="6">
        <v>-0.41</v>
      </c>
      <c r="D169" s="6">
        <v>1.99</v>
      </c>
      <c r="E169" s="6">
        <v>10.75</v>
      </c>
      <c r="F169" s="6">
        <v>-0.03</v>
      </c>
      <c r="G169" s="6">
        <v>-0.1</v>
      </c>
      <c r="H169" s="6">
        <v>0.12</v>
      </c>
      <c r="I169" s="6">
        <v>33.33</v>
      </c>
      <c r="J169" s="7">
        <f t="shared" ref="J169:O169" si="280">abs(C169-C168)/200</f>
        <v>0.0031</v>
      </c>
      <c r="K169" s="7">
        <f t="shared" si="280"/>
        <v>0.0065</v>
      </c>
      <c r="L169" s="7">
        <f t="shared" si="280"/>
        <v>0.00055</v>
      </c>
      <c r="M169" s="7">
        <f t="shared" si="280"/>
        <v>0.001</v>
      </c>
      <c r="N169" s="7">
        <f t="shared" si="280"/>
        <v>0.00035</v>
      </c>
      <c r="O169" s="7">
        <f t="shared" si="280"/>
        <v>0.0025</v>
      </c>
      <c r="P169" s="7">
        <f t="shared" si="7"/>
        <v>0.2861368486</v>
      </c>
      <c r="Q169" s="7">
        <f t="shared" si="8"/>
        <v>0.409027912</v>
      </c>
      <c r="R169" s="7">
        <f t="shared" si="2"/>
        <v>1.140324492</v>
      </c>
      <c r="S169" s="7">
        <f t="shared" si="3"/>
        <v>0.1590597372</v>
      </c>
      <c r="T169" s="7">
        <f t="shared" si="4"/>
        <v>1</v>
      </c>
      <c r="U169" s="7">
        <f t="shared" si="5"/>
        <v>1</v>
      </c>
      <c r="V169" s="7">
        <f t="shared" ref="V169:W169" si="281">IF(AVERAGE(T109:T168) &gt; 0.25, 1, 0)</f>
        <v>1</v>
      </c>
      <c r="W169" s="7">
        <f t="shared" si="281"/>
        <v>1</v>
      </c>
      <c r="X169" s="8">
        <v>1.0</v>
      </c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ht="22.5" customHeight="1">
      <c r="A170" s="6">
        <v>169.0</v>
      </c>
      <c r="B170" s="6">
        <v>36959.0</v>
      </c>
      <c r="C170" s="6">
        <v>1.31</v>
      </c>
      <c r="D170" s="6">
        <v>1.34</v>
      </c>
      <c r="E170" s="6">
        <v>10.7</v>
      </c>
      <c r="F170" s="6">
        <v>0.21</v>
      </c>
      <c r="G170" s="6">
        <v>-0.02</v>
      </c>
      <c r="H170" s="6">
        <v>1.16</v>
      </c>
      <c r="I170" s="6">
        <v>33.34</v>
      </c>
      <c r="J170" s="7">
        <f t="shared" ref="J170:O170" si="282">abs(C170-C169)/200</f>
        <v>0.0086</v>
      </c>
      <c r="K170" s="7">
        <f t="shared" si="282"/>
        <v>0.00325</v>
      </c>
      <c r="L170" s="7">
        <f t="shared" si="282"/>
        <v>0.00025</v>
      </c>
      <c r="M170" s="7">
        <f t="shared" si="282"/>
        <v>0.0012</v>
      </c>
      <c r="N170" s="7">
        <f t="shared" si="282"/>
        <v>0.0004</v>
      </c>
      <c r="O170" s="7">
        <f t="shared" si="282"/>
        <v>0.0052</v>
      </c>
      <c r="P170" s="7">
        <f t="shared" si="7"/>
        <v>1.019965284</v>
      </c>
      <c r="Q170" s="7">
        <f t="shared" si="8"/>
        <v>0.07746575268</v>
      </c>
      <c r="R170" s="7">
        <f t="shared" si="2"/>
        <v>1.06285874</v>
      </c>
      <c r="S170" s="7">
        <f t="shared" si="3"/>
        <v>1.179025021</v>
      </c>
      <c r="T170" s="7">
        <f t="shared" si="4"/>
        <v>1</v>
      </c>
      <c r="U170" s="7">
        <f t="shared" si="5"/>
        <v>1</v>
      </c>
      <c r="V170" s="7">
        <f t="shared" ref="V170:W170" si="283">IF(AVERAGE(T110:T169) &gt; 0.25, 1, 0)</f>
        <v>1</v>
      </c>
      <c r="W170" s="7">
        <f t="shared" si="283"/>
        <v>1</v>
      </c>
      <c r="X170" s="8">
        <v>1.0</v>
      </c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ht="22.5" customHeight="1">
      <c r="A171" s="6">
        <v>170.0</v>
      </c>
      <c r="B171" s="6">
        <v>37163.0</v>
      </c>
      <c r="C171" s="6">
        <v>2.85</v>
      </c>
      <c r="D171" s="6">
        <v>-2.03</v>
      </c>
      <c r="E171" s="6">
        <v>10.8</v>
      </c>
      <c r="F171" s="6">
        <v>0.17</v>
      </c>
      <c r="G171" s="6">
        <v>0.2</v>
      </c>
      <c r="H171" s="6">
        <v>0.86</v>
      </c>
      <c r="I171" s="6">
        <v>33.33</v>
      </c>
      <c r="J171" s="7">
        <f t="shared" ref="J171:O171" si="284">abs(C171-C170)/200</f>
        <v>0.0077</v>
      </c>
      <c r="K171" s="7">
        <f t="shared" si="284"/>
        <v>0.01685</v>
      </c>
      <c r="L171" s="7">
        <f t="shared" si="284"/>
        <v>0.0005</v>
      </c>
      <c r="M171" s="7">
        <f t="shared" si="284"/>
        <v>0.0002</v>
      </c>
      <c r="N171" s="7">
        <f t="shared" si="284"/>
        <v>0.0011</v>
      </c>
      <c r="O171" s="7">
        <f t="shared" si="284"/>
        <v>0.0015</v>
      </c>
      <c r="P171" s="7">
        <f t="shared" si="7"/>
        <v>0.2798587404</v>
      </c>
      <c r="Q171" s="7">
        <f t="shared" si="8"/>
        <v>0.4898237626</v>
      </c>
      <c r="R171" s="7">
        <f t="shared" si="2"/>
        <v>1.552682502</v>
      </c>
      <c r="S171" s="7">
        <f t="shared" si="3"/>
        <v>0.8991662805</v>
      </c>
      <c r="T171" s="7">
        <f t="shared" si="4"/>
        <v>1</v>
      </c>
      <c r="U171" s="7">
        <f t="shared" si="5"/>
        <v>1</v>
      </c>
      <c r="V171" s="7">
        <f t="shared" ref="V171:W171" si="285">IF(AVERAGE(T111:T170) &gt; 0.25, 1, 0)</f>
        <v>1</v>
      </c>
      <c r="W171" s="7">
        <f t="shared" si="285"/>
        <v>1</v>
      </c>
      <c r="X171" s="8">
        <v>1.0</v>
      </c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ht="22.5" customHeight="1">
      <c r="A172" s="6">
        <v>171.0</v>
      </c>
      <c r="B172" s="6">
        <v>37367.0</v>
      </c>
      <c r="C172" s="6">
        <v>1.87</v>
      </c>
      <c r="D172" s="6">
        <v>-0.89</v>
      </c>
      <c r="E172" s="6">
        <v>10.79</v>
      </c>
      <c r="F172" s="6">
        <v>-0.1</v>
      </c>
      <c r="G172" s="6">
        <v>-0.17</v>
      </c>
      <c r="H172" s="6">
        <v>0.06</v>
      </c>
      <c r="I172" s="6">
        <v>33.33</v>
      </c>
      <c r="J172" s="7">
        <f t="shared" ref="J172:O172" si="286">abs(C172-C171)/200</f>
        <v>0.0049</v>
      </c>
      <c r="K172" s="7">
        <f t="shared" si="286"/>
        <v>0.0057</v>
      </c>
      <c r="L172" s="7">
        <f t="shared" si="286"/>
        <v>0.00005</v>
      </c>
      <c r="M172" s="7">
        <f t="shared" si="286"/>
        <v>0.00135</v>
      </c>
      <c r="N172" s="7">
        <f t="shared" si="286"/>
        <v>0.00185</v>
      </c>
      <c r="O172" s="7">
        <f t="shared" si="286"/>
        <v>0.004</v>
      </c>
      <c r="P172" s="7">
        <f t="shared" si="7"/>
        <v>0.6930109992</v>
      </c>
      <c r="Q172" s="7">
        <f t="shared" si="8"/>
        <v>0.3657311509</v>
      </c>
      <c r="R172" s="7">
        <f t="shared" si="2"/>
        <v>1.186951351</v>
      </c>
      <c r="S172" s="7">
        <f t="shared" si="3"/>
        <v>0.2061552813</v>
      </c>
      <c r="T172" s="7">
        <f t="shared" si="4"/>
        <v>1</v>
      </c>
      <c r="U172" s="7">
        <f t="shared" si="5"/>
        <v>1</v>
      </c>
      <c r="V172" s="7">
        <f t="shared" ref="V172:W172" si="287">IF(AVERAGE(T112:T171) &gt; 0.25, 1, 0)</f>
        <v>1</v>
      </c>
      <c r="W172" s="7">
        <f t="shared" si="287"/>
        <v>1</v>
      </c>
      <c r="X172" s="8">
        <v>1.0</v>
      </c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ht="22.5" customHeight="1">
      <c r="A173" s="6">
        <v>172.0</v>
      </c>
      <c r="B173" s="6">
        <v>37571.0</v>
      </c>
      <c r="C173" s="6">
        <v>1.95</v>
      </c>
      <c r="D173" s="6">
        <v>-1.57</v>
      </c>
      <c r="E173" s="6">
        <v>10.81</v>
      </c>
      <c r="F173" s="6">
        <v>-0.31</v>
      </c>
      <c r="G173" s="6">
        <v>-0.11</v>
      </c>
      <c r="H173" s="6">
        <v>-0.57</v>
      </c>
      <c r="I173" s="6">
        <v>33.32</v>
      </c>
      <c r="J173" s="7">
        <f t="shared" ref="J173:O173" si="288">abs(C173-C172)/200</f>
        <v>0.0004</v>
      </c>
      <c r="K173" s="7">
        <f t="shared" si="288"/>
        <v>0.0034</v>
      </c>
      <c r="L173" s="7">
        <f t="shared" si="288"/>
        <v>0.0001</v>
      </c>
      <c r="M173" s="7">
        <f t="shared" si="288"/>
        <v>0.00105</v>
      </c>
      <c r="N173" s="7">
        <f t="shared" si="288"/>
        <v>0.0003</v>
      </c>
      <c r="O173" s="7">
        <f t="shared" si="288"/>
        <v>0.00315</v>
      </c>
      <c r="P173" s="7">
        <f t="shared" si="7"/>
        <v>0.4519480541</v>
      </c>
      <c r="Q173" s="7">
        <f t="shared" si="8"/>
        <v>0.109151568</v>
      </c>
      <c r="R173" s="7">
        <f t="shared" si="2"/>
        <v>1.296102919</v>
      </c>
      <c r="S173" s="7">
        <f t="shared" si="3"/>
        <v>0.6581033354</v>
      </c>
      <c r="T173" s="7">
        <f t="shared" si="4"/>
        <v>1</v>
      </c>
      <c r="U173" s="7">
        <f t="shared" si="5"/>
        <v>1</v>
      </c>
      <c r="V173" s="7">
        <f t="shared" ref="V173:W173" si="289">IF(AVERAGE(T113:T172) &gt; 0.25, 1, 0)</f>
        <v>1</v>
      </c>
      <c r="W173" s="7">
        <f t="shared" si="289"/>
        <v>1</v>
      </c>
      <c r="X173" s="8">
        <v>1.0</v>
      </c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ht="22.5" customHeight="1">
      <c r="A174" s="6">
        <v>173.0</v>
      </c>
      <c r="B174" s="6">
        <v>37775.0</v>
      </c>
      <c r="C174" s="6">
        <v>1.98</v>
      </c>
      <c r="D174" s="6">
        <v>0.65</v>
      </c>
      <c r="E174" s="6">
        <v>10.63</v>
      </c>
      <c r="F174" s="6">
        <v>-0.32</v>
      </c>
      <c r="G174" s="6">
        <v>-0.07</v>
      </c>
      <c r="H174" s="6">
        <v>-0.61</v>
      </c>
      <c r="I174" s="6">
        <v>33.34</v>
      </c>
      <c r="J174" s="7">
        <f t="shared" ref="J174:O174" si="290">abs(C174-C173)/200</f>
        <v>0.00015</v>
      </c>
      <c r="K174" s="7">
        <f t="shared" si="290"/>
        <v>0.0111</v>
      </c>
      <c r="L174" s="7">
        <f t="shared" si="290"/>
        <v>0.0009</v>
      </c>
      <c r="M174" s="7">
        <f t="shared" si="290"/>
        <v>0.00005</v>
      </c>
      <c r="N174" s="7">
        <f t="shared" si="290"/>
        <v>0.0002</v>
      </c>
      <c r="O174" s="7">
        <f t="shared" si="290"/>
        <v>0.0002</v>
      </c>
      <c r="P174" s="7">
        <f t="shared" si="7"/>
        <v>0.03428383957</v>
      </c>
      <c r="Q174" s="7">
        <f t="shared" si="8"/>
        <v>0.2637532206</v>
      </c>
      <c r="R174" s="7">
        <f t="shared" si="2"/>
        <v>1.032349699</v>
      </c>
      <c r="S174" s="7">
        <f t="shared" si="3"/>
        <v>0.6923871749</v>
      </c>
      <c r="T174" s="7">
        <f t="shared" si="4"/>
        <v>1</v>
      </c>
      <c r="U174" s="7">
        <f t="shared" si="5"/>
        <v>0</v>
      </c>
      <c r="V174" s="7">
        <f t="shared" ref="V174:W174" si="291">IF(AVERAGE(T114:T173) &gt; 0.25, 1, 0)</f>
        <v>1</v>
      </c>
      <c r="W174" s="7">
        <f t="shared" si="291"/>
        <v>1</v>
      </c>
      <c r="X174" s="8">
        <v>1.0</v>
      </c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ht="22.5" customHeight="1">
      <c r="A175" s="6">
        <v>174.0</v>
      </c>
      <c r="B175" s="6">
        <v>37979.0</v>
      </c>
      <c r="C175" s="6">
        <v>2.45</v>
      </c>
      <c r="D175" s="6">
        <v>2.94</v>
      </c>
      <c r="E175" s="6">
        <v>10.47</v>
      </c>
      <c r="F175" s="6">
        <v>-0.15</v>
      </c>
      <c r="G175" s="6">
        <v>0.08</v>
      </c>
      <c r="H175" s="6">
        <v>-0.61</v>
      </c>
      <c r="I175" s="6">
        <v>33.34</v>
      </c>
      <c r="J175" s="7">
        <f t="shared" ref="J175:O175" si="292">abs(C175-C174)/200</f>
        <v>0.00235</v>
      </c>
      <c r="K175" s="7">
        <f t="shared" si="292"/>
        <v>0.01145</v>
      </c>
      <c r="L175" s="7">
        <f t="shared" si="292"/>
        <v>0.0008</v>
      </c>
      <c r="M175" s="7">
        <f t="shared" si="292"/>
        <v>0.00085</v>
      </c>
      <c r="N175" s="7">
        <f t="shared" si="292"/>
        <v>0.00075</v>
      </c>
      <c r="O175" s="7">
        <f t="shared" si="292"/>
        <v>0</v>
      </c>
      <c r="P175" s="7">
        <f t="shared" si="7"/>
        <v>0.05914156697</v>
      </c>
      <c r="Q175" s="7">
        <f t="shared" si="8"/>
        <v>0.315161234</v>
      </c>
      <c r="R175" s="7">
        <f t="shared" si="2"/>
        <v>1.347510933</v>
      </c>
      <c r="S175" s="7">
        <f t="shared" si="3"/>
        <v>0.633245608</v>
      </c>
      <c r="T175" s="7">
        <f t="shared" si="4"/>
        <v>1</v>
      </c>
      <c r="U175" s="7">
        <f t="shared" si="5"/>
        <v>1</v>
      </c>
      <c r="V175" s="7">
        <f t="shared" ref="V175:W175" si="293">IF(AVERAGE(T115:T174) &gt; 0.25, 1, 0)</f>
        <v>1</v>
      </c>
      <c r="W175" s="7">
        <f t="shared" si="293"/>
        <v>1</v>
      </c>
      <c r="X175" s="8">
        <v>1.0</v>
      </c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ht="22.5" customHeight="1">
      <c r="A176" s="6">
        <v>175.0</v>
      </c>
      <c r="B176" s="6">
        <v>38183.0</v>
      </c>
      <c r="C176" s="6">
        <v>-2.49</v>
      </c>
      <c r="D176" s="6">
        <v>-0.34</v>
      </c>
      <c r="E176" s="6">
        <v>10.56</v>
      </c>
      <c r="F176" s="6">
        <v>-0.43</v>
      </c>
      <c r="G176" s="6">
        <v>0.31</v>
      </c>
      <c r="H176" s="6">
        <v>-2.13</v>
      </c>
      <c r="I176" s="6">
        <v>33.32</v>
      </c>
      <c r="J176" s="7">
        <f t="shared" ref="J176:O176" si="294">abs(C176-C175)/200</f>
        <v>0.0247</v>
      </c>
      <c r="K176" s="7">
        <f t="shared" si="294"/>
        <v>0.0164</v>
      </c>
      <c r="L176" s="7">
        <f t="shared" si="294"/>
        <v>0.00045</v>
      </c>
      <c r="M176" s="7">
        <f t="shared" si="294"/>
        <v>0.0014</v>
      </c>
      <c r="N176" s="7">
        <f t="shared" si="294"/>
        <v>0.00115</v>
      </c>
      <c r="O176" s="7">
        <f t="shared" si="294"/>
        <v>0.0076</v>
      </c>
      <c r="P176" s="7">
        <f t="shared" si="7"/>
        <v>1.561725918</v>
      </c>
      <c r="Q176" s="7">
        <f t="shared" si="8"/>
        <v>0.2925903897</v>
      </c>
      <c r="R176" s="7">
        <f t="shared" si="2"/>
        <v>1.054920543</v>
      </c>
      <c r="S176" s="7">
        <f t="shared" si="3"/>
        <v>2.194971526</v>
      </c>
      <c r="T176" s="7">
        <f t="shared" si="4"/>
        <v>1</v>
      </c>
      <c r="U176" s="7">
        <f t="shared" si="5"/>
        <v>1</v>
      </c>
      <c r="V176" s="7">
        <f t="shared" ref="V176:W176" si="295">IF(AVERAGE(T116:T175) &gt; 0.25, 1, 0)</f>
        <v>1</v>
      </c>
      <c r="W176" s="7">
        <f t="shared" si="295"/>
        <v>1</v>
      </c>
      <c r="X176" s="8">
        <v>1.0</v>
      </c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ht="22.5" customHeight="1">
      <c r="A177" s="6">
        <v>176.0</v>
      </c>
      <c r="B177" s="6">
        <v>38387.0</v>
      </c>
      <c r="C177" s="6">
        <v>-2.13</v>
      </c>
      <c r="D177" s="6">
        <v>-1.13</v>
      </c>
      <c r="E177" s="6">
        <v>11.42</v>
      </c>
      <c r="F177" s="6">
        <v>0.15</v>
      </c>
      <c r="G177" s="6">
        <v>0.24</v>
      </c>
      <c r="H177" s="6">
        <v>0.56</v>
      </c>
      <c r="I177" s="6">
        <v>33.33</v>
      </c>
      <c r="J177" s="7">
        <f t="shared" ref="J177:O177" si="296">abs(C177-C176)/200</f>
        <v>0.0018</v>
      </c>
      <c r="K177" s="7">
        <f t="shared" si="296"/>
        <v>0.00395</v>
      </c>
      <c r="L177" s="7">
        <f t="shared" si="296"/>
        <v>0.0043</v>
      </c>
      <c r="M177" s="7">
        <f t="shared" si="296"/>
        <v>0.0029</v>
      </c>
      <c r="N177" s="7">
        <f t="shared" si="296"/>
        <v>0.00035</v>
      </c>
      <c r="O177" s="7">
        <f t="shared" si="296"/>
        <v>0.01345</v>
      </c>
      <c r="P177" s="7">
        <f t="shared" si="7"/>
        <v>1.567516348</v>
      </c>
      <c r="Q177" s="7">
        <f t="shared" si="8"/>
        <v>0.8168488171</v>
      </c>
      <c r="R177" s="7">
        <f t="shared" si="2"/>
        <v>1.87176936</v>
      </c>
      <c r="S177" s="7">
        <f t="shared" si="3"/>
        <v>0.6274551777</v>
      </c>
      <c r="T177" s="7">
        <f t="shared" si="4"/>
        <v>1</v>
      </c>
      <c r="U177" s="7">
        <f t="shared" si="5"/>
        <v>1</v>
      </c>
      <c r="V177" s="7">
        <f t="shared" ref="V177:W177" si="297">IF(AVERAGE(T117:T176) &gt; 0.25, 1, 0)</f>
        <v>1</v>
      </c>
      <c r="W177" s="7">
        <f t="shared" si="297"/>
        <v>1</v>
      </c>
      <c r="X177" s="8">
        <v>1.0</v>
      </c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ht="22.5" customHeight="1">
      <c r="A178" s="6">
        <v>177.0</v>
      </c>
      <c r="B178" s="6">
        <v>38591.0</v>
      </c>
      <c r="C178" s="6">
        <v>1.11</v>
      </c>
      <c r="D178" s="6">
        <v>-3.61</v>
      </c>
      <c r="E178" s="6">
        <v>10.04</v>
      </c>
      <c r="F178" s="6">
        <v>0.24</v>
      </c>
      <c r="G178" s="6">
        <v>-0.24</v>
      </c>
      <c r="H178" s="6">
        <v>1.93</v>
      </c>
      <c r="I178" s="6">
        <v>33.32</v>
      </c>
      <c r="J178" s="7">
        <f t="shared" ref="J178:O178" si="298">abs(C178-C177)/200</f>
        <v>0.0162</v>
      </c>
      <c r="K178" s="7">
        <f t="shared" si="298"/>
        <v>0.0124</v>
      </c>
      <c r="L178" s="7">
        <f t="shared" si="298"/>
        <v>0.0069</v>
      </c>
      <c r="M178" s="7">
        <f t="shared" si="298"/>
        <v>0.00045</v>
      </c>
      <c r="N178" s="7">
        <f t="shared" si="298"/>
        <v>0.0024</v>
      </c>
      <c r="O178" s="7">
        <f t="shared" si="298"/>
        <v>0.00685</v>
      </c>
      <c r="P178" s="7">
        <f t="shared" si="7"/>
        <v>1.332162132</v>
      </c>
      <c r="Q178" s="7">
        <f t="shared" si="8"/>
        <v>0.9448965634</v>
      </c>
      <c r="R178" s="7">
        <f t="shared" si="2"/>
        <v>0.9268727969</v>
      </c>
      <c r="S178" s="7">
        <f t="shared" si="3"/>
        <v>1.95961731</v>
      </c>
      <c r="T178" s="7">
        <f t="shared" si="4"/>
        <v>1</v>
      </c>
      <c r="U178" s="7">
        <f t="shared" si="5"/>
        <v>1</v>
      </c>
      <c r="V178" s="7">
        <f t="shared" ref="V178:W178" si="299">IF(AVERAGE(T118:T177) &gt; 0.25, 1, 0)</f>
        <v>1</v>
      </c>
      <c r="W178" s="7">
        <f t="shared" si="299"/>
        <v>1</v>
      </c>
      <c r="X178" s="8">
        <v>1.0</v>
      </c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ht="22.5" customHeight="1">
      <c r="A179" s="6">
        <v>178.0</v>
      </c>
      <c r="B179" s="6">
        <v>38795.0</v>
      </c>
      <c r="C179" s="6">
        <v>4.45</v>
      </c>
      <c r="D179" s="6">
        <v>-1.05</v>
      </c>
      <c r="E179" s="6">
        <v>10.54</v>
      </c>
      <c r="F179" s="6">
        <v>0.03</v>
      </c>
      <c r="G179" s="6">
        <v>0.11</v>
      </c>
      <c r="H179" s="6">
        <v>1.26</v>
      </c>
      <c r="I179" s="6">
        <v>33.34</v>
      </c>
      <c r="J179" s="7">
        <f t="shared" ref="J179:O179" si="300">abs(C179-C178)/200</f>
        <v>0.0167</v>
      </c>
      <c r="K179" s="7">
        <f t="shared" si="300"/>
        <v>0.0128</v>
      </c>
      <c r="L179" s="7">
        <f t="shared" si="300"/>
        <v>0.0025</v>
      </c>
      <c r="M179" s="7">
        <f t="shared" si="300"/>
        <v>0.00105</v>
      </c>
      <c r="N179" s="7">
        <f t="shared" si="300"/>
        <v>0.00175</v>
      </c>
      <c r="O179" s="7">
        <f t="shared" si="300"/>
        <v>0.00335</v>
      </c>
      <c r="P179" s="7">
        <f t="shared" si="7"/>
        <v>0.6944690969</v>
      </c>
      <c r="Q179" s="7">
        <f t="shared" si="8"/>
        <v>0.7621045293</v>
      </c>
      <c r="R179" s="7">
        <f t="shared" si="2"/>
        <v>1.688977326</v>
      </c>
      <c r="S179" s="7">
        <f t="shared" si="3"/>
        <v>1.265148213</v>
      </c>
      <c r="T179" s="7">
        <f t="shared" si="4"/>
        <v>1</v>
      </c>
      <c r="U179" s="7">
        <f t="shared" si="5"/>
        <v>1</v>
      </c>
      <c r="V179" s="7">
        <f t="shared" ref="V179:W179" si="301">IF(AVERAGE(T119:T178) &gt; 0.25, 1, 0)</f>
        <v>1</v>
      </c>
      <c r="W179" s="7">
        <f t="shared" si="301"/>
        <v>1</v>
      </c>
      <c r="X179" s="8">
        <v>1.0</v>
      </c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ht="22.5" customHeight="1">
      <c r="A180" s="6">
        <v>179.0</v>
      </c>
      <c r="B180" s="6">
        <v>38999.0</v>
      </c>
      <c r="C180" s="6">
        <v>3.81</v>
      </c>
      <c r="D180" s="6">
        <v>-0.33</v>
      </c>
      <c r="E180" s="6">
        <v>10.72</v>
      </c>
      <c r="F180" s="6">
        <v>-0.22</v>
      </c>
      <c r="G180" s="6">
        <v>-0.16</v>
      </c>
      <c r="H180" s="6">
        <v>0.46</v>
      </c>
      <c r="I180" s="6">
        <v>33.33</v>
      </c>
      <c r="J180" s="7">
        <f t="shared" ref="J180:O180" si="302">abs(C180-C179)/200</f>
        <v>0.0032</v>
      </c>
      <c r="K180" s="7">
        <f t="shared" si="302"/>
        <v>0.0036</v>
      </c>
      <c r="L180" s="7">
        <f t="shared" si="302"/>
        <v>0.0009</v>
      </c>
      <c r="M180" s="7">
        <f t="shared" si="302"/>
        <v>0.00125</v>
      </c>
      <c r="N180" s="7">
        <f t="shared" si="302"/>
        <v>0.00135</v>
      </c>
      <c r="O180" s="7">
        <f t="shared" si="302"/>
        <v>0.004</v>
      </c>
      <c r="P180" s="7">
        <f t="shared" si="7"/>
        <v>0.730732644</v>
      </c>
      <c r="Q180" s="7">
        <f t="shared" si="8"/>
        <v>0.1072639226</v>
      </c>
      <c r="R180" s="7">
        <f t="shared" si="2"/>
        <v>1.581713404</v>
      </c>
      <c r="S180" s="7">
        <f t="shared" si="3"/>
        <v>0.5344155686</v>
      </c>
      <c r="T180" s="7">
        <f t="shared" si="4"/>
        <v>1</v>
      </c>
      <c r="U180" s="7">
        <f t="shared" si="5"/>
        <v>1</v>
      </c>
      <c r="V180" s="7">
        <f t="shared" ref="V180:W180" si="303">IF(AVERAGE(T120:T179) &gt; 0.25, 1, 0)</f>
        <v>1</v>
      </c>
      <c r="W180" s="7">
        <f t="shared" si="303"/>
        <v>1</v>
      </c>
      <c r="X180" s="8">
        <v>1.0</v>
      </c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ht="22.5" customHeight="1">
      <c r="A181" s="6">
        <v>180.0</v>
      </c>
      <c r="B181" s="6">
        <v>39203.0</v>
      </c>
      <c r="C181" s="6">
        <v>2.61</v>
      </c>
      <c r="D181" s="6">
        <v>0.08</v>
      </c>
      <c r="E181" s="6">
        <v>10.71</v>
      </c>
      <c r="F181" s="6">
        <v>-0.34</v>
      </c>
      <c r="G181" s="6">
        <v>-0.2</v>
      </c>
      <c r="H181" s="6">
        <v>-1.16</v>
      </c>
      <c r="I181" s="6">
        <v>33.34</v>
      </c>
      <c r="J181" s="7">
        <f t="shared" ref="J181:O181" si="304">abs(C181-C180)/200</f>
        <v>0.006</v>
      </c>
      <c r="K181" s="7">
        <f t="shared" si="304"/>
        <v>0.00205</v>
      </c>
      <c r="L181" s="7">
        <f t="shared" si="304"/>
        <v>0.00005</v>
      </c>
      <c r="M181" s="7">
        <f t="shared" si="304"/>
        <v>0.0006</v>
      </c>
      <c r="N181" s="7">
        <f t="shared" si="304"/>
        <v>0.0002</v>
      </c>
      <c r="O181" s="7">
        <f t="shared" si="304"/>
        <v>0.0081</v>
      </c>
      <c r="P181" s="7">
        <f t="shared" si="7"/>
        <v>0.6908191028</v>
      </c>
      <c r="Q181" s="7">
        <f t="shared" si="8"/>
        <v>0.3579844519</v>
      </c>
      <c r="R181" s="7">
        <f t="shared" si="2"/>
        <v>1.223728952</v>
      </c>
      <c r="S181" s="7">
        <f t="shared" si="3"/>
        <v>1.225234671</v>
      </c>
      <c r="T181" s="7">
        <f t="shared" si="4"/>
        <v>1</v>
      </c>
      <c r="U181" s="7">
        <f t="shared" si="5"/>
        <v>1</v>
      </c>
      <c r="V181" s="7">
        <f t="shared" ref="V181:W181" si="305">IF(AVERAGE(T121:T180) &gt; 0.25, 1, 0)</f>
        <v>1</v>
      </c>
      <c r="W181" s="7">
        <f t="shared" si="305"/>
        <v>1</v>
      </c>
      <c r="X181" s="8">
        <v>1.0</v>
      </c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ht="22.5" customHeight="1">
      <c r="A182" s="6">
        <v>181.0</v>
      </c>
      <c r="B182" s="6">
        <v>39407.0</v>
      </c>
      <c r="C182" s="6">
        <v>2.37</v>
      </c>
      <c r="D182" s="6">
        <v>0.18</v>
      </c>
      <c r="E182" s="6">
        <v>10.61</v>
      </c>
      <c r="F182" s="6">
        <v>-0.54</v>
      </c>
      <c r="G182" s="6">
        <v>0.34</v>
      </c>
      <c r="H182" s="6">
        <v>-2.4</v>
      </c>
      <c r="I182" s="6">
        <v>33.32</v>
      </c>
      <c r="J182" s="7">
        <f t="shared" ref="J182:O182" si="306">abs(C182-C181)/200</f>
        <v>0.0012</v>
      </c>
      <c r="K182" s="7">
        <f t="shared" si="306"/>
        <v>0.0005</v>
      </c>
      <c r="L182" s="7">
        <f t="shared" si="306"/>
        <v>0.0005</v>
      </c>
      <c r="M182" s="7">
        <f t="shared" si="306"/>
        <v>0.001</v>
      </c>
      <c r="N182" s="7">
        <f t="shared" si="306"/>
        <v>0.0027</v>
      </c>
      <c r="O182" s="7">
        <f t="shared" si="306"/>
        <v>0.0062</v>
      </c>
      <c r="P182" s="7">
        <f t="shared" si="7"/>
        <v>1.258150116</v>
      </c>
      <c r="Q182" s="7">
        <f t="shared" si="8"/>
        <v>0.1507624751</v>
      </c>
      <c r="R182" s="7">
        <f t="shared" si="2"/>
        <v>1.072966477</v>
      </c>
      <c r="S182" s="7">
        <f t="shared" si="3"/>
        <v>2.483384787</v>
      </c>
      <c r="T182" s="7">
        <f t="shared" si="4"/>
        <v>1</v>
      </c>
      <c r="U182" s="7">
        <f t="shared" si="5"/>
        <v>1</v>
      </c>
      <c r="V182" s="7">
        <f t="shared" ref="V182:W182" si="307">IF(AVERAGE(T122:T181) &gt; 0.25, 1, 0)</f>
        <v>1</v>
      </c>
      <c r="W182" s="7">
        <f t="shared" si="307"/>
        <v>1</v>
      </c>
      <c r="X182" s="8">
        <v>1.0</v>
      </c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ht="22.5" customHeight="1">
      <c r="A183" s="6">
        <v>182.0</v>
      </c>
      <c r="B183" s="6">
        <v>39611.0</v>
      </c>
      <c r="C183" s="6">
        <v>-5.22</v>
      </c>
      <c r="D183" s="6">
        <v>-0.63</v>
      </c>
      <c r="E183" s="6">
        <v>11.48</v>
      </c>
      <c r="F183" s="6">
        <v>-0.29</v>
      </c>
      <c r="G183" s="6">
        <v>0.01</v>
      </c>
      <c r="H183" s="6">
        <v>-1.53</v>
      </c>
      <c r="I183" s="6">
        <v>33.34</v>
      </c>
      <c r="J183" s="7">
        <f t="shared" ref="J183:O183" si="308">abs(C183-C182)/200</f>
        <v>0.03795</v>
      </c>
      <c r="K183" s="7">
        <f t="shared" si="308"/>
        <v>0.00405</v>
      </c>
      <c r="L183" s="7">
        <f t="shared" si="308"/>
        <v>0.00435</v>
      </c>
      <c r="M183" s="7">
        <f t="shared" si="308"/>
        <v>0.00125</v>
      </c>
      <c r="N183" s="7">
        <f t="shared" si="308"/>
        <v>0.00165</v>
      </c>
      <c r="O183" s="7">
        <f t="shared" si="308"/>
        <v>0.00435</v>
      </c>
      <c r="P183" s="7">
        <f t="shared" si="7"/>
        <v>0.926111529</v>
      </c>
      <c r="Q183" s="7">
        <f t="shared" si="8"/>
        <v>1.753818546</v>
      </c>
      <c r="R183" s="7">
        <f t="shared" si="2"/>
        <v>2.826785022</v>
      </c>
      <c r="S183" s="7">
        <f t="shared" si="3"/>
        <v>1.557273258</v>
      </c>
      <c r="T183" s="7">
        <f t="shared" si="4"/>
        <v>1</v>
      </c>
      <c r="U183" s="7">
        <f t="shared" si="5"/>
        <v>1</v>
      </c>
      <c r="V183" s="7">
        <f t="shared" ref="V183:W183" si="309">IF(AVERAGE(T123:T182) &gt; 0.25, 1, 0)</f>
        <v>1</v>
      </c>
      <c r="W183" s="7">
        <f t="shared" si="309"/>
        <v>1</v>
      </c>
      <c r="X183" s="8">
        <v>1.0</v>
      </c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ht="22.5" customHeight="1">
      <c r="A184" s="6">
        <v>183.0</v>
      </c>
      <c r="B184" s="6">
        <v>39815.0</v>
      </c>
      <c r="C184" s="6">
        <v>0.61</v>
      </c>
      <c r="D184" s="6">
        <v>-1.24</v>
      </c>
      <c r="E184" s="6">
        <v>10.98</v>
      </c>
      <c r="F184" s="6">
        <v>0.33</v>
      </c>
      <c r="G184" s="6">
        <v>0.07</v>
      </c>
      <c r="H184" s="6">
        <v>2.18</v>
      </c>
      <c r="I184" s="6">
        <v>33.34</v>
      </c>
      <c r="J184" s="7">
        <f t="shared" ref="J184:O184" si="310">abs(C184-C183)/200</f>
        <v>0.02915</v>
      </c>
      <c r="K184" s="7">
        <f t="shared" si="310"/>
        <v>0.00305</v>
      </c>
      <c r="L184" s="7">
        <f t="shared" si="310"/>
        <v>0.0025</v>
      </c>
      <c r="M184" s="7">
        <f t="shared" si="310"/>
        <v>0.0031</v>
      </c>
      <c r="N184" s="7">
        <f t="shared" si="310"/>
        <v>0.0003</v>
      </c>
      <c r="O184" s="7">
        <f t="shared" si="310"/>
        <v>0.01855</v>
      </c>
      <c r="P184" s="7">
        <f t="shared" si="7"/>
        <v>0.6486732509</v>
      </c>
      <c r="Q184" s="7">
        <f t="shared" si="8"/>
        <v>1.560164038</v>
      </c>
      <c r="R184" s="7">
        <f t="shared" si="2"/>
        <v>1.266620984</v>
      </c>
      <c r="S184" s="7">
        <f t="shared" si="3"/>
        <v>2.205946509</v>
      </c>
      <c r="T184" s="7">
        <f t="shared" si="4"/>
        <v>1</v>
      </c>
      <c r="U184" s="7">
        <f t="shared" si="5"/>
        <v>1</v>
      </c>
      <c r="V184" s="7">
        <f t="shared" ref="V184:W184" si="311">IF(AVERAGE(T124:T183) &gt; 0.25, 1, 0)</f>
        <v>1</v>
      </c>
      <c r="W184" s="7">
        <f t="shared" si="311"/>
        <v>1</v>
      </c>
      <c r="X184" s="8">
        <v>1.0</v>
      </c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ht="22.5" customHeight="1">
      <c r="A185" s="6">
        <v>184.0</v>
      </c>
      <c r="B185" s="6">
        <v>40019.0</v>
      </c>
      <c r="C185" s="6">
        <v>4.24</v>
      </c>
      <c r="D185" s="6">
        <v>-2.25</v>
      </c>
      <c r="E185" s="6">
        <v>10.08</v>
      </c>
      <c r="F185" s="6">
        <v>-0.03</v>
      </c>
      <c r="G185" s="6">
        <v>-0.2</v>
      </c>
      <c r="H185" s="6">
        <v>0.89</v>
      </c>
      <c r="I185" s="6">
        <v>33.32</v>
      </c>
      <c r="J185" s="7">
        <f t="shared" ref="J185:O185" si="312">abs(C185-C184)/200</f>
        <v>0.01815</v>
      </c>
      <c r="K185" s="7">
        <f t="shared" si="312"/>
        <v>0.00505</v>
      </c>
      <c r="L185" s="7">
        <f t="shared" si="312"/>
        <v>0.0045</v>
      </c>
      <c r="M185" s="7">
        <f t="shared" si="312"/>
        <v>0.0018</v>
      </c>
      <c r="N185" s="7">
        <f t="shared" si="312"/>
        <v>0.00135</v>
      </c>
      <c r="O185" s="7">
        <f t="shared" si="312"/>
        <v>0.00645</v>
      </c>
      <c r="P185" s="7">
        <f t="shared" si="7"/>
        <v>1.293258172</v>
      </c>
      <c r="Q185" s="7">
        <f t="shared" si="8"/>
        <v>0.09789871026</v>
      </c>
      <c r="R185" s="7">
        <f t="shared" si="2"/>
        <v>1.364519694</v>
      </c>
      <c r="S185" s="7">
        <f t="shared" si="3"/>
        <v>0.9126883367</v>
      </c>
      <c r="T185" s="7">
        <f t="shared" si="4"/>
        <v>1</v>
      </c>
      <c r="U185" s="7">
        <f t="shared" si="5"/>
        <v>1</v>
      </c>
      <c r="V185" s="7">
        <f t="shared" ref="V185:W185" si="313">IF(AVERAGE(T125:T184) &gt; 0.25, 1, 0)</f>
        <v>1</v>
      </c>
      <c r="W185" s="7">
        <f t="shared" si="313"/>
        <v>1</v>
      </c>
      <c r="X185" s="8">
        <v>1.0</v>
      </c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ht="22.5" customHeight="1">
      <c r="A186" s="6">
        <v>185.0</v>
      </c>
      <c r="B186" s="6">
        <v>40223.0</v>
      </c>
      <c r="C186" s="6">
        <v>-0.01</v>
      </c>
      <c r="D186" s="6">
        <v>-1.88</v>
      </c>
      <c r="E186" s="6">
        <v>11.02</v>
      </c>
      <c r="F186" s="6">
        <v>-0.62</v>
      </c>
      <c r="G186" s="6">
        <v>-0.1</v>
      </c>
      <c r="H186" s="6">
        <v>-3.77</v>
      </c>
      <c r="I186" s="6">
        <v>33.34</v>
      </c>
      <c r="J186" s="7">
        <f t="shared" ref="J186:O186" si="314">abs(C186-C185)/200</f>
        <v>0.02125</v>
      </c>
      <c r="K186" s="7">
        <f t="shared" si="314"/>
        <v>0.00185</v>
      </c>
      <c r="L186" s="7">
        <f t="shared" si="314"/>
        <v>0.0047</v>
      </c>
      <c r="M186" s="7">
        <f t="shared" si="314"/>
        <v>0.00295</v>
      </c>
      <c r="N186" s="7">
        <f t="shared" si="314"/>
        <v>0.0005</v>
      </c>
      <c r="O186" s="7">
        <f t="shared" si="314"/>
        <v>0.0233</v>
      </c>
      <c r="P186" s="7">
        <f t="shared" si="7"/>
        <v>2.909261427</v>
      </c>
      <c r="Q186" s="7">
        <f t="shared" si="8"/>
        <v>0.01469763092</v>
      </c>
      <c r="R186" s="7">
        <f t="shared" si="2"/>
        <v>1.379217325</v>
      </c>
      <c r="S186" s="7">
        <f t="shared" si="3"/>
        <v>3.821949764</v>
      </c>
      <c r="T186" s="7">
        <f t="shared" si="4"/>
        <v>1</v>
      </c>
      <c r="U186" s="7">
        <f t="shared" si="5"/>
        <v>1</v>
      </c>
      <c r="V186" s="7">
        <f t="shared" ref="V186:W186" si="315">IF(AVERAGE(T126:T185) &gt; 0.25, 1, 0)</f>
        <v>1</v>
      </c>
      <c r="W186" s="7">
        <f t="shared" si="315"/>
        <v>1</v>
      </c>
      <c r="X186" s="8">
        <v>1.0</v>
      </c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ht="22.5" customHeight="1">
      <c r="A187" s="6">
        <v>186.0</v>
      </c>
      <c r="B187" s="6">
        <v>40427.0</v>
      </c>
      <c r="C187" s="6">
        <v>-2.69</v>
      </c>
      <c r="D187" s="6">
        <v>1.24</v>
      </c>
      <c r="E187" s="6">
        <v>11.09</v>
      </c>
      <c r="F187" s="6">
        <v>-0.02</v>
      </c>
      <c r="G187" s="6">
        <v>0.04</v>
      </c>
      <c r="H187" s="6">
        <v>0.92</v>
      </c>
      <c r="I187" s="6">
        <v>33.34</v>
      </c>
      <c r="J187" s="7">
        <f t="shared" ref="J187:O187" si="316">abs(C187-C186)/200</f>
        <v>0.0134</v>
      </c>
      <c r="K187" s="7">
        <f t="shared" si="316"/>
        <v>0.0156</v>
      </c>
      <c r="L187" s="7">
        <f t="shared" si="316"/>
        <v>0.00035</v>
      </c>
      <c r="M187" s="7">
        <f t="shared" si="316"/>
        <v>0.003</v>
      </c>
      <c r="N187" s="7">
        <f t="shared" si="316"/>
        <v>0.0007</v>
      </c>
      <c r="O187" s="7">
        <f t="shared" si="316"/>
        <v>0.02345</v>
      </c>
      <c r="P187" s="7">
        <f t="shared" si="7"/>
        <v>2.900863449</v>
      </c>
      <c r="Q187" s="7">
        <f t="shared" si="8"/>
        <v>0.2995369628</v>
      </c>
      <c r="R187" s="7">
        <f t="shared" si="2"/>
        <v>1.678754288</v>
      </c>
      <c r="S187" s="7">
        <f t="shared" si="3"/>
        <v>0.9210863152</v>
      </c>
      <c r="T187" s="7">
        <f t="shared" si="4"/>
        <v>1</v>
      </c>
      <c r="U187" s="7">
        <f t="shared" si="5"/>
        <v>1</v>
      </c>
      <c r="V187" s="7">
        <f t="shared" ref="V187:W187" si="317">IF(AVERAGE(T127:T186) &gt; 0.25, 1, 0)</f>
        <v>1</v>
      </c>
      <c r="W187" s="7">
        <f t="shared" si="317"/>
        <v>1</v>
      </c>
      <c r="X187" s="8">
        <v>1.0</v>
      </c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ht="22.5" customHeight="1">
      <c r="A188" s="6">
        <v>187.0</v>
      </c>
      <c r="B188" s="6">
        <v>40631.0</v>
      </c>
      <c r="C188" s="6">
        <v>5.81</v>
      </c>
      <c r="D188" s="6">
        <v>-2.74</v>
      </c>
      <c r="E188" s="6">
        <v>10.4</v>
      </c>
      <c r="F188" s="6">
        <v>0.35</v>
      </c>
      <c r="G188" s="6">
        <v>0.02</v>
      </c>
      <c r="H188" s="6">
        <v>2.59</v>
      </c>
      <c r="I188" s="6">
        <v>33.34</v>
      </c>
      <c r="J188" s="7">
        <f t="shared" ref="J188:O188" si="318">abs(C188-C187)/200</f>
        <v>0.0425</v>
      </c>
      <c r="K188" s="7">
        <f t="shared" si="318"/>
        <v>0.0199</v>
      </c>
      <c r="L188" s="7">
        <f t="shared" si="318"/>
        <v>0.00345</v>
      </c>
      <c r="M188" s="7">
        <f t="shared" si="318"/>
        <v>0.00185</v>
      </c>
      <c r="N188" s="7">
        <f t="shared" si="318"/>
        <v>0.0001</v>
      </c>
      <c r="O188" s="7">
        <f t="shared" si="318"/>
        <v>0.00835</v>
      </c>
      <c r="P188" s="7">
        <f t="shared" si="7"/>
        <v>1.692531867</v>
      </c>
      <c r="Q188" s="7">
        <f t="shared" si="8"/>
        <v>0.7451444356</v>
      </c>
      <c r="R188" s="7">
        <f t="shared" si="2"/>
        <v>2.423898723</v>
      </c>
      <c r="S188" s="7">
        <f t="shared" si="3"/>
        <v>2.613618182</v>
      </c>
      <c r="T188" s="7">
        <f t="shared" si="4"/>
        <v>1</v>
      </c>
      <c r="U188" s="7">
        <f t="shared" si="5"/>
        <v>1</v>
      </c>
      <c r="V188" s="7">
        <f t="shared" ref="V188:W188" si="319">IF(AVERAGE(T128:T187) &gt; 0.25, 1, 0)</f>
        <v>1</v>
      </c>
      <c r="W188" s="7">
        <f t="shared" si="319"/>
        <v>1</v>
      </c>
      <c r="X188" s="8">
        <v>1.0</v>
      </c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ht="22.5" customHeight="1">
      <c r="A189" s="6">
        <v>188.0</v>
      </c>
      <c r="B189" s="6">
        <v>40835.0</v>
      </c>
      <c r="C189" s="6">
        <v>4.5</v>
      </c>
      <c r="D189" s="6">
        <v>-2.13</v>
      </c>
      <c r="E189" s="6">
        <v>10.59</v>
      </c>
      <c r="F189" s="6">
        <v>-0.39</v>
      </c>
      <c r="G189" s="6">
        <v>-0.02</v>
      </c>
      <c r="H189" s="6">
        <v>-1.45</v>
      </c>
      <c r="I189" s="6">
        <v>33.34</v>
      </c>
      <c r="J189" s="7">
        <f t="shared" ref="J189:O189" si="320">abs(C189-C188)/200</f>
        <v>0.00655</v>
      </c>
      <c r="K189" s="7">
        <f t="shared" si="320"/>
        <v>0.00305</v>
      </c>
      <c r="L189" s="7">
        <f t="shared" si="320"/>
        <v>0.00095</v>
      </c>
      <c r="M189" s="7">
        <f t="shared" si="320"/>
        <v>0.0037</v>
      </c>
      <c r="N189" s="7">
        <f t="shared" si="320"/>
        <v>0.0002</v>
      </c>
      <c r="O189" s="7">
        <f t="shared" si="320"/>
        <v>0.0202</v>
      </c>
      <c r="P189" s="7">
        <f t="shared" si="7"/>
        <v>1.11195244</v>
      </c>
      <c r="Q189" s="7">
        <f t="shared" si="8"/>
        <v>0.5219758045</v>
      </c>
      <c r="R189" s="7">
        <f t="shared" si="2"/>
        <v>1.901922919</v>
      </c>
      <c r="S189" s="7">
        <f t="shared" si="3"/>
        <v>1.501665742</v>
      </c>
      <c r="T189" s="7">
        <f t="shared" si="4"/>
        <v>1</v>
      </c>
      <c r="U189" s="7">
        <f t="shared" si="5"/>
        <v>1</v>
      </c>
      <c r="V189" s="7">
        <f t="shared" ref="V189:W189" si="321">IF(AVERAGE(T129:T188) &gt; 0.25, 1, 0)</f>
        <v>1</v>
      </c>
      <c r="W189" s="7">
        <f t="shared" si="321"/>
        <v>1</v>
      </c>
      <c r="X189" s="8">
        <v>1.0</v>
      </c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ht="22.5" customHeight="1">
      <c r="A190" s="6">
        <v>189.0</v>
      </c>
      <c r="B190" s="6">
        <v>41039.0</v>
      </c>
      <c r="C190" s="6">
        <v>0.41</v>
      </c>
      <c r="D190" s="6">
        <v>-0.7</v>
      </c>
      <c r="E190" s="6">
        <v>10.39</v>
      </c>
      <c r="F190" s="6">
        <v>-0.32</v>
      </c>
      <c r="G190" s="6">
        <v>-0.18</v>
      </c>
      <c r="H190" s="6">
        <v>-2.76</v>
      </c>
      <c r="I190" s="6">
        <v>33.33</v>
      </c>
      <c r="J190" s="7">
        <f t="shared" ref="J190:O190" si="322">abs(C190-C189)/200</f>
        <v>0.02045</v>
      </c>
      <c r="K190" s="7">
        <f t="shared" si="322"/>
        <v>0.00715</v>
      </c>
      <c r="L190" s="7">
        <f t="shared" si="322"/>
        <v>0.001</v>
      </c>
      <c r="M190" s="7">
        <f t="shared" si="322"/>
        <v>0.00035</v>
      </c>
      <c r="N190" s="7">
        <f t="shared" si="322"/>
        <v>0.0008</v>
      </c>
      <c r="O190" s="7">
        <f t="shared" si="322"/>
        <v>0.00655</v>
      </c>
      <c r="P190" s="7">
        <f t="shared" si="7"/>
        <v>1.282647459</v>
      </c>
      <c r="Q190" s="7">
        <f t="shared" si="8"/>
        <v>1.280301164</v>
      </c>
      <c r="R190" s="7">
        <f t="shared" si="2"/>
        <v>0.6216217548</v>
      </c>
      <c r="S190" s="7">
        <f t="shared" si="3"/>
        <v>2.784313201</v>
      </c>
      <c r="T190" s="7">
        <f t="shared" si="4"/>
        <v>1</v>
      </c>
      <c r="U190" s="7">
        <f t="shared" si="5"/>
        <v>1</v>
      </c>
      <c r="V190" s="7">
        <f t="shared" ref="V190:W190" si="323">IF(AVERAGE(T130:T189) &gt; 0.25, 1, 0)</f>
        <v>1</v>
      </c>
      <c r="W190" s="7">
        <f t="shared" si="323"/>
        <v>1</v>
      </c>
      <c r="X190" s="8">
        <v>1.0</v>
      </c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ht="22.5" customHeight="1">
      <c r="A191" s="6">
        <v>190.0</v>
      </c>
      <c r="B191" s="6">
        <v>41243.0</v>
      </c>
      <c r="C191" s="6">
        <v>-1.86</v>
      </c>
      <c r="D191" s="6">
        <v>0.84</v>
      </c>
      <c r="E191" s="6">
        <v>10.92</v>
      </c>
      <c r="F191" s="6">
        <v>-0.07</v>
      </c>
      <c r="G191" s="6">
        <v>0.01</v>
      </c>
      <c r="H191" s="6">
        <v>0.11</v>
      </c>
      <c r="I191" s="6">
        <v>33.33</v>
      </c>
      <c r="J191" s="7">
        <f t="shared" ref="J191:O191" si="324">abs(C191-C190)/200</f>
        <v>0.01135</v>
      </c>
      <c r="K191" s="7">
        <f t="shared" si="324"/>
        <v>0.0077</v>
      </c>
      <c r="L191" s="7">
        <f t="shared" si="324"/>
        <v>0.00265</v>
      </c>
      <c r="M191" s="7">
        <f t="shared" si="324"/>
        <v>0.00125</v>
      </c>
      <c r="N191" s="7">
        <f t="shared" si="324"/>
        <v>0.00095</v>
      </c>
      <c r="O191" s="7">
        <f t="shared" si="324"/>
        <v>0.01435</v>
      </c>
      <c r="P191" s="7">
        <f t="shared" si="7"/>
        <v>2.653546232</v>
      </c>
      <c r="Q191" s="7">
        <f t="shared" si="8"/>
        <v>0.6874556146</v>
      </c>
      <c r="R191" s="7">
        <f t="shared" si="2"/>
        <v>1.309077369</v>
      </c>
      <c r="S191" s="7">
        <f t="shared" si="3"/>
        <v>0.1307669683</v>
      </c>
      <c r="T191" s="7">
        <f t="shared" si="4"/>
        <v>1</v>
      </c>
      <c r="U191" s="7">
        <f t="shared" si="5"/>
        <v>1</v>
      </c>
      <c r="V191" s="7">
        <f t="shared" ref="V191:W191" si="325">IF(AVERAGE(T131:T190) &gt; 0.25, 1, 0)</f>
        <v>1</v>
      </c>
      <c r="W191" s="7">
        <f t="shared" si="325"/>
        <v>1</v>
      </c>
      <c r="X191" s="8">
        <v>1.0</v>
      </c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ht="22.5" customHeight="1">
      <c r="A192" s="6">
        <v>191.0</v>
      </c>
      <c r="B192" s="6">
        <v>41447.0</v>
      </c>
      <c r="C192" s="6">
        <v>0.39</v>
      </c>
      <c r="D192" s="6">
        <v>-2.74</v>
      </c>
      <c r="E192" s="6">
        <v>11.11</v>
      </c>
      <c r="F192" s="6">
        <v>0.08</v>
      </c>
      <c r="G192" s="6">
        <v>0.32</v>
      </c>
      <c r="H192" s="6">
        <v>1.85</v>
      </c>
      <c r="I192" s="6">
        <v>33.34</v>
      </c>
      <c r="J192" s="7">
        <f t="shared" ref="J192:O192" si="326">abs(C192-C191)/200</f>
        <v>0.01125</v>
      </c>
      <c r="K192" s="7">
        <f t="shared" si="326"/>
        <v>0.0179</v>
      </c>
      <c r="L192" s="7">
        <f t="shared" si="326"/>
        <v>0.00095</v>
      </c>
      <c r="M192" s="7">
        <f t="shared" si="326"/>
        <v>0.00075</v>
      </c>
      <c r="N192" s="7">
        <f t="shared" si="326"/>
        <v>0.00155</v>
      </c>
      <c r="O192" s="7">
        <f t="shared" si="326"/>
        <v>0.0087</v>
      </c>
      <c r="P192" s="7">
        <f t="shared" si="7"/>
        <v>1.748408383</v>
      </c>
      <c r="Q192" s="7">
        <f t="shared" si="8"/>
        <v>0.3404553721</v>
      </c>
      <c r="R192" s="7">
        <f t="shared" si="2"/>
        <v>1.649532742</v>
      </c>
      <c r="S192" s="7">
        <f t="shared" si="3"/>
        <v>1.879175351</v>
      </c>
      <c r="T192" s="7">
        <f t="shared" si="4"/>
        <v>1</v>
      </c>
      <c r="U192" s="7">
        <f t="shared" si="5"/>
        <v>1</v>
      </c>
      <c r="V192" s="7">
        <f t="shared" ref="V192:W192" si="327">IF(AVERAGE(T132:T191) &gt; 0.25, 1, 0)</f>
        <v>1</v>
      </c>
      <c r="W192" s="7">
        <f t="shared" si="327"/>
        <v>1</v>
      </c>
      <c r="X192" s="8">
        <v>1.0</v>
      </c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ht="22.5" customHeight="1">
      <c r="A193" s="6">
        <v>192.0</v>
      </c>
      <c r="B193" s="6">
        <v>41651.0</v>
      </c>
      <c r="C193" s="6">
        <v>1.25</v>
      </c>
      <c r="D193" s="6">
        <v>-2.58</v>
      </c>
      <c r="E193" s="6">
        <v>11.0</v>
      </c>
      <c r="F193" s="6">
        <v>0.24</v>
      </c>
      <c r="G193" s="6">
        <v>-0.07</v>
      </c>
      <c r="H193" s="6">
        <v>2.22</v>
      </c>
      <c r="I193" s="6">
        <v>33.34</v>
      </c>
      <c r="J193" s="7">
        <f t="shared" ref="J193:O193" si="328">abs(C193-C192)/200</f>
        <v>0.0043</v>
      </c>
      <c r="K193" s="7">
        <f t="shared" si="328"/>
        <v>0.0008</v>
      </c>
      <c r="L193" s="7">
        <f t="shared" si="328"/>
        <v>0.00055</v>
      </c>
      <c r="M193" s="7">
        <f t="shared" si="328"/>
        <v>0.0008</v>
      </c>
      <c r="N193" s="7">
        <f t="shared" si="328"/>
        <v>0.00195</v>
      </c>
      <c r="O193" s="7">
        <f t="shared" si="328"/>
        <v>0.00185</v>
      </c>
      <c r="P193" s="7">
        <f t="shared" si="7"/>
        <v>0.3548568779</v>
      </c>
      <c r="Q193" s="7">
        <f t="shared" si="8"/>
        <v>0.08208359938</v>
      </c>
      <c r="R193" s="7">
        <f t="shared" si="2"/>
        <v>1.567449142</v>
      </c>
      <c r="S193" s="7">
        <f t="shared" si="3"/>
        <v>2.234032229</v>
      </c>
      <c r="T193" s="7">
        <f t="shared" si="4"/>
        <v>1</v>
      </c>
      <c r="U193" s="7">
        <f t="shared" si="5"/>
        <v>1</v>
      </c>
      <c r="V193" s="7">
        <f t="shared" ref="V193:W193" si="329">IF(AVERAGE(T133:T192) &gt; 0.25, 1, 0)</f>
        <v>1</v>
      </c>
      <c r="W193" s="7">
        <f t="shared" si="329"/>
        <v>1</v>
      </c>
      <c r="X193" s="8">
        <v>1.0</v>
      </c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ht="22.5" customHeight="1">
      <c r="A194" s="6">
        <v>193.0</v>
      </c>
      <c r="B194" s="6">
        <v>41855.0</v>
      </c>
      <c r="C194" s="6">
        <v>3.53</v>
      </c>
      <c r="D194" s="6">
        <v>-1.7</v>
      </c>
      <c r="E194" s="6">
        <v>9.89</v>
      </c>
      <c r="F194" s="6">
        <v>0.16</v>
      </c>
      <c r="G194" s="6">
        <v>-0.26</v>
      </c>
      <c r="H194" s="6">
        <v>2.02</v>
      </c>
      <c r="I194" s="6">
        <v>33.34</v>
      </c>
      <c r="J194" s="7">
        <f t="shared" ref="J194:O194" si="330">abs(C194-C193)/200</f>
        <v>0.0114</v>
      </c>
      <c r="K194" s="7">
        <f t="shared" si="330"/>
        <v>0.0044</v>
      </c>
      <c r="L194" s="7">
        <f t="shared" si="330"/>
        <v>0.00555</v>
      </c>
      <c r="M194" s="7">
        <f t="shared" si="330"/>
        <v>0.0004</v>
      </c>
      <c r="N194" s="7">
        <f t="shared" si="330"/>
        <v>0.00095</v>
      </c>
      <c r="O194" s="7">
        <f t="shared" si="330"/>
        <v>0.001</v>
      </c>
      <c r="P194" s="7">
        <f t="shared" si="7"/>
        <v>0.1910931697</v>
      </c>
      <c r="Q194" s="7">
        <f t="shared" si="8"/>
        <v>0.7296392172</v>
      </c>
      <c r="R194" s="7">
        <f t="shared" si="2"/>
        <v>0.837809925</v>
      </c>
      <c r="S194" s="7">
        <f t="shared" si="3"/>
        <v>2.042939059</v>
      </c>
      <c r="T194" s="7">
        <f t="shared" si="4"/>
        <v>1</v>
      </c>
      <c r="U194" s="7">
        <f t="shared" si="5"/>
        <v>1</v>
      </c>
      <c r="V194" s="7">
        <f t="shared" ref="V194:W194" si="331">IF(AVERAGE(T134:T193) &gt; 0.25, 1, 0)</f>
        <v>1</v>
      </c>
      <c r="W194" s="7">
        <f t="shared" si="331"/>
        <v>1</v>
      </c>
      <c r="X194" s="8">
        <v>1.0</v>
      </c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ht="22.5" customHeight="1">
      <c r="A195" s="6">
        <v>194.0</v>
      </c>
      <c r="B195" s="6">
        <v>42059.0</v>
      </c>
      <c r="C195" s="6">
        <v>4.23</v>
      </c>
      <c r="D195" s="6">
        <v>0.03</v>
      </c>
      <c r="E195" s="6">
        <v>10.6</v>
      </c>
      <c r="F195" s="6">
        <v>-0.15</v>
      </c>
      <c r="G195" s="6">
        <v>0.07</v>
      </c>
      <c r="H195" s="6">
        <v>0.56</v>
      </c>
      <c r="I195" s="6">
        <v>33.34</v>
      </c>
      <c r="J195" s="7">
        <f t="shared" ref="J195:O195" si="332">abs(C195-C194)/200</f>
        <v>0.0035</v>
      </c>
      <c r="K195" s="7">
        <f t="shared" si="332"/>
        <v>0.00865</v>
      </c>
      <c r="L195" s="7">
        <f t="shared" si="332"/>
        <v>0.00355</v>
      </c>
      <c r="M195" s="7">
        <f t="shared" si="332"/>
        <v>0.00155</v>
      </c>
      <c r="N195" s="7">
        <f t="shared" si="332"/>
        <v>0.00165</v>
      </c>
      <c r="O195" s="7">
        <f t="shared" si="332"/>
        <v>0.0073</v>
      </c>
      <c r="P195" s="7">
        <f t="shared" si="7"/>
        <v>1.458987006</v>
      </c>
      <c r="Q195" s="7">
        <f t="shared" si="8"/>
        <v>0.7750687653</v>
      </c>
      <c r="R195" s="7">
        <f t="shared" si="2"/>
        <v>1.61287869</v>
      </c>
      <c r="S195" s="7">
        <f t="shared" si="3"/>
        <v>0.5839520528</v>
      </c>
      <c r="T195" s="7">
        <f t="shared" si="4"/>
        <v>1</v>
      </c>
      <c r="U195" s="7">
        <f t="shared" si="5"/>
        <v>1</v>
      </c>
      <c r="V195" s="7">
        <f t="shared" ref="V195:W195" si="333">IF(AVERAGE(T135:T194) &gt; 0.25, 1, 0)</f>
        <v>1</v>
      </c>
      <c r="W195" s="7">
        <f t="shared" si="333"/>
        <v>1</v>
      </c>
      <c r="X195" s="8">
        <v>1.0</v>
      </c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ht="22.5" customHeight="1">
      <c r="A196" s="6">
        <v>195.0</v>
      </c>
      <c r="B196" s="6">
        <v>42263.0</v>
      </c>
      <c r="C196" s="6">
        <v>2.86</v>
      </c>
      <c r="D196" s="6">
        <v>0.15</v>
      </c>
      <c r="E196" s="6">
        <v>10.63</v>
      </c>
      <c r="F196" s="6">
        <v>-0.25</v>
      </c>
      <c r="G196" s="6">
        <v>-0.06</v>
      </c>
      <c r="H196" s="6">
        <v>-0.19</v>
      </c>
      <c r="I196" s="6">
        <v>33.34</v>
      </c>
      <c r="J196" s="7">
        <f t="shared" ref="J196:O196" si="334">abs(C196-C195)/200</f>
        <v>0.00685</v>
      </c>
      <c r="K196" s="7">
        <f t="shared" si="334"/>
        <v>0.0006</v>
      </c>
      <c r="L196" s="7">
        <f t="shared" si="334"/>
        <v>0.00015</v>
      </c>
      <c r="M196" s="7">
        <f t="shared" si="334"/>
        <v>0.0005</v>
      </c>
      <c r="N196" s="7">
        <f t="shared" si="334"/>
        <v>0.00065</v>
      </c>
      <c r="O196" s="7">
        <f t="shared" si="334"/>
        <v>0.00375</v>
      </c>
      <c r="P196" s="7">
        <f t="shared" si="7"/>
        <v>0.2642647056</v>
      </c>
      <c r="Q196" s="7">
        <f t="shared" si="8"/>
        <v>0.4038369518</v>
      </c>
      <c r="R196" s="7">
        <f t="shared" si="2"/>
        <v>1.209041738</v>
      </c>
      <c r="S196" s="7">
        <f t="shared" si="3"/>
        <v>0.3196873473</v>
      </c>
      <c r="T196" s="7">
        <f t="shared" si="4"/>
        <v>1</v>
      </c>
      <c r="U196" s="7">
        <f t="shared" si="5"/>
        <v>1</v>
      </c>
      <c r="V196" s="7">
        <f t="shared" ref="V196:W196" si="335">IF(AVERAGE(T136:T195) &gt; 0.25, 1, 0)</f>
        <v>1</v>
      </c>
      <c r="W196" s="7">
        <f t="shared" si="335"/>
        <v>1</v>
      </c>
      <c r="X196" s="8">
        <v>1.0</v>
      </c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ht="22.5" customHeight="1">
      <c r="A197" s="6">
        <v>196.0</v>
      </c>
      <c r="B197" s="6">
        <v>42467.0</v>
      </c>
      <c r="C197" s="6">
        <v>-0.65</v>
      </c>
      <c r="D197" s="6">
        <v>2.03</v>
      </c>
      <c r="E197" s="6">
        <v>10.57</v>
      </c>
      <c r="F197" s="6">
        <v>-0.15</v>
      </c>
      <c r="G197" s="6">
        <v>-0.08</v>
      </c>
      <c r="H197" s="6">
        <v>-0.52</v>
      </c>
      <c r="I197" s="6">
        <v>33.34</v>
      </c>
      <c r="J197" s="7">
        <f t="shared" ref="J197:O197" si="336">abs(C197-C196)/200</f>
        <v>0.01755</v>
      </c>
      <c r="K197" s="7">
        <f t="shared" si="336"/>
        <v>0.0094</v>
      </c>
      <c r="L197" s="7">
        <f t="shared" si="336"/>
        <v>0.0003</v>
      </c>
      <c r="M197" s="7">
        <f t="shared" si="336"/>
        <v>0.0005</v>
      </c>
      <c r="N197" s="7">
        <f t="shared" si="336"/>
        <v>0.0001</v>
      </c>
      <c r="O197" s="7">
        <f t="shared" si="336"/>
        <v>0.00165</v>
      </c>
      <c r="P197" s="7">
        <f t="shared" si="7"/>
        <v>0.2273958274</v>
      </c>
      <c r="Q197" s="7">
        <f t="shared" si="8"/>
        <v>0.2262638033</v>
      </c>
      <c r="R197" s="7">
        <f t="shared" si="2"/>
        <v>0.9827779352</v>
      </c>
      <c r="S197" s="7">
        <f t="shared" si="3"/>
        <v>0.5470831747</v>
      </c>
      <c r="T197" s="7">
        <f t="shared" si="4"/>
        <v>1</v>
      </c>
      <c r="U197" s="7">
        <f t="shared" si="5"/>
        <v>1</v>
      </c>
      <c r="V197" s="7">
        <f t="shared" ref="V197:W197" si="337">IF(AVERAGE(T137:T196) &gt; 0.25, 1, 0)</f>
        <v>1</v>
      </c>
      <c r="W197" s="7">
        <f t="shared" si="337"/>
        <v>1</v>
      </c>
      <c r="X197" s="8">
        <v>1.0</v>
      </c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ht="22.5" customHeight="1">
      <c r="A198" s="6">
        <v>197.0</v>
      </c>
      <c r="B198" s="6">
        <v>42671.0</v>
      </c>
      <c r="C198" s="6">
        <v>1.33</v>
      </c>
      <c r="D198" s="6">
        <v>0.05</v>
      </c>
      <c r="E198" s="6">
        <v>11.0</v>
      </c>
      <c r="F198" s="6">
        <v>0.04</v>
      </c>
      <c r="G198" s="6">
        <v>0.06</v>
      </c>
      <c r="H198" s="6">
        <v>0.97</v>
      </c>
      <c r="I198" s="6">
        <v>33.34</v>
      </c>
      <c r="J198" s="7">
        <f t="shared" ref="J198:O198" si="338">abs(C198-C197)/200</f>
        <v>0.0099</v>
      </c>
      <c r="K198" s="7">
        <f t="shared" si="338"/>
        <v>0.0099</v>
      </c>
      <c r="L198" s="7">
        <f t="shared" si="338"/>
        <v>0.00215</v>
      </c>
      <c r="M198" s="7">
        <f t="shared" si="338"/>
        <v>0.00095</v>
      </c>
      <c r="N198" s="7">
        <f t="shared" si="338"/>
        <v>0.0007</v>
      </c>
      <c r="O198" s="7">
        <f t="shared" si="338"/>
        <v>0.00745</v>
      </c>
      <c r="P198" s="7">
        <f t="shared" si="7"/>
        <v>0.4255935445</v>
      </c>
      <c r="Q198" s="7">
        <f t="shared" si="8"/>
        <v>0.2974476943</v>
      </c>
      <c r="R198" s="7">
        <f t="shared" si="2"/>
        <v>1.280225629</v>
      </c>
      <c r="S198" s="7">
        <f t="shared" si="3"/>
        <v>0.9726767192</v>
      </c>
      <c r="T198" s="7">
        <f t="shared" si="4"/>
        <v>1</v>
      </c>
      <c r="U198" s="7">
        <f t="shared" si="5"/>
        <v>1</v>
      </c>
      <c r="V198" s="7">
        <f t="shared" ref="V198:W198" si="339">IF(AVERAGE(T138:T197) &gt; 0.25, 1, 0)</f>
        <v>1</v>
      </c>
      <c r="W198" s="7">
        <f t="shared" si="339"/>
        <v>1</v>
      </c>
      <c r="X198" s="8">
        <v>1.0</v>
      </c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ht="22.5" customHeight="1">
      <c r="A199" s="6">
        <v>198.0</v>
      </c>
      <c r="B199" s="6">
        <v>42875.0</v>
      </c>
      <c r="C199" s="6">
        <v>4.27</v>
      </c>
      <c r="D199" s="6">
        <v>-4.19</v>
      </c>
      <c r="E199" s="6">
        <v>10.38</v>
      </c>
      <c r="F199" s="6">
        <v>-0.13</v>
      </c>
      <c r="G199" s="6">
        <v>-0.19</v>
      </c>
      <c r="H199" s="6">
        <v>0.4</v>
      </c>
      <c r="I199" s="6">
        <v>33.35</v>
      </c>
      <c r="J199" s="7">
        <f t="shared" ref="J199:O199" si="340">abs(C199-C198)/200</f>
        <v>0.0147</v>
      </c>
      <c r="K199" s="7">
        <f t="shared" si="340"/>
        <v>0.0212</v>
      </c>
      <c r="L199" s="7">
        <f t="shared" si="340"/>
        <v>0.0031</v>
      </c>
      <c r="M199" s="7">
        <f t="shared" si="340"/>
        <v>0.00085</v>
      </c>
      <c r="N199" s="7">
        <f t="shared" si="340"/>
        <v>0.00125</v>
      </c>
      <c r="O199" s="7">
        <f t="shared" si="340"/>
        <v>0.00285</v>
      </c>
      <c r="P199" s="7">
        <f t="shared" si="7"/>
        <v>0.5111574888</v>
      </c>
      <c r="Q199" s="7">
        <f t="shared" si="8"/>
        <v>0.9003169292</v>
      </c>
      <c r="R199" s="7">
        <f t="shared" si="2"/>
        <v>2.180542559</v>
      </c>
      <c r="S199" s="7">
        <f t="shared" si="3"/>
        <v>0.4615192304</v>
      </c>
      <c r="T199" s="7">
        <f t="shared" si="4"/>
        <v>1</v>
      </c>
      <c r="U199" s="7">
        <f t="shared" si="5"/>
        <v>1</v>
      </c>
      <c r="V199" s="7">
        <f t="shared" ref="V199:W199" si="341">IF(AVERAGE(T139:T198) &gt; 0.25, 1, 0)</f>
        <v>1</v>
      </c>
      <c r="W199" s="7">
        <f t="shared" si="341"/>
        <v>1</v>
      </c>
      <c r="X199" s="8">
        <v>1.0</v>
      </c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ht="22.5" customHeight="1">
      <c r="A200" s="6">
        <v>199.0</v>
      </c>
      <c r="B200" s="6">
        <v>43079.0</v>
      </c>
      <c r="C200" s="6">
        <v>-3.32</v>
      </c>
      <c r="D200" s="6">
        <v>4.67</v>
      </c>
      <c r="E200" s="6">
        <v>11.08</v>
      </c>
      <c r="F200" s="6">
        <v>-0.16</v>
      </c>
      <c r="G200" s="6">
        <v>-0.03</v>
      </c>
      <c r="H200" s="6">
        <v>-0.8</v>
      </c>
      <c r="I200" s="6">
        <v>33.35</v>
      </c>
      <c r="J200" s="7">
        <f t="shared" ref="J200:O200" si="342">abs(C200-C199)/200</f>
        <v>0.03795</v>
      </c>
      <c r="K200" s="7">
        <f t="shared" si="342"/>
        <v>0.0443</v>
      </c>
      <c r="L200" s="7">
        <f t="shared" si="342"/>
        <v>0.0035</v>
      </c>
      <c r="M200" s="7">
        <f t="shared" si="342"/>
        <v>0.00015</v>
      </c>
      <c r="N200" s="7">
        <f t="shared" si="342"/>
        <v>0.0008</v>
      </c>
      <c r="O200" s="7">
        <f t="shared" si="342"/>
        <v>0.006</v>
      </c>
      <c r="P200" s="7">
        <f t="shared" si="7"/>
        <v>0.3548752821</v>
      </c>
      <c r="Q200" s="7">
        <f t="shared" si="8"/>
        <v>0.4933381526</v>
      </c>
      <c r="R200" s="7">
        <f t="shared" si="2"/>
        <v>2.673880711</v>
      </c>
      <c r="S200" s="7">
        <f t="shared" si="3"/>
        <v>0.8163945125</v>
      </c>
      <c r="T200" s="7">
        <f t="shared" si="4"/>
        <v>1</v>
      </c>
      <c r="U200" s="7">
        <f t="shared" si="5"/>
        <v>1</v>
      </c>
      <c r="V200" s="7">
        <f t="shared" ref="V200:W200" si="343">IF(AVERAGE(T140:T199) &gt; 0.25, 1, 0)</f>
        <v>1</v>
      </c>
      <c r="W200" s="7">
        <f t="shared" si="343"/>
        <v>1</v>
      </c>
      <c r="X200" s="8">
        <v>1.0</v>
      </c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ht="22.5" customHeight="1">
      <c r="A201" s="6">
        <v>200.0</v>
      </c>
      <c r="B201" s="6">
        <v>43283.0</v>
      </c>
      <c r="C201" s="6">
        <v>0.91</v>
      </c>
      <c r="D201" s="6">
        <v>0.27</v>
      </c>
      <c r="E201" s="6">
        <v>10.86</v>
      </c>
      <c r="F201" s="6">
        <v>0.05</v>
      </c>
      <c r="G201" s="6">
        <v>0.02</v>
      </c>
      <c r="H201" s="6">
        <v>1.59</v>
      </c>
      <c r="I201" s="6">
        <v>33.35</v>
      </c>
      <c r="J201" s="7">
        <f t="shared" ref="J201:O201" si="344">abs(C201-C200)/200</f>
        <v>0.02115</v>
      </c>
      <c r="K201" s="7">
        <f t="shared" si="344"/>
        <v>0.022</v>
      </c>
      <c r="L201" s="7">
        <f t="shared" si="344"/>
        <v>0.0011</v>
      </c>
      <c r="M201" s="7">
        <f t="shared" si="344"/>
        <v>0.00105</v>
      </c>
      <c r="N201" s="7">
        <f t="shared" si="344"/>
        <v>0.00025</v>
      </c>
      <c r="O201" s="7">
        <f t="shared" si="344"/>
        <v>0.01195</v>
      </c>
      <c r="P201" s="7">
        <f t="shared" si="7"/>
        <v>0.7745171758</v>
      </c>
      <c r="Q201" s="7">
        <f t="shared" si="8"/>
        <v>1.572477132</v>
      </c>
      <c r="R201" s="7">
        <f t="shared" si="2"/>
        <v>1.101403579</v>
      </c>
      <c r="S201" s="7">
        <f t="shared" si="3"/>
        <v>1.590911688</v>
      </c>
      <c r="T201" s="7">
        <f t="shared" si="4"/>
        <v>1</v>
      </c>
      <c r="U201" s="7">
        <f t="shared" si="5"/>
        <v>1</v>
      </c>
      <c r="V201" s="7">
        <f t="shared" ref="V201:W201" si="345">IF(AVERAGE(T141:T200) &gt; 0.25, 1, 0)</f>
        <v>1</v>
      </c>
      <c r="W201" s="7">
        <f t="shared" si="345"/>
        <v>1</v>
      </c>
      <c r="X201" s="8">
        <v>1.0</v>
      </c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ht="22.5" customHeight="1">
      <c r="A202" s="6">
        <v>201.0</v>
      </c>
      <c r="B202" s="6">
        <v>43487.0</v>
      </c>
      <c r="C202" s="6">
        <v>5.6</v>
      </c>
      <c r="D202" s="6">
        <v>-3.69</v>
      </c>
      <c r="E202" s="6">
        <v>10.07</v>
      </c>
      <c r="F202" s="6">
        <v>-0.1</v>
      </c>
      <c r="G202" s="6">
        <v>-0.23</v>
      </c>
      <c r="H202" s="6">
        <v>0.31</v>
      </c>
      <c r="I202" s="6">
        <v>33.35</v>
      </c>
      <c r="J202" s="7">
        <f t="shared" ref="J202:O202" si="346">abs(C202-C201)/200</f>
        <v>0.02345</v>
      </c>
      <c r="K202" s="7">
        <f t="shared" si="346"/>
        <v>0.0198</v>
      </c>
      <c r="L202" s="7">
        <f t="shared" si="346"/>
        <v>0.00395</v>
      </c>
      <c r="M202" s="7">
        <f t="shared" si="346"/>
        <v>0.00075</v>
      </c>
      <c r="N202" s="7">
        <f t="shared" si="346"/>
        <v>0.00125</v>
      </c>
      <c r="O202" s="7">
        <f t="shared" si="346"/>
        <v>0.0064</v>
      </c>
      <c r="P202" s="7">
        <f t="shared" si="7"/>
        <v>1.192163648</v>
      </c>
      <c r="Q202" s="7">
        <f t="shared" si="8"/>
        <v>1.197398014</v>
      </c>
      <c r="R202" s="7">
        <f t="shared" si="2"/>
        <v>2.298801594</v>
      </c>
      <c r="S202" s="7">
        <f t="shared" si="3"/>
        <v>0.3987480407</v>
      </c>
      <c r="T202" s="7">
        <f t="shared" si="4"/>
        <v>1</v>
      </c>
      <c r="U202" s="7">
        <f t="shared" si="5"/>
        <v>1</v>
      </c>
      <c r="V202" s="7">
        <f t="shared" ref="V202:W202" si="347">IF(AVERAGE(T142:T201) &gt; 0.25, 1, 0)</f>
        <v>1</v>
      </c>
      <c r="W202" s="7">
        <f t="shared" si="347"/>
        <v>1</v>
      </c>
      <c r="X202" s="8">
        <v>1.0</v>
      </c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ht="22.5" customHeight="1">
      <c r="A203" s="6">
        <v>202.0</v>
      </c>
      <c r="B203" s="6">
        <v>43691.0</v>
      </c>
      <c r="C203" s="6">
        <v>1.62</v>
      </c>
      <c r="D203" s="6">
        <v>-0.57</v>
      </c>
      <c r="E203" s="6">
        <v>10.66</v>
      </c>
      <c r="F203" s="6">
        <v>-0.27</v>
      </c>
      <c r="G203" s="6">
        <v>0.08</v>
      </c>
      <c r="H203" s="6">
        <v>-1.95</v>
      </c>
      <c r="I203" s="6">
        <v>33.35</v>
      </c>
      <c r="J203" s="7">
        <f t="shared" ref="J203:O203" si="348">abs(C203-C202)/200</f>
        <v>0.0199</v>
      </c>
      <c r="K203" s="7">
        <f t="shared" si="348"/>
        <v>0.0156</v>
      </c>
      <c r="L203" s="7">
        <f t="shared" si="348"/>
        <v>0.00295</v>
      </c>
      <c r="M203" s="7">
        <f t="shared" si="348"/>
        <v>0.00085</v>
      </c>
      <c r="N203" s="7">
        <f t="shared" si="348"/>
        <v>0.00155</v>
      </c>
      <c r="O203" s="7">
        <f t="shared" si="348"/>
        <v>0.0113</v>
      </c>
      <c r="P203" s="7">
        <f t="shared" si="7"/>
        <v>1.571480372</v>
      </c>
      <c r="Q203" s="7">
        <f t="shared" si="8"/>
        <v>1.301352821</v>
      </c>
      <c r="R203" s="7">
        <f t="shared" si="2"/>
        <v>0.9974487727</v>
      </c>
      <c r="S203" s="7">
        <f t="shared" si="3"/>
        <v>1.970228413</v>
      </c>
      <c r="T203" s="7">
        <f t="shared" si="4"/>
        <v>1</v>
      </c>
      <c r="U203" s="7">
        <f t="shared" si="5"/>
        <v>1</v>
      </c>
      <c r="V203" s="7">
        <f t="shared" ref="V203:W203" si="349">IF(AVERAGE(T143:T202) &gt; 0.25, 1, 0)</f>
        <v>1</v>
      </c>
      <c r="W203" s="7">
        <f t="shared" si="349"/>
        <v>1</v>
      </c>
      <c r="X203" s="8">
        <v>1.0</v>
      </c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ht="22.5" customHeight="1">
      <c r="A204" s="6">
        <v>203.0</v>
      </c>
      <c r="B204" s="6">
        <v>43895.0</v>
      </c>
      <c r="C204" s="6">
        <v>0.66</v>
      </c>
      <c r="D204" s="6">
        <v>-2.97</v>
      </c>
      <c r="E204" s="6">
        <v>10.63</v>
      </c>
      <c r="F204" s="6">
        <v>-0.68</v>
      </c>
      <c r="G204" s="6">
        <v>0.05</v>
      </c>
      <c r="H204" s="6">
        <v>-3.79</v>
      </c>
      <c r="I204" s="6">
        <v>33.34</v>
      </c>
      <c r="J204" s="7">
        <f t="shared" ref="J204:O204" si="350">abs(C204-C203)/200</f>
        <v>0.0048</v>
      </c>
      <c r="K204" s="7">
        <f t="shared" si="350"/>
        <v>0.012</v>
      </c>
      <c r="L204" s="7">
        <f t="shared" si="350"/>
        <v>0.00015</v>
      </c>
      <c r="M204" s="7">
        <f t="shared" si="350"/>
        <v>0.00205</v>
      </c>
      <c r="N204" s="7">
        <f t="shared" si="350"/>
        <v>0.00015</v>
      </c>
      <c r="O204" s="7">
        <f t="shared" si="350"/>
        <v>0.0092</v>
      </c>
      <c r="P204" s="7">
        <f t="shared" si="7"/>
        <v>1.88061565</v>
      </c>
      <c r="Q204" s="7">
        <f t="shared" si="8"/>
        <v>0.2593771733</v>
      </c>
      <c r="R204" s="7">
        <f t="shared" si="2"/>
        <v>1.256825946</v>
      </c>
      <c r="S204" s="7">
        <f t="shared" si="3"/>
        <v>3.850844063</v>
      </c>
      <c r="T204" s="7">
        <f t="shared" si="4"/>
        <v>1</v>
      </c>
      <c r="U204" s="7">
        <f t="shared" si="5"/>
        <v>1</v>
      </c>
      <c r="V204" s="7">
        <f t="shared" ref="V204:W204" si="351">IF(AVERAGE(T144:T203) &gt; 0.25, 1, 0)</f>
        <v>1</v>
      </c>
      <c r="W204" s="7">
        <f t="shared" si="351"/>
        <v>1</v>
      </c>
      <c r="X204" s="8">
        <v>1.0</v>
      </c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ht="22.5" customHeight="1">
      <c r="A205" s="6">
        <v>204.0</v>
      </c>
      <c r="B205" s="6">
        <v>44099.0</v>
      </c>
      <c r="C205" s="6">
        <v>-1.13</v>
      </c>
      <c r="D205" s="6">
        <v>0.39</v>
      </c>
      <c r="E205" s="6">
        <v>10.88</v>
      </c>
      <c r="F205" s="6">
        <v>-0.17</v>
      </c>
      <c r="G205" s="6">
        <v>0.04</v>
      </c>
      <c r="H205" s="6">
        <v>-1.52</v>
      </c>
      <c r="I205" s="6">
        <v>33.35</v>
      </c>
      <c r="J205" s="7">
        <f t="shared" ref="J205:O205" si="352">abs(C205-C204)/200</f>
        <v>0.00895</v>
      </c>
      <c r="K205" s="7">
        <f t="shared" si="352"/>
        <v>0.0168</v>
      </c>
      <c r="L205" s="7">
        <f t="shared" si="352"/>
        <v>0.00125</v>
      </c>
      <c r="M205" s="7">
        <f t="shared" si="352"/>
        <v>0.00255</v>
      </c>
      <c r="N205" s="7">
        <f t="shared" si="352"/>
        <v>0.00005</v>
      </c>
      <c r="O205" s="7">
        <f t="shared" si="352"/>
        <v>0.01135</v>
      </c>
      <c r="P205" s="7">
        <f t="shared" si="7"/>
        <v>2.320844063</v>
      </c>
      <c r="Q205" s="7">
        <f t="shared" si="8"/>
        <v>0.1113519955</v>
      </c>
      <c r="R205" s="7">
        <f t="shared" si="2"/>
        <v>1.14547395</v>
      </c>
      <c r="S205" s="7">
        <f t="shared" si="3"/>
        <v>1.53</v>
      </c>
      <c r="T205" s="7">
        <f t="shared" si="4"/>
        <v>1</v>
      </c>
      <c r="U205" s="7">
        <f t="shared" si="5"/>
        <v>1</v>
      </c>
      <c r="V205" s="7">
        <f t="shared" ref="V205:W205" si="353">IF(AVERAGE(T145:T204) &gt; 0.25, 1, 0)</f>
        <v>1</v>
      </c>
      <c r="W205" s="7">
        <f t="shared" si="353"/>
        <v>1</v>
      </c>
      <c r="X205" s="8">
        <v>1.0</v>
      </c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ht="22.5" customHeight="1">
      <c r="A206" s="6">
        <v>205.0</v>
      </c>
      <c r="B206" s="6">
        <v>44303.0</v>
      </c>
      <c r="C206" s="6">
        <v>-0.12</v>
      </c>
      <c r="D206" s="6">
        <v>-0.17</v>
      </c>
      <c r="E206" s="6">
        <v>10.46</v>
      </c>
      <c r="F206" s="6">
        <v>-0.14</v>
      </c>
      <c r="G206" s="6">
        <v>-0.07</v>
      </c>
      <c r="H206" s="6">
        <v>0.74</v>
      </c>
      <c r="I206" s="6">
        <v>33.35</v>
      </c>
      <c r="J206" s="7">
        <f t="shared" ref="J206:O206" si="354">abs(C206-C205)/200</f>
        <v>0.00505</v>
      </c>
      <c r="K206" s="7">
        <f t="shared" si="354"/>
        <v>0.0028</v>
      </c>
      <c r="L206" s="7">
        <f t="shared" si="354"/>
        <v>0.0021</v>
      </c>
      <c r="M206" s="7">
        <f t="shared" si="354"/>
        <v>0.00015</v>
      </c>
      <c r="N206" s="7">
        <f t="shared" si="354"/>
        <v>0.00055</v>
      </c>
      <c r="O206" s="7">
        <f t="shared" si="354"/>
        <v>0.0113</v>
      </c>
      <c r="P206" s="7">
        <f t="shared" si="7"/>
        <v>0.7736270761</v>
      </c>
      <c r="Q206" s="7">
        <f t="shared" si="8"/>
        <v>0.4834043655</v>
      </c>
      <c r="R206" s="7">
        <f t="shared" si="2"/>
        <v>0.6620695849</v>
      </c>
      <c r="S206" s="7">
        <f t="shared" si="3"/>
        <v>0.7563729239</v>
      </c>
      <c r="T206" s="7">
        <f t="shared" si="4"/>
        <v>1</v>
      </c>
      <c r="U206" s="7">
        <f t="shared" si="5"/>
        <v>1</v>
      </c>
      <c r="V206" s="7">
        <f t="shared" ref="V206:W206" si="355">IF(AVERAGE(T146:T205) &gt; 0.25, 1, 0)</f>
        <v>1</v>
      </c>
      <c r="W206" s="7">
        <f t="shared" si="355"/>
        <v>1</v>
      </c>
      <c r="X206" s="8">
        <v>1.0</v>
      </c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ht="22.5" customHeight="1">
      <c r="A207" s="6">
        <v>206.0</v>
      </c>
      <c r="B207" s="6">
        <v>44507.0</v>
      </c>
      <c r="C207" s="6">
        <v>1.91</v>
      </c>
      <c r="D207" s="6">
        <v>-2.03</v>
      </c>
      <c r="E207" s="6">
        <v>10.75</v>
      </c>
      <c r="F207" s="6">
        <v>-0.03</v>
      </c>
      <c r="G207" s="6">
        <v>0.21</v>
      </c>
      <c r="H207" s="6">
        <v>0.37</v>
      </c>
      <c r="I207" s="6">
        <v>33.35</v>
      </c>
      <c r="J207" s="7">
        <f t="shared" ref="J207:O207" si="356">abs(C207-C206)/200</f>
        <v>0.01015</v>
      </c>
      <c r="K207" s="7">
        <f t="shared" si="356"/>
        <v>0.0093</v>
      </c>
      <c r="L207" s="7">
        <f t="shared" si="356"/>
        <v>0.00145</v>
      </c>
      <c r="M207" s="7">
        <f t="shared" si="356"/>
        <v>0.00055</v>
      </c>
      <c r="N207" s="7">
        <f t="shared" si="356"/>
        <v>0.0014</v>
      </c>
      <c r="O207" s="7">
        <f t="shared" si="356"/>
        <v>0.00185</v>
      </c>
      <c r="P207" s="7">
        <f t="shared" si="7"/>
        <v>0.3298755617</v>
      </c>
      <c r="Q207" s="7">
        <f t="shared" si="8"/>
        <v>0.6434020395</v>
      </c>
      <c r="R207" s="7">
        <f t="shared" si="2"/>
        <v>1.305471624</v>
      </c>
      <c r="S207" s="7">
        <f t="shared" si="3"/>
        <v>0.4264973622</v>
      </c>
      <c r="T207" s="7">
        <f t="shared" si="4"/>
        <v>1</v>
      </c>
      <c r="U207" s="7">
        <f t="shared" si="5"/>
        <v>1</v>
      </c>
      <c r="V207" s="7">
        <f t="shared" ref="V207:W207" si="357">IF(AVERAGE(T147:T206) &gt; 0.25, 1, 0)</f>
        <v>1</v>
      </c>
      <c r="W207" s="7">
        <f t="shared" si="357"/>
        <v>1</v>
      </c>
      <c r="X207" s="8">
        <v>1.0</v>
      </c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ht="22.5" customHeight="1">
      <c r="A208" s="6">
        <v>207.0</v>
      </c>
      <c r="B208" s="6">
        <v>44711.0</v>
      </c>
      <c r="C208" s="6">
        <v>0.33</v>
      </c>
      <c r="D208" s="6">
        <v>-1.32</v>
      </c>
      <c r="E208" s="6">
        <v>10.96</v>
      </c>
      <c r="F208" s="6">
        <v>0.11</v>
      </c>
      <c r="G208" s="6">
        <v>0.22</v>
      </c>
      <c r="H208" s="6">
        <v>1.15</v>
      </c>
      <c r="I208" s="6">
        <v>33.35</v>
      </c>
      <c r="J208" s="7">
        <f t="shared" ref="J208:O208" si="358">abs(C208-C207)/200</f>
        <v>0.0079</v>
      </c>
      <c r="K208" s="7">
        <f t="shared" si="358"/>
        <v>0.00355</v>
      </c>
      <c r="L208" s="7">
        <f t="shared" si="358"/>
        <v>0.00105</v>
      </c>
      <c r="M208" s="7">
        <f t="shared" si="358"/>
        <v>0.0007</v>
      </c>
      <c r="N208" s="7">
        <f t="shared" si="358"/>
        <v>0.00005</v>
      </c>
      <c r="O208" s="7">
        <f t="shared" si="358"/>
        <v>0.0039</v>
      </c>
      <c r="P208" s="7">
        <f t="shared" si="7"/>
        <v>0.7495128418</v>
      </c>
      <c r="Q208" s="7">
        <f t="shared" si="8"/>
        <v>0.06133743469</v>
      </c>
      <c r="R208" s="7">
        <f t="shared" si="2"/>
        <v>1.24413419</v>
      </c>
      <c r="S208" s="7">
        <f t="shared" si="3"/>
        <v>1.176010204</v>
      </c>
      <c r="T208" s="7">
        <f t="shared" si="4"/>
        <v>1</v>
      </c>
      <c r="U208" s="7">
        <f t="shared" si="5"/>
        <v>1</v>
      </c>
      <c r="V208" s="7">
        <f t="shared" ref="V208:W208" si="359">IF(AVERAGE(T148:T207) &gt; 0.25, 1, 0)</f>
        <v>1</v>
      </c>
      <c r="W208" s="7">
        <f t="shared" si="359"/>
        <v>1</v>
      </c>
      <c r="X208" s="8">
        <v>1.0</v>
      </c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ht="22.5" customHeight="1">
      <c r="A209" s="6">
        <v>208.0</v>
      </c>
      <c r="B209" s="6">
        <v>44915.0</v>
      </c>
      <c r="C209" s="6">
        <v>1.77</v>
      </c>
      <c r="D209" s="6">
        <v>-0.91</v>
      </c>
      <c r="E209" s="6">
        <v>10.55</v>
      </c>
      <c r="F209" s="6">
        <v>0.08</v>
      </c>
      <c r="G209" s="6">
        <v>-0.06</v>
      </c>
      <c r="H209" s="6">
        <v>1.32</v>
      </c>
      <c r="I209" s="6">
        <v>33.34</v>
      </c>
      <c r="J209" s="7">
        <f t="shared" ref="J209:O209" si="360">abs(C209-C208)/200</f>
        <v>0.0072</v>
      </c>
      <c r="K209" s="7">
        <f t="shared" si="360"/>
        <v>0.00205</v>
      </c>
      <c r="L209" s="7">
        <f t="shared" si="360"/>
        <v>0.00205</v>
      </c>
      <c r="M209" s="7">
        <f t="shared" si="360"/>
        <v>0.00015</v>
      </c>
      <c r="N209" s="7">
        <f t="shared" si="360"/>
        <v>0.0014</v>
      </c>
      <c r="O209" s="7">
        <f t="shared" si="360"/>
        <v>0.00085</v>
      </c>
      <c r="P209" s="7">
        <f t="shared" si="7"/>
        <v>0.1477722554</v>
      </c>
      <c r="Q209" s="7">
        <f t="shared" si="8"/>
        <v>0.3080501736</v>
      </c>
      <c r="R209" s="7">
        <f t="shared" si="2"/>
        <v>0.9360840161</v>
      </c>
      <c r="S209" s="7">
        <f t="shared" si="3"/>
        <v>1.323782459</v>
      </c>
      <c r="T209" s="7">
        <f t="shared" si="4"/>
        <v>1</v>
      </c>
      <c r="U209" s="7">
        <f t="shared" si="5"/>
        <v>1</v>
      </c>
      <c r="V209" s="7">
        <f t="shared" ref="V209:W209" si="361">IF(AVERAGE(T149:T208) &gt; 0.25, 1, 0)</f>
        <v>1</v>
      </c>
      <c r="W209" s="7">
        <f t="shared" si="361"/>
        <v>1</v>
      </c>
      <c r="X209" s="8">
        <v>1.0</v>
      </c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ht="22.5" customHeight="1">
      <c r="A210" s="6">
        <v>209.0</v>
      </c>
      <c r="B210" s="6">
        <v>45119.0</v>
      </c>
      <c r="C210" s="6">
        <v>1.86</v>
      </c>
      <c r="D210" s="6">
        <v>-0.41</v>
      </c>
      <c r="E210" s="6">
        <v>10.57</v>
      </c>
      <c r="F210" s="6">
        <v>0.09</v>
      </c>
      <c r="G210" s="6">
        <v>-0.23</v>
      </c>
      <c r="H210" s="6">
        <v>1.07</v>
      </c>
      <c r="I210" s="6">
        <v>33.34</v>
      </c>
      <c r="J210" s="7">
        <f t="shared" ref="J210:O210" si="362">abs(C210-C209)/200</f>
        <v>0.00045</v>
      </c>
      <c r="K210" s="7">
        <f t="shared" si="362"/>
        <v>0.0025</v>
      </c>
      <c r="L210" s="7">
        <f t="shared" si="362"/>
        <v>0.0001</v>
      </c>
      <c r="M210" s="7">
        <f t="shared" si="362"/>
        <v>0.00005</v>
      </c>
      <c r="N210" s="7">
        <f t="shared" si="362"/>
        <v>0.00085</v>
      </c>
      <c r="O210" s="7">
        <f t="shared" si="362"/>
        <v>0.00125</v>
      </c>
      <c r="P210" s="7">
        <f t="shared" si="7"/>
        <v>0.2256476772</v>
      </c>
      <c r="Q210" s="7">
        <f t="shared" si="8"/>
        <v>0.004148756087</v>
      </c>
      <c r="R210" s="7">
        <f t="shared" si="2"/>
        <v>0.9402327722</v>
      </c>
      <c r="S210" s="7">
        <f t="shared" si="3"/>
        <v>1.098134782</v>
      </c>
      <c r="T210" s="7">
        <f t="shared" si="4"/>
        <v>1</v>
      </c>
      <c r="U210" s="7">
        <f t="shared" si="5"/>
        <v>1</v>
      </c>
      <c r="V210" s="7">
        <f t="shared" ref="V210:W210" si="363">IF(AVERAGE(T150:T209) &gt; 0.25, 1, 0)</f>
        <v>1</v>
      </c>
      <c r="W210" s="7">
        <f t="shared" si="363"/>
        <v>1</v>
      </c>
      <c r="X210" s="8">
        <v>1.0</v>
      </c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ht="22.5" customHeight="1">
      <c r="A211" s="6">
        <v>210.0</v>
      </c>
      <c r="B211" s="6">
        <v>45323.0</v>
      </c>
      <c r="C211" s="6">
        <v>2.18</v>
      </c>
      <c r="D211" s="6">
        <v>-0.62</v>
      </c>
      <c r="E211" s="6">
        <v>10.36</v>
      </c>
      <c r="F211" s="6">
        <v>-0.01</v>
      </c>
      <c r="G211" s="6">
        <v>-0.11</v>
      </c>
      <c r="H211" s="6">
        <v>0.8</v>
      </c>
      <c r="I211" s="6">
        <v>33.34</v>
      </c>
      <c r="J211" s="7">
        <f t="shared" ref="J211:O211" si="364">abs(C211-C210)/200</f>
        <v>0.0016</v>
      </c>
      <c r="K211" s="7">
        <f t="shared" si="364"/>
        <v>0.00105</v>
      </c>
      <c r="L211" s="7">
        <f t="shared" si="364"/>
        <v>0.00105</v>
      </c>
      <c r="M211" s="7">
        <f t="shared" si="364"/>
        <v>0.0005</v>
      </c>
      <c r="N211" s="7">
        <f t="shared" si="364"/>
        <v>0.0006</v>
      </c>
      <c r="O211" s="7">
        <f t="shared" si="364"/>
        <v>0.00135</v>
      </c>
      <c r="P211" s="7">
        <f t="shared" si="7"/>
        <v>0.2905457779</v>
      </c>
      <c r="Q211" s="7">
        <f t="shared" si="8"/>
        <v>0.1352150918</v>
      </c>
      <c r="R211" s="7">
        <f t="shared" si="2"/>
        <v>0.8050176803</v>
      </c>
      <c r="S211" s="7">
        <f t="shared" si="3"/>
        <v>0.8075890044</v>
      </c>
      <c r="T211" s="7">
        <f t="shared" si="4"/>
        <v>1</v>
      </c>
      <c r="U211" s="7">
        <f t="shared" si="5"/>
        <v>1</v>
      </c>
      <c r="V211" s="7">
        <f t="shared" ref="V211:W211" si="365">IF(AVERAGE(T151:T210) &gt; 0.25, 1, 0)</f>
        <v>1</v>
      </c>
      <c r="W211" s="7">
        <f t="shared" si="365"/>
        <v>1</v>
      </c>
      <c r="X211" s="8">
        <v>1.0</v>
      </c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ht="22.5" customHeight="1">
      <c r="A212" s="6">
        <v>211.0</v>
      </c>
      <c r="B212" s="6">
        <v>45527.0</v>
      </c>
      <c r="C212" s="6">
        <v>2.51</v>
      </c>
      <c r="D212" s="6">
        <v>0.45</v>
      </c>
      <c r="E212" s="6">
        <v>10.55</v>
      </c>
      <c r="F212" s="6">
        <v>-0.13</v>
      </c>
      <c r="G212" s="6">
        <v>0.07</v>
      </c>
      <c r="H212" s="6">
        <v>0.41</v>
      </c>
      <c r="I212" s="6">
        <v>33.35</v>
      </c>
      <c r="J212" s="7">
        <f t="shared" ref="J212:O212" si="366">abs(C212-C211)/200</f>
        <v>0.00165</v>
      </c>
      <c r="K212" s="7">
        <f t="shared" si="366"/>
        <v>0.00535</v>
      </c>
      <c r="L212" s="7">
        <f t="shared" si="366"/>
        <v>0.00095</v>
      </c>
      <c r="M212" s="7">
        <f t="shared" si="366"/>
        <v>0.0006</v>
      </c>
      <c r="N212" s="7">
        <f t="shared" si="366"/>
        <v>0.0009</v>
      </c>
      <c r="O212" s="7">
        <f t="shared" si="366"/>
        <v>0.00195</v>
      </c>
      <c r="P212" s="7">
        <f t="shared" si="7"/>
        <v>0.371813833</v>
      </c>
      <c r="Q212" s="7">
        <f t="shared" si="8"/>
        <v>0.2487881038</v>
      </c>
      <c r="R212" s="7">
        <f t="shared" si="2"/>
        <v>1.053805784</v>
      </c>
      <c r="S212" s="7">
        <f t="shared" si="3"/>
        <v>0.4357751714</v>
      </c>
      <c r="T212" s="7">
        <f t="shared" si="4"/>
        <v>1</v>
      </c>
      <c r="U212" s="7">
        <f t="shared" si="5"/>
        <v>1</v>
      </c>
      <c r="V212" s="7">
        <f t="shared" ref="V212:W212" si="367">IF(AVERAGE(T152:T211) &gt; 0.25, 1, 0)</f>
        <v>1</v>
      </c>
      <c r="W212" s="7">
        <f t="shared" si="367"/>
        <v>1</v>
      </c>
      <c r="X212" s="8">
        <v>1.0</v>
      </c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ht="22.5" customHeight="1">
      <c r="A213" s="6">
        <v>212.0</v>
      </c>
      <c r="B213" s="6">
        <v>45731.0</v>
      </c>
      <c r="C213" s="6">
        <v>1.34</v>
      </c>
      <c r="D213" s="6">
        <v>0.61</v>
      </c>
      <c r="E213" s="6">
        <v>10.71</v>
      </c>
      <c r="F213" s="6">
        <v>-0.2</v>
      </c>
      <c r="G213" s="6">
        <v>0.08</v>
      </c>
      <c r="H213" s="6">
        <v>0.02</v>
      </c>
      <c r="I213" s="6">
        <v>33.35</v>
      </c>
      <c r="J213" s="7">
        <f t="shared" ref="J213:O213" si="368">abs(C213-C212)/200</f>
        <v>0.00585</v>
      </c>
      <c r="K213" s="7">
        <f t="shared" si="368"/>
        <v>0.0008</v>
      </c>
      <c r="L213" s="7">
        <f t="shared" si="368"/>
        <v>0.0008</v>
      </c>
      <c r="M213" s="7">
        <f t="shared" si="368"/>
        <v>0.00035</v>
      </c>
      <c r="N213" s="7">
        <f t="shared" si="368"/>
        <v>0.00005</v>
      </c>
      <c r="O213" s="7">
        <f t="shared" si="368"/>
        <v>0.00195</v>
      </c>
      <c r="P213" s="7">
        <f t="shared" si="7"/>
        <v>0.2194420949</v>
      </c>
      <c r="Q213" s="7">
        <f t="shared" si="8"/>
        <v>0.04307962907</v>
      </c>
      <c r="R213" s="7">
        <f t="shared" si="2"/>
        <v>1.010726155</v>
      </c>
      <c r="S213" s="7">
        <f t="shared" si="3"/>
        <v>0.2163330765</v>
      </c>
      <c r="T213" s="7">
        <f t="shared" si="4"/>
        <v>1</v>
      </c>
      <c r="U213" s="7">
        <f t="shared" si="5"/>
        <v>1</v>
      </c>
      <c r="V213" s="7">
        <f t="shared" ref="V213:W213" si="369">IF(AVERAGE(T153:T212) &gt; 0.25, 1, 0)</f>
        <v>1</v>
      </c>
      <c r="W213" s="7">
        <f t="shared" si="369"/>
        <v>1</v>
      </c>
      <c r="X213" s="8">
        <v>1.0</v>
      </c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ht="22.5" customHeight="1">
      <c r="A214" s="6">
        <v>213.0</v>
      </c>
      <c r="B214" s="6">
        <v>45935.0</v>
      </c>
      <c r="C214" s="6">
        <v>0.76</v>
      </c>
      <c r="D214" s="6">
        <v>0.74</v>
      </c>
      <c r="E214" s="6">
        <v>10.79</v>
      </c>
      <c r="F214" s="6">
        <v>-0.1</v>
      </c>
      <c r="G214" s="6">
        <v>0.12</v>
      </c>
      <c r="H214" s="6">
        <v>0.07</v>
      </c>
      <c r="I214" s="6">
        <v>33.35</v>
      </c>
      <c r="J214" s="7">
        <f t="shared" ref="J214:O214" si="370">abs(C214-C213)/200</f>
        <v>0.0029</v>
      </c>
      <c r="K214" s="7">
        <f t="shared" si="370"/>
        <v>0.00065</v>
      </c>
      <c r="L214" s="7">
        <f t="shared" si="370"/>
        <v>0.0004</v>
      </c>
      <c r="M214" s="7">
        <f t="shared" si="370"/>
        <v>0.0005</v>
      </c>
      <c r="N214" s="7">
        <f t="shared" si="370"/>
        <v>0.0002</v>
      </c>
      <c r="O214" s="7">
        <f t="shared" si="370"/>
        <v>0.00025</v>
      </c>
      <c r="P214" s="7">
        <f t="shared" si="7"/>
        <v>0.04516064884</v>
      </c>
      <c r="Q214" s="7">
        <f t="shared" si="8"/>
        <v>0.03128934021</v>
      </c>
      <c r="R214" s="7">
        <f t="shared" si="2"/>
        <v>1.042015495</v>
      </c>
      <c r="S214" s="7">
        <f t="shared" si="3"/>
        <v>0.1711724277</v>
      </c>
      <c r="T214" s="7">
        <f t="shared" si="4"/>
        <v>1</v>
      </c>
      <c r="U214" s="7">
        <f t="shared" si="5"/>
        <v>1</v>
      </c>
      <c r="V214" s="7">
        <f t="shared" ref="V214:W214" si="371">IF(AVERAGE(T154:T213) &gt; 0.25, 1, 0)</f>
        <v>1</v>
      </c>
      <c r="W214" s="7">
        <f t="shared" si="371"/>
        <v>1</v>
      </c>
      <c r="X214" s="8">
        <v>1.0</v>
      </c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ht="22.5" customHeight="1">
      <c r="A215" s="6">
        <v>214.0</v>
      </c>
      <c r="B215" s="6">
        <v>46139.0</v>
      </c>
      <c r="C215" s="6">
        <v>2.77</v>
      </c>
      <c r="D215" s="6">
        <v>-0.57</v>
      </c>
      <c r="E215" s="6">
        <v>10.72</v>
      </c>
      <c r="F215" s="6">
        <v>-0.11</v>
      </c>
      <c r="G215" s="6">
        <v>-0.03</v>
      </c>
      <c r="H215" s="6">
        <v>0.66</v>
      </c>
      <c r="I215" s="6">
        <v>33.34</v>
      </c>
      <c r="J215" s="7">
        <f t="shared" ref="J215:O215" si="372">abs(C215-C214)/200</f>
        <v>0.01005</v>
      </c>
      <c r="K215" s="7">
        <f t="shared" si="372"/>
        <v>0.00655</v>
      </c>
      <c r="L215" s="7">
        <f t="shared" si="372"/>
        <v>0.00035</v>
      </c>
      <c r="M215" s="7">
        <f t="shared" si="372"/>
        <v>0.00005</v>
      </c>
      <c r="N215" s="7">
        <f t="shared" si="372"/>
        <v>0.00075</v>
      </c>
      <c r="O215" s="7">
        <f t="shared" si="372"/>
        <v>0.00295</v>
      </c>
      <c r="P215" s="7">
        <f t="shared" si="7"/>
        <v>0.4986036543</v>
      </c>
      <c r="Q215" s="7">
        <f t="shared" si="8"/>
        <v>0.2447423716</v>
      </c>
      <c r="R215" s="7">
        <f t="shared" si="2"/>
        <v>1.286757867</v>
      </c>
      <c r="S215" s="7">
        <f t="shared" si="3"/>
        <v>0.669776082</v>
      </c>
      <c r="T215" s="7">
        <f t="shared" si="4"/>
        <v>1</v>
      </c>
      <c r="U215" s="7">
        <f t="shared" si="5"/>
        <v>1</v>
      </c>
      <c r="V215" s="7">
        <f t="shared" ref="V215:W215" si="373">IF(AVERAGE(T155:T214) &gt; 0.25, 1, 0)</f>
        <v>1</v>
      </c>
      <c r="W215" s="7">
        <f t="shared" si="373"/>
        <v>1</v>
      </c>
      <c r="X215" s="8">
        <v>1.0</v>
      </c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ht="22.5" customHeight="1">
      <c r="A216" s="6">
        <v>215.0</v>
      </c>
      <c r="B216" s="6">
        <v>46343.0</v>
      </c>
      <c r="C216" s="6">
        <v>3.54</v>
      </c>
      <c r="D216" s="6">
        <v>-1.73</v>
      </c>
      <c r="E216" s="6">
        <v>10.78</v>
      </c>
      <c r="F216" s="6">
        <v>-0.18</v>
      </c>
      <c r="G216" s="6">
        <v>-0.25</v>
      </c>
      <c r="H216" s="6">
        <v>-2.52</v>
      </c>
      <c r="I216" s="6">
        <v>33.34</v>
      </c>
      <c r="J216" s="7">
        <f t="shared" ref="J216:O216" si="374">abs(C216-C215)/200</f>
        <v>0.00385</v>
      </c>
      <c r="K216" s="7">
        <f t="shared" si="374"/>
        <v>0.0058</v>
      </c>
      <c r="L216" s="7">
        <f t="shared" si="374"/>
        <v>0.0003</v>
      </c>
      <c r="M216" s="7">
        <f t="shared" si="374"/>
        <v>0.00035</v>
      </c>
      <c r="N216" s="7">
        <f t="shared" si="374"/>
        <v>0.0011</v>
      </c>
      <c r="O216" s="7">
        <f t="shared" si="374"/>
        <v>0.0159</v>
      </c>
      <c r="P216" s="7">
        <f t="shared" si="7"/>
        <v>1.868983458</v>
      </c>
      <c r="Q216" s="7">
        <f t="shared" si="8"/>
        <v>0.3907375044</v>
      </c>
      <c r="R216" s="7">
        <f t="shared" si="2"/>
        <v>1.677495371</v>
      </c>
      <c r="S216" s="7">
        <f t="shared" si="3"/>
        <v>2.53875954</v>
      </c>
      <c r="T216" s="7">
        <f t="shared" si="4"/>
        <v>1</v>
      </c>
      <c r="U216" s="7">
        <f t="shared" si="5"/>
        <v>1</v>
      </c>
      <c r="V216" s="7">
        <f t="shared" ref="V216:W216" si="375">IF(AVERAGE(T156:T215) &gt; 0.25, 1, 0)</f>
        <v>1</v>
      </c>
      <c r="W216" s="7">
        <f t="shared" si="375"/>
        <v>1</v>
      </c>
      <c r="X216" s="8">
        <v>1.0</v>
      </c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ht="22.5" customHeight="1">
      <c r="A217" s="6">
        <v>216.0</v>
      </c>
      <c r="B217" s="6">
        <v>46547.0</v>
      </c>
      <c r="C217" s="6">
        <v>0.93</v>
      </c>
      <c r="D217" s="6">
        <v>1.19</v>
      </c>
      <c r="E217" s="6">
        <v>10.7</v>
      </c>
      <c r="F217" s="6">
        <v>0.06</v>
      </c>
      <c r="G217" s="6">
        <v>0.03</v>
      </c>
      <c r="H217" s="6">
        <v>1.45</v>
      </c>
      <c r="I217" s="6">
        <v>33.34</v>
      </c>
      <c r="J217" s="7">
        <f t="shared" ref="J217:O217" si="376">abs(C217-C216)/200</f>
        <v>0.01305</v>
      </c>
      <c r="K217" s="7">
        <f t="shared" si="376"/>
        <v>0.0146</v>
      </c>
      <c r="L217" s="7">
        <f t="shared" si="376"/>
        <v>0.0004</v>
      </c>
      <c r="M217" s="7">
        <f t="shared" si="376"/>
        <v>0.0012</v>
      </c>
      <c r="N217" s="7">
        <f t="shared" si="376"/>
        <v>0.0014</v>
      </c>
      <c r="O217" s="7">
        <f t="shared" si="376"/>
        <v>0.01985</v>
      </c>
      <c r="P217" s="7">
        <f t="shared" si="7"/>
        <v>1.087208645</v>
      </c>
      <c r="Q217" s="7">
        <f t="shared" si="8"/>
        <v>0.6714322585</v>
      </c>
      <c r="R217" s="7">
        <f t="shared" si="2"/>
        <v>1.006063113</v>
      </c>
      <c r="S217" s="7">
        <f t="shared" si="3"/>
        <v>1.451550895</v>
      </c>
      <c r="T217" s="7">
        <f t="shared" si="4"/>
        <v>1</v>
      </c>
      <c r="U217" s="7">
        <f t="shared" si="5"/>
        <v>1</v>
      </c>
      <c r="V217" s="7">
        <f t="shared" ref="V217:W217" si="377">IF(AVERAGE(T157:T216) &gt; 0.25, 1, 0)</f>
        <v>1</v>
      </c>
      <c r="W217" s="7">
        <f t="shared" si="377"/>
        <v>1</v>
      </c>
      <c r="X217" s="8">
        <v>1.0</v>
      </c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ht="22.5" customHeight="1">
      <c r="A218" s="6">
        <v>217.0</v>
      </c>
      <c r="B218" s="6">
        <v>46751.0</v>
      </c>
      <c r="C218" s="6">
        <v>3.18</v>
      </c>
      <c r="D218" s="6">
        <v>0.92</v>
      </c>
      <c r="E218" s="6">
        <v>10.47</v>
      </c>
      <c r="F218" s="6">
        <v>0.1</v>
      </c>
      <c r="G218" s="6">
        <v>-0.15</v>
      </c>
      <c r="H218" s="6">
        <v>2.15</v>
      </c>
      <c r="I218" s="6">
        <v>33.34</v>
      </c>
      <c r="J218" s="7">
        <f t="shared" ref="J218:O218" si="378">abs(C218-C217)/200</f>
        <v>0.01125</v>
      </c>
      <c r="K218" s="7">
        <f t="shared" si="378"/>
        <v>0.00135</v>
      </c>
      <c r="L218" s="7">
        <f t="shared" si="378"/>
        <v>0.00115</v>
      </c>
      <c r="M218" s="7">
        <f t="shared" si="378"/>
        <v>0.0002</v>
      </c>
      <c r="N218" s="7">
        <f t="shared" si="378"/>
        <v>0.0009</v>
      </c>
      <c r="O218" s="7">
        <f t="shared" si="378"/>
        <v>0.0035</v>
      </c>
      <c r="P218" s="7">
        <f t="shared" si="7"/>
        <v>0.7059940063</v>
      </c>
      <c r="Q218" s="7">
        <f t="shared" si="8"/>
        <v>0.1748157226</v>
      </c>
      <c r="R218" s="7">
        <f t="shared" si="2"/>
        <v>1.180878836</v>
      </c>
      <c r="S218" s="7">
        <f t="shared" si="3"/>
        <v>2.157544901</v>
      </c>
      <c r="T218" s="7">
        <f t="shared" si="4"/>
        <v>1</v>
      </c>
      <c r="U218" s="7">
        <f t="shared" si="5"/>
        <v>1</v>
      </c>
      <c r="V218" s="7">
        <f t="shared" ref="V218:W218" si="379">IF(AVERAGE(T158:T217) &gt; 0.25, 1, 0)</f>
        <v>1</v>
      </c>
      <c r="W218" s="7">
        <f t="shared" si="379"/>
        <v>1</v>
      </c>
      <c r="X218" s="8">
        <v>1.0</v>
      </c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ht="22.5" customHeight="1">
      <c r="A219" s="6">
        <v>218.0</v>
      </c>
      <c r="B219" s="6">
        <v>46955.0</v>
      </c>
      <c r="C219" s="6">
        <v>1.21</v>
      </c>
      <c r="D219" s="6">
        <v>-0.54</v>
      </c>
      <c r="E219" s="6">
        <v>10.72</v>
      </c>
      <c r="F219" s="6">
        <v>-0.08</v>
      </c>
      <c r="G219" s="6">
        <v>0.01</v>
      </c>
      <c r="H219" s="6">
        <v>0.22</v>
      </c>
      <c r="I219" s="6">
        <v>33.34</v>
      </c>
      <c r="J219" s="7">
        <f t="shared" ref="J219:O219" si="380">abs(C219-C218)/200</f>
        <v>0.00985</v>
      </c>
      <c r="K219" s="7">
        <f t="shared" si="380"/>
        <v>0.0073</v>
      </c>
      <c r="L219" s="7">
        <f t="shared" si="380"/>
        <v>0.00125</v>
      </c>
      <c r="M219" s="7">
        <f t="shared" si="380"/>
        <v>0.0009</v>
      </c>
      <c r="N219" s="7">
        <f t="shared" si="380"/>
        <v>0.0008</v>
      </c>
      <c r="O219" s="7">
        <f t="shared" si="380"/>
        <v>0.00965</v>
      </c>
      <c r="P219" s="7">
        <f t="shared" si="7"/>
        <v>1.923237411</v>
      </c>
      <c r="Q219" s="7">
        <f t="shared" si="8"/>
        <v>0.1793002472</v>
      </c>
      <c r="R219" s="7">
        <f t="shared" si="2"/>
        <v>1.001578588</v>
      </c>
      <c r="S219" s="7">
        <f t="shared" si="3"/>
        <v>0.2343074903</v>
      </c>
      <c r="T219" s="7">
        <f t="shared" si="4"/>
        <v>1</v>
      </c>
      <c r="U219" s="7">
        <f t="shared" si="5"/>
        <v>1</v>
      </c>
      <c r="V219" s="7">
        <f t="shared" ref="V219:W219" si="381">IF(AVERAGE(T159:T218) &gt; 0.25, 1, 0)</f>
        <v>1</v>
      </c>
      <c r="W219" s="7">
        <f t="shared" si="381"/>
        <v>1</v>
      </c>
      <c r="X219" s="8">
        <v>1.0</v>
      </c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ht="22.5" customHeight="1">
      <c r="A220" s="6">
        <v>219.0</v>
      </c>
      <c r="B220" s="6">
        <v>47159.0</v>
      </c>
      <c r="C220" s="6">
        <v>2.32</v>
      </c>
      <c r="D220" s="6">
        <v>0.17</v>
      </c>
      <c r="E220" s="6">
        <v>10.41</v>
      </c>
      <c r="F220" s="6">
        <v>-0.05</v>
      </c>
      <c r="G220" s="6">
        <v>-0.03</v>
      </c>
      <c r="H220" s="6">
        <v>0.2</v>
      </c>
      <c r="I220" s="6">
        <v>33.33</v>
      </c>
      <c r="J220" s="7">
        <f t="shared" ref="J220:O220" si="382">abs(C220-C219)/200</f>
        <v>0.00555</v>
      </c>
      <c r="K220" s="7">
        <f t="shared" si="382"/>
        <v>0.00355</v>
      </c>
      <c r="L220" s="7">
        <f t="shared" si="382"/>
        <v>0.00155</v>
      </c>
      <c r="M220" s="7">
        <f t="shared" si="382"/>
        <v>0.00015</v>
      </c>
      <c r="N220" s="7">
        <f t="shared" si="382"/>
        <v>0.0002</v>
      </c>
      <c r="O220" s="7">
        <f t="shared" si="382"/>
        <v>0.0001</v>
      </c>
      <c r="P220" s="7">
        <f t="shared" si="7"/>
        <v>0.02598082372</v>
      </c>
      <c r="Q220" s="7">
        <f t="shared" si="8"/>
        <v>0.1348358803</v>
      </c>
      <c r="R220" s="7">
        <f t="shared" si="2"/>
        <v>0.8667427081</v>
      </c>
      <c r="S220" s="7">
        <f t="shared" si="3"/>
        <v>0.2083266666</v>
      </c>
      <c r="T220" s="7">
        <f t="shared" si="4"/>
        <v>1</v>
      </c>
      <c r="U220" s="7">
        <f t="shared" si="5"/>
        <v>0</v>
      </c>
      <c r="V220" s="7">
        <f t="shared" ref="V220:W220" si="383">IF(AVERAGE(T160:T219) &gt; 0.25, 1, 0)</f>
        <v>1</v>
      </c>
      <c r="W220" s="7">
        <f t="shared" si="383"/>
        <v>1</v>
      </c>
      <c r="X220" s="8">
        <v>1.0</v>
      </c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ht="22.5" customHeight="1">
      <c r="A221" s="6">
        <v>220.0</v>
      </c>
      <c r="B221" s="6">
        <v>47363.0</v>
      </c>
      <c r="C221" s="6">
        <v>1.4</v>
      </c>
      <c r="D221" s="6">
        <v>0.9</v>
      </c>
      <c r="E221" s="6">
        <v>10.69</v>
      </c>
      <c r="F221" s="6">
        <v>-0.09</v>
      </c>
      <c r="G221" s="6">
        <v>-0.07</v>
      </c>
      <c r="H221" s="6">
        <v>-0.11</v>
      </c>
      <c r="I221" s="6">
        <v>33.35</v>
      </c>
      <c r="J221" s="7">
        <f t="shared" ref="J221:O221" si="384">abs(C221-C220)/200</f>
        <v>0.0046</v>
      </c>
      <c r="K221" s="7">
        <f t="shared" si="384"/>
        <v>0.00365</v>
      </c>
      <c r="L221" s="7">
        <f t="shared" si="384"/>
        <v>0.0014</v>
      </c>
      <c r="M221" s="7">
        <f t="shared" si="384"/>
        <v>0.0002</v>
      </c>
      <c r="N221" s="7">
        <f t="shared" si="384"/>
        <v>0.0002</v>
      </c>
      <c r="O221" s="7">
        <f t="shared" si="384"/>
        <v>0.00155</v>
      </c>
      <c r="P221" s="7">
        <f t="shared" si="7"/>
        <v>0.04989687138</v>
      </c>
      <c r="Q221" s="7">
        <f t="shared" si="8"/>
        <v>0.1520418817</v>
      </c>
      <c r="R221" s="7">
        <f t="shared" si="2"/>
        <v>1.01878459</v>
      </c>
      <c r="S221" s="7">
        <f t="shared" si="3"/>
        <v>0.1584297952</v>
      </c>
      <c r="T221" s="7">
        <f t="shared" si="4"/>
        <v>1</v>
      </c>
      <c r="U221" s="7">
        <f t="shared" si="5"/>
        <v>1</v>
      </c>
      <c r="V221" s="7">
        <f t="shared" ref="V221:W221" si="385">IF(AVERAGE(T161:T220) &gt; 0.25, 1, 0)</f>
        <v>1</v>
      </c>
      <c r="W221" s="7">
        <f t="shared" si="385"/>
        <v>1</v>
      </c>
      <c r="X221" s="8">
        <v>1.0</v>
      </c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ht="22.5" customHeight="1">
      <c r="A222" s="6">
        <v>221.0</v>
      </c>
      <c r="B222" s="6">
        <v>47567.0</v>
      </c>
      <c r="C222" s="6">
        <v>1.36</v>
      </c>
      <c r="D222" s="6">
        <v>1.14</v>
      </c>
      <c r="E222" s="6">
        <v>9.69</v>
      </c>
      <c r="F222" s="6">
        <v>0.31</v>
      </c>
      <c r="G222" s="6">
        <v>-0.06</v>
      </c>
      <c r="H222" s="6">
        <v>0.81</v>
      </c>
      <c r="I222" s="6">
        <v>33.34</v>
      </c>
      <c r="J222" s="7">
        <f t="shared" ref="J222:O222" si="386">abs(C222-C221)/200</f>
        <v>0.0002</v>
      </c>
      <c r="K222" s="7">
        <f t="shared" si="386"/>
        <v>0.0012</v>
      </c>
      <c r="L222" s="7">
        <f t="shared" si="386"/>
        <v>0.005</v>
      </c>
      <c r="M222" s="7">
        <f t="shared" si="386"/>
        <v>0.002</v>
      </c>
      <c r="N222" s="7">
        <f t="shared" si="386"/>
        <v>0.00005</v>
      </c>
      <c r="O222" s="7">
        <f t="shared" si="386"/>
        <v>0.0046</v>
      </c>
      <c r="P222" s="7">
        <f t="shared" si="7"/>
        <v>0.7109377911</v>
      </c>
      <c r="Q222" s="7">
        <f t="shared" si="8"/>
        <v>0.9676272974</v>
      </c>
      <c r="R222" s="7">
        <f t="shared" si="2"/>
        <v>0.05115729242</v>
      </c>
      <c r="S222" s="7">
        <f t="shared" si="3"/>
        <v>0.8693675862</v>
      </c>
      <c r="T222" s="7">
        <f t="shared" si="4"/>
        <v>1</v>
      </c>
      <c r="U222" s="7">
        <f t="shared" si="5"/>
        <v>1</v>
      </c>
      <c r="V222" s="7">
        <f t="shared" ref="V222:W222" si="387">IF(AVERAGE(T162:T221) &gt; 0.25, 1, 0)</f>
        <v>1</v>
      </c>
      <c r="W222" s="7">
        <f t="shared" si="387"/>
        <v>1</v>
      </c>
      <c r="X222" s="8">
        <v>1.0</v>
      </c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ht="22.5" customHeight="1">
      <c r="A223" s="6">
        <v>222.0</v>
      </c>
      <c r="B223" s="6">
        <v>47771.0</v>
      </c>
      <c r="C223" s="6">
        <v>1.46</v>
      </c>
      <c r="D223" s="6">
        <v>-0.83</v>
      </c>
      <c r="E223" s="6">
        <v>10.64</v>
      </c>
      <c r="F223" s="6">
        <v>0.15</v>
      </c>
      <c r="G223" s="6">
        <v>-0.02</v>
      </c>
      <c r="H223" s="6">
        <v>0.74</v>
      </c>
      <c r="I223" s="6">
        <v>33.35</v>
      </c>
      <c r="J223" s="7">
        <f t="shared" ref="J223:O223" si="388">abs(C223-C222)/200</f>
        <v>0.0005</v>
      </c>
      <c r="K223" s="7">
        <f t="shared" si="388"/>
        <v>0.00985</v>
      </c>
      <c r="L223" s="7">
        <f t="shared" si="388"/>
        <v>0.00475</v>
      </c>
      <c r="M223" s="7">
        <f t="shared" si="388"/>
        <v>0.0008</v>
      </c>
      <c r="N223" s="7">
        <f t="shared" si="388"/>
        <v>0.0002</v>
      </c>
      <c r="O223" s="7">
        <f t="shared" si="388"/>
        <v>0.00035</v>
      </c>
      <c r="P223" s="7">
        <f t="shared" si="7"/>
        <v>0.1140530822</v>
      </c>
      <c r="Q223" s="7">
        <f t="shared" si="8"/>
        <v>0.9205695886</v>
      </c>
      <c r="R223" s="7">
        <f t="shared" si="2"/>
        <v>0.9717268811</v>
      </c>
      <c r="S223" s="7">
        <f t="shared" si="3"/>
        <v>0.755314504</v>
      </c>
      <c r="T223" s="7">
        <f t="shared" si="4"/>
        <v>1</v>
      </c>
      <c r="U223" s="7">
        <f t="shared" si="5"/>
        <v>1</v>
      </c>
      <c r="V223" s="7">
        <f t="shared" ref="V223:W223" si="389">IF(AVERAGE(T163:T222) &gt; 0.25, 1, 0)</f>
        <v>1</v>
      </c>
      <c r="W223" s="7">
        <f t="shared" si="389"/>
        <v>1</v>
      </c>
      <c r="X223" s="8">
        <v>1.0</v>
      </c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ht="22.5" customHeight="1">
      <c r="A224" s="6">
        <v>223.0</v>
      </c>
      <c r="B224" s="6">
        <v>47975.0</v>
      </c>
      <c r="C224" s="6">
        <v>1.53</v>
      </c>
      <c r="D224" s="6">
        <v>-2.96</v>
      </c>
      <c r="E224" s="6">
        <v>10.59</v>
      </c>
      <c r="F224" s="6">
        <v>-0.09</v>
      </c>
      <c r="G224" s="6">
        <v>0.05</v>
      </c>
      <c r="H224" s="6">
        <v>0.86</v>
      </c>
      <c r="I224" s="6">
        <v>33.34</v>
      </c>
      <c r="J224" s="7">
        <f t="shared" ref="J224:O224" si="390">abs(C224-C223)/200</f>
        <v>0.00035</v>
      </c>
      <c r="K224" s="7">
        <f t="shared" si="390"/>
        <v>0.01065</v>
      </c>
      <c r="L224" s="7">
        <f t="shared" si="390"/>
        <v>0.00025</v>
      </c>
      <c r="M224" s="7">
        <f t="shared" si="390"/>
        <v>0.0012</v>
      </c>
      <c r="N224" s="7">
        <f t="shared" si="390"/>
        <v>0.00035</v>
      </c>
      <c r="O224" s="7">
        <f t="shared" si="390"/>
        <v>0.0006</v>
      </c>
      <c r="P224" s="7">
        <f t="shared" si="7"/>
        <v>0.1108263621</v>
      </c>
      <c r="Q224" s="7">
        <f t="shared" si="8"/>
        <v>0.3301017971</v>
      </c>
      <c r="R224" s="7">
        <f t="shared" si="2"/>
        <v>1.301828678</v>
      </c>
      <c r="S224" s="7">
        <f t="shared" si="3"/>
        <v>0.8661408661</v>
      </c>
      <c r="T224" s="7">
        <f t="shared" si="4"/>
        <v>1</v>
      </c>
      <c r="U224" s="7">
        <f t="shared" si="5"/>
        <v>1</v>
      </c>
      <c r="V224" s="7">
        <f t="shared" ref="V224:W224" si="391">IF(AVERAGE(T164:T223) &gt; 0.25, 1, 0)</f>
        <v>1</v>
      </c>
      <c r="W224" s="7">
        <f t="shared" si="391"/>
        <v>1</v>
      </c>
      <c r="X224" s="8">
        <v>1.0</v>
      </c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ht="22.5" customHeight="1">
      <c r="A225" s="6">
        <v>224.0</v>
      </c>
      <c r="B225" s="6">
        <v>48179.0</v>
      </c>
      <c r="C225" s="6">
        <v>1.85</v>
      </c>
      <c r="D225" s="6">
        <v>-1.19</v>
      </c>
      <c r="E225" s="6">
        <v>10.37</v>
      </c>
      <c r="F225" s="6">
        <v>-0.09</v>
      </c>
      <c r="G225" s="6">
        <v>0.29</v>
      </c>
      <c r="H225" s="6">
        <v>-0.56</v>
      </c>
      <c r="I225" s="6">
        <v>33.34</v>
      </c>
      <c r="J225" s="7">
        <f t="shared" ref="J225:O225" si="392">abs(C225-C224)/200</f>
        <v>0.0016</v>
      </c>
      <c r="K225" s="7">
        <f t="shared" si="392"/>
        <v>0.00885</v>
      </c>
      <c r="L225" s="7">
        <f t="shared" si="392"/>
        <v>0.0011</v>
      </c>
      <c r="M225" s="7">
        <f t="shared" si="392"/>
        <v>0</v>
      </c>
      <c r="N225" s="7">
        <f t="shared" si="392"/>
        <v>0.0012</v>
      </c>
      <c r="O225" s="7">
        <f t="shared" si="392"/>
        <v>0.0071</v>
      </c>
      <c r="P225" s="7">
        <f t="shared" si="7"/>
        <v>0.2291165338</v>
      </c>
      <c r="Q225" s="7">
        <f t="shared" si="8"/>
        <v>0.5010975713</v>
      </c>
      <c r="R225" s="7">
        <f t="shared" si="2"/>
        <v>0.8007311069</v>
      </c>
      <c r="S225" s="7">
        <f t="shared" si="3"/>
        <v>0.6370243323</v>
      </c>
      <c r="T225" s="7">
        <f t="shared" si="4"/>
        <v>1</v>
      </c>
      <c r="U225" s="7">
        <f t="shared" si="5"/>
        <v>1</v>
      </c>
      <c r="V225" s="7">
        <f t="shared" ref="V225:W225" si="393">IF(AVERAGE(T165:T224) &gt; 0.25, 1, 0)</f>
        <v>1</v>
      </c>
      <c r="W225" s="7">
        <f t="shared" si="393"/>
        <v>1</v>
      </c>
      <c r="X225" s="8">
        <v>1.0</v>
      </c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ht="22.5" customHeight="1">
      <c r="A226" s="6">
        <v>225.0</v>
      </c>
      <c r="B226" s="6">
        <v>48383.0</v>
      </c>
      <c r="C226" s="6">
        <v>1.2</v>
      </c>
      <c r="D226" s="6">
        <v>-1.6</v>
      </c>
      <c r="E226" s="6">
        <v>11.03</v>
      </c>
      <c r="F226" s="6">
        <v>-0.31</v>
      </c>
      <c r="G226" s="6">
        <v>-0.04</v>
      </c>
      <c r="H226" s="6">
        <v>-1.03</v>
      </c>
      <c r="I226" s="6">
        <v>33.35</v>
      </c>
      <c r="J226" s="7">
        <f t="shared" ref="J226:O226" si="394">abs(C226-C225)/200</f>
        <v>0.00325</v>
      </c>
      <c r="K226" s="7">
        <f t="shared" si="394"/>
        <v>0.00205</v>
      </c>
      <c r="L226" s="7">
        <f t="shared" si="394"/>
        <v>0.0033</v>
      </c>
      <c r="M226" s="7">
        <f t="shared" si="394"/>
        <v>0.0011</v>
      </c>
      <c r="N226" s="7">
        <f t="shared" si="394"/>
        <v>0.00165</v>
      </c>
      <c r="O226" s="7">
        <f t="shared" si="394"/>
        <v>0.00235</v>
      </c>
      <c r="P226" s="7">
        <f t="shared" si="7"/>
        <v>0.4393584992</v>
      </c>
      <c r="Q226" s="7">
        <f t="shared" si="8"/>
        <v>0.6091261625</v>
      </c>
      <c r="R226" s="7">
        <f t="shared" si="2"/>
        <v>1.409857269</v>
      </c>
      <c r="S226" s="7">
        <f t="shared" si="3"/>
        <v>1.076382832</v>
      </c>
      <c r="T226" s="7">
        <f t="shared" si="4"/>
        <v>1</v>
      </c>
      <c r="U226" s="7">
        <f t="shared" si="5"/>
        <v>1</v>
      </c>
      <c r="V226" s="7">
        <f t="shared" ref="V226:W226" si="395">IF(AVERAGE(T166:T225) &gt; 0.25, 1, 0)</f>
        <v>1</v>
      </c>
      <c r="W226" s="7">
        <f t="shared" si="395"/>
        <v>1</v>
      </c>
      <c r="X226" s="8">
        <v>1.0</v>
      </c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ht="22.5" customHeight="1">
      <c r="A227" s="6">
        <v>226.0</v>
      </c>
      <c r="B227" s="6">
        <v>48587.0</v>
      </c>
      <c r="C227" s="6">
        <v>1.47</v>
      </c>
      <c r="D227" s="6">
        <v>-0.72</v>
      </c>
      <c r="E227" s="6">
        <v>11.01</v>
      </c>
      <c r="F227" s="6">
        <v>-0.5</v>
      </c>
      <c r="G227" s="6">
        <v>-0.01</v>
      </c>
      <c r="H227" s="6">
        <v>-1.26</v>
      </c>
      <c r="I227" s="6">
        <v>33.35</v>
      </c>
      <c r="J227" s="7">
        <f t="shared" ref="J227:O227" si="396">abs(C227-C226)/200</f>
        <v>0.00135</v>
      </c>
      <c r="K227" s="7">
        <f t="shared" si="396"/>
        <v>0.0044</v>
      </c>
      <c r="L227" s="7">
        <f t="shared" si="396"/>
        <v>0.0001</v>
      </c>
      <c r="M227" s="7">
        <f t="shared" si="396"/>
        <v>0.00095</v>
      </c>
      <c r="N227" s="7">
        <f t="shared" si="396"/>
        <v>0.00015</v>
      </c>
      <c r="O227" s="7">
        <f t="shared" si="396"/>
        <v>0.00115</v>
      </c>
      <c r="P227" s="7">
        <f t="shared" si="7"/>
        <v>0.2792351088</v>
      </c>
      <c r="Q227" s="7">
        <f t="shared" si="8"/>
        <v>0.07884653361</v>
      </c>
      <c r="R227" s="7">
        <f t="shared" si="2"/>
        <v>1.331010736</v>
      </c>
      <c r="S227" s="7">
        <f t="shared" si="3"/>
        <v>1.35561794</v>
      </c>
      <c r="T227" s="7">
        <f t="shared" si="4"/>
        <v>1</v>
      </c>
      <c r="U227" s="7">
        <f t="shared" si="5"/>
        <v>1</v>
      </c>
      <c r="V227" s="7">
        <f t="shared" ref="V227:W227" si="397">IF(AVERAGE(T167:T226) &gt; 0.25, 1, 0)</f>
        <v>1</v>
      </c>
      <c r="W227" s="7">
        <f t="shared" si="397"/>
        <v>1</v>
      </c>
      <c r="X227" s="8">
        <v>1.0</v>
      </c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ht="22.5" customHeight="1">
      <c r="A228" s="6">
        <v>227.0</v>
      </c>
      <c r="B228" s="6">
        <v>48791.0</v>
      </c>
      <c r="C228" s="6">
        <v>0.8</v>
      </c>
      <c r="D228" s="6">
        <v>1.49</v>
      </c>
      <c r="E228" s="6">
        <v>10.28</v>
      </c>
      <c r="F228" s="6">
        <v>-0.14</v>
      </c>
      <c r="G228" s="6">
        <v>0.15</v>
      </c>
      <c r="H228" s="6">
        <v>-1.25</v>
      </c>
      <c r="I228" s="6">
        <v>33.35</v>
      </c>
      <c r="J228" s="7">
        <f t="shared" ref="J228:O228" si="398">abs(C228-C227)/200</f>
        <v>0.00335</v>
      </c>
      <c r="K228" s="7">
        <f t="shared" si="398"/>
        <v>0.01105</v>
      </c>
      <c r="L228" s="7">
        <f t="shared" si="398"/>
        <v>0.00365</v>
      </c>
      <c r="M228" s="7">
        <f t="shared" si="398"/>
        <v>0.0018</v>
      </c>
      <c r="N228" s="7">
        <f t="shared" si="398"/>
        <v>0.0008</v>
      </c>
      <c r="O228" s="7">
        <f t="shared" si="398"/>
        <v>0.00005</v>
      </c>
      <c r="P228" s="7">
        <f t="shared" si="7"/>
        <v>0.08888987159</v>
      </c>
      <c r="Q228" s="7">
        <f t="shared" si="8"/>
        <v>0.7128295126</v>
      </c>
      <c r="R228" s="7">
        <f t="shared" si="2"/>
        <v>0.6181812232</v>
      </c>
      <c r="S228" s="7">
        <f t="shared" si="3"/>
        <v>1.266728069</v>
      </c>
      <c r="T228" s="7">
        <f t="shared" si="4"/>
        <v>1</v>
      </c>
      <c r="U228" s="7">
        <f t="shared" si="5"/>
        <v>1</v>
      </c>
      <c r="V228" s="7">
        <f t="shared" ref="V228:W228" si="399">IF(AVERAGE(T168:T227) &gt; 0.25, 1, 0)</f>
        <v>1</v>
      </c>
      <c r="W228" s="7">
        <f t="shared" si="399"/>
        <v>1</v>
      </c>
      <c r="X228" s="8">
        <v>1.0</v>
      </c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ht="22.5" customHeight="1">
      <c r="A229" s="6">
        <v>228.0</v>
      </c>
      <c r="B229" s="6">
        <v>48995.0</v>
      </c>
      <c r="C229" s="6">
        <v>0.21</v>
      </c>
      <c r="D229" s="6">
        <v>1.61</v>
      </c>
      <c r="E229" s="6">
        <v>11.44</v>
      </c>
      <c r="F229" s="6">
        <v>-0.11</v>
      </c>
      <c r="G229" s="6">
        <v>0.1</v>
      </c>
      <c r="H229" s="6">
        <v>-0.23</v>
      </c>
      <c r="I229" s="6">
        <v>33.35</v>
      </c>
      <c r="J229" s="7">
        <f t="shared" ref="J229:O229" si="400">abs(C229-C228)/200</f>
        <v>0.00295</v>
      </c>
      <c r="K229" s="7">
        <f t="shared" si="400"/>
        <v>0.0006</v>
      </c>
      <c r="L229" s="7">
        <f t="shared" si="400"/>
        <v>0.0058</v>
      </c>
      <c r="M229" s="7">
        <f t="shared" si="400"/>
        <v>0.00015</v>
      </c>
      <c r="N229" s="7">
        <f t="shared" si="400"/>
        <v>0.00025</v>
      </c>
      <c r="O229" s="7">
        <f t="shared" si="400"/>
        <v>0.0051</v>
      </c>
      <c r="P229" s="7">
        <f t="shared" si="7"/>
        <v>0.9928667899</v>
      </c>
      <c r="Q229" s="7">
        <f t="shared" si="8"/>
        <v>1.136462865</v>
      </c>
      <c r="R229" s="7">
        <f t="shared" si="2"/>
        <v>1.754644088</v>
      </c>
      <c r="S229" s="7">
        <f t="shared" si="3"/>
        <v>0.2738612788</v>
      </c>
      <c r="T229" s="7">
        <f t="shared" si="4"/>
        <v>1</v>
      </c>
      <c r="U229" s="7">
        <f t="shared" si="5"/>
        <v>1</v>
      </c>
      <c r="V229" s="7">
        <f t="shared" ref="V229:W229" si="401">IF(AVERAGE(T169:T228) &gt; 0.25, 1, 0)</f>
        <v>1</v>
      </c>
      <c r="W229" s="7">
        <f t="shared" si="401"/>
        <v>1</v>
      </c>
      <c r="X229" s="8">
        <v>1.0</v>
      </c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ht="22.5" customHeight="1">
      <c r="A230" s="6">
        <v>229.0</v>
      </c>
      <c r="B230" s="6">
        <v>49199.0</v>
      </c>
      <c r="C230" s="6">
        <v>1.36</v>
      </c>
      <c r="D230" s="6">
        <v>-0.19</v>
      </c>
      <c r="E230" s="6">
        <v>10.67</v>
      </c>
      <c r="F230" s="6">
        <v>-0.1</v>
      </c>
      <c r="G230" s="6">
        <v>0.0</v>
      </c>
      <c r="H230" s="6">
        <v>-0.01</v>
      </c>
      <c r="I230" s="6">
        <v>33.35</v>
      </c>
      <c r="J230" s="7">
        <f t="shared" ref="J230:O230" si="402">abs(C230-C229)/200</f>
        <v>0.00575</v>
      </c>
      <c r="K230" s="7">
        <f t="shared" si="402"/>
        <v>0.009</v>
      </c>
      <c r="L230" s="7">
        <f t="shared" si="402"/>
        <v>0.00385</v>
      </c>
      <c r="M230" s="7">
        <f t="shared" si="402"/>
        <v>0.00005</v>
      </c>
      <c r="N230" s="7">
        <f t="shared" si="402"/>
        <v>0.0005</v>
      </c>
      <c r="O230" s="7">
        <f t="shared" si="402"/>
        <v>0.0011</v>
      </c>
      <c r="P230" s="7">
        <f t="shared" si="7"/>
        <v>0.1733625225</v>
      </c>
      <c r="Q230" s="7">
        <f t="shared" si="8"/>
        <v>0.7966424148</v>
      </c>
      <c r="R230" s="7">
        <f t="shared" si="2"/>
        <v>0.9580016732</v>
      </c>
      <c r="S230" s="7">
        <f t="shared" si="3"/>
        <v>0.1004987562</v>
      </c>
      <c r="T230" s="7">
        <f t="shared" si="4"/>
        <v>1</v>
      </c>
      <c r="U230" s="7">
        <f t="shared" si="5"/>
        <v>1</v>
      </c>
      <c r="V230" s="7">
        <f t="shared" ref="V230:W230" si="403">IF(AVERAGE(T170:T229) &gt; 0.25, 1, 0)</f>
        <v>1</v>
      </c>
      <c r="W230" s="7">
        <f t="shared" si="403"/>
        <v>1</v>
      </c>
      <c r="X230" s="8">
        <v>1.0</v>
      </c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ht="22.5" customHeight="1">
      <c r="A231" s="6">
        <v>230.0</v>
      </c>
      <c r="B231" s="6">
        <v>49403.0</v>
      </c>
      <c r="C231" s="6">
        <v>1.36</v>
      </c>
      <c r="D231" s="6">
        <v>-0.19</v>
      </c>
      <c r="E231" s="6">
        <v>10.67</v>
      </c>
      <c r="F231" s="6">
        <v>-0.1</v>
      </c>
      <c r="G231" s="6">
        <v>0.0</v>
      </c>
      <c r="H231" s="6">
        <v>-0.01</v>
      </c>
      <c r="I231" s="6">
        <v>33.35</v>
      </c>
      <c r="J231" s="7">
        <f t="shared" ref="J231:O231" si="404">abs(C231-C230)/200</f>
        <v>0</v>
      </c>
      <c r="K231" s="7">
        <f t="shared" si="404"/>
        <v>0</v>
      </c>
      <c r="L231" s="7">
        <f t="shared" si="404"/>
        <v>0</v>
      </c>
      <c r="M231" s="7">
        <f t="shared" si="404"/>
        <v>0</v>
      </c>
      <c r="N231" s="7">
        <f t="shared" si="404"/>
        <v>0</v>
      </c>
      <c r="O231" s="7">
        <f t="shared" si="404"/>
        <v>0</v>
      </c>
      <c r="P231" s="7">
        <f t="shared" si="7"/>
        <v>0</v>
      </c>
      <c r="Q231" s="7">
        <f t="shared" si="8"/>
        <v>0</v>
      </c>
      <c r="R231" s="7">
        <f t="shared" si="2"/>
        <v>0.9580016732</v>
      </c>
      <c r="S231" s="7">
        <f t="shared" si="3"/>
        <v>0.1004987562</v>
      </c>
      <c r="T231" s="7">
        <f t="shared" si="4"/>
        <v>0</v>
      </c>
      <c r="U231" s="7">
        <f t="shared" si="5"/>
        <v>0</v>
      </c>
      <c r="V231" s="7">
        <f t="shared" ref="V231:W231" si="405">IF(AVERAGE(T171:T230) &gt; 0.25, 1, 0)</f>
        <v>1</v>
      </c>
      <c r="W231" s="7">
        <f t="shared" si="405"/>
        <v>1</v>
      </c>
      <c r="X231" s="8">
        <v>1.0</v>
      </c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ht="22.5" customHeight="1">
      <c r="A232" s="6">
        <v>231.0</v>
      </c>
      <c r="B232" s="6">
        <v>49607.0</v>
      </c>
      <c r="C232" s="6">
        <v>1.35</v>
      </c>
      <c r="D232" s="6">
        <v>-0.19</v>
      </c>
      <c r="E232" s="6">
        <v>10.67</v>
      </c>
      <c r="F232" s="6">
        <v>-0.1</v>
      </c>
      <c r="G232" s="6">
        <v>0.0</v>
      </c>
      <c r="H232" s="6">
        <v>-0.01</v>
      </c>
      <c r="I232" s="6">
        <v>33.36</v>
      </c>
      <c r="J232" s="7">
        <f t="shared" ref="J232:O232" si="406">abs(C232-C231)/200</f>
        <v>0.00005</v>
      </c>
      <c r="K232" s="7">
        <f t="shared" si="406"/>
        <v>0</v>
      </c>
      <c r="L232" s="7">
        <f t="shared" si="406"/>
        <v>0</v>
      </c>
      <c r="M232" s="7">
        <f t="shared" si="406"/>
        <v>0</v>
      </c>
      <c r="N232" s="7">
        <f t="shared" si="406"/>
        <v>0</v>
      </c>
      <c r="O232" s="7">
        <f t="shared" si="406"/>
        <v>0</v>
      </c>
      <c r="P232" s="7">
        <f t="shared" si="7"/>
        <v>0</v>
      </c>
      <c r="Q232" s="7">
        <f t="shared" si="8"/>
        <v>0.001259601338</v>
      </c>
      <c r="R232" s="7">
        <f t="shared" si="2"/>
        <v>0.9567420718</v>
      </c>
      <c r="S232" s="7">
        <f t="shared" si="3"/>
        <v>0.1004987562</v>
      </c>
      <c r="T232" s="7">
        <f t="shared" si="4"/>
        <v>0</v>
      </c>
      <c r="U232" s="7">
        <f t="shared" si="5"/>
        <v>0</v>
      </c>
      <c r="V232" s="7">
        <f t="shared" ref="V232:W232" si="407">IF(AVERAGE(T172:T231) &gt; 0.25, 1, 0)</f>
        <v>1</v>
      </c>
      <c r="W232" s="7">
        <f t="shared" si="407"/>
        <v>1</v>
      </c>
      <c r="X232" s="8">
        <v>1.0</v>
      </c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ht="22.5" customHeight="1">
      <c r="A233" s="6">
        <v>232.0</v>
      </c>
      <c r="B233" s="6">
        <v>49811.0</v>
      </c>
      <c r="C233" s="6">
        <v>1.36</v>
      </c>
      <c r="D233" s="6">
        <v>-0.19</v>
      </c>
      <c r="E233" s="6">
        <v>10.67</v>
      </c>
      <c r="F233" s="6">
        <v>-0.1</v>
      </c>
      <c r="G233" s="6">
        <v>0.0</v>
      </c>
      <c r="H233" s="6">
        <v>-0.01</v>
      </c>
      <c r="I233" s="6">
        <v>33.35</v>
      </c>
      <c r="J233" s="7">
        <f t="shared" ref="J233:O233" si="408">abs(C233-C232)/200</f>
        <v>0.00005</v>
      </c>
      <c r="K233" s="7">
        <f t="shared" si="408"/>
        <v>0</v>
      </c>
      <c r="L233" s="7">
        <f t="shared" si="408"/>
        <v>0</v>
      </c>
      <c r="M233" s="7">
        <f t="shared" si="408"/>
        <v>0</v>
      </c>
      <c r="N233" s="7">
        <f t="shared" si="408"/>
        <v>0</v>
      </c>
      <c r="O233" s="7">
        <f t="shared" si="408"/>
        <v>0</v>
      </c>
      <c r="P233" s="7">
        <f t="shared" si="7"/>
        <v>0</v>
      </c>
      <c r="Q233" s="7">
        <f t="shared" si="8"/>
        <v>0.001259601338</v>
      </c>
      <c r="R233" s="7">
        <f t="shared" si="2"/>
        <v>0.9580016732</v>
      </c>
      <c r="S233" s="7">
        <f t="shared" si="3"/>
        <v>0.1004987562</v>
      </c>
      <c r="T233" s="7">
        <f t="shared" si="4"/>
        <v>0</v>
      </c>
      <c r="U233" s="7">
        <f t="shared" si="5"/>
        <v>0</v>
      </c>
      <c r="V233" s="7">
        <f t="shared" ref="V233:W233" si="409">IF(AVERAGE(T173:T232) &gt; 0.25, 1, 0)</f>
        <v>1</v>
      </c>
      <c r="W233" s="7">
        <f t="shared" si="409"/>
        <v>1</v>
      </c>
      <c r="X233" s="8">
        <v>1.0</v>
      </c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ht="22.5" customHeight="1">
      <c r="A234" s="6">
        <v>233.0</v>
      </c>
      <c r="B234" s="6">
        <v>50015.0</v>
      </c>
      <c r="C234" s="6">
        <v>1.36</v>
      </c>
      <c r="D234" s="6">
        <v>-0.19</v>
      </c>
      <c r="E234" s="6">
        <v>10.66</v>
      </c>
      <c r="F234" s="6">
        <v>-0.1</v>
      </c>
      <c r="G234" s="6">
        <v>0.0</v>
      </c>
      <c r="H234" s="6">
        <v>-0.01</v>
      </c>
      <c r="I234" s="6">
        <v>33.35</v>
      </c>
      <c r="J234" s="7">
        <f t="shared" ref="J234:O234" si="410">abs(C234-C233)/200</f>
        <v>0</v>
      </c>
      <c r="K234" s="7">
        <f t="shared" si="410"/>
        <v>0</v>
      </c>
      <c r="L234" s="7">
        <f t="shared" si="410"/>
        <v>0.00005</v>
      </c>
      <c r="M234" s="7">
        <f t="shared" si="410"/>
        <v>0</v>
      </c>
      <c r="N234" s="7">
        <f t="shared" si="410"/>
        <v>0</v>
      </c>
      <c r="O234" s="7">
        <f t="shared" si="410"/>
        <v>0</v>
      </c>
      <c r="P234" s="7">
        <f t="shared" si="7"/>
        <v>0</v>
      </c>
      <c r="Q234" s="7">
        <f t="shared" si="8"/>
        <v>0.00991812307</v>
      </c>
      <c r="R234" s="7">
        <f t="shared" si="2"/>
        <v>0.9480835501</v>
      </c>
      <c r="S234" s="7">
        <f t="shared" si="3"/>
        <v>0.1004987562</v>
      </c>
      <c r="T234" s="7">
        <f t="shared" si="4"/>
        <v>0</v>
      </c>
      <c r="U234" s="7">
        <f t="shared" si="5"/>
        <v>0</v>
      </c>
      <c r="V234" s="7">
        <f t="shared" ref="V234:W234" si="411">IF(AVERAGE(T174:T233) &gt; 0.25, 1, 0)</f>
        <v>1</v>
      </c>
      <c r="W234" s="7">
        <f t="shared" si="411"/>
        <v>1</v>
      </c>
      <c r="X234" s="8">
        <v>1.0</v>
      </c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ht="22.5" customHeight="1">
      <c r="A235" s="6">
        <v>234.0</v>
      </c>
      <c r="B235" s="6">
        <v>50219.0</v>
      </c>
      <c r="C235" s="6">
        <v>1.34</v>
      </c>
      <c r="D235" s="6">
        <v>-0.19</v>
      </c>
      <c r="E235" s="6">
        <v>10.67</v>
      </c>
      <c r="F235" s="6">
        <v>-0.1</v>
      </c>
      <c r="G235" s="6">
        <v>0.0</v>
      </c>
      <c r="H235" s="6">
        <v>-0.01</v>
      </c>
      <c r="I235" s="6">
        <v>33.35</v>
      </c>
      <c r="J235" s="7">
        <f t="shared" ref="J235:O235" si="412">abs(C235-C234)/200</f>
        <v>0.0001</v>
      </c>
      <c r="K235" s="7">
        <f t="shared" si="412"/>
        <v>0</v>
      </c>
      <c r="L235" s="7">
        <f t="shared" si="412"/>
        <v>0.00005</v>
      </c>
      <c r="M235" s="7">
        <f t="shared" si="412"/>
        <v>0</v>
      </c>
      <c r="N235" s="7">
        <f t="shared" si="412"/>
        <v>0</v>
      </c>
      <c r="O235" s="7">
        <f t="shared" si="412"/>
        <v>0</v>
      </c>
      <c r="P235" s="7">
        <f t="shared" si="7"/>
        <v>0</v>
      </c>
      <c r="Q235" s="7">
        <f t="shared" si="8"/>
        <v>0.00740807046</v>
      </c>
      <c r="R235" s="7">
        <f t="shared" si="2"/>
        <v>0.9554916206</v>
      </c>
      <c r="S235" s="7">
        <f t="shared" si="3"/>
        <v>0.1004987562</v>
      </c>
      <c r="T235" s="7">
        <f t="shared" si="4"/>
        <v>0</v>
      </c>
      <c r="U235" s="7">
        <f t="shared" si="5"/>
        <v>0</v>
      </c>
      <c r="V235" s="7">
        <f t="shared" ref="V235:W235" si="413">IF(AVERAGE(T175:T234) &gt; 0.25, 1, 0)</f>
        <v>1</v>
      </c>
      <c r="W235" s="7">
        <f t="shared" si="413"/>
        <v>1</v>
      </c>
      <c r="X235" s="8">
        <v>1.0</v>
      </c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ht="22.5" customHeight="1">
      <c r="A236" s="6">
        <v>235.0</v>
      </c>
      <c r="B236" s="6">
        <v>50423.0</v>
      </c>
      <c r="C236" s="6">
        <v>1.36</v>
      </c>
      <c r="D236" s="6">
        <v>-0.19</v>
      </c>
      <c r="E236" s="6">
        <v>10.67</v>
      </c>
      <c r="F236" s="6">
        <v>-0.1</v>
      </c>
      <c r="G236" s="6">
        <v>0.0</v>
      </c>
      <c r="H236" s="6">
        <v>-0.01</v>
      </c>
      <c r="I236" s="6">
        <v>33.36</v>
      </c>
      <c r="J236" s="7">
        <f t="shared" ref="J236:O236" si="414">abs(C236-C235)/200</f>
        <v>0.0001</v>
      </c>
      <c r="K236" s="7">
        <f t="shared" si="414"/>
        <v>0</v>
      </c>
      <c r="L236" s="7">
        <f t="shared" si="414"/>
        <v>0</v>
      </c>
      <c r="M236" s="7">
        <f t="shared" si="414"/>
        <v>0</v>
      </c>
      <c r="N236" s="7">
        <f t="shared" si="414"/>
        <v>0</v>
      </c>
      <c r="O236" s="7">
        <f t="shared" si="414"/>
        <v>0</v>
      </c>
      <c r="P236" s="7">
        <f t="shared" si="7"/>
        <v>0</v>
      </c>
      <c r="Q236" s="7">
        <f t="shared" si="8"/>
        <v>0.00251005261</v>
      </c>
      <c r="R236" s="7">
        <f t="shared" si="2"/>
        <v>0.9580016732</v>
      </c>
      <c r="S236" s="7">
        <f t="shared" si="3"/>
        <v>0.1004987562</v>
      </c>
      <c r="T236" s="7">
        <f t="shared" si="4"/>
        <v>0</v>
      </c>
      <c r="U236" s="7">
        <f t="shared" si="5"/>
        <v>0</v>
      </c>
      <c r="V236" s="7">
        <f t="shared" ref="V236:W236" si="415">IF(AVERAGE(T176:T235) &gt; 0.25, 1, 0)</f>
        <v>1</v>
      </c>
      <c r="W236" s="7">
        <f t="shared" si="415"/>
        <v>1</v>
      </c>
      <c r="X236" s="8">
        <v>1.0</v>
      </c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ht="22.5" customHeight="1">
      <c r="A237" s="6">
        <v>236.0</v>
      </c>
      <c r="B237" s="6">
        <v>50627.0</v>
      </c>
      <c r="C237" s="6">
        <v>1.35</v>
      </c>
      <c r="D237" s="6">
        <v>-0.18</v>
      </c>
      <c r="E237" s="6">
        <v>10.66</v>
      </c>
      <c r="F237" s="6">
        <v>-0.1</v>
      </c>
      <c r="G237" s="6">
        <v>0.0</v>
      </c>
      <c r="H237" s="6">
        <v>-0.01</v>
      </c>
      <c r="I237" s="6">
        <v>33.36</v>
      </c>
      <c r="J237" s="7">
        <f t="shared" ref="J237:O237" si="416">abs(C237-C236)/200</f>
        <v>0.00005</v>
      </c>
      <c r="K237" s="7">
        <f t="shared" si="416"/>
        <v>0.00005</v>
      </c>
      <c r="L237" s="7">
        <f t="shared" si="416"/>
        <v>0.00005</v>
      </c>
      <c r="M237" s="7">
        <f t="shared" si="416"/>
        <v>0</v>
      </c>
      <c r="N237" s="7">
        <f t="shared" si="416"/>
        <v>0</v>
      </c>
      <c r="O237" s="7">
        <f t="shared" si="416"/>
        <v>0</v>
      </c>
      <c r="P237" s="7">
        <f t="shared" si="7"/>
        <v>0</v>
      </c>
      <c r="Q237" s="7">
        <f t="shared" si="8"/>
        <v>0.01135103216</v>
      </c>
      <c r="R237" s="7">
        <f t="shared" si="2"/>
        <v>0.946650641</v>
      </c>
      <c r="S237" s="7">
        <f t="shared" si="3"/>
        <v>0.1004987562</v>
      </c>
      <c r="T237" s="7">
        <f t="shared" si="4"/>
        <v>0</v>
      </c>
      <c r="U237" s="7">
        <f t="shared" si="5"/>
        <v>0</v>
      </c>
      <c r="V237" s="7">
        <f t="shared" ref="V237:W237" si="417">IF(AVERAGE(T177:T236) &gt; 0.25, 1, 0)</f>
        <v>1</v>
      </c>
      <c r="W237" s="7">
        <f t="shared" si="417"/>
        <v>1</v>
      </c>
      <c r="X237" s="8">
        <v>1.0</v>
      </c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ht="22.5" customHeight="1">
      <c r="A238" s="6">
        <v>237.0</v>
      </c>
      <c r="B238" s="6">
        <v>50831.0</v>
      </c>
      <c r="C238" s="6">
        <v>1.36</v>
      </c>
      <c r="D238" s="6">
        <v>-0.19</v>
      </c>
      <c r="E238" s="6">
        <v>10.66</v>
      </c>
      <c r="F238" s="6">
        <v>-0.1</v>
      </c>
      <c r="G238" s="6">
        <v>0.0</v>
      </c>
      <c r="H238" s="6">
        <v>-0.01</v>
      </c>
      <c r="I238" s="6">
        <v>33.36</v>
      </c>
      <c r="J238" s="7">
        <f t="shared" ref="J238:O238" si="418">abs(C238-C237)/200</f>
        <v>0.00005</v>
      </c>
      <c r="K238" s="7">
        <f t="shared" si="418"/>
        <v>0.00005</v>
      </c>
      <c r="L238" s="7">
        <f t="shared" si="418"/>
        <v>0</v>
      </c>
      <c r="M238" s="7">
        <f t="shared" si="418"/>
        <v>0</v>
      </c>
      <c r="N238" s="7">
        <f t="shared" si="418"/>
        <v>0</v>
      </c>
      <c r="O238" s="7">
        <f t="shared" si="418"/>
        <v>0</v>
      </c>
      <c r="P238" s="7">
        <f t="shared" si="7"/>
        <v>0</v>
      </c>
      <c r="Q238" s="7">
        <f t="shared" si="8"/>
        <v>0.00143290909</v>
      </c>
      <c r="R238" s="7">
        <f t="shared" si="2"/>
        <v>0.9480835501</v>
      </c>
      <c r="S238" s="7">
        <f t="shared" si="3"/>
        <v>0.1004987562</v>
      </c>
      <c r="T238" s="7">
        <f t="shared" si="4"/>
        <v>0</v>
      </c>
      <c r="U238" s="7">
        <f t="shared" si="5"/>
        <v>0</v>
      </c>
      <c r="V238" s="7">
        <f t="shared" ref="V238:W238" si="419">IF(AVERAGE(T178:T237) &gt; 0.25, 1, 0)</f>
        <v>1</v>
      </c>
      <c r="W238" s="7">
        <f t="shared" si="419"/>
        <v>1</v>
      </c>
      <c r="X238" s="8">
        <v>1.0</v>
      </c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ht="22.5" customHeight="1">
      <c r="A239" s="6">
        <v>238.0</v>
      </c>
      <c r="B239" s="6">
        <v>51035.0</v>
      </c>
      <c r="C239" s="6">
        <v>1.36</v>
      </c>
      <c r="D239" s="6">
        <v>-0.19</v>
      </c>
      <c r="E239" s="6">
        <v>10.66</v>
      </c>
      <c r="F239" s="6">
        <v>-0.1</v>
      </c>
      <c r="G239" s="6">
        <v>0.0</v>
      </c>
      <c r="H239" s="6">
        <v>-0.01</v>
      </c>
      <c r="I239" s="6">
        <v>33.37</v>
      </c>
      <c r="J239" s="7">
        <f t="shared" ref="J239:O239" si="420">abs(C239-C238)/200</f>
        <v>0</v>
      </c>
      <c r="K239" s="7">
        <f t="shared" si="420"/>
        <v>0</v>
      </c>
      <c r="L239" s="7">
        <f t="shared" si="420"/>
        <v>0</v>
      </c>
      <c r="M239" s="7">
        <f t="shared" si="420"/>
        <v>0</v>
      </c>
      <c r="N239" s="7">
        <f t="shared" si="420"/>
        <v>0</v>
      </c>
      <c r="O239" s="7">
        <f t="shared" si="420"/>
        <v>0</v>
      </c>
      <c r="P239" s="7">
        <f t="shared" si="7"/>
        <v>0</v>
      </c>
      <c r="Q239" s="7">
        <f t="shared" si="8"/>
        <v>0</v>
      </c>
      <c r="R239" s="7">
        <f t="shared" si="2"/>
        <v>0.9480835501</v>
      </c>
      <c r="S239" s="7">
        <f t="shared" si="3"/>
        <v>0.1004987562</v>
      </c>
      <c r="T239" s="7">
        <f t="shared" si="4"/>
        <v>0</v>
      </c>
      <c r="U239" s="7">
        <f t="shared" si="5"/>
        <v>0</v>
      </c>
      <c r="V239" s="7">
        <f t="shared" ref="V239:W239" si="421">IF(AVERAGE(T179:T238) &gt; 0.25, 1, 0)</f>
        <v>1</v>
      </c>
      <c r="W239" s="7">
        <f t="shared" si="421"/>
        <v>1</v>
      </c>
      <c r="X239" s="8">
        <v>1.0</v>
      </c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ht="22.5" customHeight="1">
      <c r="A240" s="6">
        <v>239.0</v>
      </c>
      <c r="B240" s="6">
        <v>51239.0</v>
      </c>
      <c r="C240" s="6">
        <v>1.35</v>
      </c>
      <c r="D240" s="6">
        <v>-0.18</v>
      </c>
      <c r="E240" s="6">
        <v>10.67</v>
      </c>
      <c r="F240" s="6">
        <v>-0.1</v>
      </c>
      <c r="G240" s="6">
        <v>0.0</v>
      </c>
      <c r="H240" s="6">
        <v>-0.01</v>
      </c>
      <c r="I240" s="6">
        <v>33.37</v>
      </c>
      <c r="J240" s="7">
        <f t="shared" ref="J240:O240" si="422">abs(C240-C239)/200</f>
        <v>0.00005</v>
      </c>
      <c r="K240" s="7">
        <f t="shared" si="422"/>
        <v>0.00005</v>
      </c>
      <c r="L240" s="7">
        <f t="shared" si="422"/>
        <v>0.00005</v>
      </c>
      <c r="M240" s="7">
        <f t="shared" si="422"/>
        <v>0</v>
      </c>
      <c r="N240" s="7">
        <f t="shared" si="422"/>
        <v>0</v>
      </c>
      <c r="O240" s="7">
        <f t="shared" si="422"/>
        <v>0</v>
      </c>
      <c r="P240" s="7">
        <f t="shared" si="7"/>
        <v>0</v>
      </c>
      <c r="Q240" s="7">
        <f t="shared" si="8"/>
        <v>0.008486535198</v>
      </c>
      <c r="R240" s="7">
        <f t="shared" si="2"/>
        <v>0.9565700853</v>
      </c>
      <c r="S240" s="7">
        <f t="shared" si="3"/>
        <v>0.1004987562</v>
      </c>
      <c r="T240" s="7">
        <f t="shared" si="4"/>
        <v>0</v>
      </c>
      <c r="U240" s="7">
        <f t="shared" si="5"/>
        <v>0</v>
      </c>
      <c r="V240" s="7">
        <f t="shared" ref="V240:W240" si="423">IF(AVERAGE(T180:T239) &gt; 0.25, 1, 0)</f>
        <v>1</v>
      </c>
      <c r="W240" s="7">
        <f t="shared" si="423"/>
        <v>1</v>
      </c>
      <c r="X240" s="8">
        <v>1.0</v>
      </c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ht="22.5" customHeight="1">
      <c r="A241" s="6">
        <v>240.0</v>
      </c>
      <c r="B241" s="6">
        <v>51443.0</v>
      </c>
      <c r="C241" s="6">
        <v>1.35</v>
      </c>
      <c r="D241" s="6">
        <v>-0.19</v>
      </c>
      <c r="E241" s="6">
        <v>10.66</v>
      </c>
      <c r="F241" s="6">
        <v>-0.1</v>
      </c>
      <c r="G241" s="6">
        <v>0.0</v>
      </c>
      <c r="H241" s="6">
        <v>-0.01</v>
      </c>
      <c r="I241" s="6">
        <v>33.37</v>
      </c>
      <c r="J241" s="7">
        <f t="shared" ref="J241:O241" si="424">abs(C241-C240)/200</f>
        <v>0</v>
      </c>
      <c r="K241" s="7">
        <f t="shared" si="424"/>
        <v>0.00005</v>
      </c>
      <c r="L241" s="7">
        <f t="shared" si="424"/>
        <v>0.00005</v>
      </c>
      <c r="M241" s="7">
        <f t="shared" si="424"/>
        <v>0</v>
      </c>
      <c r="N241" s="7">
        <f t="shared" si="424"/>
        <v>0</v>
      </c>
      <c r="O241" s="7">
        <f t="shared" si="424"/>
        <v>0</v>
      </c>
      <c r="P241" s="7">
        <f t="shared" si="7"/>
        <v>0</v>
      </c>
      <c r="Q241" s="7">
        <f t="shared" si="8"/>
        <v>0.009747299008</v>
      </c>
      <c r="R241" s="7">
        <f t="shared" si="2"/>
        <v>0.9468227863</v>
      </c>
      <c r="S241" s="7">
        <f t="shared" si="3"/>
        <v>0.1004987562</v>
      </c>
      <c r="T241" s="7">
        <f t="shared" si="4"/>
        <v>0</v>
      </c>
      <c r="U241" s="7">
        <f t="shared" si="5"/>
        <v>0</v>
      </c>
      <c r="V241" s="7">
        <f t="shared" ref="V241:W241" si="425">IF(AVERAGE(T181:T240) &gt; 0.25, 1, 0)</f>
        <v>1</v>
      </c>
      <c r="W241" s="7">
        <f t="shared" si="425"/>
        <v>1</v>
      </c>
      <c r="X241" s="8">
        <v>1.0</v>
      </c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ht="22.5" customHeight="1">
      <c r="A242" s="6">
        <v>241.0</v>
      </c>
      <c r="B242" s="6">
        <v>51647.0</v>
      </c>
      <c r="C242" s="6">
        <v>1.35</v>
      </c>
      <c r="D242" s="6">
        <v>-0.18</v>
      </c>
      <c r="E242" s="6">
        <v>10.66</v>
      </c>
      <c r="F242" s="6">
        <v>-0.1</v>
      </c>
      <c r="G242" s="6">
        <v>0.0</v>
      </c>
      <c r="H242" s="6">
        <v>-0.01</v>
      </c>
      <c r="I242" s="6">
        <v>33.37</v>
      </c>
      <c r="J242" s="7">
        <f t="shared" ref="J242:O242" si="426">abs(C242-C241)/200</f>
        <v>0</v>
      </c>
      <c r="K242" s="7">
        <f t="shared" si="426"/>
        <v>0.00005</v>
      </c>
      <c r="L242" s="7">
        <f t="shared" si="426"/>
        <v>0</v>
      </c>
      <c r="M242" s="7">
        <f t="shared" si="426"/>
        <v>0</v>
      </c>
      <c r="N242" s="7">
        <f t="shared" si="426"/>
        <v>0</v>
      </c>
      <c r="O242" s="7">
        <f t="shared" si="426"/>
        <v>0</v>
      </c>
      <c r="P242" s="7">
        <f t="shared" si="7"/>
        <v>0</v>
      </c>
      <c r="Q242" s="7">
        <f t="shared" si="8"/>
        <v>0.0001721452799</v>
      </c>
      <c r="R242" s="7">
        <f t="shared" si="2"/>
        <v>0.946650641</v>
      </c>
      <c r="S242" s="7">
        <f t="shared" si="3"/>
        <v>0.1004987562</v>
      </c>
      <c r="T242" s="7">
        <f t="shared" si="4"/>
        <v>0</v>
      </c>
      <c r="U242" s="7">
        <f t="shared" si="5"/>
        <v>0</v>
      </c>
      <c r="V242" s="7">
        <f t="shared" ref="V242:W242" si="427">IF(AVERAGE(T182:T241) &gt; 0.25, 1, 0)</f>
        <v>1</v>
      </c>
      <c r="W242" s="7">
        <f t="shared" si="427"/>
        <v>1</v>
      </c>
      <c r="X242" s="8">
        <v>1.0</v>
      </c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ht="22.5" customHeight="1">
      <c r="A243" s="6">
        <v>242.0</v>
      </c>
      <c r="B243" s="6">
        <v>51851.0</v>
      </c>
      <c r="C243" s="6">
        <v>1.35</v>
      </c>
      <c r="D243" s="6">
        <v>-0.18</v>
      </c>
      <c r="E243" s="6">
        <v>10.66</v>
      </c>
      <c r="F243" s="6">
        <v>-0.1</v>
      </c>
      <c r="G243" s="6">
        <v>0.0</v>
      </c>
      <c r="H243" s="6">
        <v>-0.01</v>
      </c>
      <c r="I243" s="6">
        <v>33.35</v>
      </c>
      <c r="J243" s="7">
        <f t="shared" ref="J243:O243" si="428">abs(C243-C242)/200</f>
        <v>0</v>
      </c>
      <c r="K243" s="7">
        <f t="shared" si="428"/>
        <v>0</v>
      </c>
      <c r="L243" s="7">
        <f t="shared" si="428"/>
        <v>0</v>
      </c>
      <c r="M243" s="7">
        <f t="shared" si="428"/>
        <v>0</v>
      </c>
      <c r="N243" s="7">
        <f t="shared" si="428"/>
        <v>0</v>
      </c>
      <c r="O243" s="7">
        <f t="shared" si="428"/>
        <v>0</v>
      </c>
      <c r="P243" s="7">
        <f t="shared" si="7"/>
        <v>0</v>
      </c>
      <c r="Q243" s="7">
        <f t="shared" si="8"/>
        <v>0</v>
      </c>
      <c r="R243" s="7">
        <f t="shared" si="2"/>
        <v>0.946650641</v>
      </c>
      <c r="S243" s="7">
        <f t="shared" si="3"/>
        <v>0.1004987562</v>
      </c>
      <c r="T243" s="7">
        <f t="shared" si="4"/>
        <v>0</v>
      </c>
      <c r="U243" s="7">
        <f t="shared" si="5"/>
        <v>0</v>
      </c>
      <c r="V243" s="7">
        <f t="shared" ref="V243:W243" si="429">IF(AVERAGE(T183:T242) &gt; 0.25, 1, 0)</f>
        <v>1</v>
      </c>
      <c r="W243" s="7">
        <f t="shared" si="429"/>
        <v>1</v>
      </c>
      <c r="X243" s="8">
        <v>1.0</v>
      </c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ht="22.5" customHeight="1">
      <c r="A244" s="6">
        <v>243.0</v>
      </c>
      <c r="B244" s="6">
        <v>52055.0</v>
      </c>
      <c r="C244" s="6">
        <v>1.36</v>
      </c>
      <c r="D244" s="6">
        <v>-0.21</v>
      </c>
      <c r="E244" s="6">
        <v>10.58</v>
      </c>
      <c r="F244" s="6">
        <v>-0.1</v>
      </c>
      <c r="G244" s="6">
        <v>-0.03</v>
      </c>
      <c r="H244" s="6">
        <v>-0.01</v>
      </c>
      <c r="I244" s="6">
        <v>33.35</v>
      </c>
      <c r="J244" s="7">
        <f t="shared" ref="J244:O244" si="430">abs(C244-C243)/200</f>
        <v>0.00005</v>
      </c>
      <c r="K244" s="7">
        <f t="shared" si="430"/>
        <v>0.00015</v>
      </c>
      <c r="L244" s="7">
        <f t="shared" si="430"/>
        <v>0.0004</v>
      </c>
      <c r="M244" s="7">
        <f t="shared" si="430"/>
        <v>0</v>
      </c>
      <c r="N244" s="7">
        <f t="shared" si="430"/>
        <v>0.00015</v>
      </c>
      <c r="O244" s="7">
        <f t="shared" si="430"/>
        <v>0</v>
      </c>
      <c r="P244" s="7">
        <f t="shared" si="7"/>
        <v>0.004382128606</v>
      </c>
      <c r="Q244" s="7">
        <f t="shared" si="8"/>
        <v>0.07753165208</v>
      </c>
      <c r="R244" s="7">
        <f t="shared" si="2"/>
        <v>0.8691189889</v>
      </c>
      <c r="S244" s="7">
        <f t="shared" si="3"/>
        <v>0.1048808848</v>
      </c>
      <c r="T244" s="7">
        <f t="shared" si="4"/>
        <v>1</v>
      </c>
      <c r="U244" s="7">
        <f t="shared" si="5"/>
        <v>0</v>
      </c>
      <c r="V244" s="7">
        <f t="shared" ref="V244:W244" si="431">IF(AVERAGE(T184:T243) &gt; 0.25, 1, 0)</f>
        <v>1</v>
      </c>
      <c r="W244" s="7">
        <f t="shared" si="431"/>
        <v>1</v>
      </c>
      <c r="X244" s="8">
        <v>1.0</v>
      </c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ht="22.5" customHeight="1">
      <c r="A245" s="6">
        <v>244.0</v>
      </c>
      <c r="B245" s="6">
        <v>52259.0</v>
      </c>
      <c r="C245" s="6">
        <v>0.04</v>
      </c>
      <c r="D245" s="6">
        <v>2.41</v>
      </c>
      <c r="E245" s="6">
        <v>10.63</v>
      </c>
      <c r="F245" s="6">
        <v>-0.06</v>
      </c>
      <c r="G245" s="6">
        <v>-0.21</v>
      </c>
      <c r="H245" s="6">
        <v>-0.67</v>
      </c>
      <c r="I245" s="6">
        <v>33.37</v>
      </c>
      <c r="J245" s="7">
        <f t="shared" ref="J245:O245" si="432">abs(C245-C244)/200</f>
        <v>0.0066</v>
      </c>
      <c r="K245" s="7">
        <f t="shared" si="432"/>
        <v>0.0131</v>
      </c>
      <c r="L245" s="7">
        <f t="shared" si="432"/>
        <v>0.00025</v>
      </c>
      <c r="M245" s="7">
        <f t="shared" si="432"/>
        <v>0.0002</v>
      </c>
      <c r="N245" s="7">
        <f t="shared" si="432"/>
        <v>0.0009</v>
      </c>
      <c r="O245" s="7">
        <f t="shared" si="432"/>
        <v>0.0033</v>
      </c>
      <c r="P245" s="7">
        <f t="shared" si="7"/>
        <v>0.5998176323</v>
      </c>
      <c r="Q245" s="7">
        <f t="shared" si="8"/>
        <v>0.2307250466</v>
      </c>
      <c r="R245" s="7">
        <f t="shared" si="2"/>
        <v>1.099844036</v>
      </c>
      <c r="S245" s="7">
        <f t="shared" si="3"/>
        <v>0.7046985171</v>
      </c>
      <c r="T245" s="7">
        <f t="shared" si="4"/>
        <v>1</v>
      </c>
      <c r="U245" s="7">
        <f t="shared" si="5"/>
        <v>1</v>
      </c>
      <c r="V245" s="7">
        <f t="shared" ref="V245:W245" si="433">IF(AVERAGE(T185:T244) &gt; 0.25, 1, 0)</f>
        <v>1</v>
      </c>
      <c r="W245" s="7">
        <f t="shared" si="433"/>
        <v>1</v>
      </c>
      <c r="X245" s="8">
        <v>1.0</v>
      </c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ht="22.5" customHeight="1">
      <c r="A246" s="6">
        <v>245.0</v>
      </c>
      <c r="B246" s="6">
        <v>52463.0</v>
      </c>
      <c r="C246" s="6">
        <v>1.54</v>
      </c>
      <c r="D246" s="6">
        <v>-0.27</v>
      </c>
      <c r="E246" s="6">
        <v>10.52</v>
      </c>
      <c r="F246" s="6">
        <v>-0.03</v>
      </c>
      <c r="G246" s="6">
        <v>-0.29</v>
      </c>
      <c r="H246" s="6">
        <v>-0.04</v>
      </c>
      <c r="I246" s="6">
        <v>33.36</v>
      </c>
      <c r="J246" s="7">
        <f t="shared" ref="J246:O246" si="434">abs(C246-C245)/200</f>
        <v>0.0075</v>
      </c>
      <c r="K246" s="7">
        <f t="shared" si="434"/>
        <v>0.0134</v>
      </c>
      <c r="L246" s="7">
        <f t="shared" si="434"/>
        <v>0.00055</v>
      </c>
      <c r="M246" s="7">
        <f t="shared" si="434"/>
        <v>0.00015</v>
      </c>
      <c r="N246" s="7">
        <f t="shared" si="434"/>
        <v>0.0004</v>
      </c>
      <c r="O246" s="7">
        <f t="shared" si="434"/>
        <v>0.00315</v>
      </c>
      <c r="P246" s="7">
        <f t="shared" si="7"/>
        <v>0.4104197377</v>
      </c>
      <c r="Q246" s="7">
        <f t="shared" si="8"/>
        <v>0.2642951546</v>
      </c>
      <c r="R246" s="7">
        <f t="shared" si="2"/>
        <v>0.835548881</v>
      </c>
      <c r="S246" s="7">
        <f t="shared" si="3"/>
        <v>0.2942787794</v>
      </c>
      <c r="T246" s="7">
        <f t="shared" si="4"/>
        <v>1</v>
      </c>
      <c r="U246" s="7">
        <f t="shared" si="5"/>
        <v>1</v>
      </c>
      <c r="V246" s="7">
        <f t="shared" ref="V246:W246" si="435">IF(AVERAGE(T186:T245) &gt; 0.25, 1, 0)</f>
        <v>1</v>
      </c>
      <c r="W246" s="7">
        <f t="shared" si="435"/>
        <v>1</v>
      </c>
      <c r="X246" s="8">
        <v>1.0</v>
      </c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ht="22.5" customHeight="1">
      <c r="A247" s="6">
        <v>246.0</v>
      </c>
      <c r="B247" s="6">
        <v>52667.0</v>
      </c>
      <c r="C247" s="6">
        <v>2.3</v>
      </c>
      <c r="D247" s="6">
        <v>-1.93</v>
      </c>
      <c r="E247" s="6">
        <v>10.71</v>
      </c>
      <c r="F247" s="6">
        <v>0.17</v>
      </c>
      <c r="G247" s="6">
        <v>0.23</v>
      </c>
      <c r="H247" s="6">
        <v>0.47</v>
      </c>
      <c r="I247" s="6">
        <v>33.35</v>
      </c>
      <c r="J247" s="7">
        <f t="shared" ref="J247:O247" si="436">abs(C247-C246)/200</f>
        <v>0.0038</v>
      </c>
      <c r="K247" s="7">
        <f t="shared" si="436"/>
        <v>0.0083</v>
      </c>
      <c r="L247" s="7">
        <f t="shared" si="436"/>
        <v>0.00095</v>
      </c>
      <c r="M247" s="7">
        <f t="shared" si="436"/>
        <v>0.001</v>
      </c>
      <c r="N247" s="7">
        <f t="shared" si="436"/>
        <v>0.0026</v>
      </c>
      <c r="O247" s="7">
        <f t="shared" si="436"/>
        <v>0.00255</v>
      </c>
      <c r="P247" s="7">
        <f t="shared" si="7"/>
        <v>0.2559030087</v>
      </c>
      <c r="Q247" s="7">
        <f t="shared" si="8"/>
        <v>0.487355416</v>
      </c>
      <c r="R247" s="7">
        <f t="shared" si="2"/>
        <v>1.322904297</v>
      </c>
      <c r="S247" s="7">
        <f t="shared" si="3"/>
        <v>0.5501817881</v>
      </c>
      <c r="T247" s="7">
        <f t="shared" si="4"/>
        <v>1</v>
      </c>
      <c r="U247" s="7">
        <f t="shared" si="5"/>
        <v>1</v>
      </c>
      <c r="V247" s="7">
        <f t="shared" ref="V247:W247" si="437">IF(AVERAGE(T187:T246) &gt; 0.25, 1, 0)</f>
        <v>1</v>
      </c>
      <c r="W247" s="7">
        <f t="shared" si="437"/>
        <v>1</v>
      </c>
      <c r="X247" s="8">
        <v>1.0</v>
      </c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ht="22.5" customHeight="1">
      <c r="A248" s="6">
        <v>247.0</v>
      </c>
      <c r="B248" s="6">
        <v>52871.0</v>
      </c>
      <c r="C248" s="6">
        <v>2.19</v>
      </c>
      <c r="D248" s="6">
        <v>-2.88</v>
      </c>
      <c r="E248" s="6">
        <v>10.42</v>
      </c>
      <c r="F248" s="6">
        <v>-0.06</v>
      </c>
      <c r="G248" s="6">
        <v>-0.21</v>
      </c>
      <c r="H248" s="6">
        <v>0.59</v>
      </c>
      <c r="I248" s="6">
        <v>33.35</v>
      </c>
      <c r="J248" s="7">
        <f t="shared" ref="J248:O248" si="438">abs(C248-C247)/200</f>
        <v>0.00055</v>
      </c>
      <c r="K248" s="7">
        <f t="shared" si="438"/>
        <v>0.00475</v>
      </c>
      <c r="L248" s="7">
        <f t="shared" si="438"/>
        <v>0.00145</v>
      </c>
      <c r="M248" s="7">
        <f t="shared" si="438"/>
        <v>0.00115</v>
      </c>
      <c r="N248" s="7">
        <f t="shared" si="438"/>
        <v>0.0022</v>
      </c>
      <c r="O248" s="7">
        <f t="shared" si="438"/>
        <v>0.0006</v>
      </c>
      <c r="P248" s="7">
        <f t="shared" si="7"/>
        <v>0.07894459026</v>
      </c>
      <c r="Q248" s="7">
        <f t="shared" si="8"/>
        <v>0.09263231485</v>
      </c>
      <c r="R248" s="7">
        <f t="shared" si="2"/>
        <v>1.230271982</v>
      </c>
      <c r="S248" s="7">
        <f t="shared" si="3"/>
        <v>0.6291263784</v>
      </c>
      <c r="T248" s="7">
        <f t="shared" si="4"/>
        <v>1</v>
      </c>
      <c r="U248" s="7">
        <f t="shared" si="5"/>
        <v>1</v>
      </c>
      <c r="V248" s="7">
        <f t="shared" ref="V248:W248" si="439">IF(AVERAGE(T188:T247) &gt; 0.25, 1, 0)</f>
        <v>1</v>
      </c>
      <c r="W248" s="7">
        <f t="shared" si="439"/>
        <v>1</v>
      </c>
      <c r="X248" s="8">
        <v>1.0</v>
      </c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ht="22.5" customHeight="1">
      <c r="A249" s="6">
        <v>248.0</v>
      </c>
      <c r="B249" s="6">
        <v>53075.0</v>
      </c>
      <c r="C249" s="6">
        <v>1.77</v>
      </c>
      <c r="D249" s="6">
        <v>-0.62</v>
      </c>
      <c r="E249" s="6">
        <v>10.88</v>
      </c>
      <c r="F249" s="6">
        <v>-0.32</v>
      </c>
      <c r="G249" s="6">
        <v>-0.17</v>
      </c>
      <c r="H249" s="6">
        <v>-0.45</v>
      </c>
      <c r="I249" s="6">
        <v>33.35</v>
      </c>
      <c r="J249" s="7">
        <f t="shared" ref="J249:O249" si="440">abs(C249-C248)/200</f>
        <v>0.0021</v>
      </c>
      <c r="K249" s="7">
        <f t="shared" si="440"/>
        <v>0.0113</v>
      </c>
      <c r="L249" s="7">
        <f t="shared" si="440"/>
        <v>0.0023</v>
      </c>
      <c r="M249" s="7">
        <f t="shared" si="440"/>
        <v>0.0013</v>
      </c>
      <c r="N249" s="7">
        <f t="shared" si="440"/>
        <v>0.0002</v>
      </c>
      <c r="O249" s="7">
        <f t="shared" si="440"/>
        <v>0.0052</v>
      </c>
      <c r="P249" s="7">
        <f t="shared" si="7"/>
        <v>0.05137210537</v>
      </c>
      <c r="Q249" s="7">
        <f t="shared" si="8"/>
        <v>0.01018543592</v>
      </c>
      <c r="R249" s="7">
        <f t="shared" si="2"/>
        <v>1.240457418</v>
      </c>
      <c r="S249" s="7">
        <f t="shared" si="3"/>
        <v>0.577754273</v>
      </c>
      <c r="T249" s="7">
        <f t="shared" si="4"/>
        <v>1</v>
      </c>
      <c r="U249" s="7">
        <f t="shared" si="5"/>
        <v>1</v>
      </c>
      <c r="V249" s="7">
        <f t="shared" ref="V249:W249" si="441">IF(AVERAGE(T189:T248) &gt; 0.25, 1, 0)</f>
        <v>1</v>
      </c>
      <c r="W249" s="7">
        <f t="shared" si="441"/>
        <v>1</v>
      </c>
      <c r="X249" s="8">
        <v>1.0</v>
      </c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ht="22.5" customHeight="1">
      <c r="A250" s="6">
        <v>249.0</v>
      </c>
      <c r="B250" s="6">
        <v>53279.0</v>
      </c>
      <c r="C250" s="6">
        <v>1.14</v>
      </c>
      <c r="D250" s="6">
        <v>0.3</v>
      </c>
      <c r="E250" s="6">
        <v>10.78</v>
      </c>
      <c r="F250" s="6">
        <v>-0.24</v>
      </c>
      <c r="G250" s="6">
        <v>0.06</v>
      </c>
      <c r="H250" s="6">
        <v>-0.64</v>
      </c>
      <c r="I250" s="6">
        <v>33.37</v>
      </c>
      <c r="J250" s="7">
        <f t="shared" ref="J250:O250" si="442">abs(C250-C249)/200</f>
        <v>0.00315</v>
      </c>
      <c r="K250" s="7">
        <f t="shared" si="442"/>
        <v>0.0046</v>
      </c>
      <c r="L250" s="7">
        <f t="shared" si="442"/>
        <v>0.0005</v>
      </c>
      <c r="M250" s="7">
        <f t="shared" si="442"/>
        <v>0.0004</v>
      </c>
      <c r="N250" s="7">
        <f t="shared" si="442"/>
        <v>0.00115</v>
      </c>
      <c r="O250" s="7">
        <f t="shared" si="442"/>
        <v>0.00095</v>
      </c>
      <c r="P250" s="7">
        <f t="shared" si="7"/>
        <v>0.1083943989</v>
      </c>
      <c r="Q250" s="7">
        <f t="shared" si="8"/>
        <v>0.196196263</v>
      </c>
      <c r="R250" s="7">
        <f t="shared" si="2"/>
        <v>1.044261155</v>
      </c>
      <c r="S250" s="7">
        <f t="shared" si="3"/>
        <v>0.6861486719</v>
      </c>
      <c r="T250" s="7">
        <f t="shared" si="4"/>
        <v>1</v>
      </c>
      <c r="U250" s="7">
        <f t="shared" si="5"/>
        <v>1</v>
      </c>
      <c r="V250" s="7">
        <f t="shared" ref="V250:W250" si="443">IF(AVERAGE(T190:T249) &gt; 0.25, 1, 0)</f>
        <v>1</v>
      </c>
      <c r="W250" s="7">
        <f t="shared" si="443"/>
        <v>1</v>
      </c>
      <c r="X250" s="8">
        <v>1.0</v>
      </c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ht="22.5" customHeight="1">
      <c r="A251" s="6">
        <v>250.0</v>
      </c>
      <c r="B251" s="6">
        <v>53483.0</v>
      </c>
      <c r="C251" s="6">
        <v>1.18</v>
      </c>
      <c r="D251" s="6">
        <v>1.54</v>
      </c>
      <c r="E251" s="6">
        <v>10.62</v>
      </c>
      <c r="F251" s="6">
        <v>-0.15</v>
      </c>
      <c r="G251" s="6">
        <v>0.13</v>
      </c>
      <c r="H251" s="6">
        <v>-0.11</v>
      </c>
      <c r="I251" s="6">
        <v>33.36</v>
      </c>
      <c r="J251" s="7">
        <f t="shared" ref="J251:O251" si="444">abs(C251-C250)/200</f>
        <v>0.0002</v>
      </c>
      <c r="K251" s="7">
        <f t="shared" si="444"/>
        <v>0.0062</v>
      </c>
      <c r="L251" s="7">
        <f t="shared" si="444"/>
        <v>0.0008</v>
      </c>
      <c r="M251" s="7">
        <f t="shared" si="444"/>
        <v>0.00045</v>
      </c>
      <c r="N251" s="7">
        <f t="shared" si="444"/>
        <v>0.00035</v>
      </c>
      <c r="O251" s="7">
        <f t="shared" si="444"/>
        <v>0.00265</v>
      </c>
      <c r="P251" s="7">
        <f t="shared" si="7"/>
        <v>0.4592125576</v>
      </c>
      <c r="Q251" s="7">
        <f t="shared" si="8"/>
        <v>0.04850272875</v>
      </c>
      <c r="R251" s="7">
        <f t="shared" si="2"/>
        <v>0.9957584263</v>
      </c>
      <c r="S251" s="7">
        <f t="shared" si="3"/>
        <v>0.2269361144</v>
      </c>
      <c r="T251" s="7">
        <f t="shared" si="4"/>
        <v>1</v>
      </c>
      <c r="U251" s="7">
        <f t="shared" si="5"/>
        <v>1</v>
      </c>
      <c r="V251" s="7">
        <f t="shared" ref="V251:W251" si="445">IF(AVERAGE(T191:T250) &gt; 0.25, 1, 0)</f>
        <v>1</v>
      </c>
      <c r="W251" s="7">
        <f t="shared" si="445"/>
        <v>1</v>
      </c>
      <c r="X251" s="8">
        <v>1.0</v>
      </c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ht="22.5" customHeight="1">
      <c r="A252" s="6">
        <v>251.0</v>
      </c>
      <c r="B252" s="6">
        <v>53687.0</v>
      </c>
      <c r="C252" s="6">
        <v>1.31</v>
      </c>
      <c r="D252" s="6">
        <v>0.48</v>
      </c>
      <c r="E252" s="6">
        <v>10.58</v>
      </c>
      <c r="F252" s="6">
        <v>-0.15</v>
      </c>
      <c r="G252" s="6">
        <v>0.02</v>
      </c>
      <c r="H252" s="6">
        <v>-0.1</v>
      </c>
      <c r="I252" s="6">
        <v>33.36</v>
      </c>
      <c r="J252" s="7">
        <f t="shared" ref="J252:O252" si="446">abs(C252-C251)/200</f>
        <v>0.00065</v>
      </c>
      <c r="K252" s="7">
        <f t="shared" si="446"/>
        <v>0.0053</v>
      </c>
      <c r="L252" s="7">
        <f t="shared" si="446"/>
        <v>0.0002</v>
      </c>
      <c r="M252" s="7">
        <f t="shared" si="446"/>
        <v>0</v>
      </c>
      <c r="N252" s="7">
        <f t="shared" si="446"/>
        <v>0.00055</v>
      </c>
      <c r="O252" s="7">
        <f t="shared" si="446"/>
        <v>0.00005</v>
      </c>
      <c r="P252" s="7">
        <f t="shared" si="7"/>
        <v>0.04555254289</v>
      </c>
      <c r="Q252" s="7">
        <f t="shared" si="8"/>
        <v>0.1241652932</v>
      </c>
      <c r="R252" s="7">
        <f t="shared" si="2"/>
        <v>0.8715931332</v>
      </c>
      <c r="S252" s="7">
        <f t="shared" si="3"/>
        <v>0.1813835715</v>
      </c>
      <c r="T252" s="7">
        <f t="shared" si="4"/>
        <v>1</v>
      </c>
      <c r="U252" s="7">
        <f t="shared" si="5"/>
        <v>1</v>
      </c>
      <c r="V252" s="7">
        <f t="shared" ref="V252:W252" si="447">IF(AVERAGE(T192:T251) &gt; 0.25, 1, 0)</f>
        <v>1</v>
      </c>
      <c r="W252" s="7">
        <f t="shared" si="447"/>
        <v>1</v>
      </c>
      <c r="X252" s="8">
        <v>1.0</v>
      </c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ht="22.5" customHeight="1">
      <c r="A253" s="6">
        <v>252.0</v>
      </c>
      <c r="B253" s="6">
        <v>53891.0</v>
      </c>
      <c r="C253" s="6">
        <v>1.07</v>
      </c>
      <c r="D253" s="6">
        <v>1.53</v>
      </c>
      <c r="E253" s="6">
        <v>10.59</v>
      </c>
      <c r="F253" s="6">
        <v>-0.08</v>
      </c>
      <c r="G253" s="6">
        <v>0.01</v>
      </c>
      <c r="H253" s="6">
        <v>-0.34</v>
      </c>
      <c r="I253" s="6">
        <v>33.36</v>
      </c>
      <c r="J253" s="7">
        <f t="shared" ref="J253:O253" si="448">abs(C253-C252)/200</f>
        <v>0.0012</v>
      </c>
      <c r="K253" s="7">
        <f t="shared" si="448"/>
        <v>0.00525</v>
      </c>
      <c r="L253" s="7">
        <f t="shared" si="448"/>
        <v>0.00005</v>
      </c>
      <c r="M253" s="7">
        <f t="shared" si="448"/>
        <v>0.00035</v>
      </c>
      <c r="N253" s="7">
        <f t="shared" si="448"/>
        <v>0.00005</v>
      </c>
      <c r="O253" s="7">
        <f t="shared" si="448"/>
        <v>0.0012</v>
      </c>
      <c r="P253" s="7">
        <f t="shared" si="7"/>
        <v>0.1680445327</v>
      </c>
      <c r="Q253" s="7">
        <f t="shared" si="8"/>
        <v>0.08172728426</v>
      </c>
      <c r="R253" s="7">
        <f t="shared" si="2"/>
        <v>0.9533204174</v>
      </c>
      <c r="S253" s="7">
        <f t="shared" si="3"/>
        <v>0.3494281042</v>
      </c>
      <c r="T253" s="7">
        <f t="shared" si="4"/>
        <v>1</v>
      </c>
      <c r="U253" s="7">
        <f t="shared" si="5"/>
        <v>1</v>
      </c>
      <c r="V253" s="7">
        <f t="shared" ref="V253:W253" si="449">IF(AVERAGE(T193:T252) &gt; 0.25, 1, 0)</f>
        <v>1</v>
      </c>
      <c r="W253" s="7">
        <f t="shared" si="449"/>
        <v>1</v>
      </c>
      <c r="X253" s="8">
        <v>1.0</v>
      </c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ht="22.5" customHeight="1">
      <c r="A254" s="6">
        <v>253.0</v>
      </c>
      <c r="B254" s="6">
        <v>54095.0</v>
      </c>
      <c r="C254" s="6">
        <v>1.54</v>
      </c>
      <c r="D254" s="6">
        <v>0.79</v>
      </c>
      <c r="E254" s="6">
        <v>10.64</v>
      </c>
      <c r="F254" s="6">
        <v>-0.01</v>
      </c>
      <c r="G254" s="6">
        <v>0.05</v>
      </c>
      <c r="H254" s="6">
        <v>0.0</v>
      </c>
      <c r="I254" s="6">
        <v>33.35</v>
      </c>
      <c r="J254" s="7">
        <f t="shared" ref="J254:O254" si="450">abs(C254-C253)/200</f>
        <v>0.00235</v>
      </c>
      <c r="K254" s="7">
        <f t="shared" si="450"/>
        <v>0.0037</v>
      </c>
      <c r="L254" s="7">
        <f t="shared" si="450"/>
        <v>0.00025</v>
      </c>
      <c r="M254" s="7">
        <f t="shared" si="450"/>
        <v>0.00035</v>
      </c>
      <c r="N254" s="7">
        <f t="shared" si="450"/>
        <v>0.0002</v>
      </c>
      <c r="O254" s="7">
        <f t="shared" si="450"/>
        <v>0.0017</v>
      </c>
      <c r="P254" s="7">
        <f t="shared" si="7"/>
        <v>0.2984379091</v>
      </c>
      <c r="Q254" s="7">
        <f t="shared" si="8"/>
        <v>0.02653579682</v>
      </c>
      <c r="R254" s="7">
        <f t="shared" si="2"/>
        <v>0.9798562143</v>
      </c>
      <c r="S254" s="7">
        <f t="shared" si="3"/>
        <v>0.05099019514</v>
      </c>
      <c r="T254" s="7">
        <f t="shared" si="4"/>
        <v>1</v>
      </c>
      <c r="U254" s="7">
        <f t="shared" si="5"/>
        <v>1</v>
      </c>
      <c r="V254" s="7">
        <f t="shared" ref="V254:W254" si="451">IF(AVERAGE(T194:T253) &gt; 0.25, 1, 0)</f>
        <v>1</v>
      </c>
      <c r="W254" s="7">
        <f t="shared" si="451"/>
        <v>1</v>
      </c>
      <c r="X254" s="8">
        <v>1.0</v>
      </c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ht="22.5" customHeight="1">
      <c r="A255" s="6">
        <v>254.0</v>
      </c>
      <c r="B255" s="6">
        <v>54299.0</v>
      </c>
      <c r="C255" s="6">
        <v>1.57</v>
      </c>
      <c r="D255" s="6">
        <v>-1.05</v>
      </c>
      <c r="E255" s="6">
        <v>10.77</v>
      </c>
      <c r="F255" s="6">
        <v>0.02</v>
      </c>
      <c r="G255" s="6">
        <v>0.03</v>
      </c>
      <c r="H255" s="6">
        <v>0.07</v>
      </c>
      <c r="I255" s="6">
        <v>33.36</v>
      </c>
      <c r="J255" s="7">
        <f t="shared" ref="J255:O255" si="452">abs(C255-C254)/200</f>
        <v>0.00015</v>
      </c>
      <c r="K255" s="7">
        <f t="shared" si="452"/>
        <v>0.0092</v>
      </c>
      <c r="L255" s="7">
        <f t="shared" si="452"/>
        <v>0.00065</v>
      </c>
      <c r="M255" s="7">
        <f t="shared" si="452"/>
        <v>0.00015</v>
      </c>
      <c r="N255" s="7">
        <f t="shared" si="452"/>
        <v>0.0001</v>
      </c>
      <c r="O255" s="7">
        <f t="shared" si="452"/>
        <v>0.00035</v>
      </c>
      <c r="P255" s="7">
        <f t="shared" si="7"/>
        <v>0.0277498836</v>
      </c>
      <c r="Q255" s="7">
        <f t="shared" si="8"/>
        <v>0.1545070502</v>
      </c>
      <c r="R255" s="7">
        <f t="shared" si="2"/>
        <v>1.134363264</v>
      </c>
      <c r="S255" s="7">
        <f t="shared" si="3"/>
        <v>0.07874007874</v>
      </c>
      <c r="T255" s="7">
        <f t="shared" si="4"/>
        <v>1</v>
      </c>
      <c r="U255" s="7">
        <f t="shared" si="5"/>
        <v>1</v>
      </c>
      <c r="V255" s="7">
        <f t="shared" ref="V255:W255" si="453">IF(AVERAGE(T195:T254) &gt; 0.25, 1, 0)</f>
        <v>1</v>
      </c>
      <c r="W255" s="7">
        <f t="shared" si="453"/>
        <v>1</v>
      </c>
      <c r="X255" s="8">
        <v>1.0</v>
      </c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ht="22.5" customHeight="1">
      <c r="A256" s="6">
        <v>255.0</v>
      </c>
      <c r="B256" s="6">
        <v>54503.0</v>
      </c>
      <c r="C256" s="6">
        <v>2.03</v>
      </c>
      <c r="D256" s="6">
        <v>-1.51</v>
      </c>
      <c r="E256" s="6">
        <v>10.67</v>
      </c>
      <c r="F256" s="6">
        <v>-0.08</v>
      </c>
      <c r="G256" s="6">
        <v>-0.03</v>
      </c>
      <c r="H256" s="6">
        <v>0.0</v>
      </c>
      <c r="I256" s="6">
        <v>33.36</v>
      </c>
      <c r="J256" s="7">
        <f t="shared" ref="J256:O256" si="454">abs(C256-C255)/200</f>
        <v>0.0023</v>
      </c>
      <c r="K256" s="7">
        <f t="shared" si="454"/>
        <v>0.0023</v>
      </c>
      <c r="L256" s="7">
        <f t="shared" si="454"/>
        <v>0.0005</v>
      </c>
      <c r="M256" s="7">
        <f t="shared" si="454"/>
        <v>0.0005</v>
      </c>
      <c r="N256" s="7">
        <f t="shared" si="454"/>
        <v>0.0003</v>
      </c>
      <c r="O256" s="7">
        <f t="shared" si="454"/>
        <v>0.00035</v>
      </c>
      <c r="P256" s="7">
        <f t="shared" si="7"/>
        <v>0.006699958713</v>
      </c>
      <c r="Q256" s="7">
        <f t="shared" si="8"/>
        <v>0.03148827562</v>
      </c>
      <c r="R256" s="7">
        <f t="shared" si="2"/>
        <v>1.16585154</v>
      </c>
      <c r="S256" s="7">
        <f t="shared" si="3"/>
        <v>0.08544003745</v>
      </c>
      <c r="T256" s="7">
        <f t="shared" si="4"/>
        <v>1</v>
      </c>
      <c r="U256" s="7">
        <f t="shared" si="5"/>
        <v>1</v>
      </c>
      <c r="V256" s="7">
        <f t="shared" ref="V256:W256" si="455">IF(AVERAGE(T196:T255) &gt; 0.25, 1, 0)</f>
        <v>1</v>
      </c>
      <c r="W256" s="7">
        <f t="shared" si="455"/>
        <v>1</v>
      </c>
      <c r="X256" s="8">
        <v>1.0</v>
      </c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ht="22.5" customHeight="1">
      <c r="A257" s="6">
        <v>256.0</v>
      </c>
      <c r="B257" s="6">
        <v>54707.0</v>
      </c>
      <c r="C257" s="6">
        <v>2.3</v>
      </c>
      <c r="D257" s="6">
        <v>-1.16</v>
      </c>
      <c r="E257" s="6">
        <v>10.55</v>
      </c>
      <c r="F257" s="6">
        <v>-0.16</v>
      </c>
      <c r="G257" s="6">
        <v>-0.04</v>
      </c>
      <c r="H257" s="6">
        <v>-0.12</v>
      </c>
      <c r="I257" s="6">
        <v>33.37</v>
      </c>
      <c r="J257" s="7">
        <f t="shared" ref="J257:O257" si="456">abs(C257-C256)/200</f>
        <v>0.00135</v>
      </c>
      <c r="K257" s="7">
        <f t="shared" si="456"/>
        <v>0.00175</v>
      </c>
      <c r="L257" s="7">
        <f t="shared" si="456"/>
        <v>0.0006</v>
      </c>
      <c r="M257" s="7">
        <f t="shared" si="456"/>
        <v>0.0004</v>
      </c>
      <c r="N257" s="7">
        <f t="shared" si="456"/>
        <v>0.00005</v>
      </c>
      <c r="O257" s="7">
        <f t="shared" si="456"/>
        <v>0.0006</v>
      </c>
      <c r="P257" s="7">
        <f t="shared" si="7"/>
        <v>0.1185207431</v>
      </c>
      <c r="Q257" s="7">
        <f t="shared" si="8"/>
        <v>0.1059206011</v>
      </c>
      <c r="R257" s="7">
        <f t="shared" si="2"/>
        <v>1.059930939</v>
      </c>
      <c r="S257" s="7">
        <f t="shared" si="3"/>
        <v>0.2039607805</v>
      </c>
      <c r="T257" s="7">
        <f t="shared" si="4"/>
        <v>1</v>
      </c>
      <c r="U257" s="7">
        <f t="shared" si="5"/>
        <v>1</v>
      </c>
      <c r="V257" s="7">
        <f t="shared" ref="V257:W257" si="457">IF(AVERAGE(T197:T256) &gt; 0.25, 1, 0)</f>
        <v>1</v>
      </c>
      <c r="W257" s="7">
        <f t="shared" si="457"/>
        <v>1</v>
      </c>
      <c r="X257" s="8">
        <v>1.0</v>
      </c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ht="22.5" customHeight="1">
      <c r="A258" s="6">
        <v>257.0</v>
      </c>
      <c r="B258" s="6">
        <v>54911.0</v>
      </c>
      <c r="C258" s="6">
        <v>1.57</v>
      </c>
      <c r="D258" s="6">
        <v>-0.15</v>
      </c>
      <c r="E258" s="6">
        <v>10.69</v>
      </c>
      <c r="F258" s="6">
        <v>-0.28</v>
      </c>
      <c r="G258" s="6">
        <v>0.1</v>
      </c>
      <c r="H258" s="6">
        <v>-0.66</v>
      </c>
      <c r="I258" s="6">
        <v>33.36</v>
      </c>
      <c r="J258" s="7">
        <f t="shared" ref="J258:O258" si="458">abs(C258-C257)/200</f>
        <v>0.00365</v>
      </c>
      <c r="K258" s="7">
        <f t="shared" si="458"/>
        <v>0.00505</v>
      </c>
      <c r="L258" s="7">
        <f t="shared" si="458"/>
        <v>0.0007</v>
      </c>
      <c r="M258" s="7">
        <f t="shared" si="458"/>
        <v>0.0006</v>
      </c>
      <c r="N258" s="7">
        <f t="shared" si="458"/>
        <v>0.0007</v>
      </c>
      <c r="O258" s="7">
        <f t="shared" si="458"/>
        <v>0.0027</v>
      </c>
      <c r="P258" s="7">
        <f t="shared" si="7"/>
        <v>0.5199176623</v>
      </c>
      <c r="Q258" s="7">
        <f t="shared" si="8"/>
        <v>0.05421485908</v>
      </c>
      <c r="R258" s="7">
        <f t="shared" si="2"/>
        <v>1.00571608</v>
      </c>
      <c r="S258" s="7">
        <f t="shared" si="3"/>
        <v>0.7238784428</v>
      </c>
      <c r="T258" s="7">
        <f t="shared" si="4"/>
        <v>1</v>
      </c>
      <c r="U258" s="7">
        <f t="shared" si="5"/>
        <v>1</v>
      </c>
      <c r="V258" s="7">
        <f t="shared" ref="V258:W258" si="459">IF(AVERAGE(T198:T257) &gt; 0.25, 1, 0)</f>
        <v>1</v>
      </c>
      <c r="W258" s="7">
        <f t="shared" si="459"/>
        <v>1</v>
      </c>
      <c r="X258" s="8">
        <v>1.0</v>
      </c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ht="22.5" customHeight="1">
      <c r="A259" s="6">
        <v>258.0</v>
      </c>
      <c r="B259" s="6">
        <v>55115.0</v>
      </c>
      <c r="C259" s="6">
        <v>0.31</v>
      </c>
      <c r="D259" s="6">
        <v>0.91</v>
      </c>
      <c r="E259" s="6">
        <v>10.83</v>
      </c>
      <c r="F259" s="6">
        <v>-0.22</v>
      </c>
      <c r="G259" s="6">
        <v>-0.08</v>
      </c>
      <c r="H259" s="6">
        <v>-0.44</v>
      </c>
      <c r="I259" s="6">
        <v>33.36</v>
      </c>
      <c r="J259" s="7">
        <f t="shared" ref="J259:O259" si="460">abs(C259-C258)/200</f>
        <v>0.0063</v>
      </c>
      <c r="K259" s="7">
        <f t="shared" si="460"/>
        <v>0.0053</v>
      </c>
      <c r="L259" s="7">
        <f t="shared" si="460"/>
        <v>0.0007</v>
      </c>
      <c r="M259" s="7">
        <f t="shared" si="460"/>
        <v>0.0003</v>
      </c>
      <c r="N259" s="7">
        <f t="shared" si="460"/>
        <v>0.0009</v>
      </c>
      <c r="O259" s="7">
        <f t="shared" si="460"/>
        <v>0.0011</v>
      </c>
      <c r="P259" s="7">
        <f t="shared" si="7"/>
        <v>0.2254810111</v>
      </c>
      <c r="Q259" s="7">
        <f t="shared" si="8"/>
        <v>0.06686870935</v>
      </c>
      <c r="R259" s="7">
        <f t="shared" si="2"/>
        <v>1.072584789</v>
      </c>
      <c r="S259" s="7">
        <f t="shared" si="3"/>
        <v>0.4983974318</v>
      </c>
      <c r="T259" s="7">
        <f t="shared" si="4"/>
        <v>1</v>
      </c>
      <c r="U259" s="7">
        <f t="shared" si="5"/>
        <v>1</v>
      </c>
      <c r="V259" s="7">
        <f t="shared" ref="V259:W259" si="461">IF(AVERAGE(T199:T258) &gt; 0.25, 1, 0)</f>
        <v>1</v>
      </c>
      <c r="W259" s="7">
        <f t="shared" si="461"/>
        <v>1</v>
      </c>
      <c r="X259" s="8">
        <v>1.0</v>
      </c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ht="22.5" customHeight="1">
      <c r="A260" s="6">
        <v>259.0</v>
      </c>
      <c r="B260" s="6">
        <v>55319.0</v>
      </c>
      <c r="C260" s="6">
        <v>1.09</v>
      </c>
      <c r="D260" s="6">
        <v>0.79</v>
      </c>
      <c r="E260" s="6">
        <v>10.81</v>
      </c>
      <c r="F260" s="6">
        <v>-0.13</v>
      </c>
      <c r="G260" s="6">
        <v>-0.18</v>
      </c>
      <c r="H260" s="6">
        <v>-0.27</v>
      </c>
      <c r="I260" s="6">
        <v>33.36</v>
      </c>
      <c r="J260" s="7">
        <f t="shared" ref="J260:O260" si="462">abs(C260-C259)/200</f>
        <v>0.0039</v>
      </c>
      <c r="K260" s="7">
        <f t="shared" si="462"/>
        <v>0.0006</v>
      </c>
      <c r="L260" s="7">
        <f t="shared" si="462"/>
        <v>0.0001</v>
      </c>
      <c r="M260" s="7">
        <f t="shared" si="462"/>
        <v>0.00045</v>
      </c>
      <c r="N260" s="7">
        <f t="shared" si="462"/>
        <v>0.0005</v>
      </c>
      <c r="O260" s="7">
        <f t="shared" si="462"/>
        <v>0.00085</v>
      </c>
      <c r="P260" s="7">
        <f t="shared" si="7"/>
        <v>0.1488262659</v>
      </c>
      <c r="Q260" s="7">
        <f t="shared" si="8"/>
        <v>0.02091327149</v>
      </c>
      <c r="R260" s="7">
        <f t="shared" si="2"/>
        <v>1.093498061</v>
      </c>
      <c r="S260" s="7">
        <f t="shared" si="3"/>
        <v>0.3495711659</v>
      </c>
      <c r="T260" s="7">
        <f t="shared" si="4"/>
        <v>1</v>
      </c>
      <c r="U260" s="7">
        <f t="shared" si="5"/>
        <v>1</v>
      </c>
      <c r="V260" s="7">
        <f t="shared" ref="V260:W260" si="463">IF(AVERAGE(T200:T259) &gt; 0.25, 1, 0)</f>
        <v>1</v>
      </c>
      <c r="W260" s="7">
        <f t="shared" si="463"/>
        <v>1</v>
      </c>
      <c r="X260" s="8">
        <v>1.0</v>
      </c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ht="22.5" customHeight="1">
      <c r="A261" s="6">
        <v>260.0</v>
      </c>
      <c r="B261" s="6">
        <v>55523.0</v>
      </c>
      <c r="C261" s="6">
        <v>1.43</v>
      </c>
      <c r="D261" s="6">
        <v>-0.17</v>
      </c>
      <c r="E261" s="6">
        <v>10.85</v>
      </c>
      <c r="F261" s="6">
        <v>-0.19</v>
      </c>
      <c r="G261" s="6">
        <v>0.29</v>
      </c>
      <c r="H261" s="6">
        <v>-0.01</v>
      </c>
      <c r="I261" s="6">
        <v>33.37</v>
      </c>
      <c r="J261" s="7">
        <f t="shared" ref="J261:O261" si="464">abs(C261-C260)/200</f>
        <v>0.0017</v>
      </c>
      <c r="K261" s="7">
        <f t="shared" si="464"/>
        <v>0.0048</v>
      </c>
      <c r="L261" s="7">
        <f t="shared" si="464"/>
        <v>0.0002</v>
      </c>
      <c r="M261" s="7">
        <f t="shared" si="464"/>
        <v>0.0003</v>
      </c>
      <c r="N261" s="7">
        <f t="shared" si="464"/>
        <v>0.00235</v>
      </c>
      <c r="O261" s="7">
        <f t="shared" si="464"/>
        <v>0.0013</v>
      </c>
      <c r="P261" s="7">
        <f t="shared" si="7"/>
        <v>0.002728261938</v>
      </c>
      <c r="Q261" s="7">
        <f t="shared" si="8"/>
        <v>0.0516515499</v>
      </c>
      <c r="R261" s="7">
        <f t="shared" si="2"/>
        <v>1.145149611</v>
      </c>
      <c r="S261" s="7">
        <f t="shared" si="3"/>
        <v>0.3468429039</v>
      </c>
      <c r="T261" s="7">
        <f t="shared" si="4"/>
        <v>1</v>
      </c>
      <c r="U261" s="7">
        <f t="shared" si="5"/>
        <v>1</v>
      </c>
      <c r="V261" s="7">
        <f t="shared" ref="V261:W261" si="465">IF(AVERAGE(T201:T260) &gt; 0.25, 1, 0)</f>
        <v>1</v>
      </c>
      <c r="W261" s="7">
        <f t="shared" si="465"/>
        <v>1</v>
      </c>
      <c r="X261" s="8">
        <v>1.0</v>
      </c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ht="22.5" customHeight="1">
      <c r="A262" s="6">
        <v>261.0</v>
      </c>
      <c r="B262" s="6">
        <v>55727.0</v>
      </c>
      <c r="C262" s="6">
        <v>1.36</v>
      </c>
      <c r="D262" s="6">
        <v>-0.21</v>
      </c>
      <c r="E262" s="6">
        <v>10.68</v>
      </c>
      <c r="F262" s="6">
        <v>-0.1</v>
      </c>
      <c r="G262" s="6">
        <v>0.0</v>
      </c>
      <c r="H262" s="6">
        <v>-0.01</v>
      </c>
      <c r="I262" s="6">
        <v>33.37</v>
      </c>
      <c r="J262" s="7">
        <f t="shared" ref="J262:O262" si="466">abs(C262-C261)/200</f>
        <v>0.00035</v>
      </c>
      <c r="K262" s="7">
        <f t="shared" si="466"/>
        <v>0.0002</v>
      </c>
      <c r="L262" s="7">
        <f t="shared" si="466"/>
        <v>0.00085</v>
      </c>
      <c r="M262" s="7">
        <f t="shared" si="466"/>
        <v>0.00045</v>
      </c>
      <c r="N262" s="7">
        <f t="shared" si="466"/>
        <v>0.00145</v>
      </c>
      <c r="O262" s="7">
        <f t="shared" si="466"/>
        <v>0</v>
      </c>
      <c r="P262" s="7">
        <f t="shared" si="7"/>
        <v>0.2463441477</v>
      </c>
      <c r="Q262" s="7">
        <f t="shared" si="8"/>
        <v>0.1768581956</v>
      </c>
      <c r="R262" s="7">
        <f t="shared" si="2"/>
        <v>0.9682914151</v>
      </c>
      <c r="S262" s="7">
        <f t="shared" si="3"/>
        <v>0.1004987562</v>
      </c>
      <c r="T262" s="7">
        <f t="shared" si="4"/>
        <v>1</v>
      </c>
      <c r="U262" s="7">
        <f t="shared" si="5"/>
        <v>1</v>
      </c>
      <c r="V262" s="7">
        <f t="shared" ref="V262:W262" si="467">IF(AVERAGE(T202:T261) &gt; 0.25, 1, 0)</f>
        <v>1</v>
      </c>
      <c r="W262" s="7">
        <f t="shared" si="467"/>
        <v>1</v>
      </c>
      <c r="X262" s="8">
        <v>1.0</v>
      </c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ht="22.5" customHeight="1">
      <c r="A263" s="6">
        <v>262.0</v>
      </c>
      <c r="B263" s="6">
        <v>55931.0</v>
      </c>
      <c r="C263" s="6">
        <v>1.39</v>
      </c>
      <c r="D263" s="6">
        <v>-0.23</v>
      </c>
      <c r="E263" s="6">
        <v>10.68</v>
      </c>
      <c r="F263" s="6">
        <v>-0.09</v>
      </c>
      <c r="G263" s="6">
        <v>-0.01</v>
      </c>
      <c r="H263" s="6">
        <v>-0.02</v>
      </c>
      <c r="I263" s="6">
        <v>33.37</v>
      </c>
      <c r="J263" s="7">
        <f t="shared" ref="J263:O263" si="468">abs(C263-C262)/200</f>
        <v>0.00015</v>
      </c>
      <c r="K263" s="7">
        <f t="shared" si="468"/>
        <v>0.0001</v>
      </c>
      <c r="L263" s="7">
        <f t="shared" si="468"/>
        <v>0</v>
      </c>
      <c r="M263" s="7">
        <f t="shared" si="468"/>
        <v>0.00005</v>
      </c>
      <c r="N263" s="7">
        <f t="shared" si="468"/>
        <v>0.00005</v>
      </c>
      <c r="O263" s="7">
        <f t="shared" si="468"/>
        <v>0.00005</v>
      </c>
      <c r="P263" s="7">
        <f t="shared" si="7"/>
        <v>0.007762571256</v>
      </c>
      <c r="Q263" s="7">
        <f t="shared" si="8"/>
        <v>0.004238464205</v>
      </c>
      <c r="R263" s="7">
        <f t="shared" si="2"/>
        <v>0.9725298793</v>
      </c>
      <c r="S263" s="7">
        <f t="shared" si="3"/>
        <v>0.09273618495</v>
      </c>
      <c r="T263" s="7">
        <f t="shared" si="4"/>
        <v>0</v>
      </c>
      <c r="U263" s="7">
        <f t="shared" si="5"/>
        <v>0</v>
      </c>
      <c r="V263" s="7">
        <f t="shared" ref="V263:W263" si="469">IF(AVERAGE(T203:T262) &gt; 0.25, 1, 0)</f>
        <v>1</v>
      </c>
      <c r="W263" s="7">
        <f t="shared" si="469"/>
        <v>1</v>
      </c>
      <c r="X263" s="8">
        <v>1.0</v>
      </c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ht="22.5" customHeight="1">
      <c r="A264" s="6">
        <v>263.0</v>
      </c>
      <c r="B264" s="6">
        <v>56135.0</v>
      </c>
      <c r="C264" s="6">
        <v>1.39</v>
      </c>
      <c r="D264" s="6">
        <v>-0.22</v>
      </c>
      <c r="E264" s="6">
        <v>10.68</v>
      </c>
      <c r="F264" s="6">
        <v>-0.09</v>
      </c>
      <c r="G264" s="6">
        <v>-0.01</v>
      </c>
      <c r="H264" s="6">
        <v>-0.02</v>
      </c>
      <c r="I264" s="6">
        <v>33.36</v>
      </c>
      <c r="J264" s="7">
        <f t="shared" ref="J264:O264" si="470">abs(C264-C263)/200</f>
        <v>0</v>
      </c>
      <c r="K264" s="7">
        <f t="shared" si="470"/>
        <v>0.00005</v>
      </c>
      <c r="L264" s="7">
        <f t="shared" si="470"/>
        <v>0</v>
      </c>
      <c r="M264" s="7">
        <f t="shared" si="470"/>
        <v>0</v>
      </c>
      <c r="N264" s="7">
        <f t="shared" si="470"/>
        <v>0</v>
      </c>
      <c r="O264" s="7">
        <f t="shared" si="470"/>
        <v>0</v>
      </c>
      <c r="P264" s="7">
        <f t="shared" si="7"/>
        <v>0</v>
      </c>
      <c r="Q264" s="7">
        <f t="shared" si="8"/>
        <v>0.0002088666114</v>
      </c>
      <c r="R264" s="7">
        <f t="shared" si="2"/>
        <v>0.9723210127</v>
      </c>
      <c r="S264" s="7">
        <f t="shared" si="3"/>
        <v>0.09273618495</v>
      </c>
      <c r="T264" s="7">
        <f t="shared" si="4"/>
        <v>0</v>
      </c>
      <c r="U264" s="7">
        <f t="shared" si="5"/>
        <v>0</v>
      </c>
      <c r="V264" s="7">
        <f t="shared" ref="V264:W264" si="471">IF(AVERAGE(T204:T263) &gt; 0.25, 1, 0)</f>
        <v>1</v>
      </c>
      <c r="W264" s="7">
        <f t="shared" si="471"/>
        <v>1</v>
      </c>
      <c r="X264" s="8">
        <v>1.0</v>
      </c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ht="22.5" customHeight="1">
      <c r="A265" s="6">
        <v>264.0</v>
      </c>
      <c r="B265" s="6">
        <v>56339.0</v>
      </c>
      <c r="C265" s="6">
        <v>1.37</v>
      </c>
      <c r="D265" s="6">
        <v>-0.19</v>
      </c>
      <c r="E265" s="6">
        <v>10.66</v>
      </c>
      <c r="F265" s="6">
        <v>-0.1</v>
      </c>
      <c r="G265" s="6">
        <v>0.0</v>
      </c>
      <c r="H265" s="6">
        <v>-0.01</v>
      </c>
      <c r="I265" s="6">
        <v>33.36</v>
      </c>
      <c r="J265" s="7">
        <f t="shared" ref="J265:O265" si="472">abs(C265-C264)/200</f>
        <v>0.0001</v>
      </c>
      <c r="K265" s="7">
        <f t="shared" si="472"/>
        <v>0.00015</v>
      </c>
      <c r="L265" s="7">
        <f t="shared" si="472"/>
        <v>0.0001</v>
      </c>
      <c r="M265" s="7">
        <f t="shared" si="472"/>
        <v>0.00005</v>
      </c>
      <c r="N265" s="7">
        <f t="shared" si="472"/>
        <v>0.00005</v>
      </c>
      <c r="O265" s="7">
        <f t="shared" si="472"/>
        <v>0.00005</v>
      </c>
      <c r="P265" s="7">
        <f t="shared" si="7"/>
        <v>0.007762571256</v>
      </c>
      <c r="Q265" s="7">
        <f t="shared" si="8"/>
        <v>0.02296754374</v>
      </c>
      <c r="R265" s="7">
        <f t="shared" si="2"/>
        <v>0.9493534689</v>
      </c>
      <c r="S265" s="7">
        <f t="shared" si="3"/>
        <v>0.1004987562</v>
      </c>
      <c r="T265" s="7">
        <f t="shared" si="4"/>
        <v>0</v>
      </c>
      <c r="U265" s="7">
        <f t="shared" si="5"/>
        <v>0</v>
      </c>
      <c r="V265" s="7">
        <f t="shared" ref="V265:W265" si="473">IF(AVERAGE(T205:T264) &gt; 0.25, 1, 0)</f>
        <v>1</v>
      </c>
      <c r="W265" s="7">
        <f t="shared" si="473"/>
        <v>1</v>
      </c>
      <c r="X265" s="8">
        <v>1.0</v>
      </c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ht="22.5" customHeight="1">
      <c r="A266" s="6">
        <v>265.0</v>
      </c>
      <c r="B266" s="6">
        <v>56543.0</v>
      </c>
      <c r="C266" s="6">
        <v>1.38</v>
      </c>
      <c r="D266" s="6">
        <v>-0.2</v>
      </c>
      <c r="E266" s="6">
        <v>10.67</v>
      </c>
      <c r="F266" s="6">
        <v>-0.1</v>
      </c>
      <c r="G266" s="6">
        <v>0.0</v>
      </c>
      <c r="H266" s="6">
        <v>-0.01</v>
      </c>
      <c r="I266" s="6">
        <v>33.35</v>
      </c>
      <c r="J266" s="7">
        <f t="shared" ref="J266:O266" si="474">abs(C266-C265)/200</f>
        <v>0.00005</v>
      </c>
      <c r="K266" s="7">
        <f t="shared" si="474"/>
        <v>0.00005</v>
      </c>
      <c r="L266" s="7">
        <f t="shared" si="474"/>
        <v>0.00005</v>
      </c>
      <c r="M266" s="7">
        <f t="shared" si="474"/>
        <v>0</v>
      </c>
      <c r="N266" s="7">
        <f t="shared" si="474"/>
        <v>0</v>
      </c>
      <c r="O266" s="7">
        <f t="shared" si="474"/>
        <v>0</v>
      </c>
      <c r="P266" s="7">
        <f t="shared" si="7"/>
        <v>0</v>
      </c>
      <c r="Q266" s="7">
        <f t="shared" si="8"/>
        <v>0.01137606024</v>
      </c>
      <c r="R266" s="7">
        <f t="shared" si="2"/>
        <v>0.9607295292</v>
      </c>
      <c r="S266" s="7">
        <f t="shared" si="3"/>
        <v>0.1004987562</v>
      </c>
      <c r="T266" s="7">
        <f t="shared" si="4"/>
        <v>0</v>
      </c>
      <c r="U266" s="7">
        <f t="shared" si="5"/>
        <v>0</v>
      </c>
      <c r="V266" s="7">
        <f t="shared" ref="V266:W266" si="475">IF(AVERAGE(T206:T265) &gt; 0.25, 1, 0)</f>
        <v>1</v>
      </c>
      <c r="W266" s="7">
        <f t="shared" si="475"/>
        <v>1</v>
      </c>
      <c r="X266" s="8">
        <v>1.0</v>
      </c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ht="22.5" customHeight="1">
      <c r="A267" s="6">
        <v>266.0</v>
      </c>
      <c r="B267" s="6">
        <v>56747.0</v>
      </c>
      <c r="C267" s="6">
        <v>1.38</v>
      </c>
      <c r="D267" s="6">
        <v>-0.21</v>
      </c>
      <c r="E267" s="6">
        <v>10.67</v>
      </c>
      <c r="F267" s="6">
        <v>-0.1</v>
      </c>
      <c r="G267" s="6">
        <v>0.0</v>
      </c>
      <c r="H267" s="6">
        <v>-0.01</v>
      </c>
      <c r="I267" s="6">
        <v>33.37</v>
      </c>
      <c r="J267" s="7">
        <f t="shared" ref="J267:O267" si="476">abs(C267-C266)/200</f>
        <v>0</v>
      </c>
      <c r="K267" s="7">
        <f t="shared" si="476"/>
        <v>0.00005</v>
      </c>
      <c r="L267" s="7">
        <f t="shared" si="476"/>
        <v>0</v>
      </c>
      <c r="M267" s="7">
        <f t="shared" si="476"/>
        <v>0</v>
      </c>
      <c r="N267" s="7">
        <f t="shared" si="476"/>
        <v>0</v>
      </c>
      <c r="O267" s="7">
        <f t="shared" si="476"/>
        <v>0</v>
      </c>
      <c r="P267" s="7">
        <f t="shared" si="7"/>
        <v>0</v>
      </c>
      <c r="Q267" s="7">
        <f t="shared" si="8"/>
        <v>0.0001905058433</v>
      </c>
      <c r="R267" s="7">
        <f t="shared" si="2"/>
        <v>0.960920035</v>
      </c>
      <c r="S267" s="7">
        <f t="shared" si="3"/>
        <v>0.1004987562</v>
      </c>
      <c r="T267" s="7">
        <f t="shared" si="4"/>
        <v>0</v>
      </c>
      <c r="U267" s="7">
        <f t="shared" si="5"/>
        <v>0</v>
      </c>
      <c r="V267" s="7">
        <f t="shared" ref="V267:W267" si="477">IF(AVERAGE(T207:T266) &gt; 0.25, 1, 0)</f>
        <v>1</v>
      </c>
      <c r="W267" s="7">
        <f t="shared" si="477"/>
        <v>1</v>
      </c>
      <c r="X267" s="8">
        <v>1.0</v>
      </c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ht="22.5" customHeight="1">
      <c r="A268" s="6">
        <v>267.0</v>
      </c>
      <c r="B268" s="6">
        <v>56951.0</v>
      </c>
      <c r="C268" s="6">
        <v>1.37</v>
      </c>
      <c r="D268" s="6">
        <v>-0.21</v>
      </c>
      <c r="E268" s="6">
        <v>10.67</v>
      </c>
      <c r="F268" s="6">
        <v>-0.1</v>
      </c>
      <c r="G268" s="6">
        <v>0.0</v>
      </c>
      <c r="H268" s="6">
        <v>-0.01</v>
      </c>
      <c r="I268" s="6">
        <v>33.36</v>
      </c>
      <c r="J268" s="7">
        <f t="shared" ref="J268:O268" si="478">abs(C268-C267)/200</f>
        <v>0.00005</v>
      </c>
      <c r="K268" s="7">
        <f t="shared" si="478"/>
        <v>0</v>
      </c>
      <c r="L268" s="7">
        <f t="shared" si="478"/>
        <v>0</v>
      </c>
      <c r="M268" s="7">
        <f t="shared" si="478"/>
        <v>0</v>
      </c>
      <c r="N268" s="7">
        <f t="shared" si="478"/>
        <v>0</v>
      </c>
      <c r="O268" s="7">
        <f t="shared" si="478"/>
        <v>0</v>
      </c>
      <c r="P268" s="7">
        <f t="shared" si="7"/>
        <v>0</v>
      </c>
      <c r="Q268" s="7">
        <f t="shared" si="8"/>
        <v>0.001277847656</v>
      </c>
      <c r="R268" s="7">
        <f t="shared" si="2"/>
        <v>0.9596421874</v>
      </c>
      <c r="S268" s="7">
        <f t="shared" si="3"/>
        <v>0.1004987562</v>
      </c>
      <c r="T268" s="7">
        <f t="shared" si="4"/>
        <v>0</v>
      </c>
      <c r="U268" s="7">
        <f t="shared" si="5"/>
        <v>0</v>
      </c>
      <c r="V268" s="7">
        <f t="shared" ref="V268:W268" si="479">IF(AVERAGE(T208:T267) &gt; 0.25, 1, 0)</f>
        <v>1</v>
      </c>
      <c r="W268" s="7">
        <f t="shared" si="479"/>
        <v>1</v>
      </c>
      <c r="X268" s="8">
        <v>1.0</v>
      </c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ht="22.5" customHeight="1">
      <c r="A269" s="6">
        <v>268.0</v>
      </c>
      <c r="B269" s="6">
        <v>57155.0</v>
      </c>
      <c r="C269" s="6">
        <v>1.37</v>
      </c>
      <c r="D269" s="6">
        <v>-0.22</v>
      </c>
      <c r="E269" s="6">
        <v>10.66</v>
      </c>
      <c r="F269" s="6">
        <v>-0.1</v>
      </c>
      <c r="G269" s="6">
        <v>0.0</v>
      </c>
      <c r="H269" s="6">
        <v>-0.01</v>
      </c>
      <c r="I269" s="6">
        <v>33.35</v>
      </c>
      <c r="J269" s="7">
        <f t="shared" ref="J269:O269" si="480">abs(C269-C268)/200</f>
        <v>0</v>
      </c>
      <c r="K269" s="7">
        <f t="shared" si="480"/>
        <v>0.00005</v>
      </c>
      <c r="L269" s="7">
        <f t="shared" si="480"/>
        <v>0.00005</v>
      </c>
      <c r="M269" s="7">
        <f t="shared" si="480"/>
        <v>0</v>
      </c>
      <c r="N269" s="7">
        <f t="shared" si="480"/>
        <v>0</v>
      </c>
      <c r="O269" s="7">
        <f t="shared" si="480"/>
        <v>0</v>
      </c>
      <c r="P269" s="7">
        <f t="shared" si="7"/>
        <v>0</v>
      </c>
      <c r="Q269" s="7">
        <f t="shared" si="8"/>
        <v>0.009716606221</v>
      </c>
      <c r="R269" s="7">
        <f t="shared" si="2"/>
        <v>0.9499255811</v>
      </c>
      <c r="S269" s="7">
        <f t="shared" si="3"/>
        <v>0.1004987562</v>
      </c>
      <c r="T269" s="7">
        <f t="shared" si="4"/>
        <v>0</v>
      </c>
      <c r="U269" s="7">
        <f t="shared" si="5"/>
        <v>0</v>
      </c>
      <c r="V269" s="7">
        <f t="shared" ref="V269:W269" si="481">IF(AVERAGE(T209:T268) &gt; 0.25, 1, 0)</f>
        <v>1</v>
      </c>
      <c r="W269" s="7">
        <f t="shared" si="481"/>
        <v>1</v>
      </c>
      <c r="X269" s="8">
        <v>1.0</v>
      </c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ht="22.5" customHeight="1">
      <c r="A270" s="6">
        <v>269.0</v>
      </c>
      <c r="B270" s="6">
        <v>57359.0</v>
      </c>
      <c r="C270" s="6">
        <v>1.32</v>
      </c>
      <c r="D270" s="6">
        <v>-0.09</v>
      </c>
      <c r="E270" s="6">
        <v>10.36</v>
      </c>
      <c r="F270" s="6">
        <v>-0.07</v>
      </c>
      <c r="G270" s="6">
        <v>0.06</v>
      </c>
      <c r="H270" s="6">
        <v>-0.01</v>
      </c>
      <c r="I270" s="6">
        <v>33.37</v>
      </c>
      <c r="J270" s="7">
        <f t="shared" ref="J270:O270" si="482">abs(C270-C269)/200</f>
        <v>0.00025</v>
      </c>
      <c r="K270" s="7">
        <f t="shared" si="482"/>
        <v>0.00065</v>
      </c>
      <c r="L270" s="7">
        <f t="shared" si="482"/>
        <v>0.0015</v>
      </c>
      <c r="M270" s="7">
        <f t="shared" si="482"/>
        <v>0.00015</v>
      </c>
      <c r="N270" s="7">
        <f t="shared" si="482"/>
        <v>0.0003</v>
      </c>
      <c r="O270" s="7">
        <f t="shared" si="482"/>
        <v>0</v>
      </c>
      <c r="P270" s="7">
        <f t="shared" si="7"/>
        <v>0.007762571256</v>
      </c>
      <c r="Q270" s="7">
        <f t="shared" si="8"/>
        <v>0.3057836824</v>
      </c>
      <c r="R270" s="7">
        <f t="shared" si="2"/>
        <v>0.6441418987</v>
      </c>
      <c r="S270" s="7">
        <f t="shared" si="3"/>
        <v>0.09273618495</v>
      </c>
      <c r="T270" s="7">
        <f t="shared" si="4"/>
        <v>1</v>
      </c>
      <c r="U270" s="7">
        <f t="shared" si="5"/>
        <v>0</v>
      </c>
      <c r="V270" s="7">
        <f t="shared" ref="V270:W270" si="483">IF(AVERAGE(T210:T269) &gt; 0.25, 1, 0)</f>
        <v>1</v>
      </c>
      <c r="W270" s="7">
        <f t="shared" si="483"/>
        <v>1</v>
      </c>
      <c r="X270" s="8">
        <v>1.0</v>
      </c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ht="22.5" customHeight="1">
      <c r="A271" s="6">
        <v>270.0</v>
      </c>
      <c r="B271" s="6">
        <v>563.0</v>
      </c>
      <c r="C271" s="6">
        <v>0.29</v>
      </c>
      <c r="D271" s="6">
        <v>0.69</v>
      </c>
      <c r="E271" s="6">
        <v>10.57</v>
      </c>
      <c r="F271" s="6">
        <v>0.04</v>
      </c>
      <c r="G271" s="6">
        <v>-0.06</v>
      </c>
      <c r="H271" s="6">
        <v>0.51</v>
      </c>
      <c r="I271" s="6">
        <v>33.37</v>
      </c>
      <c r="J271" s="7">
        <f t="shared" ref="J271:O271" si="484">abs(C271-C270)/200</f>
        <v>0.00515</v>
      </c>
      <c r="K271" s="7">
        <f t="shared" si="484"/>
        <v>0.0039</v>
      </c>
      <c r="L271" s="7">
        <f t="shared" si="484"/>
        <v>0.00105</v>
      </c>
      <c r="M271" s="7">
        <f t="shared" si="484"/>
        <v>0.00055</v>
      </c>
      <c r="N271" s="7">
        <f t="shared" si="484"/>
        <v>0.0006</v>
      </c>
      <c r="O271" s="7">
        <f t="shared" si="484"/>
        <v>0.0026</v>
      </c>
      <c r="P271" s="7">
        <f t="shared" si="7"/>
        <v>0.4223366254</v>
      </c>
      <c r="Q271" s="7">
        <f t="shared" si="8"/>
        <v>0.1523244935</v>
      </c>
      <c r="R271" s="7">
        <f t="shared" si="2"/>
        <v>0.7964663922</v>
      </c>
      <c r="S271" s="7">
        <f t="shared" si="3"/>
        <v>0.5150728104</v>
      </c>
      <c r="T271" s="7">
        <f t="shared" si="4"/>
        <v>1</v>
      </c>
      <c r="U271" s="7">
        <f t="shared" si="5"/>
        <v>1</v>
      </c>
      <c r="V271" s="7">
        <f t="shared" ref="V271:W271" si="485">IF(AVERAGE(T211:T270) &gt; 0.25, 1, 0)</f>
        <v>1</v>
      </c>
      <c r="W271" s="7">
        <f t="shared" si="485"/>
        <v>1</v>
      </c>
      <c r="X271" s="8">
        <v>1.0</v>
      </c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ht="22.5" customHeight="1">
      <c r="A272" s="6">
        <v>271.0</v>
      </c>
      <c r="B272" s="6">
        <v>57767.0</v>
      </c>
      <c r="C272" s="6">
        <v>2.72</v>
      </c>
      <c r="D272" s="6">
        <v>-1.62</v>
      </c>
      <c r="E272" s="6">
        <v>10.63</v>
      </c>
      <c r="F272" s="6">
        <v>0.16</v>
      </c>
      <c r="G272" s="6">
        <v>-0.09</v>
      </c>
      <c r="H272" s="6">
        <v>1.71</v>
      </c>
      <c r="I272" s="6">
        <v>33.36</v>
      </c>
      <c r="J272" s="7">
        <f t="shared" ref="J272:O272" si="486">abs(C272-C271)/200</f>
        <v>0.01215</v>
      </c>
      <c r="K272" s="7">
        <f t="shared" si="486"/>
        <v>0.01155</v>
      </c>
      <c r="L272" s="7">
        <f t="shared" si="486"/>
        <v>0.0003</v>
      </c>
      <c r="M272" s="7">
        <f t="shared" si="486"/>
        <v>0.0006</v>
      </c>
      <c r="N272" s="7">
        <f t="shared" si="486"/>
        <v>0.00015</v>
      </c>
      <c r="O272" s="7">
        <f t="shared" si="486"/>
        <v>0.006</v>
      </c>
      <c r="P272" s="7">
        <f t="shared" si="7"/>
        <v>1.204752762</v>
      </c>
      <c r="Q272" s="7">
        <f t="shared" si="8"/>
        <v>0.4949582233</v>
      </c>
      <c r="R272" s="7">
        <f t="shared" si="2"/>
        <v>1.291424615</v>
      </c>
      <c r="S272" s="7">
        <f t="shared" si="3"/>
        <v>1.719825573</v>
      </c>
      <c r="T272" s="7">
        <f t="shared" si="4"/>
        <v>1</v>
      </c>
      <c r="U272" s="7">
        <f t="shared" si="5"/>
        <v>1</v>
      </c>
      <c r="V272" s="7">
        <f t="shared" ref="V272:W272" si="487">IF(AVERAGE(T212:T271) &gt; 0.25, 1, 0)</f>
        <v>1</v>
      </c>
      <c r="W272" s="7">
        <f t="shared" si="487"/>
        <v>1</v>
      </c>
      <c r="X272" s="8">
        <v>1.0</v>
      </c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ht="22.5" customHeight="1">
      <c r="A273" s="6">
        <v>272.0</v>
      </c>
      <c r="B273" s="6">
        <v>57971.0</v>
      </c>
      <c r="C273" s="6">
        <v>3.34</v>
      </c>
      <c r="D273" s="6">
        <v>-1.71</v>
      </c>
      <c r="E273" s="6">
        <v>10.26</v>
      </c>
      <c r="F273" s="6">
        <v>-0.18</v>
      </c>
      <c r="G273" s="6">
        <v>0.01</v>
      </c>
      <c r="H273" s="6">
        <v>-0.18</v>
      </c>
      <c r="I273" s="6">
        <v>33.37</v>
      </c>
      <c r="J273" s="7">
        <f t="shared" ref="J273:O273" si="488">abs(C273-C272)/200</f>
        <v>0.0031</v>
      </c>
      <c r="K273" s="7">
        <f t="shared" si="488"/>
        <v>0.00045</v>
      </c>
      <c r="L273" s="7">
        <f t="shared" si="488"/>
        <v>0.00185</v>
      </c>
      <c r="M273" s="7">
        <f t="shared" si="488"/>
        <v>0.0017</v>
      </c>
      <c r="N273" s="7">
        <f t="shared" si="488"/>
        <v>0.0005</v>
      </c>
      <c r="O273" s="7">
        <f t="shared" si="488"/>
        <v>0.00945</v>
      </c>
      <c r="P273" s="7">
        <f t="shared" si="7"/>
        <v>1.465070788</v>
      </c>
      <c r="Q273" s="7">
        <f t="shared" si="8"/>
        <v>0.1668056289</v>
      </c>
      <c r="R273" s="7">
        <f t="shared" si="2"/>
        <v>1.124618986</v>
      </c>
      <c r="S273" s="7">
        <f t="shared" si="3"/>
        <v>0.2547547841</v>
      </c>
      <c r="T273" s="7">
        <f t="shared" si="4"/>
        <v>1</v>
      </c>
      <c r="U273" s="7">
        <f t="shared" si="5"/>
        <v>1</v>
      </c>
      <c r="V273" s="7">
        <f t="shared" ref="V273:W273" si="489">IF(AVERAGE(T213:T272) &gt; 0.25, 1, 0)</f>
        <v>1</v>
      </c>
      <c r="W273" s="7">
        <f t="shared" si="489"/>
        <v>1</v>
      </c>
      <c r="X273" s="8">
        <v>1.0</v>
      </c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ht="22.5" customHeight="1">
      <c r="A274" s="6">
        <v>273.0</v>
      </c>
      <c r="B274" s="6">
        <v>58175.0</v>
      </c>
      <c r="C274" s="6">
        <v>1.11</v>
      </c>
      <c r="D274" s="6">
        <v>-0.07</v>
      </c>
      <c r="E274" s="6">
        <v>10.61</v>
      </c>
      <c r="F274" s="6">
        <v>-0.3</v>
      </c>
      <c r="G274" s="6">
        <v>-0.02</v>
      </c>
      <c r="H274" s="6">
        <v>-1.0</v>
      </c>
      <c r="I274" s="6">
        <v>33.36</v>
      </c>
      <c r="J274" s="7">
        <f t="shared" ref="J274:O274" si="490">abs(C274-C273)/200</f>
        <v>0.01115</v>
      </c>
      <c r="K274" s="7">
        <f t="shared" si="490"/>
        <v>0.0082</v>
      </c>
      <c r="L274" s="7">
        <f t="shared" si="490"/>
        <v>0.00175</v>
      </c>
      <c r="M274" s="7">
        <f t="shared" si="490"/>
        <v>0.0006</v>
      </c>
      <c r="N274" s="7">
        <f t="shared" si="490"/>
        <v>0.00015</v>
      </c>
      <c r="O274" s="7">
        <f t="shared" si="490"/>
        <v>0.0041</v>
      </c>
      <c r="P274" s="7">
        <f t="shared" si="7"/>
        <v>0.7894674145</v>
      </c>
      <c r="Q274" s="7">
        <f t="shared" si="8"/>
        <v>0.2564841917</v>
      </c>
      <c r="R274" s="7">
        <f t="shared" si="2"/>
        <v>0.8681347948</v>
      </c>
      <c r="S274" s="7">
        <f t="shared" si="3"/>
        <v>1.044222199</v>
      </c>
      <c r="T274" s="7">
        <f t="shared" si="4"/>
        <v>1</v>
      </c>
      <c r="U274" s="7">
        <f t="shared" si="5"/>
        <v>1</v>
      </c>
      <c r="V274" s="7">
        <f t="shared" ref="V274:W274" si="491">IF(AVERAGE(T214:T273) &gt; 0.25, 1, 0)</f>
        <v>1</v>
      </c>
      <c r="W274" s="7">
        <f t="shared" si="491"/>
        <v>1</v>
      </c>
      <c r="X274" s="8">
        <v>1.0</v>
      </c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ht="22.5" customHeight="1">
      <c r="A275" s="6">
        <v>274.0</v>
      </c>
      <c r="B275" s="6">
        <v>58379.0</v>
      </c>
      <c r="C275" s="6">
        <v>0.3</v>
      </c>
      <c r="D275" s="6">
        <v>0.45</v>
      </c>
      <c r="E275" s="6">
        <v>10.41</v>
      </c>
      <c r="F275" s="6">
        <v>-0.13</v>
      </c>
      <c r="G275" s="6">
        <v>0.11</v>
      </c>
      <c r="H275" s="6">
        <v>-0.43</v>
      </c>
      <c r="I275" s="6">
        <v>33.37</v>
      </c>
      <c r="J275" s="7">
        <f t="shared" ref="J275:O275" si="492">abs(C275-C274)/200</f>
        <v>0.00405</v>
      </c>
      <c r="K275" s="7">
        <f t="shared" si="492"/>
        <v>0.0026</v>
      </c>
      <c r="L275" s="7">
        <f t="shared" si="492"/>
        <v>0.001</v>
      </c>
      <c r="M275" s="7">
        <f t="shared" si="492"/>
        <v>0.00085</v>
      </c>
      <c r="N275" s="7">
        <f t="shared" si="492"/>
        <v>0.00065</v>
      </c>
      <c r="O275" s="7">
        <f t="shared" si="492"/>
        <v>0.00285</v>
      </c>
      <c r="P275" s="7">
        <f t="shared" si="7"/>
        <v>0.5817289554</v>
      </c>
      <c r="Q275" s="7">
        <f t="shared" si="8"/>
        <v>0.2440952707</v>
      </c>
      <c r="R275" s="7">
        <f t="shared" si="2"/>
        <v>0.6240395241</v>
      </c>
      <c r="S275" s="7">
        <f t="shared" si="3"/>
        <v>0.4624932432</v>
      </c>
      <c r="T275" s="7">
        <f t="shared" si="4"/>
        <v>1</v>
      </c>
      <c r="U275" s="7">
        <f t="shared" si="5"/>
        <v>1</v>
      </c>
      <c r="V275" s="7">
        <f t="shared" ref="V275:W275" si="493">IF(AVERAGE(T215:T274) &gt; 0.25, 1, 0)</f>
        <v>1</v>
      </c>
      <c r="W275" s="7">
        <f t="shared" si="493"/>
        <v>1</v>
      </c>
      <c r="X275" s="8">
        <v>1.0</v>
      </c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ht="22.5" customHeight="1">
      <c r="A276" s="6">
        <v>275.0</v>
      </c>
      <c r="B276" s="6">
        <v>58583.0</v>
      </c>
      <c r="C276" s="6">
        <v>0.5</v>
      </c>
      <c r="D276" s="6">
        <v>0.52</v>
      </c>
      <c r="E276" s="6">
        <v>10.75</v>
      </c>
      <c r="F276" s="6">
        <v>0.01</v>
      </c>
      <c r="G276" s="6">
        <v>0.03</v>
      </c>
      <c r="H276" s="6">
        <v>0.18</v>
      </c>
      <c r="I276" s="6">
        <v>33.37</v>
      </c>
      <c r="J276" s="7">
        <f t="shared" ref="J276:O276" si="494">abs(C276-C275)/200</f>
        <v>0.001</v>
      </c>
      <c r="K276" s="7">
        <f t="shared" si="494"/>
        <v>0.00035</v>
      </c>
      <c r="L276" s="7">
        <f t="shared" si="494"/>
        <v>0.0017</v>
      </c>
      <c r="M276" s="7">
        <f t="shared" si="494"/>
        <v>0.0007</v>
      </c>
      <c r="N276" s="7">
        <f t="shared" si="494"/>
        <v>0.0004</v>
      </c>
      <c r="O276" s="7">
        <f t="shared" si="494"/>
        <v>0.00305</v>
      </c>
      <c r="P276" s="7">
        <f t="shared" si="7"/>
        <v>0.2797365744</v>
      </c>
      <c r="Q276" s="7">
        <f t="shared" si="8"/>
        <v>0.3501379387</v>
      </c>
      <c r="R276" s="7">
        <f t="shared" si="2"/>
        <v>0.9741774628</v>
      </c>
      <c r="S276" s="7">
        <f t="shared" si="3"/>
        <v>0.1827566688</v>
      </c>
      <c r="T276" s="7">
        <f t="shared" si="4"/>
        <v>1</v>
      </c>
      <c r="U276" s="7">
        <f t="shared" si="5"/>
        <v>1</v>
      </c>
      <c r="V276" s="7">
        <f t="shared" ref="V276:W276" si="495">IF(AVERAGE(T216:T275) &gt; 0.25, 1, 0)</f>
        <v>1</v>
      </c>
      <c r="W276" s="7">
        <f t="shared" si="495"/>
        <v>1</v>
      </c>
      <c r="X276" s="8">
        <v>1.0</v>
      </c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ht="22.5" customHeight="1">
      <c r="A277" s="6">
        <v>276.0</v>
      </c>
      <c r="B277" s="6">
        <v>58787.0</v>
      </c>
      <c r="C277" s="6">
        <v>1.83</v>
      </c>
      <c r="D277" s="6">
        <v>-1.11</v>
      </c>
      <c r="E277" s="6">
        <v>10.71</v>
      </c>
      <c r="F277" s="6">
        <v>0.05</v>
      </c>
      <c r="G277" s="6">
        <v>0.16</v>
      </c>
      <c r="H277" s="6">
        <v>0.89</v>
      </c>
      <c r="I277" s="6">
        <v>33.37</v>
      </c>
      <c r="J277" s="7">
        <f t="shared" ref="J277:O277" si="496">abs(C277-C276)/200</f>
        <v>0.00665</v>
      </c>
      <c r="K277" s="7">
        <f t="shared" si="496"/>
        <v>0.00815</v>
      </c>
      <c r="L277" s="7">
        <f t="shared" si="496"/>
        <v>0.0002</v>
      </c>
      <c r="M277" s="7">
        <f t="shared" si="496"/>
        <v>0.0002</v>
      </c>
      <c r="N277" s="7">
        <f t="shared" si="496"/>
        <v>0.00065</v>
      </c>
      <c r="O277" s="7">
        <f t="shared" si="496"/>
        <v>0.00355</v>
      </c>
      <c r="P277" s="7">
        <f t="shared" si="7"/>
        <v>0.7228922698</v>
      </c>
      <c r="Q277" s="7">
        <f t="shared" si="8"/>
        <v>0.1475943715</v>
      </c>
      <c r="R277" s="7">
        <f t="shared" si="2"/>
        <v>1.121771834</v>
      </c>
      <c r="S277" s="7">
        <f t="shared" si="3"/>
        <v>0.9056489386</v>
      </c>
      <c r="T277" s="7">
        <f t="shared" si="4"/>
        <v>1</v>
      </c>
      <c r="U277" s="7">
        <f t="shared" si="5"/>
        <v>1</v>
      </c>
      <c r="V277" s="7">
        <f t="shared" ref="V277:W277" si="497">IF(AVERAGE(T217:T276) &gt; 0.25, 1, 0)</f>
        <v>1</v>
      </c>
      <c r="W277" s="7">
        <f t="shared" si="497"/>
        <v>1</v>
      </c>
      <c r="X277" s="8">
        <v>1.0</v>
      </c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ht="22.5" customHeight="1">
      <c r="A278" s="6">
        <v>277.0</v>
      </c>
      <c r="B278" s="6">
        <v>58991.0</v>
      </c>
      <c r="C278" s="6">
        <v>1.12</v>
      </c>
      <c r="D278" s="6">
        <v>-1.1</v>
      </c>
      <c r="E278" s="6">
        <v>10.7</v>
      </c>
      <c r="F278" s="6">
        <v>-0.14</v>
      </c>
      <c r="G278" s="6">
        <v>-0.27</v>
      </c>
      <c r="H278" s="6">
        <v>0.21</v>
      </c>
      <c r="I278" s="6">
        <v>33.37</v>
      </c>
      <c r="J278" s="7">
        <f t="shared" ref="J278:O278" si="498">abs(C278-C277)/200</f>
        <v>0.00355</v>
      </c>
      <c r="K278" s="7">
        <f t="shared" si="498"/>
        <v>0.00005</v>
      </c>
      <c r="L278" s="7">
        <f t="shared" si="498"/>
        <v>0.00005</v>
      </c>
      <c r="M278" s="7">
        <f t="shared" si="498"/>
        <v>0.00095</v>
      </c>
      <c r="N278" s="7">
        <f t="shared" si="498"/>
        <v>0.00215</v>
      </c>
      <c r="O278" s="7">
        <f t="shared" si="498"/>
        <v>0.0034</v>
      </c>
      <c r="P278" s="7">
        <f t="shared" si="7"/>
        <v>0.5360545664</v>
      </c>
      <c r="Q278" s="7">
        <f t="shared" si="8"/>
        <v>0.1072260741</v>
      </c>
      <c r="R278" s="7">
        <f t="shared" si="2"/>
        <v>1.01454576</v>
      </c>
      <c r="S278" s="7">
        <f t="shared" si="3"/>
        <v>0.3695943723</v>
      </c>
      <c r="T278" s="7">
        <f t="shared" si="4"/>
        <v>1</v>
      </c>
      <c r="U278" s="7">
        <f t="shared" si="5"/>
        <v>1</v>
      </c>
      <c r="V278" s="7">
        <f t="shared" ref="V278:W278" si="499">IF(AVERAGE(T218:T277) &gt; 0.25, 1, 0)</f>
        <v>1</v>
      </c>
      <c r="W278" s="7">
        <f t="shared" si="499"/>
        <v>1</v>
      </c>
      <c r="X278" s="8">
        <v>1.0</v>
      </c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ht="22.5" customHeight="1">
      <c r="A279" s="6">
        <v>278.0</v>
      </c>
      <c r="B279" s="6">
        <v>59195.0</v>
      </c>
      <c r="C279" s="6">
        <v>1.7</v>
      </c>
      <c r="D279" s="6">
        <v>-0.64</v>
      </c>
      <c r="E279" s="6">
        <v>10.56</v>
      </c>
      <c r="F279" s="6">
        <v>-0.22</v>
      </c>
      <c r="G279" s="6">
        <v>-0.07</v>
      </c>
      <c r="H279" s="6">
        <v>-0.53</v>
      </c>
      <c r="I279" s="6">
        <v>33.36</v>
      </c>
      <c r="J279" s="7">
        <f t="shared" ref="J279:O279" si="500">abs(C279-C278)/200</f>
        <v>0.0029</v>
      </c>
      <c r="K279" s="7">
        <f t="shared" si="500"/>
        <v>0.0023</v>
      </c>
      <c r="L279" s="7">
        <f t="shared" si="500"/>
        <v>0.0007</v>
      </c>
      <c r="M279" s="7">
        <f t="shared" si="500"/>
        <v>0.0004</v>
      </c>
      <c r="N279" s="7">
        <f t="shared" si="500"/>
        <v>0.001</v>
      </c>
      <c r="O279" s="7">
        <f t="shared" si="500"/>
        <v>0.0037</v>
      </c>
      <c r="P279" s="7">
        <f t="shared" si="7"/>
        <v>0.2085059651</v>
      </c>
      <c r="Q279" s="7">
        <f t="shared" si="8"/>
        <v>0.0994536001</v>
      </c>
      <c r="R279" s="7">
        <f t="shared" si="2"/>
        <v>0.9150921601</v>
      </c>
      <c r="S279" s="7">
        <f t="shared" si="3"/>
        <v>0.5781003373</v>
      </c>
      <c r="T279" s="7">
        <f t="shared" si="4"/>
        <v>1</v>
      </c>
      <c r="U279" s="7">
        <f t="shared" si="5"/>
        <v>1</v>
      </c>
      <c r="V279" s="7">
        <f t="shared" ref="V279:W279" si="501">IF(AVERAGE(T219:T278) &gt; 0.25, 1, 0)</f>
        <v>1</v>
      </c>
      <c r="W279" s="7">
        <f t="shared" si="501"/>
        <v>1</v>
      </c>
      <c r="X279" s="8">
        <v>1.0</v>
      </c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ht="22.5" customHeight="1">
      <c r="A280" s="6">
        <v>279.0</v>
      </c>
      <c r="B280" s="6">
        <v>59399.0</v>
      </c>
      <c r="C280" s="6">
        <v>0.7</v>
      </c>
      <c r="D280" s="6">
        <v>0.23</v>
      </c>
      <c r="E280" s="6">
        <v>10.75</v>
      </c>
      <c r="F280" s="6">
        <v>-0.23</v>
      </c>
      <c r="G280" s="6">
        <v>-0.09</v>
      </c>
      <c r="H280" s="6">
        <v>-0.85</v>
      </c>
      <c r="I280" s="6">
        <v>33.37</v>
      </c>
      <c r="J280" s="7">
        <f t="shared" ref="J280:O280" si="502">abs(C280-C279)/200</f>
        <v>0.005</v>
      </c>
      <c r="K280" s="7">
        <f t="shared" si="502"/>
        <v>0.00435</v>
      </c>
      <c r="L280" s="7">
        <f t="shared" si="502"/>
        <v>0.00095</v>
      </c>
      <c r="M280" s="7">
        <f t="shared" si="502"/>
        <v>0.00005</v>
      </c>
      <c r="N280" s="7">
        <f t="shared" si="502"/>
        <v>0.0001</v>
      </c>
      <c r="O280" s="7">
        <f t="shared" si="502"/>
        <v>0.0016</v>
      </c>
      <c r="P280" s="7">
        <f t="shared" si="7"/>
        <v>0.3070550163</v>
      </c>
      <c r="Q280" s="7">
        <f t="shared" si="8"/>
        <v>0.06012941532</v>
      </c>
      <c r="R280" s="7">
        <f t="shared" si="2"/>
        <v>0.9752215754</v>
      </c>
      <c r="S280" s="7">
        <f t="shared" si="3"/>
        <v>0.8851553536</v>
      </c>
      <c r="T280" s="7">
        <f t="shared" si="4"/>
        <v>1</v>
      </c>
      <c r="U280" s="7">
        <f t="shared" si="5"/>
        <v>1</v>
      </c>
      <c r="V280" s="7">
        <f t="shared" ref="V280:W280" si="503">IF(AVERAGE(T220:T279) &gt; 0.25, 1, 0)</f>
        <v>1</v>
      </c>
      <c r="W280" s="7">
        <f t="shared" si="503"/>
        <v>1</v>
      </c>
      <c r="X280" s="8">
        <v>1.0</v>
      </c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ht="22.5" customHeight="1">
      <c r="A281" s="6">
        <v>280.0</v>
      </c>
      <c r="B281" s="6">
        <v>59603.0</v>
      </c>
      <c r="C281" s="6">
        <v>1.0</v>
      </c>
      <c r="D281" s="6">
        <v>0.36</v>
      </c>
      <c r="E281" s="6">
        <v>10.74</v>
      </c>
      <c r="F281" s="6">
        <v>-0.09</v>
      </c>
      <c r="G281" s="6">
        <v>0.16</v>
      </c>
      <c r="H281" s="6">
        <v>-0.21</v>
      </c>
      <c r="I281" s="6">
        <v>33.37</v>
      </c>
      <c r="J281" s="7">
        <f t="shared" ref="J281:O281" si="504">abs(C281-C280)/200</f>
        <v>0.0015</v>
      </c>
      <c r="K281" s="7">
        <f t="shared" si="504"/>
        <v>0.00065</v>
      </c>
      <c r="L281" s="7">
        <f t="shared" si="504"/>
        <v>0.00005</v>
      </c>
      <c r="M281" s="7">
        <f t="shared" si="504"/>
        <v>0.0007</v>
      </c>
      <c r="N281" s="7">
        <f t="shared" si="504"/>
        <v>0.00125</v>
      </c>
      <c r="O281" s="7">
        <f t="shared" si="504"/>
        <v>0.0032</v>
      </c>
      <c r="P281" s="7">
        <f t="shared" si="7"/>
        <v>0.60622884</v>
      </c>
      <c r="Q281" s="7">
        <f t="shared" si="8"/>
        <v>0.01723875573</v>
      </c>
      <c r="R281" s="7">
        <f t="shared" si="2"/>
        <v>0.9924603312</v>
      </c>
      <c r="S281" s="7">
        <f t="shared" si="3"/>
        <v>0.2789265136</v>
      </c>
      <c r="T281" s="7">
        <f t="shared" si="4"/>
        <v>1</v>
      </c>
      <c r="U281" s="7">
        <f t="shared" si="5"/>
        <v>1</v>
      </c>
      <c r="V281" s="7">
        <f t="shared" ref="V281:W281" si="505">IF(AVERAGE(T221:T280) &gt; 0.25, 1, 0)</f>
        <v>1</v>
      </c>
      <c r="W281" s="7">
        <f t="shared" si="505"/>
        <v>1</v>
      </c>
      <c r="X281" s="8">
        <v>1.0</v>
      </c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ht="22.5" customHeight="1">
      <c r="A282" s="6">
        <v>281.0</v>
      </c>
      <c r="B282" s="6">
        <v>59807.0</v>
      </c>
      <c r="C282" s="6">
        <v>0.74</v>
      </c>
      <c r="D282" s="6">
        <v>0.4</v>
      </c>
      <c r="E282" s="6">
        <v>10.76</v>
      </c>
      <c r="F282" s="6">
        <v>-0.04</v>
      </c>
      <c r="G282" s="6">
        <v>0.06</v>
      </c>
      <c r="H282" s="6">
        <v>0.15</v>
      </c>
      <c r="I282" s="6">
        <v>33.37</v>
      </c>
      <c r="J282" s="7">
        <f t="shared" ref="J282:O282" si="506">abs(C282-C281)/200</f>
        <v>0.0013</v>
      </c>
      <c r="K282" s="7">
        <f t="shared" si="506"/>
        <v>0.0002</v>
      </c>
      <c r="L282" s="7">
        <f t="shared" si="506"/>
        <v>0.0001</v>
      </c>
      <c r="M282" s="7">
        <f t="shared" si="506"/>
        <v>0.00025</v>
      </c>
      <c r="N282" s="7">
        <f t="shared" si="506"/>
        <v>0.0005</v>
      </c>
      <c r="O282" s="7">
        <f t="shared" si="506"/>
        <v>0.0018</v>
      </c>
      <c r="P282" s="7">
        <f t="shared" si="7"/>
        <v>0.1124933438</v>
      </c>
      <c r="Q282" s="7">
        <f t="shared" si="8"/>
        <v>0.0003706227493</v>
      </c>
      <c r="R282" s="7">
        <f t="shared" si="2"/>
        <v>0.9928309539</v>
      </c>
      <c r="S282" s="7">
        <f t="shared" si="3"/>
        <v>0.1664331698</v>
      </c>
      <c r="T282" s="7">
        <f t="shared" si="4"/>
        <v>1</v>
      </c>
      <c r="U282" s="7">
        <f t="shared" si="5"/>
        <v>1</v>
      </c>
      <c r="V282" s="7">
        <f t="shared" ref="V282:W282" si="507">IF(AVERAGE(T222:T281) &gt; 0.25, 1, 0)</f>
        <v>1</v>
      </c>
      <c r="W282" s="7">
        <f t="shared" si="507"/>
        <v>1</v>
      </c>
      <c r="X282" s="8">
        <v>1.0</v>
      </c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ht="22.5" customHeight="1">
      <c r="A283" s="6">
        <v>282.0</v>
      </c>
      <c r="B283" s="6">
        <v>60011.0</v>
      </c>
      <c r="C283" s="6">
        <v>0.49</v>
      </c>
      <c r="D283" s="6">
        <v>-0.7</v>
      </c>
      <c r="E283" s="6">
        <v>10.73</v>
      </c>
      <c r="F283" s="6">
        <v>0.01</v>
      </c>
      <c r="G283" s="6">
        <v>0.08</v>
      </c>
      <c r="H283" s="6">
        <v>0.71</v>
      </c>
      <c r="I283" s="6">
        <v>33.37</v>
      </c>
      <c r="J283" s="7">
        <f t="shared" ref="J283:O283" si="508">abs(C283-C282)/200</f>
        <v>0.00125</v>
      </c>
      <c r="K283" s="7">
        <f t="shared" si="508"/>
        <v>0.0055</v>
      </c>
      <c r="L283" s="7">
        <f t="shared" si="508"/>
        <v>0.00015</v>
      </c>
      <c r="M283" s="7">
        <f t="shared" si="508"/>
        <v>0.00025</v>
      </c>
      <c r="N283" s="7">
        <f t="shared" si="508"/>
        <v>0.0001</v>
      </c>
      <c r="O283" s="7">
        <f t="shared" si="508"/>
        <v>0.0028</v>
      </c>
      <c r="P283" s="7">
        <f t="shared" si="7"/>
        <v>0.5481296336</v>
      </c>
      <c r="Q283" s="7">
        <f t="shared" si="8"/>
        <v>0.02886328396</v>
      </c>
      <c r="R283" s="7">
        <f t="shared" si="2"/>
        <v>0.96396767</v>
      </c>
      <c r="S283" s="7">
        <f t="shared" si="3"/>
        <v>0.7145628034</v>
      </c>
      <c r="T283" s="7">
        <f t="shared" si="4"/>
        <v>1</v>
      </c>
      <c r="U283" s="7">
        <f t="shared" si="5"/>
        <v>1</v>
      </c>
      <c r="V283" s="7">
        <f t="shared" ref="V283:W283" si="509">IF(AVERAGE(T223:T282) &gt; 0.25, 1, 0)</f>
        <v>1</v>
      </c>
      <c r="W283" s="7">
        <f t="shared" si="509"/>
        <v>1</v>
      </c>
      <c r="X283" s="8">
        <v>1.0</v>
      </c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ht="22.5" customHeight="1">
      <c r="A284" s="6">
        <v>283.0</v>
      </c>
      <c r="B284" s="6">
        <v>60215.0</v>
      </c>
      <c r="C284" s="6">
        <v>1.99</v>
      </c>
      <c r="D284" s="6">
        <v>-1.39</v>
      </c>
      <c r="E284" s="6">
        <v>10.64</v>
      </c>
      <c r="F284" s="6">
        <v>0.04</v>
      </c>
      <c r="G284" s="6">
        <v>-0.16</v>
      </c>
      <c r="H284" s="6">
        <v>1.15</v>
      </c>
      <c r="I284" s="6">
        <v>33.37</v>
      </c>
      <c r="J284" s="7">
        <f t="shared" ref="J284:O284" si="510">abs(C284-C283)/200</f>
        <v>0.0075</v>
      </c>
      <c r="K284" s="7">
        <f t="shared" si="510"/>
        <v>0.00345</v>
      </c>
      <c r="L284" s="7">
        <f t="shared" si="510"/>
        <v>0.00045</v>
      </c>
      <c r="M284" s="7">
        <f t="shared" si="510"/>
        <v>0.00015</v>
      </c>
      <c r="N284" s="7">
        <f t="shared" si="510"/>
        <v>0.0012</v>
      </c>
      <c r="O284" s="7">
        <f t="shared" si="510"/>
        <v>0.0022</v>
      </c>
      <c r="P284" s="7">
        <f t="shared" si="7"/>
        <v>0.4472030938</v>
      </c>
      <c r="Q284" s="7">
        <f t="shared" si="8"/>
        <v>0.1494094426</v>
      </c>
      <c r="R284" s="7">
        <f t="shared" si="2"/>
        <v>1.113377113</v>
      </c>
      <c r="S284" s="7">
        <f t="shared" si="3"/>
        <v>1.161765897</v>
      </c>
      <c r="T284" s="7">
        <f t="shared" si="4"/>
        <v>1</v>
      </c>
      <c r="U284" s="7">
        <f t="shared" si="5"/>
        <v>1</v>
      </c>
      <c r="V284" s="7">
        <f t="shared" ref="V284:W284" si="511">IF(AVERAGE(T224:T283) &gt; 0.25, 1, 0)</f>
        <v>1</v>
      </c>
      <c r="W284" s="7">
        <f t="shared" si="511"/>
        <v>1</v>
      </c>
      <c r="X284" s="8">
        <v>1.0</v>
      </c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ht="22.5" customHeight="1">
      <c r="A285" s="6">
        <v>284.0</v>
      </c>
      <c r="B285" s="6">
        <v>60419.0</v>
      </c>
      <c r="C285" s="6">
        <v>2.16</v>
      </c>
      <c r="D285" s="6">
        <v>-1.1</v>
      </c>
      <c r="E285" s="6">
        <v>10.63</v>
      </c>
      <c r="F285" s="6">
        <v>-0.2</v>
      </c>
      <c r="G285" s="6">
        <v>-0.14</v>
      </c>
      <c r="H285" s="6">
        <v>-0.22</v>
      </c>
      <c r="I285" s="6">
        <v>33.37</v>
      </c>
      <c r="J285" s="7">
        <f t="shared" ref="J285:O285" si="512">abs(C285-C284)/200</f>
        <v>0.00085</v>
      </c>
      <c r="K285" s="7">
        <f t="shared" si="512"/>
        <v>0.00145</v>
      </c>
      <c r="L285" s="7">
        <f t="shared" si="512"/>
        <v>0.00005</v>
      </c>
      <c r="M285" s="7">
        <f t="shared" si="512"/>
        <v>0.0012</v>
      </c>
      <c r="N285" s="7">
        <f t="shared" si="512"/>
        <v>0.0001</v>
      </c>
      <c r="O285" s="7">
        <f t="shared" si="512"/>
        <v>0.00685</v>
      </c>
      <c r="P285" s="7">
        <f t="shared" si="7"/>
        <v>0.8331323627</v>
      </c>
      <c r="Q285" s="7">
        <f t="shared" si="8"/>
        <v>0.01051051698</v>
      </c>
      <c r="R285" s="7">
        <f t="shared" si="2"/>
        <v>1.102866596</v>
      </c>
      <c r="S285" s="7">
        <f t="shared" si="3"/>
        <v>0.3286335345</v>
      </c>
      <c r="T285" s="7">
        <f t="shared" si="4"/>
        <v>1</v>
      </c>
      <c r="U285" s="7">
        <f t="shared" si="5"/>
        <v>1</v>
      </c>
      <c r="V285" s="7">
        <f t="shared" ref="V285:W285" si="513">IF(AVERAGE(T225:T284) &gt; 0.25, 1, 0)</f>
        <v>1</v>
      </c>
      <c r="W285" s="7">
        <f t="shared" si="513"/>
        <v>1</v>
      </c>
      <c r="X285" s="8">
        <v>1.0</v>
      </c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ht="22.5" customHeight="1">
      <c r="A286" s="6">
        <v>285.0</v>
      </c>
      <c r="B286" s="6">
        <v>60623.0</v>
      </c>
      <c r="C286" s="6">
        <v>-0.26</v>
      </c>
      <c r="D286" s="6">
        <v>1.33</v>
      </c>
      <c r="E286" s="6">
        <v>10.89</v>
      </c>
      <c r="F286" s="6">
        <v>-0.24</v>
      </c>
      <c r="G286" s="6">
        <v>0.02</v>
      </c>
      <c r="H286" s="6">
        <v>-0.81</v>
      </c>
      <c r="I286" s="6">
        <v>33.38</v>
      </c>
      <c r="J286" s="7">
        <f t="shared" ref="J286:O286" si="514">abs(C286-C285)/200</f>
        <v>0.0121</v>
      </c>
      <c r="K286" s="7">
        <f t="shared" si="514"/>
        <v>0.01215</v>
      </c>
      <c r="L286" s="7">
        <f t="shared" si="514"/>
        <v>0.0013</v>
      </c>
      <c r="M286" s="7">
        <f t="shared" si="514"/>
        <v>0.0002</v>
      </c>
      <c r="N286" s="7">
        <f t="shared" si="514"/>
        <v>0.0008</v>
      </c>
      <c r="O286" s="7">
        <f t="shared" si="514"/>
        <v>0.00295</v>
      </c>
      <c r="P286" s="7">
        <f t="shared" si="7"/>
        <v>0.516410843</v>
      </c>
      <c r="Q286" s="7">
        <f t="shared" si="8"/>
        <v>0.07112994174</v>
      </c>
      <c r="R286" s="7">
        <f t="shared" si="2"/>
        <v>1.173996537</v>
      </c>
      <c r="S286" s="7">
        <f t="shared" si="3"/>
        <v>0.8450443775</v>
      </c>
      <c r="T286" s="7">
        <f t="shared" si="4"/>
        <v>1</v>
      </c>
      <c r="U286" s="7">
        <f t="shared" si="5"/>
        <v>1</v>
      </c>
      <c r="V286" s="7">
        <f t="shared" ref="V286:W286" si="515">IF(AVERAGE(T226:T285) &gt; 0.25, 1, 0)</f>
        <v>1</v>
      </c>
      <c r="W286" s="7">
        <f t="shared" si="515"/>
        <v>1</v>
      </c>
      <c r="X286" s="8">
        <v>1.0</v>
      </c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ht="22.5" customHeight="1">
      <c r="A287" s="6">
        <v>286.0</v>
      </c>
      <c r="B287" s="6">
        <v>60827.0</v>
      </c>
      <c r="C287" s="6">
        <v>0.57</v>
      </c>
      <c r="D287" s="6">
        <v>0.97</v>
      </c>
      <c r="E287" s="6">
        <v>10.73</v>
      </c>
      <c r="F287" s="6">
        <v>-0.04</v>
      </c>
      <c r="G287" s="6">
        <v>0.12</v>
      </c>
      <c r="H287" s="6">
        <v>0.3</v>
      </c>
      <c r="I287" s="6">
        <v>33.38</v>
      </c>
      <c r="J287" s="7">
        <f t="shared" ref="J287:O287" si="516">abs(C287-C286)/200</f>
        <v>0.00415</v>
      </c>
      <c r="K287" s="7">
        <f t="shared" si="516"/>
        <v>0.0018</v>
      </c>
      <c r="L287" s="7">
        <f t="shared" si="516"/>
        <v>0.0008</v>
      </c>
      <c r="M287" s="7">
        <f t="shared" si="516"/>
        <v>0.001</v>
      </c>
      <c r="N287" s="7">
        <f t="shared" si="516"/>
        <v>0.0005</v>
      </c>
      <c r="O287" s="7">
        <f t="shared" si="516"/>
        <v>0.00555</v>
      </c>
      <c r="P287" s="7">
        <f t="shared" si="7"/>
        <v>0.5194679656</v>
      </c>
      <c r="Q287" s="7">
        <f t="shared" si="8"/>
        <v>0.1851736172</v>
      </c>
      <c r="R287" s="7">
        <f t="shared" si="2"/>
        <v>0.98882292</v>
      </c>
      <c r="S287" s="7">
        <f t="shared" si="3"/>
        <v>0.3255764119</v>
      </c>
      <c r="T287" s="7">
        <f t="shared" si="4"/>
        <v>1</v>
      </c>
      <c r="U287" s="7">
        <f t="shared" si="5"/>
        <v>1</v>
      </c>
      <c r="V287" s="7">
        <f t="shared" ref="V287:W287" si="517">IF(AVERAGE(T227:T286) &gt; 0.25, 1, 0)</f>
        <v>1</v>
      </c>
      <c r="W287" s="7">
        <f t="shared" si="517"/>
        <v>1</v>
      </c>
      <c r="X287" s="8">
        <v>1.0</v>
      </c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ht="22.5" customHeight="1">
      <c r="A288" s="6">
        <v>287.0</v>
      </c>
      <c r="B288" s="6">
        <v>61031.0</v>
      </c>
      <c r="C288" s="6">
        <v>0.0</v>
      </c>
      <c r="D288" s="6">
        <v>0.56</v>
      </c>
      <c r="E288" s="6">
        <v>10.76</v>
      </c>
      <c r="F288" s="6">
        <v>-0.02</v>
      </c>
      <c r="G288" s="6">
        <v>0.04</v>
      </c>
      <c r="H288" s="6">
        <v>0.19</v>
      </c>
      <c r="I288" s="6">
        <v>33.37</v>
      </c>
      <c r="J288" s="7">
        <f t="shared" ref="J288:O288" si="518">abs(C288-C287)/200</f>
        <v>0.00285</v>
      </c>
      <c r="K288" s="7">
        <f t="shared" si="518"/>
        <v>0.00205</v>
      </c>
      <c r="L288" s="7">
        <f t="shared" si="518"/>
        <v>0.00015</v>
      </c>
      <c r="M288" s="7">
        <f t="shared" si="518"/>
        <v>0.0001</v>
      </c>
      <c r="N288" s="7">
        <f t="shared" si="518"/>
        <v>0.0004</v>
      </c>
      <c r="O288" s="7">
        <f t="shared" si="518"/>
        <v>0.00055</v>
      </c>
      <c r="P288" s="7">
        <f t="shared" si="7"/>
        <v>0.130384199</v>
      </c>
      <c r="Q288" s="7">
        <f t="shared" si="8"/>
        <v>0.01426028391</v>
      </c>
      <c r="R288" s="7">
        <f t="shared" si="2"/>
        <v>0.9745626361</v>
      </c>
      <c r="S288" s="7">
        <f t="shared" si="3"/>
        <v>0.195192213</v>
      </c>
      <c r="T288" s="7">
        <f t="shared" si="4"/>
        <v>1</v>
      </c>
      <c r="U288" s="7">
        <f t="shared" si="5"/>
        <v>1</v>
      </c>
      <c r="V288" s="7">
        <f t="shared" ref="V288:W288" si="519">IF(AVERAGE(T228:T287) &gt; 0.25, 1, 0)</f>
        <v>1</v>
      </c>
      <c r="W288" s="7">
        <f t="shared" si="519"/>
        <v>1</v>
      </c>
      <c r="X288" s="8">
        <v>1.0</v>
      </c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ht="22.5" customHeight="1">
      <c r="A289" s="6">
        <v>288.0</v>
      </c>
      <c r="B289" s="6">
        <v>61235.0</v>
      </c>
      <c r="C289" s="6">
        <v>2.51</v>
      </c>
      <c r="D289" s="6">
        <v>-1.7</v>
      </c>
      <c r="E289" s="6">
        <v>10.57</v>
      </c>
      <c r="F289" s="6">
        <v>-0.04</v>
      </c>
      <c r="G289" s="6">
        <v>0.06</v>
      </c>
      <c r="H289" s="6">
        <v>0.41</v>
      </c>
      <c r="I289" s="6">
        <v>33.38</v>
      </c>
      <c r="J289" s="7">
        <f t="shared" ref="J289:O289" si="520">abs(C289-C288)/200</f>
        <v>0.01255</v>
      </c>
      <c r="K289" s="7">
        <f t="shared" si="520"/>
        <v>0.0113</v>
      </c>
      <c r="L289" s="7">
        <f t="shared" si="520"/>
        <v>0.00095</v>
      </c>
      <c r="M289" s="7">
        <f t="shared" si="520"/>
        <v>0.0001</v>
      </c>
      <c r="N289" s="7">
        <f t="shared" si="520"/>
        <v>0.0001</v>
      </c>
      <c r="O289" s="7">
        <f t="shared" si="520"/>
        <v>0.0011</v>
      </c>
      <c r="P289" s="7">
        <f t="shared" si="7"/>
        <v>0.221100953</v>
      </c>
      <c r="Q289" s="7">
        <f t="shared" si="8"/>
        <v>0.2215730487</v>
      </c>
      <c r="R289" s="7">
        <f t="shared" si="2"/>
        <v>1.196135685</v>
      </c>
      <c r="S289" s="7">
        <f t="shared" si="3"/>
        <v>0.4162931659</v>
      </c>
      <c r="T289" s="7">
        <f t="shared" si="4"/>
        <v>1</v>
      </c>
      <c r="U289" s="7">
        <f t="shared" si="5"/>
        <v>1</v>
      </c>
      <c r="V289" s="7">
        <f t="shared" ref="V289:W289" si="521">IF(AVERAGE(T229:T288) &gt; 0.25, 1, 0)</f>
        <v>1</v>
      </c>
      <c r="W289" s="7">
        <f t="shared" si="521"/>
        <v>1</v>
      </c>
      <c r="X289" s="8">
        <v>1.0</v>
      </c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ht="22.5" customHeight="1">
      <c r="A290" s="6">
        <v>289.0</v>
      </c>
      <c r="B290" s="6">
        <v>61439.0</v>
      </c>
      <c r="C290" s="6">
        <v>1.35</v>
      </c>
      <c r="D290" s="6">
        <v>-0.49</v>
      </c>
      <c r="E290" s="6">
        <v>10.66</v>
      </c>
      <c r="F290" s="6">
        <v>-0.15</v>
      </c>
      <c r="G290" s="6">
        <v>-0.09</v>
      </c>
      <c r="H290" s="6">
        <v>-0.16</v>
      </c>
      <c r="I290" s="6">
        <v>33.38</v>
      </c>
      <c r="J290" s="7">
        <f t="shared" ref="J290:O290" si="522">abs(C290-C289)/200</f>
        <v>0.0058</v>
      </c>
      <c r="K290" s="7">
        <f t="shared" si="522"/>
        <v>0.00605</v>
      </c>
      <c r="L290" s="7">
        <f t="shared" si="522"/>
        <v>0.00045</v>
      </c>
      <c r="M290" s="7">
        <f t="shared" si="522"/>
        <v>0.00055</v>
      </c>
      <c r="N290" s="7">
        <f t="shared" si="522"/>
        <v>0.00075</v>
      </c>
      <c r="O290" s="7">
        <f t="shared" si="522"/>
        <v>0.00285</v>
      </c>
      <c r="P290" s="7">
        <f t="shared" si="7"/>
        <v>0.1792277741</v>
      </c>
      <c r="Q290" s="7">
        <f t="shared" si="8"/>
        <v>0.2398259087</v>
      </c>
      <c r="R290" s="7">
        <f t="shared" si="2"/>
        <v>0.9563097761</v>
      </c>
      <c r="S290" s="7">
        <f t="shared" si="3"/>
        <v>0.2370653918</v>
      </c>
      <c r="T290" s="7">
        <f t="shared" si="4"/>
        <v>1</v>
      </c>
      <c r="U290" s="7">
        <f t="shared" si="5"/>
        <v>1</v>
      </c>
      <c r="V290" s="7">
        <f t="shared" ref="V290:W290" si="523">IF(AVERAGE(T230:T289) &gt; 0.25, 1, 0)</f>
        <v>1</v>
      </c>
      <c r="W290" s="7">
        <f t="shared" si="523"/>
        <v>1</v>
      </c>
      <c r="X290" s="8">
        <v>1.0</v>
      </c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ht="22.5" customHeight="1">
      <c r="A291" s="6">
        <v>290.0</v>
      </c>
      <c r="B291" s="6">
        <v>61643.0</v>
      </c>
      <c r="C291" s="6">
        <v>1.82</v>
      </c>
      <c r="D291" s="6">
        <v>-0.43</v>
      </c>
      <c r="E291" s="6">
        <v>10.72</v>
      </c>
      <c r="F291" s="6">
        <v>-0.21</v>
      </c>
      <c r="G291" s="6">
        <v>-0.03</v>
      </c>
      <c r="H291" s="6">
        <v>-0.67</v>
      </c>
      <c r="I291" s="6">
        <v>33.38</v>
      </c>
      <c r="J291" s="7">
        <f t="shared" ref="J291:O291" si="524">abs(C291-C290)/200</f>
        <v>0.00235</v>
      </c>
      <c r="K291" s="7">
        <f t="shared" si="524"/>
        <v>0.0003</v>
      </c>
      <c r="L291" s="7">
        <f t="shared" si="524"/>
        <v>0.0003</v>
      </c>
      <c r="M291" s="7">
        <f t="shared" si="524"/>
        <v>0.0003</v>
      </c>
      <c r="N291" s="7">
        <f t="shared" si="524"/>
        <v>0.0003</v>
      </c>
      <c r="O291" s="7">
        <f t="shared" si="524"/>
        <v>0.00255</v>
      </c>
      <c r="P291" s="7">
        <f t="shared" si="7"/>
        <v>0.4657148014</v>
      </c>
      <c r="Q291" s="7">
        <f t="shared" si="8"/>
        <v>0.1255880363</v>
      </c>
      <c r="R291" s="7">
        <f t="shared" si="2"/>
        <v>1.081897812</v>
      </c>
      <c r="S291" s="7">
        <f t="shared" si="3"/>
        <v>0.7027801932</v>
      </c>
      <c r="T291" s="7">
        <f t="shared" si="4"/>
        <v>1</v>
      </c>
      <c r="U291" s="7">
        <f t="shared" si="5"/>
        <v>1</v>
      </c>
      <c r="V291" s="7">
        <f t="shared" ref="V291:W291" si="525">IF(AVERAGE(T231:T290) &gt; 0.25, 1, 0)</f>
        <v>1</v>
      </c>
      <c r="W291" s="7">
        <f t="shared" si="525"/>
        <v>1</v>
      </c>
      <c r="X291" s="8">
        <v>1.0</v>
      </c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ht="22.5" customHeight="1">
      <c r="A292" s="6">
        <v>291.0</v>
      </c>
      <c r="B292" s="6">
        <v>61847.0</v>
      </c>
      <c r="C292" s="6">
        <v>-0.09</v>
      </c>
      <c r="D292" s="6">
        <v>0.89</v>
      </c>
      <c r="E292" s="6">
        <v>10.86</v>
      </c>
      <c r="F292" s="6">
        <v>-0.27</v>
      </c>
      <c r="G292" s="6">
        <v>0.07</v>
      </c>
      <c r="H292" s="6">
        <v>-1.27</v>
      </c>
      <c r="I292" s="6">
        <v>33.37</v>
      </c>
      <c r="J292" s="7">
        <f t="shared" ref="J292:O292" si="526">abs(C292-C291)/200</f>
        <v>0.00955</v>
      </c>
      <c r="K292" s="7">
        <f t="shared" si="526"/>
        <v>0.0066</v>
      </c>
      <c r="L292" s="7">
        <f t="shared" si="526"/>
        <v>0.0007</v>
      </c>
      <c r="M292" s="7">
        <f t="shared" si="526"/>
        <v>0.0003</v>
      </c>
      <c r="N292" s="7">
        <f t="shared" si="526"/>
        <v>0.0005</v>
      </c>
      <c r="O292" s="7">
        <f t="shared" si="526"/>
        <v>0.003</v>
      </c>
      <c r="P292" s="7">
        <f t="shared" si="7"/>
        <v>0.5974890097</v>
      </c>
      <c r="Q292" s="7">
        <f t="shared" si="8"/>
        <v>0.01488152828</v>
      </c>
      <c r="R292" s="7">
        <f t="shared" si="2"/>
        <v>1.096779341</v>
      </c>
      <c r="S292" s="7">
        <f t="shared" si="3"/>
        <v>1.300269203</v>
      </c>
      <c r="T292" s="7">
        <f t="shared" si="4"/>
        <v>1</v>
      </c>
      <c r="U292" s="7">
        <f t="shared" si="5"/>
        <v>1</v>
      </c>
      <c r="V292" s="7">
        <f t="shared" ref="V292:W292" si="527">IF(AVERAGE(T232:T291) &gt; 0.25, 1, 0)</f>
        <v>1</v>
      </c>
      <c r="W292" s="7">
        <f t="shared" si="527"/>
        <v>1</v>
      </c>
      <c r="X292" s="8">
        <v>1.0</v>
      </c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ht="22.5" customHeight="1">
      <c r="A293" s="6">
        <v>292.0</v>
      </c>
      <c r="B293" s="6">
        <v>62051.0</v>
      </c>
      <c r="C293" s="6">
        <v>0.49</v>
      </c>
      <c r="D293" s="6">
        <v>0.69</v>
      </c>
      <c r="E293" s="6">
        <v>10.7</v>
      </c>
      <c r="F293" s="6">
        <v>-0.02</v>
      </c>
      <c r="G293" s="6">
        <v>0.05</v>
      </c>
      <c r="H293" s="6">
        <v>0.46</v>
      </c>
      <c r="I293" s="6">
        <v>33.38</v>
      </c>
      <c r="J293" s="7">
        <f t="shared" ref="J293:O293" si="528">abs(C293-C292)/200</f>
        <v>0.0029</v>
      </c>
      <c r="K293" s="7">
        <f t="shared" si="528"/>
        <v>0.001</v>
      </c>
      <c r="L293" s="7">
        <f t="shared" si="528"/>
        <v>0.0008</v>
      </c>
      <c r="M293" s="7">
        <f t="shared" si="528"/>
        <v>0.00125</v>
      </c>
      <c r="N293" s="7">
        <f t="shared" si="528"/>
        <v>0.0001</v>
      </c>
      <c r="O293" s="7">
        <f t="shared" si="528"/>
        <v>0.00865</v>
      </c>
      <c r="P293" s="7">
        <f t="shared" si="7"/>
        <v>0.8371277558</v>
      </c>
      <c r="Q293" s="7">
        <f t="shared" si="8"/>
        <v>0.1633642271</v>
      </c>
      <c r="R293" s="7">
        <f t="shared" si="2"/>
        <v>0.9334151136</v>
      </c>
      <c r="S293" s="7">
        <f t="shared" si="3"/>
        <v>0.4631414471</v>
      </c>
      <c r="T293" s="7">
        <f t="shared" si="4"/>
        <v>1</v>
      </c>
      <c r="U293" s="7">
        <f t="shared" si="5"/>
        <v>1</v>
      </c>
      <c r="V293" s="7">
        <f t="shared" ref="V293:W293" si="529">IF(AVERAGE(T233:T292) &gt; 0.25, 1, 0)</f>
        <v>1</v>
      </c>
      <c r="W293" s="7">
        <f t="shared" si="529"/>
        <v>1</v>
      </c>
      <c r="X293" s="8">
        <v>1.0</v>
      </c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ht="22.5" customHeight="1">
      <c r="A294" s="6">
        <v>293.0</v>
      </c>
      <c r="B294" s="6">
        <v>62255.0</v>
      </c>
      <c r="C294" s="6">
        <v>0.82</v>
      </c>
      <c r="D294" s="6">
        <v>-0.52</v>
      </c>
      <c r="E294" s="6">
        <v>10.78</v>
      </c>
      <c r="F294" s="6">
        <v>0.05</v>
      </c>
      <c r="G294" s="6">
        <v>0.05</v>
      </c>
      <c r="H294" s="6">
        <v>1.21</v>
      </c>
      <c r="I294" s="6">
        <v>33.37</v>
      </c>
      <c r="J294" s="7">
        <f t="shared" ref="J294:O294" si="530">abs(C294-C293)/200</f>
        <v>0.00165</v>
      </c>
      <c r="K294" s="7">
        <f t="shared" si="530"/>
        <v>0.00605</v>
      </c>
      <c r="L294" s="7">
        <f t="shared" si="530"/>
        <v>0.0004</v>
      </c>
      <c r="M294" s="7">
        <f t="shared" si="530"/>
        <v>0.00035</v>
      </c>
      <c r="N294" s="7">
        <f t="shared" si="530"/>
        <v>0</v>
      </c>
      <c r="O294" s="7">
        <f t="shared" si="530"/>
        <v>0.00375</v>
      </c>
      <c r="P294" s="7">
        <f t="shared" si="7"/>
        <v>0.7489229077</v>
      </c>
      <c r="Q294" s="7">
        <f t="shared" si="8"/>
        <v>0.09022567871</v>
      </c>
      <c r="R294" s="7">
        <f t="shared" si="2"/>
        <v>1.023640792</v>
      </c>
      <c r="S294" s="7">
        <f t="shared" si="3"/>
        <v>1.212064355</v>
      </c>
      <c r="T294" s="7">
        <f t="shared" si="4"/>
        <v>1</v>
      </c>
      <c r="U294" s="7">
        <f t="shared" si="5"/>
        <v>1</v>
      </c>
      <c r="V294" s="7">
        <f t="shared" ref="V294:W294" si="531">IF(AVERAGE(T234:T293) &gt; 0.25, 1, 0)</f>
        <v>1</v>
      </c>
      <c r="W294" s="7">
        <f t="shared" si="531"/>
        <v>1</v>
      </c>
      <c r="X294" s="8">
        <v>1.0</v>
      </c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ht="22.5" customHeight="1">
      <c r="A295" s="6">
        <v>294.0</v>
      </c>
      <c r="B295" s="6">
        <v>62459.0</v>
      </c>
      <c r="C295" s="6">
        <v>1.12</v>
      </c>
      <c r="D295" s="6">
        <v>-0.51</v>
      </c>
      <c r="E295" s="6">
        <v>10.93</v>
      </c>
      <c r="F295" s="6">
        <v>-0.12</v>
      </c>
      <c r="G295" s="6">
        <v>-0.18</v>
      </c>
      <c r="H295" s="6">
        <v>0.07</v>
      </c>
      <c r="I295" s="6">
        <v>33.37</v>
      </c>
      <c r="J295" s="7">
        <f t="shared" ref="J295:O295" si="532">abs(C295-C294)/200</f>
        <v>0.0015</v>
      </c>
      <c r="K295" s="7">
        <f t="shared" si="532"/>
        <v>0.00005</v>
      </c>
      <c r="L295" s="7">
        <f t="shared" si="532"/>
        <v>0.00075</v>
      </c>
      <c r="M295" s="7">
        <f t="shared" si="532"/>
        <v>0.00085</v>
      </c>
      <c r="N295" s="7">
        <f t="shared" si="532"/>
        <v>0.00115</v>
      </c>
      <c r="O295" s="7">
        <f t="shared" si="532"/>
        <v>0.0057</v>
      </c>
      <c r="P295" s="7">
        <f t="shared" si="7"/>
        <v>0.9846880147</v>
      </c>
      <c r="Q295" s="7">
        <f t="shared" si="8"/>
        <v>0.1754228042</v>
      </c>
      <c r="R295" s="7">
        <f t="shared" si="2"/>
        <v>1.199063597</v>
      </c>
      <c r="S295" s="7">
        <f t="shared" si="3"/>
        <v>0.22737634</v>
      </c>
      <c r="T295" s="7">
        <f t="shared" si="4"/>
        <v>1</v>
      </c>
      <c r="U295" s="7">
        <f t="shared" si="5"/>
        <v>1</v>
      </c>
      <c r="V295" s="7">
        <f t="shared" ref="V295:W295" si="533">IF(AVERAGE(T235:T294) &gt; 0.25, 1, 0)</f>
        <v>1</v>
      </c>
      <c r="W295" s="7">
        <f t="shared" si="533"/>
        <v>1</v>
      </c>
      <c r="X295" s="8">
        <v>1.0</v>
      </c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ht="22.5" customHeight="1">
      <c r="A296" s="6">
        <v>295.0</v>
      </c>
      <c r="B296" s="6">
        <v>62663.0</v>
      </c>
      <c r="C296" s="6">
        <v>1.95</v>
      </c>
      <c r="D296" s="6">
        <v>-0.99</v>
      </c>
      <c r="E296" s="6">
        <v>10.68</v>
      </c>
      <c r="F296" s="6">
        <v>-0.26</v>
      </c>
      <c r="G296" s="6">
        <v>-0.06</v>
      </c>
      <c r="H296" s="6">
        <v>-0.79</v>
      </c>
      <c r="I296" s="6">
        <v>33.36</v>
      </c>
      <c r="J296" s="7">
        <f t="shared" ref="J296:O296" si="534">abs(C296-C295)/200</f>
        <v>0.00415</v>
      </c>
      <c r="K296" s="7">
        <f t="shared" si="534"/>
        <v>0.0024</v>
      </c>
      <c r="L296" s="7">
        <f t="shared" si="534"/>
        <v>0.00125</v>
      </c>
      <c r="M296" s="7">
        <f t="shared" si="534"/>
        <v>0.0007</v>
      </c>
      <c r="N296" s="7">
        <f t="shared" si="534"/>
        <v>0.0006</v>
      </c>
      <c r="O296" s="7">
        <f t="shared" si="534"/>
        <v>0.0043</v>
      </c>
      <c r="P296" s="7">
        <f t="shared" si="7"/>
        <v>0.6064701686</v>
      </c>
      <c r="Q296" s="7">
        <f t="shared" si="8"/>
        <v>0.09745821014</v>
      </c>
      <c r="R296" s="7">
        <f t="shared" si="2"/>
        <v>1.101605386</v>
      </c>
      <c r="S296" s="7">
        <f t="shared" si="3"/>
        <v>0.8338465087</v>
      </c>
      <c r="T296" s="7">
        <f t="shared" si="4"/>
        <v>1</v>
      </c>
      <c r="U296" s="7">
        <f t="shared" si="5"/>
        <v>1</v>
      </c>
      <c r="V296" s="7">
        <f t="shared" ref="V296:W296" si="535">IF(AVERAGE(T236:T295) &gt; 0.25, 1, 0)</f>
        <v>1</v>
      </c>
      <c r="W296" s="7">
        <f t="shared" si="535"/>
        <v>1</v>
      </c>
      <c r="X296" s="8">
        <v>1.0</v>
      </c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ht="22.5" customHeight="1">
      <c r="A297" s="6">
        <v>296.0</v>
      </c>
      <c r="B297" s="6">
        <v>62867.0</v>
      </c>
      <c r="C297" s="6">
        <v>-0.14</v>
      </c>
      <c r="D297" s="6">
        <v>0.89</v>
      </c>
      <c r="E297" s="6">
        <v>10.86</v>
      </c>
      <c r="F297" s="6">
        <v>-0.29</v>
      </c>
      <c r="G297" s="6">
        <v>-0.08</v>
      </c>
      <c r="H297" s="6">
        <v>-1.35</v>
      </c>
      <c r="I297" s="6">
        <v>33.36</v>
      </c>
      <c r="J297" s="7">
        <f t="shared" ref="J297:O297" si="536">abs(C297-C296)/200</f>
        <v>0.01045</v>
      </c>
      <c r="K297" s="7">
        <f t="shared" si="536"/>
        <v>0.0094</v>
      </c>
      <c r="L297" s="7">
        <f t="shared" si="536"/>
        <v>0.0009</v>
      </c>
      <c r="M297" s="7">
        <f t="shared" si="536"/>
        <v>0.00015</v>
      </c>
      <c r="N297" s="7">
        <f t="shared" si="536"/>
        <v>0.0001</v>
      </c>
      <c r="O297" s="7">
        <f t="shared" si="536"/>
        <v>0.0028</v>
      </c>
      <c r="P297" s="7">
        <f t="shared" si="7"/>
        <v>0.5492659235</v>
      </c>
      <c r="Q297" s="7">
        <f t="shared" si="8"/>
        <v>0.004298379585</v>
      </c>
      <c r="R297" s="7">
        <f t="shared" si="2"/>
        <v>1.097307007</v>
      </c>
      <c r="S297" s="7">
        <f t="shared" si="3"/>
        <v>1.383112432</v>
      </c>
      <c r="T297" s="7">
        <f t="shared" si="4"/>
        <v>1</v>
      </c>
      <c r="U297" s="7">
        <f t="shared" si="5"/>
        <v>1</v>
      </c>
      <c r="V297" s="7">
        <f t="shared" ref="V297:W297" si="537">IF(AVERAGE(T237:T296) &gt; 0.25, 1, 0)</f>
        <v>1</v>
      </c>
      <c r="W297" s="7">
        <f t="shared" si="537"/>
        <v>1</v>
      </c>
      <c r="X297" s="8">
        <v>1.0</v>
      </c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ht="22.5" customHeight="1">
      <c r="A298" s="6">
        <v>297.0</v>
      </c>
      <c r="B298" s="6">
        <v>63071.0</v>
      </c>
      <c r="C298" s="6">
        <v>0.82</v>
      </c>
      <c r="D298" s="6">
        <v>0.81</v>
      </c>
      <c r="E298" s="6">
        <v>10.69</v>
      </c>
      <c r="F298" s="6">
        <v>-0.09</v>
      </c>
      <c r="G298" s="6">
        <v>0.06</v>
      </c>
      <c r="H298" s="6">
        <v>-0.11</v>
      </c>
      <c r="I298" s="6">
        <v>33.37</v>
      </c>
      <c r="J298" s="7">
        <f t="shared" ref="J298:O298" si="538">abs(C298-C297)/200</f>
        <v>0.0048</v>
      </c>
      <c r="K298" s="7">
        <f t="shared" si="538"/>
        <v>0.0004</v>
      </c>
      <c r="L298" s="7">
        <f t="shared" si="538"/>
        <v>0.00085</v>
      </c>
      <c r="M298" s="7">
        <f t="shared" si="538"/>
        <v>0.001</v>
      </c>
      <c r="N298" s="7">
        <f t="shared" si="538"/>
        <v>0.0007</v>
      </c>
      <c r="O298" s="7">
        <f t="shared" si="538"/>
        <v>0.0062</v>
      </c>
      <c r="P298" s="7">
        <f t="shared" si="7"/>
        <v>1.228839946</v>
      </c>
      <c r="Q298" s="7">
        <f t="shared" si="8"/>
        <v>0.1453490456</v>
      </c>
      <c r="R298" s="7">
        <f t="shared" si="2"/>
        <v>0.9519579612</v>
      </c>
      <c r="S298" s="7">
        <f t="shared" si="3"/>
        <v>0.1542724862</v>
      </c>
      <c r="T298" s="7">
        <f t="shared" si="4"/>
        <v>1</v>
      </c>
      <c r="U298" s="7">
        <f t="shared" si="5"/>
        <v>1</v>
      </c>
      <c r="V298" s="7">
        <f t="shared" ref="V298:W298" si="539">IF(AVERAGE(T238:T297) &gt; 0.25, 1, 0)</f>
        <v>1</v>
      </c>
      <c r="W298" s="7">
        <f t="shared" si="539"/>
        <v>1</v>
      </c>
      <c r="X298" s="8">
        <v>1.0</v>
      </c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ht="22.5" customHeight="1">
      <c r="A299" s="6">
        <v>298.0</v>
      </c>
      <c r="B299" s="6">
        <v>63275.0</v>
      </c>
      <c r="C299" s="6">
        <v>0.81</v>
      </c>
      <c r="D299" s="6">
        <v>-0.14</v>
      </c>
      <c r="E299" s="6">
        <v>10.74</v>
      </c>
      <c r="F299" s="6">
        <v>0.03</v>
      </c>
      <c r="G299" s="6">
        <v>0.11</v>
      </c>
      <c r="H299" s="6">
        <v>0.7</v>
      </c>
      <c r="I299" s="6">
        <v>33.37</v>
      </c>
      <c r="J299" s="7">
        <f t="shared" ref="J299:O299" si="540">abs(C299-C298)/200</f>
        <v>0.00005</v>
      </c>
      <c r="K299" s="7">
        <f t="shared" si="540"/>
        <v>0.00475</v>
      </c>
      <c r="L299" s="7">
        <f t="shared" si="540"/>
        <v>0.00025</v>
      </c>
      <c r="M299" s="7">
        <f t="shared" si="540"/>
        <v>0.0006</v>
      </c>
      <c r="N299" s="7">
        <f t="shared" si="540"/>
        <v>0.00025</v>
      </c>
      <c r="O299" s="7">
        <f t="shared" si="540"/>
        <v>0.00405</v>
      </c>
      <c r="P299" s="7">
        <f t="shared" si="7"/>
        <v>0.5549524429</v>
      </c>
      <c r="Q299" s="7">
        <f t="shared" si="8"/>
        <v>0.01945327408</v>
      </c>
      <c r="R299" s="7">
        <f t="shared" si="2"/>
        <v>0.9714112353</v>
      </c>
      <c r="S299" s="7">
        <f t="shared" si="3"/>
        <v>0.7092249291</v>
      </c>
      <c r="T299" s="7">
        <f t="shared" si="4"/>
        <v>1</v>
      </c>
      <c r="U299" s="7">
        <f t="shared" si="5"/>
        <v>1</v>
      </c>
      <c r="V299" s="7">
        <f t="shared" ref="V299:W299" si="541">IF(AVERAGE(T239:T298) &gt; 0.25, 1, 0)</f>
        <v>1</v>
      </c>
      <c r="W299" s="7">
        <f t="shared" si="541"/>
        <v>1</v>
      </c>
      <c r="X299" s="8">
        <v>1.0</v>
      </c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ht="22.5" customHeight="1">
      <c r="A300" s="6">
        <v>299.0</v>
      </c>
      <c r="B300" s="6">
        <v>63479.0</v>
      </c>
      <c r="C300" s="6">
        <v>2.18</v>
      </c>
      <c r="D300" s="6">
        <v>-1.96</v>
      </c>
      <c r="E300" s="6">
        <v>10.6</v>
      </c>
      <c r="F300" s="6">
        <v>0.0</v>
      </c>
      <c r="G300" s="6">
        <v>0.04</v>
      </c>
      <c r="H300" s="6">
        <v>0.66</v>
      </c>
      <c r="I300" s="6">
        <v>33.37</v>
      </c>
      <c r="J300" s="7">
        <f t="shared" ref="J300:O300" si="542">abs(C300-C299)/200</f>
        <v>0.00685</v>
      </c>
      <c r="K300" s="7">
        <f t="shared" si="542"/>
        <v>0.0091</v>
      </c>
      <c r="L300" s="7">
        <f t="shared" si="542"/>
        <v>0.0007</v>
      </c>
      <c r="M300" s="7">
        <f t="shared" si="542"/>
        <v>0.00015</v>
      </c>
      <c r="N300" s="7">
        <f t="shared" si="542"/>
        <v>0.00035</v>
      </c>
      <c r="O300" s="7">
        <f t="shared" si="542"/>
        <v>0.0002</v>
      </c>
      <c r="P300" s="7">
        <f t="shared" si="7"/>
        <v>0.04801391887</v>
      </c>
      <c r="Q300" s="7">
        <f t="shared" si="8"/>
        <v>0.2264976568</v>
      </c>
      <c r="R300" s="7">
        <f t="shared" si="2"/>
        <v>1.197908892</v>
      </c>
      <c r="S300" s="7">
        <f t="shared" si="3"/>
        <v>0.6612110102</v>
      </c>
      <c r="T300" s="7">
        <f t="shared" si="4"/>
        <v>1</v>
      </c>
      <c r="U300" s="7">
        <f t="shared" si="5"/>
        <v>1</v>
      </c>
      <c r="V300" s="7">
        <f t="shared" ref="V300:W300" si="543">IF(AVERAGE(T240:T299) &gt; 0.25, 1, 0)</f>
        <v>1</v>
      </c>
      <c r="W300" s="7">
        <f t="shared" si="543"/>
        <v>1</v>
      </c>
      <c r="X300" s="8">
        <v>1.0</v>
      </c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ht="22.5" customHeight="1">
      <c r="A301" s="6">
        <v>300.0</v>
      </c>
      <c r="B301" s="6">
        <v>63683.0</v>
      </c>
      <c r="C301" s="6">
        <v>1.64</v>
      </c>
      <c r="D301" s="6">
        <v>-1.47</v>
      </c>
      <c r="E301" s="6">
        <v>10.68</v>
      </c>
      <c r="F301" s="6">
        <v>-0.22</v>
      </c>
      <c r="G301" s="6">
        <v>-0.14</v>
      </c>
      <c r="H301" s="6">
        <v>-0.74</v>
      </c>
      <c r="I301" s="6">
        <v>33.37</v>
      </c>
      <c r="J301" s="7">
        <f t="shared" ref="J301:O301" si="544">abs(C301-C300)/200</f>
        <v>0.0027</v>
      </c>
      <c r="K301" s="7">
        <f t="shared" si="544"/>
        <v>0.00245</v>
      </c>
      <c r="L301" s="7">
        <f t="shared" si="544"/>
        <v>0.0004</v>
      </c>
      <c r="M301" s="7">
        <f t="shared" si="544"/>
        <v>0.0011</v>
      </c>
      <c r="N301" s="7">
        <f t="shared" si="544"/>
        <v>0.0009</v>
      </c>
      <c r="O301" s="7">
        <f t="shared" si="544"/>
        <v>0.007</v>
      </c>
      <c r="P301" s="7">
        <f t="shared" si="7"/>
        <v>0.1233907996</v>
      </c>
      <c r="Q301" s="7">
        <f t="shared" si="8"/>
        <v>0.09318973024</v>
      </c>
      <c r="R301" s="7">
        <f t="shared" si="2"/>
        <v>1.104719162</v>
      </c>
      <c r="S301" s="7">
        <f t="shared" si="3"/>
        <v>0.7846018098</v>
      </c>
      <c r="T301" s="7">
        <f t="shared" si="4"/>
        <v>1</v>
      </c>
      <c r="U301" s="7">
        <f t="shared" si="5"/>
        <v>1</v>
      </c>
      <c r="V301" s="7">
        <f t="shared" ref="V301:W301" si="545">IF(AVERAGE(T241:T300) &gt; 0.25, 1, 0)</f>
        <v>1</v>
      </c>
      <c r="W301" s="7">
        <f t="shared" si="545"/>
        <v>1</v>
      </c>
      <c r="X301" s="8">
        <v>1.0</v>
      </c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ht="22.5" customHeight="1">
      <c r="A302" s="6">
        <v>301.0</v>
      </c>
      <c r="B302" s="6">
        <v>63887.0</v>
      </c>
      <c r="C302" s="6">
        <v>0.72</v>
      </c>
      <c r="D302" s="6">
        <v>-0.24</v>
      </c>
      <c r="E302" s="6">
        <v>10.64</v>
      </c>
      <c r="F302" s="6">
        <v>-0.25</v>
      </c>
      <c r="G302" s="6">
        <v>-0.15</v>
      </c>
      <c r="H302" s="6">
        <v>-1.13</v>
      </c>
      <c r="I302" s="6">
        <v>33.38</v>
      </c>
      <c r="J302" s="7">
        <f t="shared" ref="J302:O302" si="546">abs(C302-C301)/200</f>
        <v>0.0046</v>
      </c>
      <c r="K302" s="7">
        <f t="shared" si="546"/>
        <v>0.00615</v>
      </c>
      <c r="L302" s="7">
        <f t="shared" si="546"/>
        <v>0.0002</v>
      </c>
      <c r="M302" s="7">
        <f t="shared" si="546"/>
        <v>0.00015</v>
      </c>
      <c r="N302" s="7">
        <f t="shared" si="546"/>
        <v>0.00005</v>
      </c>
      <c r="O302" s="7">
        <f t="shared" si="546"/>
        <v>0.00195</v>
      </c>
      <c r="P302" s="7">
        <f t="shared" si="7"/>
        <v>0.3824029031</v>
      </c>
      <c r="Q302" s="7">
        <f t="shared" si="8"/>
        <v>0.2376858349</v>
      </c>
      <c r="R302" s="7">
        <f t="shared" si="2"/>
        <v>0.867033327</v>
      </c>
      <c r="S302" s="7">
        <f t="shared" si="3"/>
        <v>1.167004713</v>
      </c>
      <c r="T302" s="7">
        <f t="shared" si="4"/>
        <v>1</v>
      </c>
      <c r="U302" s="7">
        <f t="shared" si="5"/>
        <v>1</v>
      </c>
      <c r="V302" s="7">
        <f t="shared" ref="V302:W302" si="547">IF(AVERAGE(T242:T301) &gt; 0.25, 1, 0)</f>
        <v>1</v>
      </c>
      <c r="W302" s="7">
        <f t="shared" si="547"/>
        <v>1</v>
      </c>
      <c r="X302" s="8">
        <v>1.0</v>
      </c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ht="22.5" customHeight="1">
      <c r="A303" s="6">
        <v>302.0</v>
      </c>
      <c r="B303" s="6">
        <v>64091.0</v>
      </c>
      <c r="C303" s="6">
        <v>0.7</v>
      </c>
      <c r="D303" s="6">
        <v>1.03</v>
      </c>
      <c r="E303" s="6">
        <v>10.71</v>
      </c>
      <c r="F303" s="6">
        <v>-0.06</v>
      </c>
      <c r="G303" s="6">
        <v>0.12</v>
      </c>
      <c r="H303" s="6">
        <v>-0.05</v>
      </c>
      <c r="I303" s="6">
        <v>33.37</v>
      </c>
      <c r="J303" s="7">
        <f t="shared" ref="J303:O303" si="548">abs(C303-C302)/200</f>
        <v>0.0001</v>
      </c>
      <c r="K303" s="7">
        <f t="shared" si="548"/>
        <v>0.00635</v>
      </c>
      <c r="L303" s="7">
        <f t="shared" si="548"/>
        <v>0.00035</v>
      </c>
      <c r="M303" s="7">
        <f t="shared" si="548"/>
        <v>0.00095</v>
      </c>
      <c r="N303" s="7">
        <f t="shared" si="548"/>
        <v>0.00135</v>
      </c>
      <c r="O303" s="7">
        <f t="shared" si="548"/>
        <v>0.0054</v>
      </c>
      <c r="P303" s="7">
        <f t="shared" si="7"/>
        <v>1.023826502</v>
      </c>
      <c r="Q303" s="7">
        <f t="shared" si="8"/>
        <v>0.1151278663</v>
      </c>
      <c r="R303" s="7">
        <f t="shared" si="2"/>
        <v>0.9821611934</v>
      </c>
      <c r="S303" s="7">
        <f t="shared" si="3"/>
        <v>0.1431782106</v>
      </c>
      <c r="T303" s="7">
        <f t="shared" si="4"/>
        <v>1</v>
      </c>
      <c r="U303" s="7">
        <f t="shared" si="5"/>
        <v>1</v>
      </c>
      <c r="V303" s="7">
        <f t="shared" ref="V303:W303" si="549">IF(AVERAGE(T243:T302) &gt; 0.25, 1, 0)</f>
        <v>1</v>
      </c>
      <c r="W303" s="7">
        <f t="shared" si="549"/>
        <v>1</v>
      </c>
      <c r="X303" s="8">
        <v>1.0</v>
      </c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ht="22.5" customHeight="1">
      <c r="A304" s="6">
        <v>303.0</v>
      </c>
      <c r="B304" s="6">
        <v>64295.0</v>
      </c>
      <c r="C304" s="6">
        <v>0.25</v>
      </c>
      <c r="D304" s="6">
        <v>0.35</v>
      </c>
      <c r="E304" s="6">
        <v>10.76</v>
      </c>
      <c r="F304" s="6">
        <v>0.04</v>
      </c>
      <c r="G304" s="6">
        <v>0.11</v>
      </c>
      <c r="H304" s="6">
        <v>1.0</v>
      </c>
      <c r="I304" s="6">
        <v>33.37</v>
      </c>
      <c r="J304" s="7">
        <f t="shared" ref="J304:O304" si="550">abs(C304-C303)/200</f>
        <v>0.00225</v>
      </c>
      <c r="K304" s="7">
        <f t="shared" si="550"/>
        <v>0.0034</v>
      </c>
      <c r="L304" s="7">
        <f t="shared" si="550"/>
        <v>0.00025</v>
      </c>
      <c r="M304" s="7">
        <f t="shared" si="550"/>
        <v>0.0005</v>
      </c>
      <c r="N304" s="7">
        <f t="shared" si="550"/>
        <v>0.00005</v>
      </c>
      <c r="O304" s="7">
        <f t="shared" si="550"/>
        <v>0.00525</v>
      </c>
      <c r="P304" s="7">
        <f t="shared" si="7"/>
        <v>0.8636484875</v>
      </c>
      <c r="Q304" s="7">
        <f t="shared" si="8"/>
        <v>0.01356797049</v>
      </c>
      <c r="R304" s="7">
        <f t="shared" si="2"/>
        <v>0.9685932229</v>
      </c>
      <c r="S304" s="7">
        <f t="shared" si="3"/>
        <v>1.006826698</v>
      </c>
      <c r="T304" s="7">
        <f t="shared" si="4"/>
        <v>1</v>
      </c>
      <c r="U304" s="7">
        <f t="shared" si="5"/>
        <v>1</v>
      </c>
      <c r="V304" s="7">
        <f t="shared" ref="V304:W304" si="551">IF(AVERAGE(T244:T303) &gt; 0.25, 1, 0)</f>
        <v>1</v>
      </c>
      <c r="W304" s="7">
        <f t="shared" si="551"/>
        <v>1</v>
      </c>
      <c r="X304" s="8">
        <v>1.0</v>
      </c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ht="22.5" customHeight="1">
      <c r="A305" s="6">
        <v>304.0</v>
      </c>
      <c r="B305" s="6">
        <v>64499.0</v>
      </c>
      <c r="C305" s="6">
        <v>0.7</v>
      </c>
      <c r="D305" s="6">
        <v>-1.45</v>
      </c>
      <c r="E305" s="6">
        <v>10.73</v>
      </c>
      <c r="F305" s="6">
        <v>0.21</v>
      </c>
      <c r="G305" s="6">
        <v>-0.05</v>
      </c>
      <c r="H305" s="6">
        <v>2.0</v>
      </c>
      <c r="I305" s="6">
        <v>33.37</v>
      </c>
      <c r="J305" s="7">
        <f t="shared" ref="J305:O305" si="552">abs(C305-C304)/200</f>
        <v>0.00225</v>
      </c>
      <c r="K305" s="7">
        <f t="shared" si="552"/>
        <v>0.009</v>
      </c>
      <c r="L305" s="7">
        <f t="shared" si="552"/>
        <v>0.00015</v>
      </c>
      <c r="M305" s="7">
        <f t="shared" si="552"/>
        <v>0.00085</v>
      </c>
      <c r="N305" s="7">
        <f t="shared" si="552"/>
        <v>0.0008</v>
      </c>
      <c r="O305" s="7">
        <f t="shared" si="552"/>
        <v>0.005</v>
      </c>
      <c r="P305" s="7">
        <f t="shared" si="7"/>
        <v>1.004789567</v>
      </c>
      <c r="Q305" s="7">
        <f t="shared" si="8"/>
        <v>0.08154041684</v>
      </c>
      <c r="R305" s="7">
        <f t="shared" si="2"/>
        <v>1.05013364</v>
      </c>
      <c r="S305" s="7">
        <f t="shared" si="3"/>
        <v>2.011616266</v>
      </c>
      <c r="T305" s="7">
        <f t="shared" si="4"/>
        <v>1</v>
      </c>
      <c r="U305" s="7">
        <f t="shared" si="5"/>
        <v>1</v>
      </c>
      <c r="V305" s="7">
        <f t="shared" ref="V305:W305" si="553">IF(AVERAGE(T245:T304) &gt; 0.25, 1, 0)</f>
        <v>1</v>
      </c>
      <c r="W305" s="7">
        <f t="shared" si="553"/>
        <v>1</v>
      </c>
      <c r="X305" s="8">
        <v>1.0</v>
      </c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ht="22.5" customHeight="1">
      <c r="A306" s="6">
        <v>305.0</v>
      </c>
      <c r="B306" s="6">
        <v>64703.0</v>
      </c>
      <c r="C306" s="6">
        <v>2.47</v>
      </c>
      <c r="D306" s="6">
        <v>2.35</v>
      </c>
      <c r="E306" s="6">
        <v>10.59</v>
      </c>
      <c r="F306" s="6">
        <v>0.42</v>
      </c>
      <c r="G306" s="6">
        <v>0.12</v>
      </c>
      <c r="H306" s="6">
        <v>5.17</v>
      </c>
      <c r="I306" s="6">
        <v>33.37</v>
      </c>
      <c r="J306" s="7">
        <f t="shared" ref="J306:O306" si="554">abs(C306-C305)/200</f>
        <v>0.00885</v>
      </c>
      <c r="K306" s="7">
        <f t="shared" si="554"/>
        <v>0.019</v>
      </c>
      <c r="L306" s="7">
        <f t="shared" si="554"/>
        <v>0.0007</v>
      </c>
      <c r="M306" s="7">
        <f t="shared" si="554"/>
        <v>0.00105</v>
      </c>
      <c r="N306" s="7">
        <f t="shared" si="554"/>
        <v>0.00085</v>
      </c>
      <c r="O306" s="7">
        <f t="shared" si="554"/>
        <v>0.01585</v>
      </c>
      <c r="P306" s="7">
        <f t="shared" si="7"/>
        <v>3.176803532</v>
      </c>
      <c r="Q306" s="7">
        <f t="shared" si="8"/>
        <v>0.2751304021</v>
      </c>
      <c r="R306" s="7">
        <f t="shared" si="2"/>
        <v>1.325264042</v>
      </c>
      <c r="S306" s="7">
        <f t="shared" si="3"/>
        <v>5.188419798</v>
      </c>
      <c r="T306" s="7">
        <f t="shared" si="4"/>
        <v>1</v>
      </c>
      <c r="U306" s="7">
        <f t="shared" si="5"/>
        <v>1</v>
      </c>
      <c r="V306" s="7">
        <f t="shared" ref="V306:W306" si="555">IF(AVERAGE(T246:T305) &gt; 0.25, 1, 0)</f>
        <v>1</v>
      </c>
      <c r="W306" s="7">
        <f t="shared" si="555"/>
        <v>1</v>
      </c>
      <c r="X306" s="8">
        <v>1.0</v>
      </c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ht="22.5" customHeight="1">
      <c r="A307" s="6">
        <v>306.0</v>
      </c>
      <c r="B307" s="6">
        <v>64907.0</v>
      </c>
      <c r="C307" s="6">
        <v>1.22</v>
      </c>
      <c r="D307" s="6">
        <v>0.0</v>
      </c>
      <c r="E307" s="6">
        <v>10.65</v>
      </c>
      <c r="F307" s="6">
        <v>-0.09</v>
      </c>
      <c r="G307" s="6">
        <v>0.0</v>
      </c>
      <c r="H307" s="6">
        <v>0.05</v>
      </c>
      <c r="I307" s="6">
        <v>33.37</v>
      </c>
      <c r="J307" s="7">
        <f t="shared" ref="J307:O307" si="556">abs(C307-C306)/200</f>
        <v>0.00625</v>
      </c>
      <c r="K307" s="7">
        <f t="shared" si="556"/>
        <v>0.01175</v>
      </c>
      <c r="L307" s="7">
        <f t="shared" si="556"/>
        <v>0.0003</v>
      </c>
      <c r="M307" s="7">
        <f t="shared" si="556"/>
        <v>0.00255</v>
      </c>
      <c r="N307" s="7">
        <f t="shared" si="556"/>
        <v>0.0006</v>
      </c>
      <c r="O307" s="7">
        <f t="shared" si="556"/>
        <v>0.0256</v>
      </c>
      <c r="P307" s="7">
        <f t="shared" si="7"/>
        <v>5.085463497</v>
      </c>
      <c r="Q307" s="7">
        <f t="shared" si="8"/>
        <v>0.405613861</v>
      </c>
      <c r="R307" s="7">
        <f t="shared" si="2"/>
        <v>0.9196501809</v>
      </c>
      <c r="S307" s="7">
        <f t="shared" si="3"/>
        <v>0.1029563014</v>
      </c>
      <c r="T307" s="7">
        <f t="shared" si="4"/>
        <v>1</v>
      </c>
      <c r="U307" s="7">
        <f t="shared" si="5"/>
        <v>1</v>
      </c>
      <c r="V307" s="7">
        <f t="shared" ref="V307:W307" si="557">IF(AVERAGE(T247:T306) &gt; 0.25, 1, 0)</f>
        <v>1</v>
      </c>
      <c r="W307" s="7">
        <f t="shared" si="557"/>
        <v>1</v>
      </c>
      <c r="X307" s="8">
        <v>1.0</v>
      </c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ht="22.5" customHeight="1">
      <c r="A308" s="6">
        <v>307.0</v>
      </c>
      <c r="B308" s="6">
        <v>65111.0</v>
      </c>
      <c r="C308" s="6">
        <v>1.25</v>
      </c>
      <c r="D308" s="6">
        <v>0.06</v>
      </c>
      <c r="E308" s="6">
        <v>10.62</v>
      </c>
      <c r="F308" s="6">
        <v>-0.1</v>
      </c>
      <c r="G308" s="6">
        <v>-0.01</v>
      </c>
      <c r="H308" s="6">
        <v>-0.01</v>
      </c>
      <c r="I308" s="6">
        <v>33.37</v>
      </c>
      <c r="J308" s="7">
        <f t="shared" ref="J308:O308" si="558">abs(C308-C307)/200</f>
        <v>0.00015</v>
      </c>
      <c r="K308" s="7">
        <f t="shared" si="558"/>
        <v>0.0003</v>
      </c>
      <c r="L308" s="7">
        <f t="shared" si="558"/>
        <v>0.00015</v>
      </c>
      <c r="M308" s="7">
        <f t="shared" si="558"/>
        <v>0.00005</v>
      </c>
      <c r="N308" s="7">
        <f t="shared" si="558"/>
        <v>0.00005</v>
      </c>
      <c r="O308" s="7">
        <f t="shared" si="558"/>
        <v>0.0003</v>
      </c>
      <c r="P308" s="7">
        <f t="shared" si="7"/>
        <v>0.001961252026</v>
      </c>
      <c r="Q308" s="7">
        <f t="shared" si="8"/>
        <v>0.02617085933</v>
      </c>
      <c r="R308" s="7">
        <f t="shared" si="2"/>
        <v>0.8934793215</v>
      </c>
      <c r="S308" s="7">
        <f t="shared" si="3"/>
        <v>0.1009950494</v>
      </c>
      <c r="T308" s="7">
        <f t="shared" si="4"/>
        <v>0</v>
      </c>
      <c r="U308" s="7">
        <f t="shared" si="5"/>
        <v>0</v>
      </c>
      <c r="V308" s="7">
        <f t="shared" ref="V308:W308" si="559">IF(AVERAGE(T248:T307) &gt; 0.25, 1, 0)</f>
        <v>1</v>
      </c>
      <c r="W308" s="7">
        <f t="shared" si="559"/>
        <v>1</v>
      </c>
      <c r="X308" s="8">
        <v>1.0</v>
      </c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ht="22.5" customHeight="1">
      <c r="A309" s="6">
        <v>308.0</v>
      </c>
      <c r="B309" s="6">
        <v>65315.0</v>
      </c>
      <c r="C309" s="6">
        <v>1.28</v>
      </c>
      <c r="D309" s="6">
        <v>0.04</v>
      </c>
      <c r="E309" s="6">
        <v>10.69</v>
      </c>
      <c r="F309" s="6">
        <v>-0.09</v>
      </c>
      <c r="G309" s="6">
        <v>-0.01</v>
      </c>
      <c r="H309" s="6">
        <v>-0.01</v>
      </c>
      <c r="I309" s="6">
        <v>33.37</v>
      </c>
      <c r="J309" s="7">
        <f t="shared" ref="J309:O309" si="560">abs(C309-C308)/200</f>
        <v>0.00015</v>
      </c>
      <c r="K309" s="7">
        <f t="shared" si="560"/>
        <v>0.0001</v>
      </c>
      <c r="L309" s="7">
        <f t="shared" si="560"/>
        <v>0.00035</v>
      </c>
      <c r="M309" s="7">
        <f t="shared" si="560"/>
        <v>0.00005</v>
      </c>
      <c r="N309" s="7">
        <f t="shared" si="560"/>
        <v>0</v>
      </c>
      <c r="O309" s="7">
        <f t="shared" si="560"/>
        <v>0</v>
      </c>
      <c r="P309" s="7">
        <f t="shared" si="7"/>
        <v>0.009890713592</v>
      </c>
      <c r="Q309" s="7">
        <f t="shared" si="8"/>
        <v>0.07295462848</v>
      </c>
      <c r="R309" s="7">
        <f t="shared" si="2"/>
        <v>0.96643395</v>
      </c>
      <c r="S309" s="7">
        <f t="shared" si="3"/>
        <v>0.09110433579</v>
      </c>
      <c r="T309" s="7">
        <f t="shared" si="4"/>
        <v>1</v>
      </c>
      <c r="U309" s="7">
        <f t="shared" si="5"/>
        <v>0</v>
      </c>
      <c r="V309" s="7">
        <f t="shared" ref="V309:W309" si="561">IF(AVERAGE(T249:T308) &gt; 0.25, 1, 0)</f>
        <v>1</v>
      </c>
      <c r="W309" s="7">
        <f t="shared" si="561"/>
        <v>1</v>
      </c>
      <c r="X309" s="8">
        <v>1.0</v>
      </c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ht="22.5" customHeight="1">
      <c r="A310" s="6">
        <v>309.0</v>
      </c>
      <c r="B310" s="6">
        <v>65519.0</v>
      </c>
      <c r="C310" s="6">
        <v>1.31</v>
      </c>
      <c r="D310" s="6">
        <v>0.04</v>
      </c>
      <c r="E310" s="6">
        <v>10.68</v>
      </c>
      <c r="F310" s="6">
        <v>-0.09</v>
      </c>
      <c r="G310" s="6">
        <v>-0.01</v>
      </c>
      <c r="H310" s="6">
        <v>-0.02</v>
      </c>
      <c r="I310" s="6">
        <v>33.37</v>
      </c>
      <c r="J310" s="7">
        <f t="shared" ref="J310:O310" si="562">abs(C310-C309)/200</f>
        <v>0.00015</v>
      </c>
      <c r="K310" s="7">
        <f t="shared" si="562"/>
        <v>0</v>
      </c>
      <c r="L310" s="7">
        <f t="shared" si="562"/>
        <v>0.00005</v>
      </c>
      <c r="M310" s="7">
        <f t="shared" si="562"/>
        <v>0</v>
      </c>
      <c r="N310" s="7">
        <f t="shared" si="562"/>
        <v>0</v>
      </c>
      <c r="O310" s="7">
        <f t="shared" si="562"/>
        <v>0.00005</v>
      </c>
      <c r="P310" s="7">
        <f t="shared" si="7"/>
        <v>0.001631849164</v>
      </c>
      <c r="Q310" s="7">
        <f t="shared" si="8"/>
        <v>0.006317779637</v>
      </c>
      <c r="R310" s="7">
        <f t="shared" si="2"/>
        <v>0.9601161704</v>
      </c>
      <c r="S310" s="7">
        <f t="shared" si="3"/>
        <v>0.09273618495</v>
      </c>
      <c r="T310" s="7">
        <f t="shared" si="4"/>
        <v>0</v>
      </c>
      <c r="U310" s="7">
        <f t="shared" si="5"/>
        <v>0</v>
      </c>
      <c r="V310" s="7">
        <f t="shared" ref="V310:W310" si="563">IF(AVERAGE(T250:T309) &gt; 0.25, 1, 0)</f>
        <v>1</v>
      </c>
      <c r="W310" s="7">
        <f t="shared" si="563"/>
        <v>1</v>
      </c>
      <c r="X310" s="8">
        <v>1.0</v>
      </c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ht="22.5" customHeight="1">
      <c r="A311" s="6">
        <v>310.0</v>
      </c>
      <c r="B311" s="6">
        <v>65723.0</v>
      </c>
      <c r="C311" s="6">
        <v>1.33</v>
      </c>
      <c r="D311" s="6">
        <v>0.04</v>
      </c>
      <c r="E311" s="6">
        <v>10.69</v>
      </c>
      <c r="F311" s="6">
        <v>-0.1</v>
      </c>
      <c r="G311" s="6">
        <v>-0.01</v>
      </c>
      <c r="H311" s="6">
        <v>-0.01</v>
      </c>
      <c r="I311" s="6">
        <v>33.36</v>
      </c>
      <c r="J311" s="7">
        <f t="shared" ref="J311:O311" si="564">abs(C311-C310)/200</f>
        <v>0.0001</v>
      </c>
      <c r="K311" s="7">
        <f t="shared" si="564"/>
        <v>0</v>
      </c>
      <c r="L311" s="7">
        <f t="shared" si="564"/>
        <v>0.00005</v>
      </c>
      <c r="M311" s="7">
        <f t="shared" si="564"/>
        <v>0.00005</v>
      </c>
      <c r="N311" s="7">
        <f t="shared" si="564"/>
        <v>0</v>
      </c>
      <c r="O311" s="7">
        <f t="shared" si="564"/>
        <v>0.00005</v>
      </c>
      <c r="P311" s="7">
        <f t="shared" si="7"/>
        <v>0.008258864429</v>
      </c>
      <c r="Q311" s="7">
        <f t="shared" si="8"/>
        <v>0.01237657736</v>
      </c>
      <c r="R311" s="7">
        <f t="shared" si="2"/>
        <v>0.9724927477</v>
      </c>
      <c r="S311" s="7">
        <f t="shared" si="3"/>
        <v>0.1009950494</v>
      </c>
      <c r="T311" s="7">
        <f t="shared" si="4"/>
        <v>0</v>
      </c>
      <c r="U311" s="7">
        <f t="shared" si="5"/>
        <v>0</v>
      </c>
      <c r="V311" s="7">
        <f t="shared" ref="V311:W311" si="565">IF(AVERAGE(T251:T310) &gt; 0.25, 1, 0)</f>
        <v>1</v>
      </c>
      <c r="W311" s="7">
        <f t="shared" si="565"/>
        <v>1</v>
      </c>
      <c r="X311" s="8">
        <v>1.0</v>
      </c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ht="22.5" customHeight="1">
      <c r="A312" s="6">
        <v>311.0</v>
      </c>
      <c r="B312" s="6">
        <v>65927.0</v>
      </c>
      <c r="C312" s="6">
        <v>1.64</v>
      </c>
      <c r="D312" s="6">
        <v>0.41</v>
      </c>
      <c r="E312" s="6">
        <v>10.28</v>
      </c>
      <c r="F312" s="6">
        <v>-0.22</v>
      </c>
      <c r="G312" s="6">
        <v>0.01</v>
      </c>
      <c r="H312" s="6">
        <v>-0.28</v>
      </c>
      <c r="I312" s="6">
        <v>33.37</v>
      </c>
      <c r="J312" s="7">
        <f t="shared" ref="J312:O312" si="566">abs(C312-C311)/200</f>
        <v>0.00155</v>
      </c>
      <c r="K312" s="7">
        <f t="shared" si="566"/>
        <v>0.00185</v>
      </c>
      <c r="L312" s="7">
        <f t="shared" si="566"/>
        <v>0.00205</v>
      </c>
      <c r="M312" s="7">
        <f t="shared" si="566"/>
        <v>0.0006</v>
      </c>
      <c r="N312" s="7">
        <f t="shared" si="566"/>
        <v>0.0001</v>
      </c>
      <c r="O312" s="7">
        <f t="shared" si="566"/>
        <v>0.00135</v>
      </c>
      <c r="P312" s="7">
        <f t="shared" si="7"/>
        <v>0.2552352132</v>
      </c>
      <c r="Q312" s="7">
        <f t="shared" si="8"/>
        <v>0.3544267084</v>
      </c>
      <c r="R312" s="7">
        <f t="shared" si="2"/>
        <v>0.6180660393</v>
      </c>
      <c r="S312" s="7">
        <f t="shared" si="3"/>
        <v>0.3562302626</v>
      </c>
      <c r="T312" s="7">
        <f t="shared" si="4"/>
        <v>1</v>
      </c>
      <c r="U312" s="7">
        <f t="shared" si="5"/>
        <v>1</v>
      </c>
      <c r="V312" s="7">
        <f t="shared" ref="V312:W312" si="567">IF(AVERAGE(T252:T311) &gt; 0.25, 1, 0)</f>
        <v>1</v>
      </c>
      <c r="W312" s="7">
        <f t="shared" si="567"/>
        <v>1</v>
      </c>
      <c r="X312" s="8">
        <v>1.0</v>
      </c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ht="22.5" customHeight="1">
      <c r="A313" s="6">
        <v>312.0</v>
      </c>
      <c r="B313" s="6">
        <v>66131.0</v>
      </c>
      <c r="C313" s="6">
        <v>-0.79</v>
      </c>
      <c r="D313" s="6">
        <v>-2.84</v>
      </c>
      <c r="E313" s="6">
        <v>11.41</v>
      </c>
      <c r="F313" s="6">
        <v>0.36</v>
      </c>
      <c r="G313" s="6">
        <v>0.58</v>
      </c>
      <c r="H313" s="6">
        <v>0.48</v>
      </c>
      <c r="I313" s="6">
        <v>33.37</v>
      </c>
      <c r="J313" s="7">
        <f t="shared" ref="J313:O313" si="568">abs(C313-C312)/200</f>
        <v>0.01215</v>
      </c>
      <c r="K313" s="7">
        <f t="shared" si="568"/>
        <v>0.01625</v>
      </c>
      <c r="L313" s="7">
        <f t="shared" si="568"/>
        <v>0.00565</v>
      </c>
      <c r="M313" s="7">
        <f t="shared" si="568"/>
        <v>0.0029</v>
      </c>
      <c r="N313" s="7">
        <f t="shared" si="568"/>
        <v>0.00285</v>
      </c>
      <c r="O313" s="7">
        <f t="shared" si="568"/>
        <v>0.0038</v>
      </c>
      <c r="P313" s="7">
        <f t="shared" si="7"/>
        <v>0.4782755792</v>
      </c>
      <c r="Q313" s="7">
        <f t="shared" si="8"/>
        <v>1.366576509</v>
      </c>
      <c r="R313" s="7">
        <f t="shared" si="2"/>
        <v>1.984642549</v>
      </c>
      <c r="S313" s="7">
        <f t="shared" si="3"/>
        <v>0.8345058418</v>
      </c>
      <c r="T313" s="7">
        <f t="shared" si="4"/>
        <v>1</v>
      </c>
      <c r="U313" s="7">
        <f t="shared" si="5"/>
        <v>1</v>
      </c>
      <c r="V313" s="7">
        <f t="shared" ref="V313:W313" si="569">IF(AVERAGE(T253:T312) &gt; 0.25, 1, 0)</f>
        <v>1</v>
      </c>
      <c r="W313" s="7">
        <f t="shared" si="569"/>
        <v>1</v>
      </c>
      <c r="X313" s="8">
        <v>1.0</v>
      </c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ht="22.5" customHeight="1">
      <c r="A314" s="6">
        <v>313.0</v>
      </c>
      <c r="B314" s="6">
        <v>66335.0</v>
      </c>
      <c r="C314" s="6">
        <v>4.23</v>
      </c>
      <c r="D314" s="6">
        <v>-0.1</v>
      </c>
      <c r="E314" s="6">
        <v>10.78</v>
      </c>
      <c r="F314" s="6">
        <v>0.07</v>
      </c>
      <c r="G314" s="6">
        <v>-0.14</v>
      </c>
      <c r="H314" s="6">
        <v>3.92</v>
      </c>
      <c r="I314" s="6">
        <v>33.37</v>
      </c>
      <c r="J314" s="7">
        <f t="shared" ref="J314:O314" si="570">abs(C314-C313)/200</f>
        <v>0.0251</v>
      </c>
      <c r="K314" s="7">
        <f t="shared" si="570"/>
        <v>0.0137</v>
      </c>
      <c r="L314" s="7">
        <f t="shared" si="570"/>
        <v>0.00315</v>
      </c>
      <c r="M314" s="7">
        <f t="shared" si="570"/>
        <v>0.00145</v>
      </c>
      <c r="N314" s="7">
        <f t="shared" si="570"/>
        <v>0.0036</v>
      </c>
      <c r="O314" s="7">
        <f t="shared" si="570"/>
        <v>0.0172</v>
      </c>
      <c r="P314" s="7">
        <f t="shared" si="7"/>
        <v>3.088617914</v>
      </c>
      <c r="Q314" s="7">
        <f t="shared" si="8"/>
        <v>0.2039992159</v>
      </c>
      <c r="R314" s="7">
        <f t="shared" si="2"/>
        <v>1.780643333</v>
      </c>
      <c r="S314" s="7">
        <f t="shared" si="3"/>
        <v>3.923123755</v>
      </c>
      <c r="T314" s="7">
        <f t="shared" si="4"/>
        <v>1</v>
      </c>
      <c r="U314" s="7">
        <f t="shared" si="5"/>
        <v>1</v>
      </c>
      <c r="V314" s="7">
        <f t="shared" ref="V314:W314" si="571">IF(AVERAGE(T254:T313) &gt; 0.25, 1, 0)</f>
        <v>1</v>
      </c>
      <c r="W314" s="7">
        <f t="shared" si="571"/>
        <v>1</v>
      </c>
      <c r="X314" s="8">
        <v>1.0</v>
      </c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ht="22.5" customHeight="1">
      <c r="A315" s="6">
        <v>314.0</v>
      </c>
      <c r="B315" s="6">
        <v>66539.0</v>
      </c>
      <c r="C315" s="6">
        <v>1.57</v>
      </c>
      <c r="D315" s="6">
        <v>-0.92</v>
      </c>
      <c r="E315" s="6">
        <v>10.8</v>
      </c>
      <c r="F315" s="6">
        <v>-0.3</v>
      </c>
      <c r="G315" s="6">
        <v>-0.08</v>
      </c>
      <c r="H315" s="6">
        <v>-2.34</v>
      </c>
      <c r="I315" s="6">
        <v>33.36</v>
      </c>
      <c r="J315" s="7">
        <f t="shared" ref="J315:O315" si="572">abs(C315-C314)/200</f>
        <v>0.0133</v>
      </c>
      <c r="K315" s="7">
        <f t="shared" si="572"/>
        <v>0.0041</v>
      </c>
      <c r="L315" s="7">
        <f t="shared" si="572"/>
        <v>0.0001</v>
      </c>
      <c r="M315" s="7">
        <f t="shared" si="572"/>
        <v>0.00185</v>
      </c>
      <c r="N315" s="7">
        <f t="shared" si="572"/>
        <v>0.0003</v>
      </c>
      <c r="O315" s="7">
        <f t="shared" si="572"/>
        <v>0.0313</v>
      </c>
      <c r="P315" s="7">
        <f t="shared" si="7"/>
        <v>1.562615336</v>
      </c>
      <c r="Q315" s="7">
        <f t="shared" si="8"/>
        <v>0.6284152489</v>
      </c>
      <c r="R315" s="7">
        <f t="shared" si="2"/>
        <v>1.152228084</v>
      </c>
      <c r="S315" s="7">
        <f t="shared" si="3"/>
        <v>2.36050842</v>
      </c>
      <c r="T315" s="7">
        <f t="shared" si="4"/>
        <v>1</v>
      </c>
      <c r="U315" s="7">
        <f t="shared" si="5"/>
        <v>1</v>
      </c>
      <c r="V315" s="7">
        <f t="shared" ref="V315:W315" si="573">IF(AVERAGE(T255:T314) &gt; 0.25, 1, 0)</f>
        <v>1</v>
      </c>
      <c r="W315" s="7">
        <f t="shared" si="573"/>
        <v>1</v>
      </c>
      <c r="X315" s="8">
        <v>1.0</v>
      </c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ht="22.5" customHeight="1">
      <c r="A316" s="6">
        <v>315.0</v>
      </c>
      <c r="B316" s="6">
        <v>66743.0</v>
      </c>
      <c r="C316" s="6">
        <v>-6.9</v>
      </c>
      <c r="D316" s="6">
        <v>0.93</v>
      </c>
      <c r="E316" s="6">
        <v>10.91</v>
      </c>
      <c r="F316" s="6">
        <v>-0.1</v>
      </c>
      <c r="G316" s="6">
        <v>0.42</v>
      </c>
      <c r="H316" s="6">
        <v>1.06</v>
      </c>
      <c r="I316" s="6">
        <v>33.36</v>
      </c>
      <c r="J316" s="7">
        <f t="shared" ref="J316:O316" si="574">abs(C316-C315)/200</f>
        <v>0.04235</v>
      </c>
      <c r="K316" s="7">
        <f t="shared" si="574"/>
        <v>0.00925</v>
      </c>
      <c r="L316" s="7">
        <f t="shared" si="574"/>
        <v>0.00055</v>
      </c>
      <c r="M316" s="7">
        <f t="shared" si="574"/>
        <v>0.001</v>
      </c>
      <c r="N316" s="7">
        <f t="shared" si="574"/>
        <v>0.0025</v>
      </c>
      <c r="O316" s="7">
        <f t="shared" si="574"/>
        <v>0.017</v>
      </c>
      <c r="P316" s="7">
        <f t="shared" si="7"/>
        <v>1.215956106</v>
      </c>
      <c r="Q316" s="7">
        <f t="shared" si="8"/>
        <v>1.990066921</v>
      </c>
      <c r="R316" s="7">
        <f t="shared" si="2"/>
        <v>3.142295005</v>
      </c>
      <c r="S316" s="7">
        <f t="shared" si="3"/>
        <v>1.144552314</v>
      </c>
      <c r="T316" s="7">
        <f t="shared" si="4"/>
        <v>1</v>
      </c>
      <c r="U316" s="7">
        <f t="shared" si="5"/>
        <v>1</v>
      </c>
      <c r="V316" s="7">
        <f t="shared" ref="V316:W316" si="575">IF(AVERAGE(T256:T315) &gt; 0.25, 1, 0)</f>
        <v>1</v>
      </c>
      <c r="W316" s="7">
        <f t="shared" si="575"/>
        <v>1</v>
      </c>
      <c r="X316" s="8">
        <v>1.0</v>
      </c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ht="22.5" customHeight="1">
      <c r="A317" s="6">
        <v>316.0</v>
      </c>
      <c r="B317" s="6">
        <v>66947.0</v>
      </c>
      <c r="C317" s="6">
        <v>8.62</v>
      </c>
      <c r="D317" s="6">
        <v>-3.98</v>
      </c>
      <c r="E317" s="6">
        <v>9.81</v>
      </c>
      <c r="F317" s="6">
        <v>0.21</v>
      </c>
      <c r="G317" s="6">
        <v>0.12</v>
      </c>
      <c r="H317" s="6">
        <v>1.31</v>
      </c>
      <c r="I317" s="6">
        <v>33.36</v>
      </c>
      <c r="J317" s="7">
        <f t="shared" ref="J317:O317" si="576">abs(C317-C316)/200</f>
        <v>0.0776</v>
      </c>
      <c r="K317" s="7">
        <f t="shared" si="576"/>
        <v>0.02455</v>
      </c>
      <c r="L317" s="7">
        <f t="shared" si="576"/>
        <v>0.0055</v>
      </c>
      <c r="M317" s="7">
        <f t="shared" si="576"/>
        <v>0.00155</v>
      </c>
      <c r="N317" s="7">
        <f t="shared" si="576"/>
        <v>0.0015</v>
      </c>
      <c r="O317" s="7">
        <f t="shared" si="576"/>
        <v>0.00125</v>
      </c>
      <c r="P317" s="7">
        <f t="shared" si="7"/>
        <v>0.1875888194</v>
      </c>
      <c r="Q317" s="7">
        <f t="shared" si="8"/>
        <v>0.7098440214</v>
      </c>
      <c r="R317" s="7">
        <f t="shared" si="2"/>
        <v>3.852139027</v>
      </c>
      <c r="S317" s="7">
        <f t="shared" si="3"/>
        <v>1.332141134</v>
      </c>
      <c r="T317" s="7">
        <f t="shared" si="4"/>
        <v>1</v>
      </c>
      <c r="U317" s="7">
        <f t="shared" si="5"/>
        <v>1</v>
      </c>
      <c r="V317" s="7">
        <f t="shared" ref="V317:W317" si="577">IF(AVERAGE(T257:T316) &gt; 0.25, 1, 0)</f>
        <v>1</v>
      </c>
      <c r="W317" s="7">
        <f t="shared" si="577"/>
        <v>1</v>
      </c>
      <c r="X317" s="8">
        <v>1.0</v>
      </c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ht="22.5" customHeight="1">
      <c r="A318" s="6">
        <v>317.0</v>
      </c>
      <c r="B318" s="6">
        <v>67151.0</v>
      </c>
      <c r="C318" s="6">
        <v>0.19</v>
      </c>
      <c r="D318" s="6">
        <v>-1.38</v>
      </c>
      <c r="E318" s="6">
        <v>10.83</v>
      </c>
      <c r="F318" s="6">
        <v>-0.14</v>
      </c>
      <c r="G318" s="6">
        <v>-0.05</v>
      </c>
      <c r="H318" s="6">
        <v>-3.28</v>
      </c>
      <c r="I318" s="6">
        <v>33.37</v>
      </c>
      <c r="J318" s="7">
        <f t="shared" ref="J318:O318" si="578">abs(C318-C317)/200</f>
        <v>0.04215</v>
      </c>
      <c r="K318" s="7">
        <f t="shared" si="578"/>
        <v>0.013</v>
      </c>
      <c r="L318" s="7">
        <f t="shared" si="578"/>
        <v>0.0051</v>
      </c>
      <c r="M318" s="7">
        <f t="shared" si="578"/>
        <v>0.00175</v>
      </c>
      <c r="N318" s="7">
        <f t="shared" si="578"/>
        <v>0.00085</v>
      </c>
      <c r="O318" s="7">
        <f t="shared" si="578"/>
        <v>0.02295</v>
      </c>
      <c r="P318" s="7">
        <f t="shared" si="7"/>
        <v>1.95122604</v>
      </c>
      <c r="Q318" s="7">
        <f t="shared" si="8"/>
        <v>2.732917443</v>
      </c>
      <c r="R318" s="7">
        <f t="shared" si="2"/>
        <v>1.119221584</v>
      </c>
      <c r="S318" s="7">
        <f t="shared" si="3"/>
        <v>3.283367174</v>
      </c>
      <c r="T318" s="7">
        <f t="shared" si="4"/>
        <v>1</v>
      </c>
      <c r="U318" s="7">
        <f t="shared" si="5"/>
        <v>1</v>
      </c>
      <c r="V318" s="7">
        <f t="shared" ref="V318:W318" si="579">IF(AVERAGE(T258:T317) &gt; 0.25, 1, 0)</f>
        <v>1</v>
      </c>
      <c r="W318" s="7">
        <f t="shared" si="579"/>
        <v>1</v>
      </c>
      <c r="X318" s="8">
        <v>1.0</v>
      </c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ht="22.5" customHeight="1">
      <c r="A319" s="6">
        <v>318.0</v>
      </c>
      <c r="B319" s="6">
        <v>67355.0</v>
      </c>
      <c r="C319" s="6">
        <v>-0.19</v>
      </c>
      <c r="D319" s="6">
        <v>0.41</v>
      </c>
      <c r="E319" s="6">
        <v>10.74</v>
      </c>
      <c r="F319" s="6">
        <v>-0.28</v>
      </c>
      <c r="G319" s="6">
        <v>-0.38</v>
      </c>
      <c r="H319" s="6">
        <v>-1.48</v>
      </c>
      <c r="I319" s="6">
        <v>33.36</v>
      </c>
      <c r="J319" s="7">
        <f t="shared" ref="J319:O319" si="580">abs(C319-C318)/200</f>
        <v>0.0019</v>
      </c>
      <c r="K319" s="7">
        <f t="shared" si="580"/>
        <v>0.00895</v>
      </c>
      <c r="L319" s="7">
        <f t="shared" si="580"/>
        <v>0.00045</v>
      </c>
      <c r="M319" s="7">
        <f t="shared" si="580"/>
        <v>0.0007</v>
      </c>
      <c r="N319" s="7">
        <f t="shared" si="580"/>
        <v>0.00165</v>
      </c>
      <c r="O319" s="7">
        <f t="shared" si="580"/>
        <v>0.009</v>
      </c>
      <c r="P319" s="7">
        <f t="shared" si="7"/>
        <v>1.729919396</v>
      </c>
      <c r="Q319" s="7">
        <f t="shared" si="8"/>
        <v>0.1697192699</v>
      </c>
      <c r="R319" s="7">
        <f t="shared" si="2"/>
        <v>0.9495023141</v>
      </c>
      <c r="S319" s="7">
        <f t="shared" si="3"/>
        <v>1.553447778</v>
      </c>
      <c r="T319" s="7">
        <f t="shared" si="4"/>
        <v>1</v>
      </c>
      <c r="U319" s="7">
        <f t="shared" si="5"/>
        <v>1</v>
      </c>
      <c r="V319" s="7">
        <f t="shared" ref="V319:W319" si="581">IF(AVERAGE(T259:T318) &gt; 0.25, 1, 0)</f>
        <v>1</v>
      </c>
      <c r="W319" s="7">
        <f t="shared" si="581"/>
        <v>1</v>
      </c>
      <c r="X319" s="8">
        <v>1.0</v>
      </c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ht="22.5" customHeight="1">
      <c r="A320" s="6">
        <v>319.0</v>
      </c>
      <c r="B320" s="6">
        <v>67559.0</v>
      </c>
      <c r="C320" s="6">
        <v>-1.59</v>
      </c>
      <c r="D320" s="6">
        <v>2.74</v>
      </c>
      <c r="E320" s="6">
        <v>10.73</v>
      </c>
      <c r="F320" s="6">
        <v>-0.14</v>
      </c>
      <c r="G320" s="6">
        <v>-0.12</v>
      </c>
      <c r="H320" s="6">
        <v>-1.1</v>
      </c>
      <c r="I320" s="6">
        <v>33.37</v>
      </c>
      <c r="J320" s="7">
        <f t="shared" ref="J320:O320" si="582">abs(C320-C319)/200</f>
        <v>0.007</v>
      </c>
      <c r="K320" s="7">
        <f t="shared" si="582"/>
        <v>0.01165</v>
      </c>
      <c r="L320" s="7">
        <f t="shared" si="582"/>
        <v>0.00005</v>
      </c>
      <c r="M320" s="7">
        <f t="shared" si="582"/>
        <v>0.0007</v>
      </c>
      <c r="N320" s="7">
        <f t="shared" si="582"/>
        <v>0.0013</v>
      </c>
      <c r="O320" s="7">
        <f t="shared" si="582"/>
        <v>0.0019</v>
      </c>
      <c r="P320" s="7">
        <f t="shared" si="7"/>
        <v>0.4381002988</v>
      </c>
      <c r="Q320" s="7">
        <f t="shared" si="8"/>
        <v>0.4383750539</v>
      </c>
      <c r="R320" s="7">
        <f t="shared" si="2"/>
        <v>1.387877368</v>
      </c>
      <c r="S320" s="7">
        <f t="shared" si="3"/>
        <v>1.115347479</v>
      </c>
      <c r="T320" s="7">
        <f t="shared" si="4"/>
        <v>1</v>
      </c>
      <c r="U320" s="7">
        <f t="shared" si="5"/>
        <v>1</v>
      </c>
      <c r="V320" s="7">
        <f t="shared" ref="V320:W320" si="583">IF(AVERAGE(T260:T319) &gt; 0.25, 1, 0)</f>
        <v>1</v>
      </c>
      <c r="W320" s="7">
        <f t="shared" si="583"/>
        <v>1</v>
      </c>
      <c r="X320" s="8">
        <v>1.0</v>
      </c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ht="22.5" customHeight="1">
      <c r="A321" s="6">
        <v>320.0</v>
      </c>
      <c r="B321" s="6">
        <v>67763.0</v>
      </c>
      <c r="C321" s="6">
        <v>0.77</v>
      </c>
      <c r="D321" s="6">
        <v>0.79</v>
      </c>
      <c r="E321" s="6">
        <v>10.76</v>
      </c>
      <c r="F321" s="6">
        <v>-0.07</v>
      </c>
      <c r="G321" s="6">
        <v>0.04</v>
      </c>
      <c r="H321" s="6">
        <v>-0.86</v>
      </c>
      <c r="I321" s="6">
        <v>33.37</v>
      </c>
      <c r="J321" s="7">
        <f t="shared" ref="J321:O321" si="584">abs(C321-C320)/200</f>
        <v>0.0118</v>
      </c>
      <c r="K321" s="7">
        <f t="shared" si="584"/>
        <v>0.00975</v>
      </c>
      <c r="L321" s="7">
        <f t="shared" si="584"/>
        <v>0.00015</v>
      </c>
      <c r="M321" s="7">
        <f t="shared" si="584"/>
        <v>0.00035</v>
      </c>
      <c r="N321" s="7">
        <f t="shared" si="584"/>
        <v>0.0008</v>
      </c>
      <c r="O321" s="7">
        <f t="shared" si="584"/>
        <v>0.0012</v>
      </c>
      <c r="P321" s="7">
        <f t="shared" si="7"/>
        <v>0.2515766766</v>
      </c>
      <c r="Q321" s="7">
        <f t="shared" si="8"/>
        <v>0.3714731595</v>
      </c>
      <c r="R321" s="7">
        <f t="shared" si="2"/>
        <v>1.016404208</v>
      </c>
      <c r="S321" s="7">
        <f t="shared" si="3"/>
        <v>0.8637708029</v>
      </c>
      <c r="T321" s="7">
        <f t="shared" si="4"/>
        <v>1</v>
      </c>
      <c r="U321" s="7">
        <f t="shared" si="5"/>
        <v>1</v>
      </c>
      <c r="V321" s="7">
        <f t="shared" ref="V321:W321" si="585">IF(AVERAGE(T261:T320) &gt; 0.25, 1, 0)</f>
        <v>1</v>
      </c>
      <c r="W321" s="7">
        <f t="shared" si="585"/>
        <v>1</v>
      </c>
      <c r="X321" s="8">
        <v>1.0</v>
      </c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ht="22.5" customHeight="1">
      <c r="A322" s="6">
        <v>321.0</v>
      </c>
      <c r="B322" s="6">
        <v>67967.0</v>
      </c>
      <c r="C322" s="6">
        <v>-1.07</v>
      </c>
      <c r="D322" s="6">
        <v>1.02</v>
      </c>
      <c r="E322" s="6">
        <v>10.68</v>
      </c>
      <c r="F322" s="6">
        <v>-0.09</v>
      </c>
      <c r="G322" s="6">
        <v>0.15</v>
      </c>
      <c r="H322" s="6">
        <v>0.86</v>
      </c>
      <c r="I322" s="6">
        <v>33.37</v>
      </c>
      <c r="J322" s="7">
        <f t="shared" ref="J322:O322" si="586">abs(C322-C321)/200</f>
        <v>0.0092</v>
      </c>
      <c r="K322" s="7">
        <f t="shared" si="586"/>
        <v>0.00115</v>
      </c>
      <c r="L322" s="7">
        <f t="shared" si="586"/>
        <v>0.0004</v>
      </c>
      <c r="M322" s="7">
        <f t="shared" si="586"/>
        <v>0.0001</v>
      </c>
      <c r="N322" s="7">
        <f t="shared" si="586"/>
        <v>0.00055</v>
      </c>
      <c r="O322" s="7">
        <f t="shared" si="586"/>
        <v>0.0086</v>
      </c>
      <c r="P322" s="7">
        <f t="shared" si="7"/>
        <v>0.01383958898</v>
      </c>
      <c r="Q322" s="7">
        <f t="shared" si="8"/>
        <v>0.03458154247</v>
      </c>
      <c r="R322" s="7">
        <f t="shared" si="2"/>
        <v>0.981822666</v>
      </c>
      <c r="S322" s="7">
        <f t="shared" si="3"/>
        <v>0.8776103919</v>
      </c>
      <c r="T322" s="7">
        <f t="shared" si="4"/>
        <v>1</v>
      </c>
      <c r="U322" s="7">
        <f t="shared" si="5"/>
        <v>1</v>
      </c>
      <c r="V322" s="7">
        <f t="shared" ref="V322:W322" si="587">IF(AVERAGE(T262:T321) &gt; 0.25, 1, 0)</f>
        <v>1</v>
      </c>
      <c r="W322" s="7">
        <f t="shared" si="587"/>
        <v>1</v>
      </c>
      <c r="X322" s="8">
        <v>1.0</v>
      </c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ht="22.5" customHeight="1">
      <c r="A323" s="6">
        <v>322.0</v>
      </c>
      <c r="B323" s="6">
        <v>68171.0</v>
      </c>
      <c r="C323" s="6">
        <v>-0.23</v>
      </c>
      <c r="D323" s="6">
        <v>-0.58</v>
      </c>
      <c r="E323" s="6">
        <v>10.89</v>
      </c>
      <c r="F323" s="6">
        <v>-0.14</v>
      </c>
      <c r="G323" s="6">
        <v>0.21</v>
      </c>
      <c r="H323" s="6">
        <v>2.25</v>
      </c>
      <c r="I323" s="6">
        <v>33.36</v>
      </c>
      <c r="J323" s="7">
        <f t="shared" ref="J323:O323" si="588">abs(C323-C322)/200</f>
        <v>0.0042</v>
      </c>
      <c r="K323" s="7">
        <f t="shared" si="588"/>
        <v>0.008</v>
      </c>
      <c r="L323" s="7">
        <f t="shared" si="588"/>
        <v>0.00105</v>
      </c>
      <c r="M323" s="7">
        <f t="shared" si="588"/>
        <v>0.00025</v>
      </c>
      <c r="N323" s="7">
        <f t="shared" si="588"/>
        <v>0.0003</v>
      </c>
      <c r="O323" s="7">
        <f t="shared" si="588"/>
        <v>0.00695</v>
      </c>
      <c r="P323" s="7">
        <f t="shared" si="7"/>
        <v>1.386500913</v>
      </c>
      <c r="Q323" s="7">
        <f t="shared" si="8"/>
        <v>0.1260368858</v>
      </c>
      <c r="R323" s="7">
        <f t="shared" si="2"/>
        <v>1.107859552</v>
      </c>
      <c r="S323" s="7">
        <f t="shared" si="3"/>
        <v>2.264111305</v>
      </c>
      <c r="T323" s="7">
        <f t="shared" si="4"/>
        <v>1</v>
      </c>
      <c r="U323" s="7">
        <f t="shared" si="5"/>
        <v>1</v>
      </c>
      <c r="V323" s="7">
        <f t="shared" ref="V323:W323" si="589">IF(AVERAGE(T263:T322) &gt; 0.25, 1, 0)</f>
        <v>1</v>
      </c>
      <c r="W323" s="7">
        <f t="shared" si="589"/>
        <v>1</v>
      </c>
      <c r="X323" s="8">
        <v>1.0</v>
      </c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ht="22.5" customHeight="1">
      <c r="A324" s="6">
        <v>323.0</v>
      </c>
      <c r="B324" s="6">
        <v>68375.0</v>
      </c>
      <c r="C324" s="6">
        <v>-0.62</v>
      </c>
      <c r="D324" s="6">
        <v>-2.1</v>
      </c>
      <c r="E324" s="6">
        <v>10.99</v>
      </c>
      <c r="F324" s="6">
        <v>0.0</v>
      </c>
      <c r="G324" s="6">
        <v>0.27</v>
      </c>
      <c r="H324" s="6">
        <v>4.6</v>
      </c>
      <c r="I324" s="6">
        <v>33.36</v>
      </c>
      <c r="J324" s="7">
        <f t="shared" ref="J324:O324" si="590">abs(C324-C323)/200</f>
        <v>0.00195</v>
      </c>
      <c r="K324" s="7">
        <f t="shared" si="590"/>
        <v>0.0076</v>
      </c>
      <c r="L324" s="7">
        <f t="shared" si="590"/>
        <v>0.0005</v>
      </c>
      <c r="M324" s="7">
        <f t="shared" si="590"/>
        <v>0.0007</v>
      </c>
      <c r="N324" s="7">
        <f t="shared" si="590"/>
        <v>0.0003</v>
      </c>
      <c r="O324" s="7">
        <f t="shared" si="590"/>
        <v>0.01175</v>
      </c>
      <c r="P324" s="7">
        <f t="shared" si="7"/>
        <v>2.343805795</v>
      </c>
      <c r="Q324" s="7">
        <f t="shared" si="8"/>
        <v>0.2981433039</v>
      </c>
      <c r="R324" s="7">
        <f t="shared" si="2"/>
        <v>1.406002856</v>
      </c>
      <c r="S324" s="7">
        <f t="shared" si="3"/>
        <v>4.6079171</v>
      </c>
      <c r="T324" s="7">
        <f t="shared" si="4"/>
        <v>1</v>
      </c>
      <c r="U324" s="7">
        <f t="shared" si="5"/>
        <v>1</v>
      </c>
      <c r="V324" s="7">
        <f t="shared" ref="V324:W324" si="591">IF(AVERAGE(T264:T323) &gt; 0.25, 1, 0)</f>
        <v>1</v>
      </c>
      <c r="W324" s="7">
        <f t="shared" si="591"/>
        <v>1</v>
      </c>
      <c r="X324" s="8">
        <v>1.0</v>
      </c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ht="22.5" customHeight="1">
      <c r="A325" s="6">
        <v>324.0</v>
      </c>
      <c r="B325" s="6">
        <v>68579.0</v>
      </c>
      <c r="C325" s="6">
        <v>4.09</v>
      </c>
      <c r="D325" s="6">
        <v>-2.17</v>
      </c>
      <c r="E325" s="6">
        <v>10.38</v>
      </c>
      <c r="F325" s="6">
        <v>0.13</v>
      </c>
      <c r="G325" s="6">
        <v>-0.04</v>
      </c>
      <c r="H325" s="6">
        <v>1.3</v>
      </c>
      <c r="I325" s="6">
        <v>33.36</v>
      </c>
      <c r="J325" s="7">
        <f t="shared" ref="J325:O325" si="592">abs(C325-C324)/200</f>
        <v>0.02355</v>
      </c>
      <c r="K325" s="7">
        <f t="shared" si="592"/>
        <v>0.00035</v>
      </c>
      <c r="L325" s="7">
        <f t="shared" si="592"/>
        <v>0.00305</v>
      </c>
      <c r="M325" s="7">
        <f t="shared" si="592"/>
        <v>0.00065</v>
      </c>
      <c r="N325" s="7">
        <f t="shared" si="592"/>
        <v>0.00155</v>
      </c>
      <c r="O325" s="7">
        <f t="shared" si="592"/>
        <v>0.0165</v>
      </c>
      <c r="P325" s="7">
        <f t="shared" si="7"/>
        <v>3.300821082</v>
      </c>
      <c r="Q325" s="7">
        <f t="shared" si="8"/>
        <v>0.1597967203</v>
      </c>
      <c r="R325" s="7">
        <f t="shared" si="2"/>
        <v>1.565799576</v>
      </c>
      <c r="S325" s="7">
        <f t="shared" si="3"/>
        <v>1.307096018</v>
      </c>
      <c r="T325" s="7">
        <f t="shared" si="4"/>
        <v>1</v>
      </c>
      <c r="U325" s="7">
        <f t="shared" si="5"/>
        <v>1</v>
      </c>
      <c r="V325" s="7">
        <f t="shared" ref="V325:W325" si="593">IF(AVERAGE(T265:T324) &gt; 0.25, 1, 0)</f>
        <v>1</v>
      </c>
      <c r="W325" s="7">
        <f t="shared" si="593"/>
        <v>1</v>
      </c>
      <c r="X325" s="8">
        <v>1.0</v>
      </c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ht="22.5" customHeight="1">
      <c r="A326" s="6">
        <v>325.0</v>
      </c>
      <c r="B326" s="6">
        <v>68783.0</v>
      </c>
      <c r="C326" s="6">
        <v>1.27</v>
      </c>
      <c r="D326" s="6">
        <v>-2.81</v>
      </c>
      <c r="E326" s="6">
        <v>11.23</v>
      </c>
      <c r="F326" s="6">
        <v>-0.39</v>
      </c>
      <c r="G326" s="6">
        <v>-0.53</v>
      </c>
      <c r="H326" s="6">
        <v>-3.93</v>
      </c>
      <c r="I326" s="6">
        <v>33.36</v>
      </c>
      <c r="J326" s="7">
        <f t="shared" ref="J326:O326" si="594">abs(C326-C325)/200</f>
        <v>0.0141</v>
      </c>
      <c r="K326" s="7">
        <f t="shared" si="594"/>
        <v>0.0032</v>
      </c>
      <c r="L326" s="7">
        <f t="shared" si="594"/>
        <v>0.00425</v>
      </c>
      <c r="M326" s="7">
        <f t="shared" si="594"/>
        <v>0.0026</v>
      </c>
      <c r="N326" s="7">
        <f t="shared" si="594"/>
        <v>0.00245</v>
      </c>
      <c r="O326" s="7">
        <f t="shared" si="594"/>
        <v>0.02615</v>
      </c>
      <c r="P326" s="7">
        <f t="shared" si="7"/>
        <v>2.677612252</v>
      </c>
      <c r="Q326" s="7">
        <f t="shared" si="8"/>
        <v>0.2798820271</v>
      </c>
      <c r="R326" s="7">
        <f t="shared" si="2"/>
        <v>1.845681603</v>
      </c>
      <c r="S326" s="7">
        <f t="shared" si="3"/>
        <v>3.98470827</v>
      </c>
      <c r="T326" s="7">
        <f t="shared" si="4"/>
        <v>1</v>
      </c>
      <c r="U326" s="7">
        <f t="shared" si="5"/>
        <v>1</v>
      </c>
      <c r="V326" s="7">
        <f t="shared" ref="V326:W326" si="595">IF(AVERAGE(T266:T325) &gt; 0.25, 1, 0)</f>
        <v>1</v>
      </c>
      <c r="W326" s="7">
        <f t="shared" si="595"/>
        <v>1</v>
      </c>
      <c r="X326" s="8">
        <v>1.0</v>
      </c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ht="22.5" customHeight="1">
      <c r="A327" s="6">
        <v>326.0</v>
      </c>
      <c r="B327" s="6">
        <v>68987.0</v>
      </c>
      <c r="C327" s="6">
        <v>-3.25</v>
      </c>
      <c r="D327" s="6">
        <v>-0.09</v>
      </c>
      <c r="E327" s="6">
        <v>11.48</v>
      </c>
      <c r="F327" s="6">
        <v>-0.43</v>
      </c>
      <c r="G327" s="6">
        <v>-0.4</v>
      </c>
      <c r="H327" s="6">
        <v>-3.6</v>
      </c>
      <c r="I327" s="6">
        <v>33.35</v>
      </c>
      <c r="J327" s="7">
        <f t="shared" ref="J327:O327" si="596">abs(C327-C326)/200</f>
        <v>0.0226</v>
      </c>
      <c r="K327" s="7">
        <f t="shared" si="596"/>
        <v>0.0136</v>
      </c>
      <c r="L327" s="7">
        <f t="shared" si="596"/>
        <v>0.00125</v>
      </c>
      <c r="M327" s="7">
        <f t="shared" si="596"/>
        <v>0.0002</v>
      </c>
      <c r="N327" s="7">
        <f t="shared" si="596"/>
        <v>0.00065</v>
      </c>
      <c r="O327" s="7">
        <f t="shared" si="596"/>
        <v>0.00165</v>
      </c>
      <c r="P327" s="7">
        <f t="shared" si="7"/>
        <v>0.3371200261</v>
      </c>
      <c r="Q327" s="7">
        <f t="shared" si="8"/>
        <v>0.2858312935</v>
      </c>
      <c r="R327" s="7">
        <f t="shared" si="2"/>
        <v>2.131512897</v>
      </c>
      <c r="S327" s="7">
        <f t="shared" si="3"/>
        <v>3.647588244</v>
      </c>
      <c r="T327" s="7">
        <f t="shared" si="4"/>
        <v>1</v>
      </c>
      <c r="U327" s="7">
        <f t="shared" si="5"/>
        <v>1</v>
      </c>
      <c r="V327" s="7">
        <f t="shared" ref="V327:W327" si="597">IF(AVERAGE(T267:T326) &gt; 0.25, 1, 0)</f>
        <v>1</v>
      </c>
      <c r="W327" s="7">
        <f t="shared" si="597"/>
        <v>1</v>
      </c>
      <c r="X327" s="8">
        <v>1.0</v>
      </c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ht="22.5" customHeight="1">
      <c r="A328" s="6">
        <v>327.0</v>
      </c>
      <c r="B328" s="6">
        <v>69191.0</v>
      </c>
      <c r="C328" s="6">
        <v>-1.93</v>
      </c>
      <c r="D328" s="6">
        <v>0.15</v>
      </c>
      <c r="E328" s="6">
        <v>10.78</v>
      </c>
      <c r="F328" s="6">
        <v>-0.23</v>
      </c>
      <c r="G328" s="6">
        <v>0.24</v>
      </c>
      <c r="H328" s="6">
        <v>-1.27</v>
      </c>
      <c r="I328" s="6">
        <v>33.35</v>
      </c>
      <c r="J328" s="7">
        <f t="shared" ref="J328:O328" si="598">abs(C328-C327)/200</f>
        <v>0.0066</v>
      </c>
      <c r="K328" s="7">
        <f t="shared" si="598"/>
        <v>0.0012</v>
      </c>
      <c r="L328" s="7">
        <f t="shared" si="598"/>
        <v>0.0035</v>
      </c>
      <c r="M328" s="7">
        <f t="shared" si="598"/>
        <v>0.001</v>
      </c>
      <c r="N328" s="7">
        <f t="shared" si="598"/>
        <v>0.0032</v>
      </c>
      <c r="O328" s="7">
        <f t="shared" si="598"/>
        <v>0.01165</v>
      </c>
      <c r="P328" s="7">
        <f t="shared" si="7"/>
        <v>2.334804942</v>
      </c>
      <c r="Q328" s="7">
        <f t="shared" si="8"/>
        <v>0.979079377</v>
      </c>
      <c r="R328" s="7">
        <f t="shared" si="2"/>
        <v>1.15243352</v>
      </c>
      <c r="S328" s="7">
        <f t="shared" si="3"/>
        <v>1.312783303</v>
      </c>
      <c r="T328" s="7">
        <f t="shared" si="4"/>
        <v>1</v>
      </c>
      <c r="U328" s="7">
        <f t="shared" si="5"/>
        <v>1</v>
      </c>
      <c r="V328" s="7">
        <f t="shared" ref="V328:W328" si="599">IF(AVERAGE(T268:T327) &gt; 0.25, 1, 0)</f>
        <v>1</v>
      </c>
      <c r="W328" s="7">
        <f t="shared" si="599"/>
        <v>1</v>
      </c>
      <c r="X328" s="8">
        <v>1.0</v>
      </c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ht="22.5" customHeight="1">
      <c r="A329" s="6">
        <v>328.0</v>
      </c>
      <c r="B329" s="6">
        <v>69395.0</v>
      </c>
      <c r="C329" s="6">
        <v>1.08</v>
      </c>
      <c r="D329" s="6">
        <v>0.19</v>
      </c>
      <c r="E329" s="6">
        <v>10.99</v>
      </c>
      <c r="F329" s="6">
        <v>-0.15</v>
      </c>
      <c r="G329" s="6">
        <v>0.4</v>
      </c>
      <c r="H329" s="6">
        <v>2.13</v>
      </c>
      <c r="I329" s="6">
        <v>33.36</v>
      </c>
      <c r="J329" s="7">
        <f t="shared" ref="J329:O329" si="600">abs(C329-C328)/200</f>
        <v>0.01505</v>
      </c>
      <c r="K329" s="7">
        <f t="shared" si="600"/>
        <v>0.0002</v>
      </c>
      <c r="L329" s="7">
        <f t="shared" si="600"/>
        <v>0.00105</v>
      </c>
      <c r="M329" s="7">
        <f t="shared" si="600"/>
        <v>0.0004</v>
      </c>
      <c r="N329" s="7">
        <f t="shared" si="600"/>
        <v>0.0008</v>
      </c>
      <c r="O329" s="7">
        <f t="shared" si="600"/>
        <v>0.017</v>
      </c>
      <c r="P329" s="7">
        <f t="shared" si="7"/>
        <v>0.8596347049</v>
      </c>
      <c r="Q329" s="7">
        <f t="shared" si="8"/>
        <v>0.09213980857</v>
      </c>
      <c r="R329" s="7">
        <f t="shared" si="2"/>
        <v>1.244573328</v>
      </c>
      <c r="S329" s="7">
        <f t="shared" si="3"/>
        <v>2.172418008</v>
      </c>
      <c r="T329" s="7">
        <f t="shared" si="4"/>
        <v>1</v>
      </c>
      <c r="U329" s="7">
        <f t="shared" si="5"/>
        <v>1</v>
      </c>
      <c r="V329" s="7">
        <f t="shared" ref="V329:W329" si="601">IF(AVERAGE(T269:T328) &gt; 0.25, 1, 0)</f>
        <v>1</v>
      </c>
      <c r="W329" s="7">
        <f t="shared" si="601"/>
        <v>1</v>
      </c>
      <c r="X329" s="8">
        <v>1.0</v>
      </c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ht="22.5" customHeight="1">
      <c r="A330" s="6">
        <v>329.0</v>
      </c>
      <c r="B330" s="6">
        <v>69599.0</v>
      </c>
      <c r="C330" s="6">
        <v>0.3</v>
      </c>
      <c r="D330" s="6">
        <v>-0.3</v>
      </c>
      <c r="E330" s="6">
        <v>10.85</v>
      </c>
      <c r="F330" s="6">
        <v>-0.16</v>
      </c>
      <c r="G330" s="6">
        <v>0.22</v>
      </c>
      <c r="H330" s="6">
        <v>2.88</v>
      </c>
      <c r="I330" s="6">
        <v>33.36</v>
      </c>
      <c r="J330" s="7">
        <f t="shared" ref="J330:O330" si="602">abs(C330-C329)/200</f>
        <v>0.0039</v>
      </c>
      <c r="K330" s="7">
        <f t="shared" si="602"/>
        <v>0.00245</v>
      </c>
      <c r="L330" s="7">
        <f t="shared" si="602"/>
        <v>0.0007</v>
      </c>
      <c r="M330" s="7">
        <f t="shared" si="602"/>
        <v>0.00005</v>
      </c>
      <c r="N330" s="7">
        <f t="shared" si="602"/>
        <v>0.0009</v>
      </c>
      <c r="O330" s="7">
        <f t="shared" si="602"/>
        <v>0.00375</v>
      </c>
      <c r="P330" s="7">
        <f t="shared" si="7"/>
        <v>0.720400687</v>
      </c>
      <c r="Q330" s="7">
        <f t="shared" si="8"/>
        <v>0.1862815656</v>
      </c>
      <c r="R330" s="7">
        <f t="shared" si="2"/>
        <v>1.058291763</v>
      </c>
      <c r="S330" s="7">
        <f t="shared" si="3"/>
        <v>2.892818695</v>
      </c>
      <c r="T330" s="7">
        <f t="shared" si="4"/>
        <v>1</v>
      </c>
      <c r="U330" s="7">
        <f t="shared" si="5"/>
        <v>1</v>
      </c>
      <c r="V330" s="7">
        <f t="shared" ref="V330:W330" si="603">IF(AVERAGE(T270:T329) &gt; 0.25, 1, 0)</f>
        <v>1</v>
      </c>
      <c r="W330" s="7">
        <f t="shared" si="603"/>
        <v>1</v>
      </c>
      <c r="X330" s="8">
        <v>1.0</v>
      </c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ht="22.5" customHeight="1">
      <c r="A331" s="6">
        <v>330.0</v>
      </c>
      <c r="B331" s="6">
        <v>69803.0</v>
      </c>
      <c r="C331" s="6">
        <v>4.48</v>
      </c>
      <c r="D331" s="6">
        <v>-2.61</v>
      </c>
      <c r="E331" s="6">
        <v>10.46</v>
      </c>
      <c r="F331" s="6">
        <v>0.12</v>
      </c>
      <c r="G331" s="6">
        <v>0.15</v>
      </c>
      <c r="H331" s="6">
        <v>2.95</v>
      </c>
      <c r="I331" s="6">
        <v>33.34</v>
      </c>
      <c r="J331" s="7">
        <f t="shared" ref="J331:O331" si="604">abs(C331-C330)/200</f>
        <v>0.0209</v>
      </c>
      <c r="K331" s="7">
        <f t="shared" si="604"/>
        <v>0.01155</v>
      </c>
      <c r="L331" s="7">
        <f t="shared" si="604"/>
        <v>0.00195</v>
      </c>
      <c r="M331" s="7">
        <f t="shared" si="604"/>
        <v>0.0014</v>
      </c>
      <c r="N331" s="7">
        <f t="shared" si="604"/>
        <v>0.00035</v>
      </c>
      <c r="O331" s="7">
        <f t="shared" si="604"/>
        <v>0.00035</v>
      </c>
      <c r="P331" s="7">
        <f t="shared" si="7"/>
        <v>0.06342892693</v>
      </c>
      <c r="Q331" s="7">
        <f t="shared" si="8"/>
        <v>0.816214651</v>
      </c>
      <c r="R331" s="7">
        <f t="shared" si="2"/>
        <v>1.874506414</v>
      </c>
      <c r="S331" s="7">
        <f t="shared" si="3"/>
        <v>2.956247622</v>
      </c>
      <c r="T331" s="7">
        <f t="shared" si="4"/>
        <v>1</v>
      </c>
      <c r="U331" s="7">
        <f t="shared" si="5"/>
        <v>1</v>
      </c>
      <c r="V331" s="7">
        <f t="shared" ref="V331:W331" si="605">IF(AVERAGE(T271:T330) &gt; 0.25, 1, 0)</f>
        <v>1</v>
      </c>
      <c r="W331" s="7">
        <f t="shared" si="605"/>
        <v>1</v>
      </c>
      <c r="X331" s="8">
        <v>1.0</v>
      </c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ht="22.5" customHeight="1">
      <c r="A332" s="6">
        <v>331.0</v>
      </c>
      <c r="B332" s="6">
        <v>70007.0</v>
      </c>
      <c r="C332" s="6">
        <v>4.22</v>
      </c>
      <c r="D332" s="6">
        <v>-2.35</v>
      </c>
      <c r="E332" s="6">
        <v>10.48</v>
      </c>
      <c r="F332" s="6">
        <v>-0.18</v>
      </c>
      <c r="G332" s="6">
        <v>-0.16</v>
      </c>
      <c r="H332" s="6">
        <v>-1.79</v>
      </c>
      <c r="I332" s="6">
        <v>33.34</v>
      </c>
      <c r="J332" s="7">
        <f t="shared" ref="J332:O332" si="606">abs(C332-C331)/200</f>
        <v>0.0013</v>
      </c>
      <c r="K332" s="7">
        <f t="shared" si="606"/>
        <v>0.0013</v>
      </c>
      <c r="L332" s="7">
        <f t="shared" si="606"/>
        <v>0.0001</v>
      </c>
      <c r="M332" s="7">
        <f t="shared" si="606"/>
        <v>0.0015</v>
      </c>
      <c r="N332" s="7">
        <f t="shared" si="606"/>
        <v>0.00155</v>
      </c>
      <c r="O332" s="7">
        <f t="shared" si="606"/>
        <v>0.0237</v>
      </c>
      <c r="P332" s="7">
        <f t="shared" si="7"/>
        <v>1.150119165</v>
      </c>
      <c r="Q332" s="7">
        <f t="shared" si="8"/>
        <v>0.134952696</v>
      </c>
      <c r="R332" s="7">
        <f t="shared" si="2"/>
        <v>1.739553718</v>
      </c>
      <c r="S332" s="7">
        <f t="shared" si="3"/>
        <v>1.806128456</v>
      </c>
      <c r="T332" s="7">
        <f t="shared" si="4"/>
        <v>1</v>
      </c>
      <c r="U332" s="7">
        <f t="shared" si="5"/>
        <v>1</v>
      </c>
      <c r="V332" s="7">
        <f t="shared" ref="V332:W332" si="607">IF(AVERAGE(T272:T331) &gt; 0.25, 1, 0)</f>
        <v>1</v>
      </c>
      <c r="W332" s="7">
        <f t="shared" si="607"/>
        <v>1</v>
      </c>
      <c r="X332" s="8">
        <v>1.0</v>
      </c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ht="22.5" customHeight="1">
      <c r="A333" s="6">
        <v>332.0</v>
      </c>
      <c r="B333" s="6">
        <v>70211.0</v>
      </c>
      <c r="C333" s="6">
        <v>-1.11</v>
      </c>
      <c r="D333" s="6">
        <v>-1.3</v>
      </c>
      <c r="E333" s="6">
        <v>11.05</v>
      </c>
      <c r="F333" s="6">
        <v>-0.42</v>
      </c>
      <c r="G333" s="6">
        <v>-0.56</v>
      </c>
      <c r="H333" s="6">
        <v>-3.86</v>
      </c>
      <c r="I333" s="6">
        <v>33.34</v>
      </c>
      <c r="J333" s="7">
        <f t="shared" ref="J333:O333" si="608">abs(C333-C332)/200</f>
        <v>0.02665</v>
      </c>
      <c r="K333" s="7">
        <f t="shared" si="608"/>
        <v>0.00525</v>
      </c>
      <c r="L333" s="7">
        <f t="shared" si="608"/>
        <v>0.00285</v>
      </c>
      <c r="M333" s="7">
        <f t="shared" si="608"/>
        <v>0.0012</v>
      </c>
      <c r="N333" s="7">
        <f t="shared" si="608"/>
        <v>0.002</v>
      </c>
      <c r="O333" s="7">
        <f t="shared" si="608"/>
        <v>0.01035</v>
      </c>
      <c r="P333" s="7">
        <f t="shared" si="7"/>
        <v>2.116829611</v>
      </c>
      <c r="Q333" s="7">
        <f t="shared" si="8"/>
        <v>0.3581137387</v>
      </c>
      <c r="R333" s="7">
        <f t="shared" si="2"/>
        <v>1.381439979</v>
      </c>
      <c r="S333" s="7">
        <f t="shared" si="3"/>
        <v>3.922958068</v>
      </c>
      <c r="T333" s="7">
        <f t="shared" si="4"/>
        <v>1</v>
      </c>
      <c r="U333" s="7">
        <f t="shared" si="5"/>
        <v>1</v>
      </c>
      <c r="V333" s="7">
        <f t="shared" ref="V333:W333" si="609">IF(AVERAGE(T273:T332) &gt; 0.25, 1, 0)</f>
        <v>1</v>
      </c>
      <c r="W333" s="7">
        <f t="shared" si="609"/>
        <v>1</v>
      </c>
      <c r="X333" s="8">
        <v>1.0</v>
      </c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ht="22.5" customHeight="1">
      <c r="A334" s="6">
        <v>333.0</v>
      </c>
      <c r="B334" s="6">
        <v>70415.0</v>
      </c>
      <c r="C334" s="6">
        <v>-3.19</v>
      </c>
      <c r="D334" s="6">
        <v>0.39</v>
      </c>
      <c r="E334" s="6">
        <v>10.89</v>
      </c>
      <c r="F334" s="6">
        <v>-0.35</v>
      </c>
      <c r="G334" s="6">
        <v>-0.23</v>
      </c>
      <c r="H334" s="6">
        <v>-2.72</v>
      </c>
      <c r="I334" s="6">
        <v>33.35</v>
      </c>
      <c r="J334" s="7">
        <f t="shared" ref="J334:O334" si="610">abs(C334-C333)/200</f>
        <v>0.0104</v>
      </c>
      <c r="K334" s="7">
        <f t="shared" si="610"/>
        <v>0.00845</v>
      </c>
      <c r="L334" s="7">
        <f t="shared" si="610"/>
        <v>0.0008</v>
      </c>
      <c r="M334" s="7">
        <f t="shared" si="610"/>
        <v>0.00035</v>
      </c>
      <c r="N334" s="7">
        <f t="shared" si="610"/>
        <v>0.00165</v>
      </c>
      <c r="O334" s="7">
        <f t="shared" si="610"/>
        <v>0.0057</v>
      </c>
      <c r="P334" s="7">
        <f t="shared" si="7"/>
        <v>1.170904289</v>
      </c>
      <c r="Q334" s="7">
        <f t="shared" si="8"/>
        <v>0.1728675738</v>
      </c>
      <c r="R334" s="7">
        <f t="shared" si="2"/>
        <v>1.554307553</v>
      </c>
      <c r="S334" s="7">
        <f t="shared" si="3"/>
        <v>2.752053779</v>
      </c>
      <c r="T334" s="7">
        <f t="shared" si="4"/>
        <v>1</v>
      </c>
      <c r="U334" s="7">
        <f t="shared" si="5"/>
        <v>1</v>
      </c>
      <c r="V334" s="7">
        <f t="shared" ref="V334:W334" si="611">IF(AVERAGE(T274:T333) &gt; 0.25, 1, 0)</f>
        <v>1</v>
      </c>
      <c r="W334" s="7">
        <f t="shared" si="611"/>
        <v>1</v>
      </c>
      <c r="X334" s="8">
        <v>1.0</v>
      </c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ht="22.5" customHeight="1">
      <c r="A335" s="6">
        <v>334.0</v>
      </c>
      <c r="B335" s="6">
        <v>70619.0</v>
      </c>
      <c r="C335" s="6">
        <v>-1.42</v>
      </c>
      <c r="D335" s="6">
        <v>1.04</v>
      </c>
      <c r="E335" s="6">
        <v>10.81</v>
      </c>
      <c r="F335" s="6">
        <v>-0.3</v>
      </c>
      <c r="G335" s="6">
        <v>0.22</v>
      </c>
      <c r="H335" s="6">
        <v>-1.17</v>
      </c>
      <c r="I335" s="6">
        <v>33.36</v>
      </c>
      <c r="J335" s="7">
        <f t="shared" ref="J335:O335" si="612">abs(C335-C334)/200</f>
        <v>0.00885</v>
      </c>
      <c r="K335" s="7">
        <f t="shared" si="612"/>
        <v>0.00325</v>
      </c>
      <c r="L335" s="7">
        <f t="shared" si="612"/>
        <v>0.0004</v>
      </c>
      <c r="M335" s="7">
        <f t="shared" si="612"/>
        <v>0.00025</v>
      </c>
      <c r="N335" s="7">
        <f t="shared" si="612"/>
        <v>0.00225</v>
      </c>
      <c r="O335" s="7">
        <f t="shared" si="612"/>
        <v>0.00775</v>
      </c>
      <c r="P335" s="7">
        <f t="shared" si="7"/>
        <v>1.524332312</v>
      </c>
      <c r="Q335" s="7">
        <f t="shared" si="8"/>
        <v>0.4019516417</v>
      </c>
      <c r="R335" s="7">
        <f t="shared" si="2"/>
        <v>1.152355911</v>
      </c>
      <c r="S335" s="7">
        <f t="shared" si="3"/>
        <v>1.227721467</v>
      </c>
      <c r="T335" s="7">
        <f t="shared" si="4"/>
        <v>1</v>
      </c>
      <c r="U335" s="7">
        <f t="shared" si="5"/>
        <v>1</v>
      </c>
      <c r="V335" s="7">
        <f t="shared" ref="V335:W335" si="613">IF(AVERAGE(T275:T334) &gt; 0.25, 1, 0)</f>
        <v>1</v>
      </c>
      <c r="W335" s="7">
        <f t="shared" si="613"/>
        <v>1</v>
      </c>
      <c r="X335" s="8">
        <v>1.0</v>
      </c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ht="22.5" customHeight="1">
      <c r="A336" s="6">
        <v>335.0</v>
      </c>
      <c r="B336" s="6">
        <v>70823.0</v>
      </c>
      <c r="C336" s="6">
        <v>0.51</v>
      </c>
      <c r="D336" s="6">
        <v>-0.3</v>
      </c>
      <c r="E336" s="6">
        <v>10.98</v>
      </c>
      <c r="F336" s="6">
        <v>-0.05</v>
      </c>
      <c r="G336" s="6">
        <v>0.35</v>
      </c>
      <c r="H336" s="6">
        <v>2.42</v>
      </c>
      <c r="I336" s="6">
        <v>33.34</v>
      </c>
      <c r="J336" s="7">
        <f t="shared" ref="J336:O336" si="614">abs(C336-C335)/200</f>
        <v>0.00965</v>
      </c>
      <c r="K336" s="7">
        <f t="shared" si="614"/>
        <v>0.0067</v>
      </c>
      <c r="L336" s="7">
        <f t="shared" si="614"/>
        <v>0.00085</v>
      </c>
      <c r="M336" s="7">
        <f t="shared" si="614"/>
        <v>0.00125</v>
      </c>
      <c r="N336" s="7">
        <f t="shared" si="614"/>
        <v>0.00065</v>
      </c>
      <c r="O336" s="7">
        <f t="shared" si="614"/>
        <v>0.01795</v>
      </c>
      <c r="P336" s="7">
        <f t="shared" si="7"/>
        <v>1.21796862</v>
      </c>
      <c r="Q336" s="7">
        <f t="shared" si="8"/>
        <v>0.04357515468</v>
      </c>
      <c r="R336" s="7">
        <f t="shared" si="2"/>
        <v>1.195931066</v>
      </c>
      <c r="S336" s="7">
        <f t="shared" si="3"/>
        <v>2.445690087</v>
      </c>
      <c r="T336" s="7">
        <f t="shared" si="4"/>
        <v>1</v>
      </c>
      <c r="U336" s="7">
        <f t="shared" si="5"/>
        <v>1</v>
      </c>
      <c r="V336" s="7">
        <f t="shared" ref="V336:W336" si="615">IF(AVERAGE(T276:T335) &gt; 0.25, 1, 0)</f>
        <v>1</v>
      </c>
      <c r="W336" s="7">
        <f t="shared" si="615"/>
        <v>1</v>
      </c>
      <c r="X336" s="8">
        <v>1.0</v>
      </c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ht="22.5" customHeight="1">
      <c r="A337" s="6">
        <v>336.0</v>
      </c>
      <c r="B337" s="6">
        <v>71027.0</v>
      </c>
      <c r="C337" s="6">
        <v>-1.59</v>
      </c>
      <c r="D337" s="6">
        <v>-0.29</v>
      </c>
      <c r="E337" s="6">
        <v>10.89</v>
      </c>
      <c r="F337" s="6">
        <v>-0.06</v>
      </c>
      <c r="G337" s="6">
        <v>0.22</v>
      </c>
      <c r="H337" s="6">
        <v>3.78</v>
      </c>
      <c r="I337" s="6">
        <v>33.34</v>
      </c>
      <c r="J337" s="7">
        <f t="shared" ref="J337:O337" si="616">abs(C337-C336)/200</f>
        <v>0.0105</v>
      </c>
      <c r="K337" s="7">
        <f t="shared" si="616"/>
        <v>0.00005</v>
      </c>
      <c r="L337" s="7">
        <f t="shared" si="616"/>
        <v>0.00045</v>
      </c>
      <c r="M337" s="7">
        <f t="shared" si="616"/>
        <v>0.00005</v>
      </c>
      <c r="N337" s="7">
        <f t="shared" si="616"/>
        <v>0.00065</v>
      </c>
      <c r="O337" s="7">
        <f t="shared" si="616"/>
        <v>0.0068</v>
      </c>
      <c r="P337" s="7">
        <f t="shared" si="7"/>
        <v>1.341181973</v>
      </c>
      <c r="Q337" s="7">
        <f t="shared" si="8"/>
        <v>0.01335138147</v>
      </c>
      <c r="R337" s="7">
        <f t="shared" si="2"/>
        <v>1.209282447</v>
      </c>
      <c r="S337" s="7">
        <f t="shared" si="3"/>
        <v>3.78687206</v>
      </c>
      <c r="T337" s="7">
        <f t="shared" si="4"/>
        <v>1</v>
      </c>
      <c r="U337" s="7">
        <f t="shared" si="5"/>
        <v>1</v>
      </c>
      <c r="V337" s="7">
        <f t="shared" ref="V337:W337" si="617">IF(AVERAGE(T277:T336) &gt; 0.25, 1, 0)</f>
        <v>1</v>
      </c>
      <c r="W337" s="7">
        <f t="shared" si="617"/>
        <v>1</v>
      </c>
      <c r="X337" s="8">
        <v>1.0</v>
      </c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ht="22.5" customHeight="1">
      <c r="A338" s="6">
        <v>337.0</v>
      </c>
      <c r="B338" s="6">
        <v>71231.0</v>
      </c>
      <c r="C338" s="6">
        <v>4.72</v>
      </c>
      <c r="D338" s="6">
        <v>-2.57</v>
      </c>
      <c r="E338" s="6">
        <v>10.47</v>
      </c>
      <c r="F338" s="6">
        <v>0.15</v>
      </c>
      <c r="G338" s="6">
        <v>0.14</v>
      </c>
      <c r="H338" s="6">
        <v>2.5</v>
      </c>
      <c r="I338" s="6">
        <v>33.35</v>
      </c>
      <c r="J338" s="7">
        <f t="shared" ref="J338:O338" si="618">abs(C338-C337)/200</f>
        <v>0.03155</v>
      </c>
      <c r="K338" s="7">
        <f t="shared" si="618"/>
        <v>0.0114</v>
      </c>
      <c r="L338" s="7">
        <f t="shared" si="618"/>
        <v>0.0021</v>
      </c>
      <c r="M338" s="7">
        <f t="shared" si="618"/>
        <v>0.00105</v>
      </c>
      <c r="N338" s="7">
        <f t="shared" si="618"/>
        <v>0.0004</v>
      </c>
      <c r="O338" s="7">
        <f t="shared" si="618"/>
        <v>0.0064</v>
      </c>
      <c r="P338" s="7">
        <f t="shared" si="7"/>
        <v>1.278466192</v>
      </c>
      <c r="Q338" s="7">
        <f t="shared" si="8"/>
        <v>0.7594982884</v>
      </c>
      <c r="R338" s="7">
        <f t="shared" si="2"/>
        <v>1.968780735</v>
      </c>
      <c r="S338" s="7">
        <f t="shared" si="3"/>
        <v>2.508405868</v>
      </c>
      <c r="T338" s="7">
        <f t="shared" si="4"/>
        <v>1</v>
      </c>
      <c r="U338" s="7">
        <f t="shared" si="5"/>
        <v>1</v>
      </c>
      <c r="V338" s="7">
        <f t="shared" ref="V338:W338" si="619">IF(AVERAGE(T278:T337) &gt; 0.25, 1, 0)</f>
        <v>1</v>
      </c>
      <c r="W338" s="7">
        <f t="shared" si="619"/>
        <v>1</v>
      </c>
      <c r="X338" s="8">
        <v>1.0</v>
      </c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ht="22.5" customHeight="1">
      <c r="A339" s="6">
        <v>338.0</v>
      </c>
      <c r="B339" s="6">
        <v>71435.0</v>
      </c>
      <c r="C339" s="6">
        <v>3.85</v>
      </c>
      <c r="D339" s="6">
        <v>-2.55</v>
      </c>
      <c r="E339" s="6">
        <v>10.53</v>
      </c>
      <c r="F339" s="6">
        <v>-0.27</v>
      </c>
      <c r="G339" s="6">
        <v>-0.19</v>
      </c>
      <c r="H339" s="6">
        <v>-2.35</v>
      </c>
      <c r="I339" s="6">
        <v>33.35</v>
      </c>
      <c r="J339" s="7">
        <f t="shared" ref="J339:O339" si="620">abs(C339-C338)/200</f>
        <v>0.00435</v>
      </c>
      <c r="K339" s="7">
        <f t="shared" si="620"/>
        <v>0.0001</v>
      </c>
      <c r="L339" s="7">
        <f t="shared" si="620"/>
        <v>0.0003</v>
      </c>
      <c r="M339" s="7">
        <f t="shared" si="620"/>
        <v>0.0021</v>
      </c>
      <c r="N339" s="7">
        <f t="shared" si="620"/>
        <v>0.00165</v>
      </c>
      <c r="O339" s="7">
        <f t="shared" si="620"/>
        <v>0.02425</v>
      </c>
      <c r="P339" s="7">
        <f t="shared" si="7"/>
        <v>0.1353276985</v>
      </c>
      <c r="Q339" s="7">
        <f t="shared" si="8"/>
        <v>0.2706982867</v>
      </c>
      <c r="R339" s="7">
        <f t="shared" si="2"/>
        <v>1.698082449</v>
      </c>
      <c r="S339" s="7">
        <f t="shared" si="3"/>
        <v>2.37307817</v>
      </c>
      <c r="T339" s="7">
        <f t="shared" si="4"/>
        <v>1</v>
      </c>
      <c r="U339" s="7">
        <f t="shared" si="5"/>
        <v>1</v>
      </c>
      <c r="V339" s="7">
        <f t="shared" ref="V339:W339" si="621">IF(AVERAGE(T279:T338) &gt; 0.25, 1, 0)</f>
        <v>1</v>
      </c>
      <c r="W339" s="7">
        <f t="shared" si="621"/>
        <v>1</v>
      </c>
      <c r="X339" s="8">
        <v>1.0</v>
      </c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ht="22.5" customHeight="1">
      <c r="A340" s="6">
        <v>339.0</v>
      </c>
      <c r="B340" s="6">
        <v>71639.0</v>
      </c>
      <c r="C340" s="6">
        <v>-0.92</v>
      </c>
      <c r="D340" s="6">
        <v>-2.81</v>
      </c>
      <c r="E340" s="6">
        <v>11.23</v>
      </c>
      <c r="F340" s="6">
        <v>-0.43</v>
      </c>
      <c r="G340" s="6">
        <v>-0.62</v>
      </c>
      <c r="H340" s="6">
        <v>-3.93</v>
      </c>
      <c r="I340" s="6">
        <v>33.35</v>
      </c>
      <c r="J340" s="7">
        <f t="shared" ref="J340:O340" si="622">abs(C340-C339)/200</f>
        <v>0.02385</v>
      </c>
      <c r="K340" s="7">
        <f t="shared" si="622"/>
        <v>0.0013</v>
      </c>
      <c r="L340" s="7">
        <f t="shared" si="622"/>
        <v>0.0035</v>
      </c>
      <c r="M340" s="7">
        <f t="shared" si="622"/>
        <v>0.0008</v>
      </c>
      <c r="N340" s="7">
        <f t="shared" si="622"/>
        <v>0.00215</v>
      </c>
      <c r="O340" s="7">
        <f t="shared" si="622"/>
        <v>0.0079</v>
      </c>
      <c r="P340" s="7">
        <f t="shared" si="7"/>
        <v>1.628696437</v>
      </c>
      <c r="Q340" s="7">
        <f t="shared" si="8"/>
        <v>0.1146433294</v>
      </c>
      <c r="R340" s="7">
        <f t="shared" si="2"/>
        <v>1.812725778</v>
      </c>
      <c r="S340" s="7">
        <f t="shared" si="3"/>
        <v>4.001774606</v>
      </c>
      <c r="T340" s="7">
        <f t="shared" si="4"/>
        <v>1</v>
      </c>
      <c r="U340" s="7">
        <f t="shared" si="5"/>
        <v>1</v>
      </c>
      <c r="V340" s="7">
        <f t="shared" ref="V340:W340" si="623">IF(AVERAGE(T280:T339) &gt; 0.25, 1, 0)</f>
        <v>1</v>
      </c>
      <c r="W340" s="7">
        <f t="shared" si="623"/>
        <v>1</v>
      </c>
      <c r="X340" s="8">
        <v>1.0</v>
      </c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ht="22.5" customHeight="1">
      <c r="A341" s="6">
        <v>340.0</v>
      </c>
      <c r="B341" s="6">
        <v>71843.0</v>
      </c>
      <c r="C341" s="6">
        <v>-1.18</v>
      </c>
      <c r="D341" s="6">
        <v>-0.04</v>
      </c>
      <c r="E341" s="6">
        <v>11.26</v>
      </c>
      <c r="F341" s="6">
        <v>-0.4</v>
      </c>
      <c r="G341" s="6">
        <v>-0.15</v>
      </c>
      <c r="H341" s="6">
        <v>-2.82</v>
      </c>
      <c r="I341" s="6">
        <v>33.34</v>
      </c>
      <c r="J341" s="7">
        <f t="shared" ref="J341:O341" si="624">abs(C341-C340)/200</f>
        <v>0.0013</v>
      </c>
      <c r="K341" s="7">
        <f t="shared" si="624"/>
        <v>0.01385</v>
      </c>
      <c r="L341" s="7">
        <f t="shared" si="624"/>
        <v>0.00015</v>
      </c>
      <c r="M341" s="7">
        <f t="shared" si="624"/>
        <v>0.00015</v>
      </c>
      <c r="N341" s="7">
        <f t="shared" si="624"/>
        <v>0.00235</v>
      </c>
      <c r="O341" s="7">
        <f t="shared" si="624"/>
        <v>0.00555</v>
      </c>
      <c r="P341" s="7">
        <f t="shared" si="7"/>
        <v>1.149599997</v>
      </c>
      <c r="Q341" s="7">
        <f t="shared" si="8"/>
        <v>0.2909944618</v>
      </c>
      <c r="R341" s="7">
        <f t="shared" si="2"/>
        <v>1.521731316</v>
      </c>
      <c r="S341" s="7">
        <f t="shared" si="3"/>
        <v>2.852174609</v>
      </c>
      <c r="T341" s="7">
        <f t="shared" si="4"/>
        <v>1</v>
      </c>
      <c r="U341" s="7">
        <f t="shared" si="5"/>
        <v>1</v>
      </c>
      <c r="V341" s="7">
        <f t="shared" ref="V341:W341" si="625">IF(AVERAGE(T281:T340) &gt; 0.25, 1, 0)</f>
        <v>1</v>
      </c>
      <c r="W341" s="7">
        <f t="shared" si="625"/>
        <v>1</v>
      </c>
      <c r="X341" s="8">
        <v>1.0</v>
      </c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ht="22.5" customHeight="1">
      <c r="A342" s="6">
        <v>341.0</v>
      </c>
      <c r="B342" s="6">
        <v>72047.0</v>
      </c>
      <c r="C342" s="6">
        <v>-2.14</v>
      </c>
      <c r="D342" s="6">
        <v>0.78</v>
      </c>
      <c r="E342" s="6">
        <v>10.81</v>
      </c>
      <c r="F342" s="6">
        <v>-0.29</v>
      </c>
      <c r="G342" s="6">
        <v>0.28</v>
      </c>
      <c r="H342" s="6">
        <v>-2.02</v>
      </c>
      <c r="I342" s="6">
        <v>33.35</v>
      </c>
      <c r="J342" s="7">
        <f t="shared" ref="J342:O342" si="626">abs(C342-C341)/200</f>
        <v>0.0048</v>
      </c>
      <c r="K342" s="7">
        <f t="shared" si="626"/>
        <v>0.0041</v>
      </c>
      <c r="L342" s="7">
        <f t="shared" si="626"/>
        <v>0.00225</v>
      </c>
      <c r="M342" s="7">
        <f t="shared" si="626"/>
        <v>0.00055</v>
      </c>
      <c r="N342" s="7">
        <f t="shared" si="626"/>
        <v>0.00215</v>
      </c>
      <c r="O342" s="7">
        <f t="shared" si="626"/>
        <v>0.004</v>
      </c>
      <c r="P342" s="7">
        <f t="shared" si="7"/>
        <v>0.7923445189</v>
      </c>
      <c r="Q342" s="7">
        <f t="shared" si="8"/>
        <v>0.2743741664</v>
      </c>
      <c r="R342" s="7">
        <f t="shared" si="2"/>
        <v>1.24735715</v>
      </c>
      <c r="S342" s="7">
        <f t="shared" si="3"/>
        <v>2.05983009</v>
      </c>
      <c r="T342" s="7">
        <f t="shared" si="4"/>
        <v>1</v>
      </c>
      <c r="U342" s="7">
        <f t="shared" si="5"/>
        <v>1</v>
      </c>
      <c r="V342" s="7">
        <f t="shared" ref="V342:W342" si="627">IF(AVERAGE(T282:T341) &gt; 0.25, 1, 0)</f>
        <v>1</v>
      </c>
      <c r="W342" s="7">
        <f t="shared" si="627"/>
        <v>1</v>
      </c>
      <c r="X342" s="8">
        <v>1.0</v>
      </c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ht="22.5" customHeight="1">
      <c r="A343" s="6">
        <v>342.0</v>
      </c>
      <c r="B343" s="6">
        <v>72251.0</v>
      </c>
      <c r="C343" s="6">
        <v>1.06</v>
      </c>
      <c r="D343" s="6">
        <v>-0.85</v>
      </c>
      <c r="E343" s="6">
        <v>10.83</v>
      </c>
      <c r="F343" s="6">
        <v>-0.06</v>
      </c>
      <c r="G343" s="6">
        <v>0.45</v>
      </c>
      <c r="H343" s="6">
        <v>2.62</v>
      </c>
      <c r="I343" s="6">
        <v>33.36</v>
      </c>
      <c r="J343" s="7">
        <f t="shared" ref="J343:O343" si="628">abs(C343-C342)/200</f>
        <v>0.016</v>
      </c>
      <c r="K343" s="7">
        <f t="shared" si="628"/>
        <v>0.00815</v>
      </c>
      <c r="L343" s="7">
        <f t="shared" si="628"/>
        <v>0.0001</v>
      </c>
      <c r="M343" s="7">
        <f t="shared" si="628"/>
        <v>0.00115</v>
      </c>
      <c r="N343" s="7">
        <f t="shared" si="628"/>
        <v>0.00085</v>
      </c>
      <c r="O343" s="7">
        <f t="shared" si="628"/>
        <v>0.0232</v>
      </c>
      <c r="P343" s="7">
        <f t="shared" si="7"/>
        <v>0.5992110905</v>
      </c>
      <c r="Q343" s="7">
        <f t="shared" si="8"/>
        <v>0.1324590744</v>
      </c>
      <c r="R343" s="7">
        <f t="shared" si="2"/>
        <v>1.114898076</v>
      </c>
      <c r="S343" s="7">
        <f t="shared" si="3"/>
        <v>2.659041181</v>
      </c>
      <c r="T343" s="7">
        <f t="shared" si="4"/>
        <v>1</v>
      </c>
      <c r="U343" s="7">
        <f t="shared" si="5"/>
        <v>1</v>
      </c>
      <c r="V343" s="7">
        <f t="shared" ref="V343:W343" si="629">IF(AVERAGE(T283:T342) &gt; 0.25, 1, 0)</f>
        <v>1</v>
      </c>
      <c r="W343" s="7">
        <f t="shared" si="629"/>
        <v>1</v>
      </c>
      <c r="X343" s="8">
        <v>1.0</v>
      </c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ht="22.5" customHeight="1">
      <c r="A344" s="6">
        <v>343.0</v>
      </c>
      <c r="B344" s="6">
        <v>74699.0</v>
      </c>
      <c r="C344" s="6">
        <v>-0.02</v>
      </c>
      <c r="D344" s="6">
        <v>-1.3</v>
      </c>
      <c r="E344" s="6">
        <v>10.14</v>
      </c>
      <c r="F344" s="6">
        <v>-0.36</v>
      </c>
      <c r="G344" s="6">
        <v>-0.16</v>
      </c>
      <c r="H344" s="6">
        <v>-3.26</v>
      </c>
      <c r="I344" s="6">
        <v>33.33</v>
      </c>
      <c r="J344" s="7">
        <f t="shared" ref="J344:O344" si="630">abs(C344-C343)/200</f>
        <v>0.0054</v>
      </c>
      <c r="K344" s="7">
        <f t="shared" si="630"/>
        <v>0.00225</v>
      </c>
      <c r="L344" s="7">
        <f t="shared" si="630"/>
        <v>0.00345</v>
      </c>
      <c r="M344" s="7">
        <f t="shared" si="630"/>
        <v>0.0015</v>
      </c>
      <c r="N344" s="7">
        <f t="shared" si="630"/>
        <v>0.00305</v>
      </c>
      <c r="O344" s="7">
        <f t="shared" si="630"/>
        <v>0.0294</v>
      </c>
      <c r="P344" s="7">
        <f t="shared" si="7"/>
        <v>0.624676225</v>
      </c>
      <c r="Q344" s="7">
        <f t="shared" si="8"/>
        <v>0.6918848211</v>
      </c>
      <c r="R344" s="7">
        <f t="shared" si="2"/>
        <v>0.4230132544</v>
      </c>
      <c r="S344" s="7">
        <f t="shared" si="3"/>
        <v>3.283717406</v>
      </c>
      <c r="T344" s="7">
        <f t="shared" si="4"/>
        <v>1</v>
      </c>
      <c r="U344" s="7">
        <f t="shared" si="5"/>
        <v>1</v>
      </c>
      <c r="V344" s="7">
        <f t="shared" ref="V344:W344" si="631">IF(AVERAGE(T284:T343) &gt; 0.25, 1, 0)</f>
        <v>1</v>
      </c>
      <c r="W344" s="7">
        <f t="shared" si="631"/>
        <v>1</v>
      </c>
      <c r="X344" s="8">
        <v>1.0</v>
      </c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ht="22.5" customHeight="1">
      <c r="A345" s="6">
        <v>344.0</v>
      </c>
      <c r="B345" s="6">
        <v>74903.0</v>
      </c>
      <c r="C345" s="6">
        <v>-1.46</v>
      </c>
      <c r="D345" s="6">
        <v>-0.27</v>
      </c>
      <c r="E345" s="6">
        <v>10.88</v>
      </c>
      <c r="F345" s="6">
        <v>-0.34</v>
      </c>
      <c r="G345" s="6">
        <v>0.12</v>
      </c>
      <c r="H345" s="6">
        <v>-1.95</v>
      </c>
      <c r="I345" s="6">
        <v>33.33</v>
      </c>
      <c r="J345" s="7">
        <f t="shared" ref="J345:O345" si="632">abs(C345-C344)/200</f>
        <v>0.0072</v>
      </c>
      <c r="K345" s="7">
        <f t="shared" si="632"/>
        <v>0.00515</v>
      </c>
      <c r="L345" s="7">
        <f t="shared" si="632"/>
        <v>0.0037</v>
      </c>
      <c r="M345" s="7">
        <f t="shared" si="632"/>
        <v>0.0001</v>
      </c>
      <c r="N345" s="7">
        <f t="shared" si="632"/>
        <v>0.0014</v>
      </c>
      <c r="O345" s="7">
        <f t="shared" si="632"/>
        <v>0.00655</v>
      </c>
      <c r="P345" s="7">
        <f t="shared" si="7"/>
        <v>1.300664204</v>
      </c>
      <c r="Q345" s="7">
        <f t="shared" si="8"/>
        <v>0.7578291541</v>
      </c>
      <c r="R345" s="7">
        <f t="shared" si="2"/>
        <v>1.180842408</v>
      </c>
      <c r="S345" s="7">
        <f t="shared" si="3"/>
        <v>1.983053202</v>
      </c>
      <c r="T345" s="7">
        <f t="shared" si="4"/>
        <v>1</v>
      </c>
      <c r="U345" s="7">
        <f t="shared" si="5"/>
        <v>1</v>
      </c>
      <c r="V345" s="7">
        <f t="shared" ref="V345:W345" si="633">IF(AVERAGE(T285:T344) &gt; 0.25, 1, 0)</f>
        <v>1</v>
      </c>
      <c r="W345" s="7">
        <f t="shared" si="633"/>
        <v>1</v>
      </c>
      <c r="X345" s="8">
        <v>1.0</v>
      </c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ht="22.5" customHeight="1">
      <c r="A346" s="6">
        <v>345.0</v>
      </c>
      <c r="B346" s="6">
        <v>75107.0</v>
      </c>
      <c r="C346" s="6">
        <v>-0.6</v>
      </c>
      <c r="D346" s="6">
        <v>-0.19</v>
      </c>
      <c r="E346" s="6">
        <v>10.84</v>
      </c>
      <c r="F346" s="6">
        <v>-0.14</v>
      </c>
      <c r="G346" s="6">
        <v>0.26</v>
      </c>
      <c r="H346" s="6">
        <v>2.41</v>
      </c>
      <c r="I346" s="6">
        <v>33.33</v>
      </c>
      <c r="J346" s="7">
        <f t="shared" ref="J346:O346" si="634">abs(C346-C345)/200</f>
        <v>0.0043</v>
      </c>
      <c r="K346" s="7">
        <f t="shared" si="634"/>
        <v>0.0004</v>
      </c>
      <c r="L346" s="7">
        <f t="shared" si="634"/>
        <v>0.0002</v>
      </c>
      <c r="M346" s="7">
        <f t="shared" si="634"/>
        <v>0.001</v>
      </c>
      <c r="N346" s="7">
        <f t="shared" si="634"/>
        <v>0.0007</v>
      </c>
      <c r="O346" s="7">
        <f t="shared" si="634"/>
        <v>0.0218</v>
      </c>
      <c r="P346" s="7">
        <f t="shared" si="7"/>
        <v>0.4449706864</v>
      </c>
      <c r="Q346" s="7">
        <f t="shared" si="8"/>
        <v>0.1225874842</v>
      </c>
      <c r="R346" s="7">
        <f t="shared" si="2"/>
        <v>1.058254924</v>
      </c>
      <c r="S346" s="7">
        <f t="shared" si="3"/>
        <v>2.428023888</v>
      </c>
      <c r="T346" s="7">
        <f t="shared" si="4"/>
        <v>1</v>
      </c>
      <c r="U346" s="7">
        <f t="shared" si="5"/>
        <v>1</v>
      </c>
      <c r="V346" s="7">
        <f t="shared" ref="V346:W346" si="635">IF(AVERAGE(T286:T345) &gt; 0.25, 1, 0)</f>
        <v>1</v>
      </c>
      <c r="W346" s="7">
        <f t="shared" si="635"/>
        <v>1</v>
      </c>
      <c r="X346" s="8">
        <v>1.0</v>
      </c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ht="22.5" customHeight="1">
      <c r="A347" s="6">
        <v>346.0</v>
      </c>
      <c r="B347" s="6">
        <v>75311.0</v>
      </c>
      <c r="C347" s="6">
        <v>1.62</v>
      </c>
      <c r="D347" s="6">
        <v>-1.29</v>
      </c>
      <c r="E347" s="6">
        <v>10.79</v>
      </c>
      <c r="F347" s="6">
        <v>-0.01</v>
      </c>
      <c r="G347" s="6">
        <v>0.3</v>
      </c>
      <c r="H347" s="6">
        <v>3.61</v>
      </c>
      <c r="I347" s="6">
        <v>33.33</v>
      </c>
      <c r="J347" s="7">
        <f t="shared" ref="J347:O347" si="636">abs(C347-C346)/200</f>
        <v>0.0111</v>
      </c>
      <c r="K347" s="7">
        <f t="shared" si="636"/>
        <v>0.0055</v>
      </c>
      <c r="L347" s="7">
        <f t="shared" si="636"/>
        <v>0.00025</v>
      </c>
      <c r="M347" s="7">
        <f t="shared" si="636"/>
        <v>0.00065</v>
      </c>
      <c r="N347" s="7">
        <f t="shared" si="636"/>
        <v>0.0002</v>
      </c>
      <c r="O347" s="7">
        <f t="shared" si="636"/>
        <v>0.006</v>
      </c>
      <c r="P347" s="7">
        <f t="shared" si="7"/>
        <v>1.194433841</v>
      </c>
      <c r="Q347" s="7">
        <f t="shared" si="8"/>
        <v>0.128673673</v>
      </c>
      <c r="R347" s="7">
        <f t="shared" si="2"/>
        <v>1.186928597</v>
      </c>
      <c r="S347" s="7">
        <f t="shared" si="3"/>
        <v>3.622457729</v>
      </c>
      <c r="T347" s="7">
        <f t="shared" si="4"/>
        <v>1</v>
      </c>
      <c r="U347" s="7">
        <f t="shared" si="5"/>
        <v>1</v>
      </c>
      <c r="V347" s="7">
        <f t="shared" ref="V347:W347" si="637">IF(AVERAGE(T287:T346) &gt; 0.25, 1, 0)</f>
        <v>1</v>
      </c>
      <c r="W347" s="7">
        <f t="shared" si="637"/>
        <v>1</v>
      </c>
      <c r="X347" s="8">
        <v>1.0</v>
      </c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ht="22.5" customHeight="1">
      <c r="A348" s="6">
        <v>347.0</v>
      </c>
      <c r="B348" s="6">
        <v>75515.0</v>
      </c>
      <c r="C348" s="6">
        <v>4.93</v>
      </c>
      <c r="D348" s="6">
        <v>-3.48</v>
      </c>
      <c r="E348" s="6">
        <v>10.5</v>
      </c>
      <c r="F348" s="6">
        <v>0.26</v>
      </c>
      <c r="G348" s="6">
        <v>0.13</v>
      </c>
      <c r="H348" s="6">
        <v>4.1</v>
      </c>
      <c r="I348" s="6">
        <v>33.34</v>
      </c>
      <c r="J348" s="7">
        <f t="shared" ref="J348:O348" si="638">abs(C348-C347)/200</f>
        <v>0.01655</v>
      </c>
      <c r="K348" s="7">
        <f t="shared" si="638"/>
        <v>0.01095</v>
      </c>
      <c r="L348" s="7">
        <f t="shared" si="638"/>
        <v>0.00145</v>
      </c>
      <c r="M348" s="7">
        <f t="shared" si="638"/>
        <v>0.00135</v>
      </c>
      <c r="N348" s="7">
        <f t="shared" si="638"/>
        <v>0.00085</v>
      </c>
      <c r="O348" s="7">
        <f t="shared" si="638"/>
        <v>0.00245</v>
      </c>
      <c r="P348" s="7">
        <f t="shared" si="7"/>
        <v>0.4878342312</v>
      </c>
      <c r="Q348" s="7">
        <f t="shared" si="8"/>
        <v>1.123616395</v>
      </c>
      <c r="R348" s="7">
        <f t="shared" si="2"/>
        <v>2.310544992</v>
      </c>
      <c r="S348" s="7">
        <f t="shared" si="3"/>
        <v>4.11029196</v>
      </c>
      <c r="T348" s="7">
        <f t="shared" si="4"/>
        <v>1</v>
      </c>
      <c r="U348" s="7">
        <f t="shared" si="5"/>
        <v>1</v>
      </c>
      <c r="V348" s="7">
        <f t="shared" ref="V348:W348" si="639">IF(AVERAGE(T288:T347) &gt; 0.25, 1, 0)</f>
        <v>1</v>
      </c>
      <c r="W348" s="7">
        <f t="shared" si="639"/>
        <v>1</v>
      </c>
      <c r="X348" s="8">
        <v>1.0</v>
      </c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ht="22.5" customHeight="1">
      <c r="A349" s="6">
        <v>348.0</v>
      </c>
      <c r="B349" s="6">
        <v>75719.0</v>
      </c>
      <c r="C349" s="6">
        <v>3.63</v>
      </c>
      <c r="D349" s="6">
        <v>-3.89</v>
      </c>
      <c r="E349" s="6">
        <v>10.39</v>
      </c>
      <c r="F349" s="6">
        <v>-0.36</v>
      </c>
      <c r="G349" s="6">
        <v>-0.34</v>
      </c>
      <c r="H349" s="6">
        <v>-2.98</v>
      </c>
      <c r="I349" s="6">
        <v>33.34</v>
      </c>
      <c r="J349" s="7">
        <f t="shared" ref="J349:O349" si="640">abs(C349-C348)/200</f>
        <v>0.0065</v>
      </c>
      <c r="K349" s="7">
        <f t="shared" si="640"/>
        <v>0.00205</v>
      </c>
      <c r="L349" s="7">
        <f t="shared" si="640"/>
        <v>0.00055</v>
      </c>
      <c r="M349" s="7">
        <f t="shared" si="640"/>
        <v>0.0031</v>
      </c>
      <c r="N349" s="7">
        <f t="shared" si="640"/>
        <v>0.00235</v>
      </c>
      <c r="O349" s="7">
        <f t="shared" si="640"/>
        <v>0.0354</v>
      </c>
      <c r="P349" s="7">
        <f t="shared" si="7"/>
        <v>1.089431156</v>
      </c>
      <c r="Q349" s="7">
        <f t="shared" si="8"/>
        <v>0.4374519999</v>
      </c>
      <c r="R349" s="7">
        <f t="shared" si="2"/>
        <v>1.873092992</v>
      </c>
      <c r="S349" s="7">
        <f t="shared" si="3"/>
        <v>3.020860804</v>
      </c>
      <c r="T349" s="7">
        <f t="shared" si="4"/>
        <v>1</v>
      </c>
      <c r="U349" s="7">
        <f t="shared" si="5"/>
        <v>1</v>
      </c>
      <c r="V349" s="7">
        <f t="shared" ref="V349:W349" si="641">IF(AVERAGE(T289:T348) &gt; 0.25, 1, 0)</f>
        <v>1</v>
      </c>
      <c r="W349" s="7">
        <f t="shared" si="641"/>
        <v>1</v>
      </c>
      <c r="X349" s="8">
        <v>1.0</v>
      </c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ht="22.5" customHeight="1">
      <c r="A350" s="6">
        <v>349.0</v>
      </c>
      <c r="B350" s="6">
        <v>75923.0</v>
      </c>
      <c r="C350" s="6">
        <v>-3.54</v>
      </c>
      <c r="D350" s="6">
        <v>-3.37</v>
      </c>
      <c r="E350" s="6">
        <v>11.27</v>
      </c>
      <c r="F350" s="6">
        <v>-0.55</v>
      </c>
      <c r="G350" s="6">
        <v>-0.62</v>
      </c>
      <c r="H350" s="6">
        <v>-5.24</v>
      </c>
      <c r="I350" s="6">
        <v>33.34</v>
      </c>
      <c r="J350" s="7">
        <f t="shared" ref="J350:O350" si="642">abs(C350-C349)/200</f>
        <v>0.03585</v>
      </c>
      <c r="K350" s="7">
        <f t="shared" si="642"/>
        <v>0.0026</v>
      </c>
      <c r="L350" s="7">
        <f t="shared" si="642"/>
        <v>0.0044</v>
      </c>
      <c r="M350" s="7">
        <f t="shared" si="642"/>
        <v>0.00095</v>
      </c>
      <c r="N350" s="7">
        <f t="shared" si="642"/>
        <v>0.0014</v>
      </c>
      <c r="O350" s="7">
        <f t="shared" si="642"/>
        <v>0.0113</v>
      </c>
      <c r="P350" s="7">
        <f t="shared" si="7"/>
        <v>2.284278213</v>
      </c>
      <c r="Q350" s="7">
        <f t="shared" si="8"/>
        <v>0.6111001032</v>
      </c>
      <c r="R350" s="7">
        <f t="shared" si="2"/>
        <v>2.484193095</v>
      </c>
      <c r="S350" s="7">
        <f t="shared" si="3"/>
        <v>5.305139018</v>
      </c>
      <c r="T350" s="7">
        <f t="shared" si="4"/>
        <v>1</v>
      </c>
      <c r="U350" s="7">
        <f t="shared" si="5"/>
        <v>1</v>
      </c>
      <c r="V350" s="7">
        <f t="shared" ref="V350:W350" si="643">IF(AVERAGE(T290:T349) &gt; 0.25, 1, 0)</f>
        <v>1</v>
      </c>
      <c r="W350" s="7">
        <f t="shared" si="643"/>
        <v>1</v>
      </c>
      <c r="X350" s="8">
        <v>1.0</v>
      </c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ht="22.5" customHeight="1">
      <c r="A351" s="6">
        <v>350.0</v>
      </c>
      <c r="B351" s="6">
        <v>76127.0</v>
      </c>
      <c r="C351" s="6">
        <v>-2.51</v>
      </c>
      <c r="D351" s="6">
        <v>1.17</v>
      </c>
      <c r="E351" s="6">
        <v>10.75</v>
      </c>
      <c r="F351" s="6">
        <v>-0.22</v>
      </c>
      <c r="G351" s="6">
        <v>-0.08</v>
      </c>
      <c r="H351" s="6">
        <v>-1.07</v>
      </c>
      <c r="I351" s="6">
        <v>33.34</v>
      </c>
      <c r="J351" s="7">
        <f t="shared" ref="J351:O351" si="644">abs(C351-C350)/200</f>
        <v>0.00515</v>
      </c>
      <c r="K351" s="7">
        <f t="shared" si="644"/>
        <v>0.0227</v>
      </c>
      <c r="L351" s="7">
        <f t="shared" si="644"/>
        <v>0.0026</v>
      </c>
      <c r="M351" s="7">
        <f t="shared" si="644"/>
        <v>0.00165</v>
      </c>
      <c r="N351" s="7">
        <f t="shared" si="644"/>
        <v>0.0027</v>
      </c>
      <c r="O351" s="7">
        <f t="shared" si="644"/>
        <v>0.02085</v>
      </c>
      <c r="P351" s="7">
        <f t="shared" si="7"/>
        <v>4.209830842</v>
      </c>
      <c r="Q351" s="7">
        <f t="shared" si="8"/>
        <v>1.183224669</v>
      </c>
      <c r="R351" s="7">
        <f t="shared" si="2"/>
        <v>1.300968426</v>
      </c>
      <c r="S351" s="7">
        <f t="shared" si="3"/>
        <v>1.095308176</v>
      </c>
      <c r="T351" s="7">
        <f t="shared" si="4"/>
        <v>1</v>
      </c>
      <c r="U351" s="7">
        <f t="shared" si="5"/>
        <v>1</v>
      </c>
      <c r="V351" s="7">
        <f t="shared" ref="V351:W351" si="645">IF(AVERAGE(T291:T350) &gt; 0.25, 1, 0)</f>
        <v>1</v>
      </c>
      <c r="W351" s="7">
        <f t="shared" si="645"/>
        <v>1</v>
      </c>
      <c r="X351" s="8">
        <v>1.0</v>
      </c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ht="22.5" customHeight="1">
      <c r="A352" s="6">
        <v>351.0</v>
      </c>
      <c r="B352" s="6">
        <v>76331.0</v>
      </c>
      <c r="C352" s="6">
        <v>-0.18</v>
      </c>
      <c r="D352" s="6">
        <v>1.06</v>
      </c>
      <c r="E352" s="6">
        <v>10.72</v>
      </c>
      <c r="F352" s="6">
        <v>-0.03</v>
      </c>
      <c r="G352" s="6">
        <v>0.11</v>
      </c>
      <c r="H352" s="6">
        <v>1.25</v>
      </c>
      <c r="I352" s="6">
        <v>33.34</v>
      </c>
      <c r="J352" s="7">
        <f t="shared" ref="J352:O352" si="646">abs(C352-C351)/200</f>
        <v>0.01165</v>
      </c>
      <c r="K352" s="7">
        <f t="shared" si="646"/>
        <v>0.00055</v>
      </c>
      <c r="L352" s="7">
        <f t="shared" si="646"/>
        <v>0.00015</v>
      </c>
      <c r="M352" s="7">
        <f t="shared" si="646"/>
        <v>0.00095</v>
      </c>
      <c r="N352" s="7">
        <f t="shared" si="646"/>
        <v>0.00095</v>
      </c>
      <c r="O352" s="7">
        <f t="shared" si="646"/>
        <v>0.0116</v>
      </c>
      <c r="P352" s="7">
        <f t="shared" si="7"/>
        <v>0.159881053</v>
      </c>
      <c r="Q352" s="7">
        <f t="shared" si="8"/>
        <v>0.3271854323</v>
      </c>
      <c r="R352" s="7">
        <f t="shared" si="2"/>
        <v>0.9737829939</v>
      </c>
      <c r="S352" s="7">
        <f t="shared" si="3"/>
        <v>1.255189229</v>
      </c>
      <c r="T352" s="7">
        <f t="shared" si="4"/>
        <v>1</v>
      </c>
      <c r="U352" s="7">
        <f t="shared" si="5"/>
        <v>1</v>
      </c>
      <c r="V352" s="7">
        <f t="shared" ref="V352:W352" si="647">IF(AVERAGE(T292:T351) &gt; 0.25, 1, 0)</f>
        <v>1</v>
      </c>
      <c r="W352" s="7">
        <f t="shared" si="647"/>
        <v>1</v>
      </c>
      <c r="X352" s="8">
        <v>1.0</v>
      </c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ht="22.5" customHeight="1">
      <c r="A353" s="6">
        <v>352.0</v>
      </c>
      <c r="B353" s="6">
        <v>76535.0</v>
      </c>
      <c r="C353" s="6">
        <v>-0.27</v>
      </c>
      <c r="D353" s="6">
        <v>0.32</v>
      </c>
      <c r="E353" s="6">
        <v>10.95</v>
      </c>
      <c r="F353" s="6">
        <v>-0.15</v>
      </c>
      <c r="G353" s="6">
        <v>0.39</v>
      </c>
      <c r="H353" s="6">
        <v>1.51</v>
      </c>
      <c r="I353" s="6">
        <v>33.34</v>
      </c>
      <c r="J353" s="7">
        <f t="shared" ref="J353:O353" si="648">abs(C353-C352)/200</f>
        <v>0.00045</v>
      </c>
      <c r="K353" s="7">
        <f t="shared" si="648"/>
        <v>0.0037</v>
      </c>
      <c r="L353" s="7">
        <f t="shared" si="648"/>
        <v>0.00115</v>
      </c>
      <c r="M353" s="7">
        <f t="shared" si="648"/>
        <v>0.0006</v>
      </c>
      <c r="N353" s="7">
        <f t="shared" si="648"/>
        <v>0.0014</v>
      </c>
      <c r="O353" s="7">
        <f t="shared" si="648"/>
        <v>0.0013</v>
      </c>
      <c r="P353" s="7">
        <f t="shared" si="7"/>
        <v>0.3115589961</v>
      </c>
      <c r="Q353" s="7">
        <f t="shared" si="8"/>
        <v>0.1842186487</v>
      </c>
      <c r="R353" s="7">
        <f t="shared" si="2"/>
        <v>1.158001643</v>
      </c>
      <c r="S353" s="7">
        <f t="shared" si="3"/>
        <v>1.566748225</v>
      </c>
      <c r="T353" s="7">
        <f t="shared" si="4"/>
        <v>1</v>
      </c>
      <c r="U353" s="7">
        <f t="shared" si="5"/>
        <v>1</v>
      </c>
      <c r="V353" s="7">
        <f t="shared" ref="V353:W353" si="649">IF(AVERAGE(T293:T352) &gt; 0.25, 1, 0)</f>
        <v>1</v>
      </c>
      <c r="W353" s="7">
        <f t="shared" si="649"/>
        <v>1</v>
      </c>
      <c r="X353" s="8">
        <v>1.0</v>
      </c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ht="22.5" customHeight="1">
      <c r="A354" s="6">
        <v>353.0</v>
      </c>
      <c r="B354" s="6">
        <v>76739.0</v>
      </c>
      <c r="C354" s="6">
        <v>0.4</v>
      </c>
      <c r="D354" s="6">
        <v>-0.16</v>
      </c>
      <c r="E354" s="6">
        <v>10.98</v>
      </c>
      <c r="F354" s="6">
        <v>-0.07</v>
      </c>
      <c r="G354" s="6">
        <v>0.33</v>
      </c>
      <c r="H354" s="6">
        <v>2.91</v>
      </c>
      <c r="I354" s="6">
        <v>33.35</v>
      </c>
      <c r="J354" s="7">
        <f t="shared" ref="J354:O354" si="650">abs(C354-C353)/200</f>
        <v>0.00335</v>
      </c>
      <c r="K354" s="7">
        <f t="shared" si="650"/>
        <v>0.0024</v>
      </c>
      <c r="L354" s="7">
        <f t="shared" si="650"/>
        <v>0.00015</v>
      </c>
      <c r="M354" s="7">
        <f t="shared" si="650"/>
        <v>0.0004</v>
      </c>
      <c r="N354" s="7">
        <f t="shared" si="650"/>
        <v>0.0003</v>
      </c>
      <c r="O354" s="7">
        <f t="shared" si="650"/>
        <v>0.007</v>
      </c>
      <c r="P354" s="7">
        <f t="shared" si="7"/>
        <v>1.362739785</v>
      </c>
      <c r="Q354" s="7">
        <f t="shared" si="8"/>
        <v>0.03044683747</v>
      </c>
      <c r="R354" s="7">
        <f t="shared" si="2"/>
        <v>1.18844848</v>
      </c>
      <c r="S354" s="7">
        <f t="shared" si="3"/>
        <v>2.92948801</v>
      </c>
      <c r="T354" s="7">
        <f t="shared" si="4"/>
        <v>1</v>
      </c>
      <c r="U354" s="7">
        <f t="shared" si="5"/>
        <v>1</v>
      </c>
      <c r="V354" s="7">
        <f t="shared" ref="V354:W354" si="651">IF(AVERAGE(T294:T353) &gt; 0.25, 1, 0)</f>
        <v>1</v>
      </c>
      <c r="W354" s="7">
        <f t="shared" si="651"/>
        <v>1</v>
      </c>
      <c r="X354" s="8">
        <v>1.0</v>
      </c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ht="22.5" customHeight="1">
      <c r="A355" s="6">
        <v>354.0</v>
      </c>
      <c r="B355" s="6">
        <v>76943.0</v>
      </c>
      <c r="C355" s="6">
        <v>1.71</v>
      </c>
      <c r="D355" s="6">
        <v>-1.14</v>
      </c>
      <c r="E355" s="6">
        <v>10.52</v>
      </c>
      <c r="F355" s="6">
        <v>0.07</v>
      </c>
      <c r="G355" s="6">
        <v>0.1</v>
      </c>
      <c r="H355" s="6">
        <v>3.7</v>
      </c>
      <c r="I355" s="6">
        <v>33.35</v>
      </c>
      <c r="J355" s="7">
        <f t="shared" ref="J355:O355" si="652">abs(C355-C354)/200</f>
        <v>0.00655</v>
      </c>
      <c r="K355" s="7">
        <f t="shared" si="652"/>
        <v>0.0049</v>
      </c>
      <c r="L355" s="7">
        <f t="shared" si="652"/>
        <v>0.0023</v>
      </c>
      <c r="M355" s="7">
        <f t="shared" si="652"/>
        <v>0.0007</v>
      </c>
      <c r="N355" s="7">
        <f t="shared" si="652"/>
        <v>0.00115</v>
      </c>
      <c r="O355" s="7">
        <f t="shared" si="652"/>
        <v>0.00395</v>
      </c>
      <c r="P355" s="7">
        <f t="shared" si="7"/>
        <v>0.7725249561</v>
      </c>
      <c r="Q355" s="7">
        <f t="shared" si="8"/>
        <v>0.2695819356</v>
      </c>
      <c r="R355" s="7">
        <f t="shared" si="2"/>
        <v>0.9188665446</v>
      </c>
      <c r="S355" s="7">
        <f t="shared" si="3"/>
        <v>3.702012966</v>
      </c>
      <c r="T355" s="7">
        <f t="shared" si="4"/>
        <v>1</v>
      </c>
      <c r="U355" s="7">
        <f t="shared" si="5"/>
        <v>1</v>
      </c>
      <c r="V355" s="7">
        <f t="shared" ref="V355:W355" si="653">IF(AVERAGE(T295:T354) &gt; 0.25, 1, 0)</f>
        <v>1</v>
      </c>
      <c r="W355" s="7">
        <f t="shared" si="653"/>
        <v>1</v>
      </c>
      <c r="X355" s="8">
        <v>1.0</v>
      </c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ht="22.5" customHeight="1">
      <c r="A356" s="6">
        <v>355.0</v>
      </c>
      <c r="B356" s="6">
        <v>77147.0</v>
      </c>
      <c r="C356" s="6">
        <v>3.79</v>
      </c>
      <c r="D356" s="6">
        <v>-2.49</v>
      </c>
      <c r="E356" s="6">
        <v>10.45</v>
      </c>
      <c r="F356" s="6">
        <v>0.07</v>
      </c>
      <c r="G356" s="6">
        <v>-0.09</v>
      </c>
      <c r="H356" s="6">
        <v>1.06</v>
      </c>
      <c r="I356" s="6">
        <v>33.33</v>
      </c>
      <c r="J356" s="7">
        <f t="shared" ref="J356:O356" si="654">abs(C356-C355)/200</f>
        <v>0.0104</v>
      </c>
      <c r="K356" s="7">
        <f t="shared" si="654"/>
        <v>0.00675</v>
      </c>
      <c r="L356" s="7">
        <f t="shared" si="654"/>
        <v>0.00035</v>
      </c>
      <c r="M356" s="7">
        <f t="shared" si="654"/>
        <v>0</v>
      </c>
      <c r="N356" s="7">
        <f t="shared" si="654"/>
        <v>0.00095</v>
      </c>
      <c r="O356" s="7">
        <f t="shared" si="654"/>
        <v>0.0132</v>
      </c>
      <c r="P356" s="7">
        <f t="shared" si="7"/>
        <v>2.635898526</v>
      </c>
      <c r="Q356" s="7">
        <f t="shared" si="8"/>
        <v>0.6726522304</v>
      </c>
      <c r="R356" s="7">
        <f t="shared" si="2"/>
        <v>1.591518775</v>
      </c>
      <c r="S356" s="7">
        <f t="shared" si="3"/>
        <v>1.06611444</v>
      </c>
      <c r="T356" s="7">
        <f t="shared" si="4"/>
        <v>1</v>
      </c>
      <c r="U356" s="7">
        <f t="shared" si="5"/>
        <v>1</v>
      </c>
      <c r="V356" s="7">
        <f t="shared" ref="V356:W356" si="655">IF(AVERAGE(T296:T355) &gt; 0.25, 1, 0)</f>
        <v>1</v>
      </c>
      <c r="W356" s="7">
        <f t="shared" si="655"/>
        <v>1</v>
      </c>
      <c r="X356" s="8">
        <v>1.0</v>
      </c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ht="22.5" customHeight="1">
      <c r="A357" s="6">
        <v>356.0</v>
      </c>
      <c r="B357" s="6">
        <v>77351.0</v>
      </c>
      <c r="C357" s="6">
        <v>1.11</v>
      </c>
      <c r="D357" s="6">
        <v>-1.97</v>
      </c>
      <c r="E357" s="6">
        <v>11.06</v>
      </c>
      <c r="F357" s="6">
        <v>-0.4</v>
      </c>
      <c r="G357" s="6">
        <v>-0.5</v>
      </c>
      <c r="H357" s="6">
        <v>-3.49</v>
      </c>
      <c r="I357" s="6">
        <v>33.36</v>
      </c>
      <c r="J357" s="7">
        <f t="shared" ref="J357:O357" si="656">abs(C357-C356)/200</f>
        <v>0.0134</v>
      </c>
      <c r="K357" s="7">
        <f t="shared" si="656"/>
        <v>0.0026</v>
      </c>
      <c r="L357" s="7">
        <f t="shared" si="656"/>
        <v>0.00305</v>
      </c>
      <c r="M357" s="7">
        <f t="shared" si="656"/>
        <v>0.00235</v>
      </c>
      <c r="N357" s="7">
        <f t="shared" si="656"/>
        <v>0.00205</v>
      </c>
      <c r="O357" s="7">
        <f t="shared" si="656"/>
        <v>0.02275</v>
      </c>
      <c r="P357" s="7">
        <f t="shared" si="7"/>
        <v>2.482138651</v>
      </c>
      <c r="Q357" s="7">
        <f t="shared" si="8"/>
        <v>0.1027367326</v>
      </c>
      <c r="R357" s="7">
        <f t="shared" si="2"/>
        <v>1.488782042</v>
      </c>
      <c r="S357" s="7">
        <f t="shared" si="3"/>
        <v>3.548253091</v>
      </c>
      <c r="T357" s="7">
        <f t="shared" si="4"/>
        <v>1</v>
      </c>
      <c r="U357" s="7">
        <f t="shared" si="5"/>
        <v>1</v>
      </c>
      <c r="V357" s="7">
        <f t="shared" ref="V357:W357" si="657">IF(AVERAGE(T297:T356) &gt; 0.25, 1, 0)</f>
        <v>1</v>
      </c>
      <c r="W357" s="7">
        <f t="shared" si="657"/>
        <v>1</v>
      </c>
      <c r="X357" s="8">
        <v>1.0</v>
      </c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ht="22.5" customHeight="1">
      <c r="A358" s="6">
        <v>357.0</v>
      </c>
      <c r="B358" s="6">
        <v>77555.0</v>
      </c>
      <c r="C358" s="6">
        <v>-1.75</v>
      </c>
      <c r="D358" s="6">
        <v>-0.88</v>
      </c>
      <c r="E358" s="6">
        <v>11.12</v>
      </c>
      <c r="F358" s="6">
        <v>-0.47</v>
      </c>
      <c r="G358" s="6">
        <v>-0.49</v>
      </c>
      <c r="H358" s="6">
        <v>-3.89</v>
      </c>
      <c r="I358" s="6">
        <v>33.34</v>
      </c>
      <c r="J358" s="7">
        <f t="shared" ref="J358:O358" si="658">abs(C358-C357)/200</f>
        <v>0.0143</v>
      </c>
      <c r="K358" s="7">
        <f t="shared" si="658"/>
        <v>0.00545</v>
      </c>
      <c r="L358" s="7">
        <f t="shared" si="658"/>
        <v>0.0003</v>
      </c>
      <c r="M358" s="7">
        <f t="shared" si="658"/>
        <v>0.00035</v>
      </c>
      <c r="N358" s="7">
        <f t="shared" si="658"/>
        <v>0.00005</v>
      </c>
      <c r="O358" s="7">
        <f t="shared" si="658"/>
        <v>0.002</v>
      </c>
      <c r="P358" s="7">
        <f t="shared" si="7"/>
        <v>0.400556856</v>
      </c>
      <c r="Q358" s="7">
        <f t="shared" si="8"/>
        <v>0.002422499225</v>
      </c>
      <c r="R358" s="7">
        <f t="shared" si="2"/>
        <v>1.491204542</v>
      </c>
      <c r="S358" s="7">
        <f t="shared" si="3"/>
        <v>3.948809947</v>
      </c>
      <c r="T358" s="7">
        <f t="shared" si="4"/>
        <v>1</v>
      </c>
      <c r="U358" s="7">
        <f t="shared" si="5"/>
        <v>1</v>
      </c>
      <c r="V358" s="7">
        <f t="shared" ref="V358:W358" si="659">IF(AVERAGE(T298:T357) &gt; 0.25, 1, 0)</f>
        <v>1</v>
      </c>
      <c r="W358" s="7">
        <f t="shared" si="659"/>
        <v>1</v>
      </c>
      <c r="X358" s="8">
        <v>1.0</v>
      </c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ht="22.5" customHeight="1">
      <c r="A359" s="6">
        <v>358.0</v>
      </c>
      <c r="B359" s="6">
        <v>77759.0</v>
      </c>
      <c r="C359" s="6">
        <v>-1.62</v>
      </c>
      <c r="D359" s="6">
        <v>0.87</v>
      </c>
      <c r="E359" s="6">
        <v>10.65</v>
      </c>
      <c r="F359" s="6">
        <v>-0.23</v>
      </c>
      <c r="G359" s="6">
        <v>-0.03</v>
      </c>
      <c r="H359" s="6">
        <v>-1.77</v>
      </c>
      <c r="I359" s="6">
        <v>33.34</v>
      </c>
      <c r="J359" s="7">
        <f t="shared" ref="J359:O359" si="660">abs(C359-C358)/200</f>
        <v>0.00065</v>
      </c>
      <c r="K359" s="7">
        <f t="shared" si="660"/>
        <v>0.00875</v>
      </c>
      <c r="L359" s="7">
        <f t="shared" si="660"/>
        <v>0.00235</v>
      </c>
      <c r="M359" s="7">
        <f t="shared" si="660"/>
        <v>0.0012</v>
      </c>
      <c r="N359" s="7">
        <f t="shared" si="660"/>
        <v>0.0023</v>
      </c>
      <c r="O359" s="7">
        <f t="shared" si="660"/>
        <v>0.0106</v>
      </c>
      <c r="P359" s="7">
        <f t="shared" si="7"/>
        <v>2.163676899</v>
      </c>
      <c r="Q359" s="7">
        <f t="shared" si="8"/>
        <v>0.4836238687</v>
      </c>
      <c r="R359" s="7">
        <f t="shared" si="2"/>
        <v>1.007580673</v>
      </c>
      <c r="S359" s="7">
        <f t="shared" si="3"/>
        <v>1.785133048</v>
      </c>
      <c r="T359" s="7">
        <f t="shared" si="4"/>
        <v>1</v>
      </c>
      <c r="U359" s="7">
        <f t="shared" si="5"/>
        <v>1</v>
      </c>
      <c r="V359" s="7">
        <f t="shared" ref="V359:W359" si="661">IF(AVERAGE(T299:T358) &gt; 0.25, 1, 0)</f>
        <v>1</v>
      </c>
      <c r="W359" s="7">
        <f t="shared" si="661"/>
        <v>1</v>
      </c>
      <c r="X359" s="8">
        <v>1.0</v>
      </c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ht="22.5" customHeight="1">
      <c r="A360" s="6">
        <v>359.0</v>
      </c>
      <c r="B360" s="6">
        <v>77963.0</v>
      </c>
      <c r="C360" s="6">
        <v>-3.36</v>
      </c>
      <c r="D360" s="6">
        <v>0.49</v>
      </c>
      <c r="E360" s="6">
        <v>10.56</v>
      </c>
      <c r="F360" s="6">
        <v>-0.17</v>
      </c>
      <c r="G360" s="6">
        <v>0.35</v>
      </c>
      <c r="H360" s="6">
        <v>1.88</v>
      </c>
      <c r="I360" s="6">
        <v>33.35</v>
      </c>
      <c r="J360" s="7">
        <f t="shared" ref="J360:O360" si="662">abs(C360-C359)/200</f>
        <v>0.0087</v>
      </c>
      <c r="K360" s="7">
        <f t="shared" si="662"/>
        <v>0.0019</v>
      </c>
      <c r="L360" s="7">
        <f t="shared" si="662"/>
        <v>0.00045</v>
      </c>
      <c r="M360" s="7">
        <f t="shared" si="662"/>
        <v>0.0003</v>
      </c>
      <c r="N360" s="7">
        <f t="shared" si="662"/>
        <v>0.0019</v>
      </c>
      <c r="O360" s="7">
        <f t="shared" si="662"/>
        <v>0.01825</v>
      </c>
      <c r="P360" s="7">
        <f t="shared" si="7"/>
        <v>0.1347106954</v>
      </c>
      <c r="Q360" s="7">
        <f t="shared" si="8"/>
        <v>0.2849077766</v>
      </c>
      <c r="R360" s="7">
        <f t="shared" si="2"/>
        <v>1.292488449</v>
      </c>
      <c r="S360" s="7">
        <f t="shared" si="3"/>
        <v>1.919843744</v>
      </c>
      <c r="T360" s="7">
        <f t="shared" si="4"/>
        <v>1</v>
      </c>
      <c r="U360" s="7">
        <f t="shared" si="5"/>
        <v>1</v>
      </c>
      <c r="V360" s="7">
        <f t="shared" ref="V360:W360" si="663">IF(AVERAGE(T300:T359) &gt; 0.25, 1, 0)</f>
        <v>1</v>
      </c>
      <c r="W360" s="7">
        <f t="shared" si="663"/>
        <v>1</v>
      </c>
      <c r="X360" s="8">
        <v>1.0</v>
      </c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ht="22.5" customHeight="1">
      <c r="A361" s="6">
        <v>360.0</v>
      </c>
      <c r="B361" s="6">
        <v>78167.0</v>
      </c>
      <c r="C361" s="6">
        <v>-0.94</v>
      </c>
      <c r="D361" s="6">
        <v>-2.06</v>
      </c>
      <c r="E361" s="6">
        <v>11.04</v>
      </c>
      <c r="F361" s="6">
        <v>-0.09</v>
      </c>
      <c r="G361" s="6">
        <v>0.41</v>
      </c>
      <c r="H361" s="6">
        <v>4.08</v>
      </c>
      <c r="I361" s="6">
        <v>33.35</v>
      </c>
      <c r="J361" s="7">
        <f t="shared" ref="J361:O361" si="664">abs(C361-C360)/200</f>
        <v>0.0121</v>
      </c>
      <c r="K361" s="7">
        <f t="shared" si="664"/>
        <v>0.01275</v>
      </c>
      <c r="L361" s="7">
        <f t="shared" si="664"/>
        <v>0.0024</v>
      </c>
      <c r="M361" s="7">
        <f t="shared" si="664"/>
        <v>0.0004</v>
      </c>
      <c r="N361" s="7">
        <f t="shared" si="664"/>
        <v>0.0003</v>
      </c>
      <c r="O361" s="7">
        <f t="shared" si="664"/>
        <v>0.011</v>
      </c>
      <c r="P361" s="7">
        <f t="shared" si="7"/>
        <v>2.181692554</v>
      </c>
      <c r="Q361" s="7">
        <f t="shared" si="8"/>
        <v>0.1773296503</v>
      </c>
      <c r="R361" s="7">
        <f t="shared" si="2"/>
        <v>1.4698181</v>
      </c>
      <c r="S361" s="7">
        <f t="shared" si="3"/>
        <v>4.101536298</v>
      </c>
      <c r="T361" s="7">
        <f t="shared" si="4"/>
        <v>1</v>
      </c>
      <c r="U361" s="7">
        <f t="shared" si="5"/>
        <v>1</v>
      </c>
      <c r="V361" s="7">
        <f t="shared" ref="V361:W361" si="665">IF(AVERAGE(T301:T360) &gt; 0.25, 1, 0)</f>
        <v>1</v>
      </c>
      <c r="W361" s="7">
        <f t="shared" si="665"/>
        <v>1</v>
      </c>
      <c r="X361" s="8">
        <v>1.0</v>
      </c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ht="22.5" customHeight="1">
      <c r="A362" s="6">
        <v>361.0</v>
      </c>
      <c r="B362" s="6">
        <v>78371.0</v>
      </c>
      <c r="C362" s="6">
        <v>4.84</v>
      </c>
      <c r="D362" s="6">
        <v>-3.96</v>
      </c>
      <c r="E362" s="6">
        <v>10.65</v>
      </c>
      <c r="F362" s="6">
        <v>-0.05</v>
      </c>
      <c r="G362" s="6">
        <v>0.05</v>
      </c>
      <c r="H362" s="6">
        <v>3.91</v>
      </c>
      <c r="I362" s="6">
        <v>33.35</v>
      </c>
      <c r="J362" s="7">
        <f t="shared" ref="J362:O362" si="666">abs(C362-C361)/200</f>
        <v>0.0289</v>
      </c>
      <c r="K362" s="7">
        <f t="shared" si="666"/>
        <v>0.0095</v>
      </c>
      <c r="L362" s="7">
        <f t="shared" si="666"/>
        <v>0.00195</v>
      </c>
      <c r="M362" s="7">
        <f t="shared" si="666"/>
        <v>0.0002</v>
      </c>
      <c r="N362" s="7">
        <f t="shared" si="666"/>
        <v>0.0018</v>
      </c>
      <c r="O362" s="7">
        <f t="shared" si="666"/>
        <v>0.00085</v>
      </c>
      <c r="P362" s="7">
        <f t="shared" si="7"/>
        <v>0.1908969636</v>
      </c>
      <c r="Q362" s="7">
        <f t="shared" si="8"/>
        <v>1.080473395</v>
      </c>
      <c r="R362" s="7">
        <f t="shared" si="2"/>
        <v>2.550291495</v>
      </c>
      <c r="S362" s="7">
        <f t="shared" si="3"/>
        <v>3.910639334</v>
      </c>
      <c r="T362" s="7">
        <f t="shared" si="4"/>
        <v>1</v>
      </c>
      <c r="U362" s="7">
        <f t="shared" si="5"/>
        <v>1</v>
      </c>
      <c r="V362" s="7">
        <f t="shared" ref="V362:W362" si="667">IF(AVERAGE(T302:T361) &gt; 0.25, 1, 0)</f>
        <v>1</v>
      </c>
      <c r="W362" s="7">
        <f t="shared" si="667"/>
        <v>1</v>
      </c>
      <c r="X362" s="8">
        <v>1.0</v>
      </c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ht="22.5" customHeight="1">
      <c r="A363" s="6">
        <v>362.0</v>
      </c>
      <c r="B363" s="6">
        <v>78575.0</v>
      </c>
      <c r="C363" s="6">
        <v>4.61</v>
      </c>
      <c r="D363" s="6">
        <v>-3.06</v>
      </c>
      <c r="E363" s="6">
        <v>10.56</v>
      </c>
      <c r="F363" s="6">
        <v>-0.17</v>
      </c>
      <c r="G363" s="6">
        <v>-0.19</v>
      </c>
      <c r="H363" s="6">
        <v>-1.6</v>
      </c>
      <c r="I363" s="6">
        <v>33.35</v>
      </c>
      <c r="J363" s="7">
        <f t="shared" ref="J363:O363" si="668">abs(C363-C362)/200</f>
        <v>0.00115</v>
      </c>
      <c r="K363" s="7">
        <f t="shared" si="668"/>
        <v>0.0045</v>
      </c>
      <c r="L363" s="7">
        <f t="shared" si="668"/>
        <v>0.00045</v>
      </c>
      <c r="M363" s="7">
        <f t="shared" si="668"/>
        <v>0.0006</v>
      </c>
      <c r="N363" s="7">
        <f t="shared" si="668"/>
        <v>0.0012</v>
      </c>
      <c r="O363" s="7">
        <f t="shared" si="668"/>
        <v>0.02755</v>
      </c>
      <c r="P363" s="7">
        <f t="shared" si="7"/>
        <v>2.290454159</v>
      </c>
      <c r="Q363" s="7">
        <f t="shared" si="8"/>
        <v>0.4284921337</v>
      </c>
      <c r="R363" s="7">
        <f t="shared" si="2"/>
        <v>2.121799361</v>
      </c>
      <c r="S363" s="7">
        <f t="shared" si="3"/>
        <v>1.620185175</v>
      </c>
      <c r="T363" s="7">
        <f t="shared" si="4"/>
        <v>1</v>
      </c>
      <c r="U363" s="7">
        <f t="shared" si="5"/>
        <v>1</v>
      </c>
      <c r="V363" s="7">
        <f t="shared" ref="V363:W363" si="669">IF(AVERAGE(T303:T362) &gt; 0.25, 1, 0)</f>
        <v>1</v>
      </c>
      <c r="W363" s="7">
        <f t="shared" si="669"/>
        <v>1</v>
      </c>
      <c r="X363" s="8">
        <v>1.0</v>
      </c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ht="22.5" customHeight="1">
      <c r="A364" s="6">
        <v>363.0</v>
      </c>
      <c r="B364" s="6">
        <v>78779.0</v>
      </c>
      <c r="C364" s="6">
        <v>-1.24</v>
      </c>
      <c r="D364" s="6">
        <v>-3.74</v>
      </c>
      <c r="E364" s="6">
        <v>11.57</v>
      </c>
      <c r="F364" s="6">
        <v>-0.47</v>
      </c>
      <c r="G364" s="6">
        <v>-0.44</v>
      </c>
      <c r="H364" s="6">
        <v>-5.09</v>
      </c>
      <c r="I364" s="6">
        <v>33.35</v>
      </c>
      <c r="J364" s="7">
        <f t="shared" ref="J364:O364" si="670">abs(C364-C363)/200</f>
        <v>0.02925</v>
      </c>
      <c r="K364" s="7">
        <f t="shared" si="670"/>
        <v>0.0034</v>
      </c>
      <c r="L364" s="7">
        <f t="shared" si="670"/>
        <v>0.00505</v>
      </c>
      <c r="M364" s="7">
        <f t="shared" si="670"/>
        <v>0.0015</v>
      </c>
      <c r="N364" s="7">
        <f t="shared" si="670"/>
        <v>0.00125</v>
      </c>
      <c r="O364" s="7">
        <f t="shared" si="670"/>
        <v>0.01745</v>
      </c>
      <c r="P364" s="7">
        <f t="shared" si="7"/>
        <v>3.510370351</v>
      </c>
      <c r="Q364" s="7">
        <f t="shared" si="8"/>
        <v>0.3007249284</v>
      </c>
      <c r="R364" s="7">
        <f t="shared" si="2"/>
        <v>2.422524289</v>
      </c>
      <c r="S364" s="7">
        <f t="shared" si="3"/>
        <v>5.130555525</v>
      </c>
      <c r="T364" s="7">
        <f t="shared" si="4"/>
        <v>1</v>
      </c>
      <c r="U364" s="7">
        <f t="shared" si="5"/>
        <v>1</v>
      </c>
      <c r="V364" s="7">
        <f t="shared" ref="V364:W364" si="671">IF(AVERAGE(T304:T363) &gt; 0.25, 1, 0)</f>
        <v>1</v>
      </c>
      <c r="W364" s="7">
        <f t="shared" si="671"/>
        <v>1</v>
      </c>
      <c r="X364" s="8">
        <v>1.0</v>
      </c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ht="22.5" customHeight="1">
      <c r="A365" s="6">
        <v>364.0</v>
      </c>
      <c r="B365" s="6">
        <v>78983.0</v>
      </c>
      <c r="C365" s="6">
        <v>-5.14</v>
      </c>
      <c r="D365" s="6">
        <v>2.07</v>
      </c>
      <c r="E365" s="6">
        <v>11.1</v>
      </c>
      <c r="F365" s="6">
        <v>-0.29</v>
      </c>
      <c r="G365" s="6">
        <v>-0.13</v>
      </c>
      <c r="H365" s="6">
        <v>-2.74</v>
      </c>
      <c r="I365" s="6">
        <v>33.35</v>
      </c>
      <c r="J365" s="7">
        <f t="shared" ref="J365:O365" si="672">abs(C365-C364)/200</f>
        <v>0.0195</v>
      </c>
      <c r="K365" s="7">
        <f t="shared" si="672"/>
        <v>0.02905</v>
      </c>
      <c r="L365" s="7">
        <f t="shared" si="672"/>
        <v>0.00235</v>
      </c>
      <c r="M365" s="7">
        <f t="shared" si="672"/>
        <v>0.0009</v>
      </c>
      <c r="N365" s="7">
        <f t="shared" si="672"/>
        <v>0.00155</v>
      </c>
      <c r="O365" s="7">
        <f t="shared" si="672"/>
        <v>0.01175</v>
      </c>
      <c r="P365" s="7">
        <f t="shared" si="7"/>
        <v>2.372186442</v>
      </c>
      <c r="Q365" s="7">
        <f t="shared" si="8"/>
        <v>0.1837039853</v>
      </c>
      <c r="R365" s="7">
        <f t="shared" si="2"/>
        <v>2.606228275</v>
      </c>
      <c r="S365" s="7">
        <f t="shared" si="3"/>
        <v>2.758369083</v>
      </c>
      <c r="T365" s="7">
        <f t="shared" si="4"/>
        <v>1</v>
      </c>
      <c r="U365" s="7">
        <f t="shared" si="5"/>
        <v>1</v>
      </c>
      <c r="V365" s="7">
        <f t="shared" ref="V365:W365" si="673">IF(AVERAGE(T305:T364) &gt; 0.25, 1, 0)</f>
        <v>1</v>
      </c>
      <c r="W365" s="7">
        <f t="shared" si="673"/>
        <v>1</v>
      </c>
      <c r="X365" s="8">
        <v>1.0</v>
      </c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ht="22.5" customHeight="1">
      <c r="A366" s="6">
        <v>365.0</v>
      </c>
      <c r="B366" s="6">
        <v>79187.0</v>
      </c>
      <c r="C366" s="6">
        <v>-4.31</v>
      </c>
      <c r="D366" s="6">
        <v>1.62</v>
      </c>
      <c r="E366" s="6">
        <v>11.11</v>
      </c>
      <c r="F366" s="6">
        <v>-0.06</v>
      </c>
      <c r="G366" s="6">
        <v>0.19</v>
      </c>
      <c r="H366" s="6">
        <v>0.39</v>
      </c>
      <c r="I366" s="6">
        <v>33.35</v>
      </c>
      <c r="J366" s="7">
        <f t="shared" ref="J366:O366" si="674">abs(C366-C365)/200</f>
        <v>0.00415</v>
      </c>
      <c r="K366" s="7">
        <f t="shared" si="674"/>
        <v>0.00225</v>
      </c>
      <c r="L366" s="7">
        <f t="shared" si="674"/>
        <v>0.00005</v>
      </c>
      <c r="M366" s="7">
        <f t="shared" si="674"/>
        <v>0.00115</v>
      </c>
      <c r="N366" s="7">
        <f t="shared" si="674"/>
        <v>0.0016</v>
      </c>
      <c r="O366" s="7">
        <f t="shared" si="674"/>
        <v>0.01565</v>
      </c>
      <c r="P366" s="7">
        <f t="shared" si="7"/>
        <v>2.320419315</v>
      </c>
      <c r="Q366" s="7">
        <f t="shared" si="8"/>
        <v>0.3798988262</v>
      </c>
      <c r="R366" s="7">
        <f t="shared" si="2"/>
        <v>2.226329448</v>
      </c>
      <c r="S366" s="7">
        <f t="shared" si="3"/>
        <v>0.4379497688</v>
      </c>
      <c r="T366" s="7">
        <f t="shared" si="4"/>
        <v>1</v>
      </c>
      <c r="U366" s="7">
        <f t="shared" si="5"/>
        <v>1</v>
      </c>
      <c r="V366" s="7">
        <f t="shared" ref="V366:W366" si="675">IF(AVERAGE(T306:T365) &gt; 0.25, 1, 0)</f>
        <v>1</v>
      </c>
      <c r="W366" s="7">
        <f t="shared" si="675"/>
        <v>1</v>
      </c>
      <c r="X366" s="8">
        <v>1.0</v>
      </c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ht="22.5" customHeight="1">
      <c r="A367" s="6">
        <v>366.0</v>
      </c>
      <c r="B367" s="6">
        <v>79391.0</v>
      </c>
      <c r="C367" s="6">
        <v>-0.3</v>
      </c>
      <c r="D367" s="6">
        <v>-0.63</v>
      </c>
      <c r="E367" s="6">
        <v>11.11</v>
      </c>
      <c r="F367" s="6">
        <v>-0.15</v>
      </c>
      <c r="G367" s="6">
        <v>0.37</v>
      </c>
      <c r="H367" s="6">
        <v>2.96</v>
      </c>
      <c r="I367" s="6">
        <v>33.34</v>
      </c>
      <c r="J367" s="7">
        <f t="shared" ref="J367:O367" si="676">abs(C367-C366)/200</f>
        <v>0.02005</v>
      </c>
      <c r="K367" s="7">
        <f t="shared" si="676"/>
        <v>0.01125</v>
      </c>
      <c r="L367" s="7">
        <f t="shared" si="676"/>
        <v>0</v>
      </c>
      <c r="M367" s="7">
        <f t="shared" si="676"/>
        <v>0.00045</v>
      </c>
      <c r="N367" s="7">
        <f t="shared" si="676"/>
        <v>0.0009</v>
      </c>
      <c r="O367" s="7">
        <f t="shared" si="676"/>
        <v>0.01285</v>
      </c>
      <c r="P367" s="7">
        <f t="shared" si="7"/>
        <v>2.548854543</v>
      </c>
      <c r="Q367" s="7">
        <f t="shared" si="8"/>
        <v>0.8944383242</v>
      </c>
      <c r="R367" s="7">
        <f t="shared" si="2"/>
        <v>1.331891124</v>
      </c>
      <c r="S367" s="7">
        <f t="shared" si="3"/>
        <v>2.986804312</v>
      </c>
      <c r="T367" s="7">
        <f t="shared" si="4"/>
        <v>1</v>
      </c>
      <c r="U367" s="7">
        <f t="shared" si="5"/>
        <v>1</v>
      </c>
      <c r="V367" s="7">
        <f t="shared" ref="V367:W367" si="677">IF(AVERAGE(T307:T366) &gt; 0.25, 1, 0)</f>
        <v>1</v>
      </c>
      <c r="W367" s="7">
        <f t="shared" si="677"/>
        <v>1</v>
      </c>
      <c r="X367" s="8">
        <v>1.0</v>
      </c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ht="22.5" customHeight="1">
      <c r="A368" s="6">
        <v>367.0</v>
      </c>
      <c r="B368" s="6">
        <v>79595.0</v>
      </c>
      <c r="C368" s="6">
        <v>1.24</v>
      </c>
      <c r="D368" s="6">
        <v>-2.94</v>
      </c>
      <c r="E368" s="6">
        <v>10.94</v>
      </c>
      <c r="F368" s="6">
        <v>-0.06</v>
      </c>
      <c r="G368" s="6">
        <v>0.22</v>
      </c>
      <c r="H368" s="6">
        <v>4.36</v>
      </c>
      <c r="I368" s="6">
        <v>33.34</v>
      </c>
      <c r="J368" s="7">
        <f t="shared" ref="J368:O368" si="678">abs(C368-C367)/200</f>
        <v>0.0077</v>
      </c>
      <c r="K368" s="7">
        <f t="shared" si="678"/>
        <v>0.01155</v>
      </c>
      <c r="L368" s="7">
        <f t="shared" si="678"/>
        <v>0.00085</v>
      </c>
      <c r="M368" s="7">
        <f t="shared" si="678"/>
        <v>0.00045</v>
      </c>
      <c r="N368" s="7">
        <f t="shared" si="678"/>
        <v>0.00075</v>
      </c>
      <c r="O368" s="7">
        <f t="shared" si="678"/>
        <v>0.007</v>
      </c>
      <c r="P368" s="7">
        <f t="shared" si="7"/>
        <v>1.379154918</v>
      </c>
      <c r="Q368" s="7">
        <f t="shared" si="8"/>
        <v>0.2639326723</v>
      </c>
      <c r="R368" s="7">
        <f t="shared" si="2"/>
        <v>1.595823796</v>
      </c>
      <c r="S368" s="7">
        <f t="shared" si="3"/>
        <v>4.36595923</v>
      </c>
      <c r="T368" s="7">
        <f t="shared" si="4"/>
        <v>1</v>
      </c>
      <c r="U368" s="7">
        <f t="shared" si="5"/>
        <v>1</v>
      </c>
      <c r="V368" s="7">
        <f t="shared" ref="V368:W368" si="679">IF(AVERAGE(T308:T367) &gt; 0.25, 1, 0)</f>
        <v>1</v>
      </c>
      <c r="W368" s="7">
        <f t="shared" si="679"/>
        <v>1</v>
      </c>
      <c r="X368" s="8">
        <v>1.0</v>
      </c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ht="22.5" customHeight="1">
      <c r="A369" s="6">
        <v>368.0</v>
      </c>
      <c r="B369" s="6">
        <v>79799.0</v>
      </c>
      <c r="C369" s="6">
        <v>4.14</v>
      </c>
      <c r="D369" s="6">
        <v>-2.32</v>
      </c>
      <c r="E369" s="6">
        <v>10.66</v>
      </c>
      <c r="F369" s="6">
        <v>0.04</v>
      </c>
      <c r="G369" s="6">
        <v>-0.12</v>
      </c>
      <c r="H369" s="6">
        <v>0.88</v>
      </c>
      <c r="I369" s="6">
        <v>33.34</v>
      </c>
      <c r="J369" s="7">
        <f t="shared" ref="J369:O369" si="680">abs(C369-C368)/200</f>
        <v>0.0145</v>
      </c>
      <c r="K369" s="7">
        <f t="shared" si="680"/>
        <v>0.0031</v>
      </c>
      <c r="L369" s="7">
        <f t="shared" si="680"/>
        <v>0.0014</v>
      </c>
      <c r="M369" s="7">
        <f t="shared" si="680"/>
        <v>0.0005</v>
      </c>
      <c r="N369" s="7">
        <f t="shared" si="680"/>
        <v>0.0017</v>
      </c>
      <c r="O369" s="7">
        <f t="shared" si="680"/>
        <v>0.0174</v>
      </c>
      <c r="P369" s="7">
        <f t="shared" si="7"/>
        <v>3.476914799</v>
      </c>
      <c r="Q369" s="7">
        <f t="shared" si="8"/>
        <v>0.2728350811</v>
      </c>
      <c r="R369" s="7">
        <f t="shared" si="2"/>
        <v>1.868658878</v>
      </c>
      <c r="S369" s="7">
        <f t="shared" si="3"/>
        <v>0.8890444308</v>
      </c>
      <c r="T369" s="7">
        <f t="shared" si="4"/>
        <v>1</v>
      </c>
      <c r="U369" s="7">
        <f t="shared" si="5"/>
        <v>1</v>
      </c>
      <c r="V369" s="7">
        <f t="shared" ref="V369:W369" si="681">IF(AVERAGE(T309:T368) &gt; 0.25, 1, 0)</f>
        <v>1</v>
      </c>
      <c r="W369" s="7">
        <f t="shared" si="681"/>
        <v>1</v>
      </c>
      <c r="X369" s="8">
        <v>1.0</v>
      </c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ht="22.5" customHeight="1">
      <c r="A370" s="6">
        <v>369.0</v>
      </c>
      <c r="B370" s="6">
        <v>80003.0</v>
      </c>
      <c r="C370" s="6">
        <v>2.67</v>
      </c>
      <c r="D370" s="6">
        <v>-3.04</v>
      </c>
      <c r="E370" s="6">
        <v>11.08</v>
      </c>
      <c r="F370" s="6">
        <v>-0.35</v>
      </c>
      <c r="G370" s="6">
        <v>-0.39</v>
      </c>
      <c r="H370" s="6">
        <v>-3.5</v>
      </c>
      <c r="I370" s="6">
        <v>33.34</v>
      </c>
      <c r="J370" s="7">
        <f t="shared" ref="J370:O370" si="682">abs(C370-C369)/200</f>
        <v>0.00735</v>
      </c>
      <c r="K370" s="7">
        <f t="shared" si="682"/>
        <v>0.0036</v>
      </c>
      <c r="L370" s="7">
        <f t="shared" si="682"/>
        <v>0.0021</v>
      </c>
      <c r="M370" s="7">
        <f t="shared" si="682"/>
        <v>0.00195</v>
      </c>
      <c r="N370" s="7">
        <f t="shared" si="682"/>
        <v>0.00135</v>
      </c>
      <c r="O370" s="7">
        <f t="shared" si="682"/>
        <v>0.0219</v>
      </c>
      <c r="P370" s="7">
        <f t="shared" si="7"/>
        <v>2.64996673</v>
      </c>
      <c r="Q370" s="7">
        <f t="shared" si="8"/>
        <v>0.1269716694</v>
      </c>
      <c r="R370" s="7">
        <f t="shared" si="2"/>
        <v>1.995630547</v>
      </c>
      <c r="S370" s="7">
        <f t="shared" si="3"/>
        <v>3.539011161</v>
      </c>
      <c r="T370" s="7">
        <f t="shared" si="4"/>
        <v>1</v>
      </c>
      <c r="U370" s="7">
        <f t="shared" si="5"/>
        <v>1</v>
      </c>
      <c r="V370" s="7">
        <f t="shared" ref="V370:W370" si="683">IF(AVERAGE(T310:T369) &gt; 0.25, 1, 0)</f>
        <v>1</v>
      </c>
      <c r="W370" s="7">
        <f t="shared" si="683"/>
        <v>1</v>
      </c>
      <c r="X370" s="8">
        <v>1.0</v>
      </c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 ht="22.5" customHeight="1">
      <c r="A371" s="6">
        <v>370.0</v>
      </c>
      <c r="B371" s="6">
        <v>80207.0</v>
      </c>
      <c r="C371" s="6">
        <v>-3.33</v>
      </c>
      <c r="D371" s="6">
        <v>-2.26</v>
      </c>
      <c r="E371" s="6">
        <v>11.76</v>
      </c>
      <c r="F371" s="6">
        <v>-0.46</v>
      </c>
      <c r="G371" s="6">
        <v>-0.61</v>
      </c>
      <c r="H371" s="6">
        <v>-4.47</v>
      </c>
      <c r="I371" s="6">
        <v>33.35</v>
      </c>
      <c r="J371" s="7">
        <f t="shared" ref="J371:O371" si="684">abs(C371-C370)/200</f>
        <v>0.03</v>
      </c>
      <c r="K371" s="7">
        <f t="shared" si="684"/>
        <v>0.0039</v>
      </c>
      <c r="L371" s="7">
        <f t="shared" si="684"/>
        <v>0.0034</v>
      </c>
      <c r="M371" s="7">
        <f t="shared" si="684"/>
        <v>0.00055</v>
      </c>
      <c r="N371" s="7">
        <f t="shared" si="684"/>
        <v>0.0011</v>
      </c>
      <c r="O371" s="7">
        <f t="shared" si="684"/>
        <v>0.00485</v>
      </c>
      <c r="P371" s="7">
        <f t="shared" si="7"/>
        <v>0.9958096731</v>
      </c>
      <c r="Q371" s="7">
        <f t="shared" si="8"/>
        <v>0.6339350126</v>
      </c>
      <c r="R371" s="7">
        <f t="shared" si="2"/>
        <v>2.62956556</v>
      </c>
      <c r="S371" s="7">
        <f t="shared" si="3"/>
        <v>4.534820834</v>
      </c>
      <c r="T371" s="7">
        <f t="shared" si="4"/>
        <v>1</v>
      </c>
      <c r="U371" s="7">
        <f t="shared" si="5"/>
        <v>1</v>
      </c>
      <c r="V371" s="7">
        <f t="shared" ref="V371:W371" si="685">IF(AVERAGE(T311:T370) &gt; 0.25, 1, 0)</f>
        <v>1</v>
      </c>
      <c r="W371" s="7">
        <f t="shared" si="685"/>
        <v>1</v>
      </c>
      <c r="X371" s="8">
        <v>1.0</v>
      </c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 ht="22.5" customHeight="1">
      <c r="A372" s="6">
        <v>371.0</v>
      </c>
      <c r="B372" s="6">
        <v>80411.0</v>
      </c>
      <c r="C372" s="6">
        <v>-1.14</v>
      </c>
      <c r="D372" s="6">
        <v>0.93</v>
      </c>
      <c r="E372" s="6">
        <v>10.65</v>
      </c>
      <c r="F372" s="6">
        <v>-0.18</v>
      </c>
      <c r="G372" s="6">
        <v>-0.07</v>
      </c>
      <c r="H372" s="6">
        <v>-0.59</v>
      </c>
      <c r="I372" s="6">
        <v>33.34</v>
      </c>
      <c r="J372" s="7">
        <f t="shared" ref="J372:O372" si="686">abs(C372-C371)/200</f>
        <v>0.01095</v>
      </c>
      <c r="K372" s="7">
        <f t="shared" si="686"/>
        <v>0.01595</v>
      </c>
      <c r="L372" s="7">
        <f t="shared" si="686"/>
        <v>0.00555</v>
      </c>
      <c r="M372" s="7">
        <f t="shared" si="686"/>
        <v>0.0014</v>
      </c>
      <c r="N372" s="7">
        <f t="shared" si="686"/>
        <v>0.0027</v>
      </c>
      <c r="O372" s="7">
        <f t="shared" si="686"/>
        <v>0.0194</v>
      </c>
      <c r="P372" s="7">
        <f t="shared" si="7"/>
        <v>3.914014907</v>
      </c>
      <c r="Q372" s="7">
        <f t="shared" si="8"/>
        <v>1.678426085</v>
      </c>
      <c r="R372" s="7">
        <f t="shared" si="2"/>
        <v>0.9511394745</v>
      </c>
      <c r="S372" s="7">
        <f t="shared" si="3"/>
        <v>0.6208059278</v>
      </c>
      <c r="T372" s="7">
        <f t="shared" si="4"/>
        <v>1</v>
      </c>
      <c r="U372" s="7">
        <f t="shared" si="5"/>
        <v>1</v>
      </c>
      <c r="V372" s="7">
        <f t="shared" ref="V372:W372" si="687">IF(AVERAGE(T312:T371) &gt; 0.25, 1, 0)</f>
        <v>1</v>
      </c>
      <c r="W372" s="7">
        <f t="shared" si="687"/>
        <v>1</v>
      </c>
      <c r="X372" s="8">
        <v>1.0</v>
      </c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 ht="22.5" customHeight="1">
      <c r="A373" s="6">
        <v>372.0</v>
      </c>
      <c r="B373" s="6">
        <v>80615.0</v>
      </c>
      <c r="C373" s="6">
        <v>0.58</v>
      </c>
      <c r="D373" s="6">
        <v>0.12</v>
      </c>
      <c r="E373" s="6">
        <v>10.66</v>
      </c>
      <c r="F373" s="6">
        <v>-0.03</v>
      </c>
      <c r="G373" s="6">
        <v>0.08</v>
      </c>
      <c r="H373" s="6">
        <v>1.79</v>
      </c>
      <c r="I373" s="6">
        <v>33.33</v>
      </c>
      <c r="J373" s="7">
        <f t="shared" ref="J373:O373" si="688">abs(C373-C372)/200</f>
        <v>0.0086</v>
      </c>
      <c r="K373" s="7">
        <f t="shared" si="688"/>
        <v>0.00405</v>
      </c>
      <c r="L373" s="7">
        <f t="shared" si="688"/>
        <v>0.00005</v>
      </c>
      <c r="M373" s="7">
        <f t="shared" si="688"/>
        <v>0.00075</v>
      </c>
      <c r="N373" s="7">
        <f t="shared" si="688"/>
        <v>0.00075</v>
      </c>
      <c r="O373" s="7">
        <f t="shared" si="688"/>
        <v>0.0119</v>
      </c>
      <c r="P373" s="7">
        <f t="shared" si="7"/>
        <v>1.171232018</v>
      </c>
      <c r="Q373" s="7">
        <f t="shared" si="8"/>
        <v>0.07469811981</v>
      </c>
      <c r="R373" s="7">
        <f t="shared" si="2"/>
        <v>0.8764413547</v>
      </c>
      <c r="S373" s="7">
        <f t="shared" si="3"/>
        <v>1.792037946</v>
      </c>
      <c r="T373" s="7">
        <f t="shared" si="4"/>
        <v>1</v>
      </c>
      <c r="U373" s="7">
        <f t="shared" si="5"/>
        <v>1</v>
      </c>
      <c r="V373" s="7">
        <f t="shared" ref="V373:W373" si="689">IF(AVERAGE(T313:T372) &gt; 0.25, 1, 0)</f>
        <v>1</v>
      </c>
      <c r="W373" s="7">
        <f t="shared" si="689"/>
        <v>1</v>
      </c>
      <c r="X373" s="8">
        <v>1.0</v>
      </c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 ht="22.5" customHeight="1">
      <c r="A374" s="6">
        <v>373.0</v>
      </c>
      <c r="B374" s="6">
        <v>80819.0</v>
      </c>
      <c r="C374" s="6">
        <v>-0.12</v>
      </c>
      <c r="D374" s="6">
        <v>-0.05</v>
      </c>
      <c r="E374" s="6">
        <v>10.94</v>
      </c>
      <c r="F374" s="6">
        <v>-0.12</v>
      </c>
      <c r="G374" s="6">
        <v>0.4</v>
      </c>
      <c r="H374" s="6">
        <v>2.51</v>
      </c>
      <c r="I374" s="6">
        <v>33.34</v>
      </c>
      <c r="J374" s="7">
        <f t="shared" ref="J374:O374" si="690">abs(C374-C373)/200</f>
        <v>0.0035</v>
      </c>
      <c r="K374" s="7">
        <f t="shared" si="690"/>
        <v>0.00085</v>
      </c>
      <c r="L374" s="7">
        <f t="shared" si="690"/>
        <v>0.0014</v>
      </c>
      <c r="M374" s="7">
        <f t="shared" si="690"/>
        <v>0.00045</v>
      </c>
      <c r="N374" s="7">
        <f t="shared" si="690"/>
        <v>0.0016</v>
      </c>
      <c r="O374" s="7">
        <f t="shared" si="690"/>
        <v>0.0036</v>
      </c>
      <c r="P374" s="7">
        <f t="shared" si="7"/>
        <v>0.7524659349</v>
      </c>
      <c r="Q374" s="7">
        <f t="shared" si="8"/>
        <v>0.2643310129</v>
      </c>
      <c r="R374" s="7">
        <f t="shared" si="2"/>
        <v>1.140772368</v>
      </c>
      <c r="S374" s="7">
        <f t="shared" si="3"/>
        <v>2.544503881</v>
      </c>
      <c r="T374" s="7">
        <f t="shared" si="4"/>
        <v>1</v>
      </c>
      <c r="U374" s="7">
        <f t="shared" si="5"/>
        <v>1</v>
      </c>
      <c r="V374" s="7">
        <f t="shared" ref="V374:W374" si="691">IF(AVERAGE(T314:T373) &gt; 0.25, 1, 0)</f>
        <v>1</v>
      </c>
      <c r="W374" s="7">
        <f t="shared" si="691"/>
        <v>1</v>
      </c>
      <c r="X374" s="8">
        <v>1.0</v>
      </c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 ht="22.5" customHeight="1">
      <c r="A375" s="6">
        <v>374.0</v>
      </c>
      <c r="B375" s="6">
        <v>81023.0</v>
      </c>
      <c r="C375" s="6">
        <v>1.74</v>
      </c>
      <c r="D375" s="6">
        <v>-2.27</v>
      </c>
      <c r="E375" s="6">
        <v>10.76</v>
      </c>
      <c r="F375" s="6">
        <v>-0.13</v>
      </c>
      <c r="G375" s="6">
        <v>0.03</v>
      </c>
      <c r="H375" s="6">
        <v>4.23</v>
      </c>
      <c r="I375" s="6">
        <v>33.34</v>
      </c>
      <c r="J375" s="7">
        <f t="shared" ref="J375:O375" si="692">abs(C375-C374)/200</f>
        <v>0.0093</v>
      </c>
      <c r="K375" s="7">
        <f t="shared" si="692"/>
        <v>0.0111</v>
      </c>
      <c r="L375" s="7">
        <f t="shared" si="692"/>
        <v>0.0009</v>
      </c>
      <c r="M375" s="7">
        <f t="shared" si="692"/>
        <v>0.00005</v>
      </c>
      <c r="N375" s="7">
        <f t="shared" si="692"/>
        <v>0.00185</v>
      </c>
      <c r="O375" s="7">
        <f t="shared" si="692"/>
        <v>0.0086</v>
      </c>
      <c r="P375" s="7">
        <f t="shared" si="7"/>
        <v>1.687599615</v>
      </c>
      <c r="Q375" s="7">
        <f t="shared" si="8"/>
        <v>0.1928748335</v>
      </c>
      <c r="R375" s="7">
        <f t="shared" si="2"/>
        <v>1.333647201</v>
      </c>
      <c r="S375" s="7">
        <f t="shared" si="3"/>
        <v>4.232103496</v>
      </c>
      <c r="T375" s="7">
        <f t="shared" si="4"/>
        <v>1</v>
      </c>
      <c r="U375" s="7">
        <f t="shared" si="5"/>
        <v>1</v>
      </c>
      <c r="V375" s="7">
        <f t="shared" ref="V375:W375" si="693">IF(AVERAGE(T315:T374) &gt; 0.25, 1, 0)</f>
        <v>1</v>
      </c>
      <c r="W375" s="7">
        <f t="shared" si="693"/>
        <v>1</v>
      </c>
      <c r="X375" s="8">
        <v>1.0</v>
      </c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 ht="22.5" customHeight="1">
      <c r="A376" s="6">
        <v>375.0</v>
      </c>
      <c r="B376" s="6">
        <v>81227.0</v>
      </c>
      <c r="C376" s="6">
        <v>3.07</v>
      </c>
      <c r="D376" s="6">
        <v>-1.48</v>
      </c>
      <c r="E376" s="6">
        <v>10.63</v>
      </c>
      <c r="F376" s="6">
        <v>0.09</v>
      </c>
      <c r="G376" s="6">
        <v>-0.07</v>
      </c>
      <c r="H376" s="6">
        <v>1.75</v>
      </c>
      <c r="I376" s="6">
        <v>33.33</v>
      </c>
      <c r="J376" s="7">
        <f t="shared" ref="J376:O376" si="694">abs(C376-C375)/200</f>
        <v>0.00665</v>
      </c>
      <c r="K376" s="7">
        <f t="shared" si="694"/>
        <v>0.00395</v>
      </c>
      <c r="L376" s="7">
        <f t="shared" si="694"/>
        <v>0.00065</v>
      </c>
      <c r="M376" s="7">
        <f t="shared" si="694"/>
        <v>0.0011</v>
      </c>
      <c r="N376" s="7">
        <f t="shared" si="694"/>
        <v>0.0005</v>
      </c>
      <c r="O376" s="7">
        <f t="shared" si="694"/>
        <v>0.0124</v>
      </c>
      <c r="P376" s="7">
        <f t="shared" si="7"/>
        <v>2.478393144</v>
      </c>
      <c r="Q376" s="7">
        <f t="shared" si="8"/>
        <v>0.02933627101</v>
      </c>
      <c r="R376" s="7">
        <f t="shared" si="2"/>
        <v>1.362983472</v>
      </c>
      <c r="S376" s="7">
        <f t="shared" si="3"/>
        <v>1.753710352</v>
      </c>
      <c r="T376" s="7">
        <f t="shared" si="4"/>
        <v>1</v>
      </c>
      <c r="U376" s="7">
        <f t="shared" si="5"/>
        <v>1</v>
      </c>
      <c r="V376" s="7">
        <f t="shared" ref="V376:W376" si="695">IF(AVERAGE(T316:T375) &gt; 0.25, 1, 0)</f>
        <v>1</v>
      </c>
      <c r="W376" s="7">
        <f t="shared" si="695"/>
        <v>1</v>
      </c>
      <c r="X376" s="8">
        <v>1.0</v>
      </c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 ht="22.5" customHeight="1">
      <c r="A377" s="6">
        <v>376.0</v>
      </c>
      <c r="B377" s="6">
        <v>81431.0</v>
      </c>
      <c r="C377" s="6">
        <v>3.2</v>
      </c>
      <c r="D377" s="6">
        <v>-3.03</v>
      </c>
      <c r="E377" s="6">
        <v>11.0</v>
      </c>
      <c r="F377" s="6">
        <v>-0.29</v>
      </c>
      <c r="G377" s="6">
        <v>-0.37</v>
      </c>
      <c r="H377" s="6">
        <v>-3.1</v>
      </c>
      <c r="I377" s="6">
        <v>33.34</v>
      </c>
      <c r="J377" s="7">
        <f t="shared" ref="J377:O377" si="696">abs(C377-C376)/200</f>
        <v>0.00065</v>
      </c>
      <c r="K377" s="7">
        <f t="shared" si="696"/>
        <v>0.00775</v>
      </c>
      <c r="L377" s="7">
        <f t="shared" si="696"/>
        <v>0.00185</v>
      </c>
      <c r="M377" s="7">
        <f t="shared" si="696"/>
        <v>0.0019</v>
      </c>
      <c r="N377" s="7">
        <f t="shared" si="696"/>
        <v>0.0015</v>
      </c>
      <c r="O377" s="7">
        <f t="shared" si="696"/>
        <v>0.02425</v>
      </c>
      <c r="P377" s="7">
        <f t="shared" si="7"/>
        <v>1.3817322</v>
      </c>
      <c r="Q377" s="7">
        <f t="shared" si="8"/>
        <v>0.6869490171</v>
      </c>
      <c r="R377" s="7">
        <f t="shared" si="2"/>
        <v>2.049932489</v>
      </c>
      <c r="S377" s="7">
        <f t="shared" si="3"/>
        <v>3.135442552</v>
      </c>
      <c r="T377" s="7">
        <f t="shared" si="4"/>
        <v>1</v>
      </c>
      <c r="U377" s="7">
        <f t="shared" si="5"/>
        <v>1</v>
      </c>
      <c r="V377" s="7">
        <f t="shared" ref="V377:W377" si="697">IF(AVERAGE(T317:T376) &gt; 0.25, 1, 0)</f>
        <v>1</v>
      </c>
      <c r="W377" s="7">
        <f t="shared" si="697"/>
        <v>1</v>
      </c>
      <c r="X377" s="8">
        <v>1.0</v>
      </c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 ht="22.5" customHeight="1">
      <c r="A378" s="6">
        <v>377.0</v>
      </c>
      <c r="B378" s="6">
        <v>81635.0</v>
      </c>
      <c r="C378" s="6">
        <v>-3.83</v>
      </c>
      <c r="D378" s="6">
        <v>-0.33</v>
      </c>
      <c r="E378" s="6">
        <v>11.74</v>
      </c>
      <c r="F378" s="6">
        <v>-0.37</v>
      </c>
      <c r="G378" s="6">
        <v>-0.51</v>
      </c>
      <c r="H378" s="6">
        <v>-3.75</v>
      </c>
      <c r="I378" s="6">
        <v>33.35</v>
      </c>
      <c r="J378" s="7">
        <f t="shared" ref="J378:O378" si="698">abs(C378-C377)/200</f>
        <v>0.03515</v>
      </c>
      <c r="K378" s="7">
        <f t="shared" si="698"/>
        <v>0.0135</v>
      </c>
      <c r="L378" s="7">
        <f t="shared" si="698"/>
        <v>0.0037</v>
      </c>
      <c r="M378" s="7">
        <f t="shared" si="698"/>
        <v>0.0004</v>
      </c>
      <c r="N378" s="7">
        <f t="shared" si="698"/>
        <v>0.0007</v>
      </c>
      <c r="O378" s="7">
        <f t="shared" si="698"/>
        <v>0.00325</v>
      </c>
      <c r="P378" s="7">
        <f t="shared" si="7"/>
        <v>0.6671223713</v>
      </c>
      <c r="Q378" s="7">
        <f t="shared" si="8"/>
        <v>0.5034233301</v>
      </c>
      <c r="R378" s="7">
        <f t="shared" si="2"/>
        <v>2.553355819</v>
      </c>
      <c r="S378" s="7">
        <f t="shared" si="3"/>
        <v>3.802564924</v>
      </c>
      <c r="T378" s="7">
        <f t="shared" si="4"/>
        <v>1</v>
      </c>
      <c r="U378" s="7">
        <f t="shared" si="5"/>
        <v>1</v>
      </c>
      <c r="V378" s="7">
        <f t="shared" ref="V378:W378" si="699">IF(AVERAGE(T318:T377) &gt; 0.25, 1, 0)</f>
        <v>1</v>
      </c>
      <c r="W378" s="7">
        <f t="shared" si="699"/>
        <v>1</v>
      </c>
      <c r="X378" s="8">
        <v>1.0</v>
      </c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 ht="22.5" customHeight="1">
      <c r="A379" s="6">
        <v>378.0</v>
      </c>
      <c r="B379" s="6">
        <v>81839.0</v>
      </c>
      <c r="C379" s="6">
        <v>-0.97</v>
      </c>
      <c r="D379" s="6">
        <v>0.63</v>
      </c>
      <c r="E379" s="6">
        <v>10.6</v>
      </c>
      <c r="F379" s="6">
        <v>-0.24</v>
      </c>
      <c r="G379" s="6">
        <v>-0.1</v>
      </c>
      <c r="H379" s="6">
        <v>-1.14</v>
      </c>
      <c r="I379" s="6">
        <v>33.34</v>
      </c>
      <c r="J379" s="7">
        <f t="shared" ref="J379:O379" si="700">abs(C379-C378)/200</f>
        <v>0.0143</v>
      </c>
      <c r="K379" s="7">
        <f t="shared" si="700"/>
        <v>0.0048</v>
      </c>
      <c r="L379" s="7">
        <f t="shared" si="700"/>
        <v>0.0057</v>
      </c>
      <c r="M379" s="7">
        <f t="shared" si="700"/>
        <v>0.00065</v>
      </c>
      <c r="N379" s="7">
        <f t="shared" si="700"/>
        <v>0.00205</v>
      </c>
      <c r="O379" s="7">
        <f t="shared" si="700"/>
        <v>0.01305</v>
      </c>
      <c r="P379" s="7">
        <f t="shared" si="7"/>
        <v>2.633291645</v>
      </c>
      <c r="Q379" s="7">
        <f t="shared" si="8"/>
        <v>1.69043877</v>
      </c>
      <c r="R379" s="7">
        <f t="shared" si="2"/>
        <v>0.8629170493</v>
      </c>
      <c r="S379" s="7">
        <f t="shared" si="3"/>
        <v>1.169273279</v>
      </c>
      <c r="T379" s="7">
        <f t="shared" si="4"/>
        <v>1</v>
      </c>
      <c r="U379" s="7">
        <f t="shared" si="5"/>
        <v>1</v>
      </c>
      <c r="V379" s="7">
        <f t="shared" ref="V379:W379" si="701">IF(AVERAGE(T319:T378) &gt; 0.25, 1, 0)</f>
        <v>1</v>
      </c>
      <c r="W379" s="7">
        <f t="shared" si="701"/>
        <v>1</v>
      </c>
      <c r="X379" s="8">
        <v>1.0</v>
      </c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 ht="22.5" customHeight="1">
      <c r="A380" s="6">
        <v>379.0</v>
      </c>
      <c r="B380" s="6">
        <v>82043.0</v>
      </c>
      <c r="C380" s="6">
        <v>-0.51</v>
      </c>
      <c r="D380" s="6">
        <v>0.09</v>
      </c>
      <c r="E380" s="6">
        <v>10.92</v>
      </c>
      <c r="F380" s="6">
        <v>-0.02</v>
      </c>
      <c r="G380" s="6">
        <v>0.41</v>
      </c>
      <c r="H380" s="6">
        <v>1.87</v>
      </c>
      <c r="I380" s="6">
        <v>33.34</v>
      </c>
      <c r="J380" s="7">
        <f t="shared" ref="J380:O380" si="702">abs(C380-C379)/200</f>
        <v>0.0023</v>
      </c>
      <c r="K380" s="7">
        <f t="shared" si="702"/>
        <v>0.0027</v>
      </c>
      <c r="L380" s="7">
        <f t="shared" si="702"/>
        <v>0.0016</v>
      </c>
      <c r="M380" s="7">
        <f t="shared" si="702"/>
        <v>0.0011</v>
      </c>
      <c r="N380" s="7">
        <f t="shared" si="702"/>
        <v>0.00255</v>
      </c>
      <c r="O380" s="7">
        <f t="shared" si="702"/>
        <v>0.01505</v>
      </c>
      <c r="P380" s="7">
        <f t="shared" si="7"/>
        <v>0.7452501608</v>
      </c>
      <c r="Q380" s="7">
        <f t="shared" si="8"/>
        <v>0.2693562733</v>
      </c>
      <c r="R380" s="7">
        <f t="shared" si="2"/>
        <v>1.132273323</v>
      </c>
      <c r="S380" s="7">
        <f t="shared" si="3"/>
        <v>1.914523439</v>
      </c>
      <c r="T380" s="7">
        <f t="shared" si="4"/>
        <v>1</v>
      </c>
      <c r="U380" s="7">
        <f t="shared" si="5"/>
        <v>1</v>
      </c>
      <c r="V380" s="7">
        <f t="shared" ref="V380:W380" si="703">IF(AVERAGE(T320:T379) &gt; 0.25, 1, 0)</f>
        <v>1</v>
      </c>
      <c r="W380" s="7">
        <f t="shared" si="703"/>
        <v>1</v>
      </c>
      <c r="X380" s="8">
        <v>1.0</v>
      </c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 ht="22.5" customHeight="1">
      <c r="A381" s="6">
        <v>380.0</v>
      </c>
      <c r="B381" s="6">
        <v>82247.0</v>
      </c>
      <c r="C381" s="6">
        <v>0.16</v>
      </c>
      <c r="D381" s="6">
        <v>-0.32</v>
      </c>
      <c r="E381" s="6">
        <v>10.95</v>
      </c>
      <c r="F381" s="6">
        <v>-0.12</v>
      </c>
      <c r="G381" s="6">
        <v>0.41</v>
      </c>
      <c r="H381" s="6">
        <v>2.72</v>
      </c>
      <c r="I381" s="6">
        <v>33.34</v>
      </c>
      <c r="J381" s="7">
        <f t="shared" ref="J381:O381" si="704">abs(C381-C380)/200</f>
        <v>0.00335</v>
      </c>
      <c r="K381" s="7">
        <f t="shared" si="704"/>
        <v>0.00205</v>
      </c>
      <c r="L381" s="7">
        <f t="shared" si="704"/>
        <v>0.00015</v>
      </c>
      <c r="M381" s="7">
        <f t="shared" si="704"/>
        <v>0.0005</v>
      </c>
      <c r="N381" s="7">
        <f t="shared" si="704"/>
        <v>0</v>
      </c>
      <c r="O381" s="7">
        <f t="shared" si="704"/>
        <v>0.00425</v>
      </c>
      <c r="P381" s="7">
        <f t="shared" si="7"/>
        <v>0.8388199827</v>
      </c>
      <c r="Q381" s="7">
        <f t="shared" si="8"/>
        <v>0.02356986722</v>
      </c>
      <c r="R381" s="7">
        <f t="shared" si="2"/>
        <v>1.15584319</v>
      </c>
      <c r="S381" s="7">
        <f t="shared" si="3"/>
        <v>2.753343422</v>
      </c>
      <c r="T381" s="7">
        <f t="shared" si="4"/>
        <v>1</v>
      </c>
      <c r="U381" s="7">
        <f t="shared" si="5"/>
        <v>1</v>
      </c>
      <c r="V381" s="7">
        <f t="shared" ref="V381:W381" si="705">IF(AVERAGE(T321:T380) &gt; 0.25, 1, 0)</f>
        <v>1</v>
      </c>
      <c r="W381" s="7">
        <f t="shared" si="705"/>
        <v>1</v>
      </c>
      <c r="X381" s="8">
        <v>1.0</v>
      </c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 ht="22.5" customHeight="1">
      <c r="A382" s="6">
        <v>381.0</v>
      </c>
      <c r="B382" s="6">
        <v>82451.0</v>
      </c>
      <c r="C382" s="6">
        <v>5.7</v>
      </c>
      <c r="D382" s="6">
        <v>-1.46</v>
      </c>
      <c r="E382" s="6">
        <v>10.2</v>
      </c>
      <c r="F382" s="6">
        <v>0.04</v>
      </c>
      <c r="G382" s="6">
        <v>0.05</v>
      </c>
      <c r="H382" s="6">
        <v>2.55</v>
      </c>
      <c r="I382" s="6">
        <v>33.35</v>
      </c>
      <c r="J382" s="7">
        <f t="shared" ref="J382:O382" si="706">abs(C382-C381)/200</f>
        <v>0.0277</v>
      </c>
      <c r="K382" s="7">
        <f t="shared" si="706"/>
        <v>0.0057</v>
      </c>
      <c r="L382" s="7">
        <f t="shared" si="706"/>
        <v>0.00375</v>
      </c>
      <c r="M382" s="7">
        <f t="shared" si="706"/>
        <v>0.0008</v>
      </c>
      <c r="N382" s="7">
        <f t="shared" si="706"/>
        <v>0.0018</v>
      </c>
      <c r="O382" s="7">
        <f t="shared" si="706"/>
        <v>0.00085</v>
      </c>
      <c r="P382" s="7">
        <f t="shared" si="7"/>
        <v>0.2025396272</v>
      </c>
      <c r="Q382" s="7">
        <f t="shared" si="8"/>
        <v>0.8196228307</v>
      </c>
      <c r="R382" s="7">
        <f t="shared" si="2"/>
        <v>1.975466021</v>
      </c>
      <c r="S382" s="7">
        <f t="shared" si="3"/>
        <v>2.550803795</v>
      </c>
      <c r="T382" s="7">
        <f t="shared" si="4"/>
        <v>1</v>
      </c>
      <c r="U382" s="7">
        <f t="shared" si="5"/>
        <v>1</v>
      </c>
      <c r="V382" s="7">
        <f t="shared" ref="V382:W382" si="707">IF(AVERAGE(T322:T381) &gt; 0.25, 1, 0)</f>
        <v>1</v>
      </c>
      <c r="W382" s="7">
        <f t="shared" si="707"/>
        <v>1</v>
      </c>
      <c r="X382" s="8">
        <v>1.0</v>
      </c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 ht="22.5" customHeight="1">
      <c r="A383" s="6">
        <v>382.0</v>
      </c>
      <c r="B383" s="6">
        <v>82655.0</v>
      </c>
      <c r="C383" s="6">
        <v>3.68</v>
      </c>
      <c r="D383" s="6">
        <v>-1.75</v>
      </c>
      <c r="E383" s="6">
        <v>10.86</v>
      </c>
      <c r="F383" s="6">
        <v>-0.19</v>
      </c>
      <c r="G383" s="6">
        <v>-0.16</v>
      </c>
      <c r="H383" s="6">
        <v>-2.21</v>
      </c>
      <c r="I383" s="6">
        <v>33.35</v>
      </c>
      <c r="J383" s="7">
        <f t="shared" ref="J383:O383" si="708">abs(C383-C382)/200</f>
        <v>0.0101</v>
      </c>
      <c r="K383" s="7">
        <f t="shared" si="708"/>
        <v>0.00145</v>
      </c>
      <c r="L383" s="7">
        <f t="shared" si="708"/>
        <v>0.0033</v>
      </c>
      <c r="M383" s="7">
        <f t="shared" si="708"/>
        <v>0.00115</v>
      </c>
      <c r="N383" s="7">
        <f t="shared" si="708"/>
        <v>0.00105</v>
      </c>
      <c r="O383" s="7">
        <f t="shared" si="708"/>
        <v>0.0238</v>
      </c>
      <c r="P383" s="7">
        <f t="shared" si="7"/>
        <v>0.3268883289</v>
      </c>
      <c r="Q383" s="7">
        <f t="shared" si="8"/>
        <v>0.1761341432</v>
      </c>
      <c r="R383" s="7">
        <f t="shared" si="2"/>
        <v>1.799331877</v>
      </c>
      <c r="S383" s="7">
        <f t="shared" si="3"/>
        <v>2.223915466</v>
      </c>
      <c r="T383" s="7">
        <f t="shared" si="4"/>
        <v>1</v>
      </c>
      <c r="U383" s="7">
        <f t="shared" si="5"/>
        <v>1</v>
      </c>
      <c r="V383" s="7">
        <f t="shared" ref="V383:W383" si="709">IF(AVERAGE(T323:T382) &gt; 0.25, 1, 0)</f>
        <v>1</v>
      </c>
      <c r="W383" s="7">
        <f t="shared" si="709"/>
        <v>1</v>
      </c>
      <c r="X383" s="8">
        <v>1.0</v>
      </c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 ht="22.5" customHeight="1">
      <c r="A384" s="6">
        <v>383.0</v>
      </c>
      <c r="B384" s="6">
        <v>82859.0</v>
      </c>
      <c r="C384" s="6">
        <v>-1.95</v>
      </c>
      <c r="D384" s="6">
        <v>-1.16</v>
      </c>
      <c r="E384" s="6">
        <v>11.32</v>
      </c>
      <c r="F384" s="6">
        <v>-0.31</v>
      </c>
      <c r="G384" s="6">
        <v>-0.58</v>
      </c>
      <c r="H384" s="6">
        <v>-3.82</v>
      </c>
      <c r="I384" s="6">
        <v>33.35</v>
      </c>
      <c r="J384" s="7">
        <f t="shared" ref="J384:O384" si="710">abs(C384-C383)/200</f>
        <v>0.02815</v>
      </c>
      <c r="K384" s="7">
        <f t="shared" si="710"/>
        <v>0.00295</v>
      </c>
      <c r="L384" s="7">
        <f t="shared" si="710"/>
        <v>0.0023</v>
      </c>
      <c r="M384" s="7">
        <f t="shared" si="710"/>
        <v>0.0006</v>
      </c>
      <c r="N384" s="7">
        <f t="shared" si="710"/>
        <v>0.0021</v>
      </c>
      <c r="O384" s="7">
        <f t="shared" si="710"/>
        <v>0.00805</v>
      </c>
      <c r="P384" s="7">
        <f t="shared" si="7"/>
        <v>1.652281123</v>
      </c>
      <c r="Q384" s="7">
        <f t="shared" si="8"/>
        <v>0.05418138024</v>
      </c>
      <c r="R384" s="7">
        <f t="shared" si="2"/>
        <v>1.745150497</v>
      </c>
      <c r="S384" s="7">
        <f t="shared" si="3"/>
        <v>3.876196589</v>
      </c>
      <c r="T384" s="7">
        <f t="shared" si="4"/>
        <v>1</v>
      </c>
      <c r="U384" s="7">
        <f t="shared" si="5"/>
        <v>1</v>
      </c>
      <c r="V384" s="7">
        <f t="shared" ref="V384:W384" si="711">IF(AVERAGE(T324:T383) &gt; 0.25, 1, 0)</f>
        <v>1</v>
      </c>
      <c r="W384" s="7">
        <f t="shared" si="711"/>
        <v>1</v>
      </c>
      <c r="X384" s="8">
        <v>1.0</v>
      </c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 ht="22.5" customHeight="1">
      <c r="A385" s="6">
        <v>384.0</v>
      </c>
      <c r="B385" s="6">
        <v>83063.0</v>
      </c>
      <c r="C385" s="6">
        <v>-0.15</v>
      </c>
      <c r="D385" s="6">
        <v>1.62</v>
      </c>
      <c r="E385" s="6">
        <v>10.62</v>
      </c>
      <c r="F385" s="6">
        <v>-0.23</v>
      </c>
      <c r="G385" s="6">
        <v>0.1</v>
      </c>
      <c r="H385" s="6">
        <v>-1.47</v>
      </c>
      <c r="I385" s="6">
        <v>33.35</v>
      </c>
      <c r="J385" s="7">
        <f t="shared" ref="J385:O385" si="712">abs(C385-C384)/200</f>
        <v>0.009</v>
      </c>
      <c r="K385" s="7">
        <f t="shared" si="712"/>
        <v>0.0139</v>
      </c>
      <c r="L385" s="7">
        <f t="shared" si="712"/>
        <v>0.0035</v>
      </c>
      <c r="M385" s="7">
        <f t="shared" si="712"/>
        <v>0.0004</v>
      </c>
      <c r="N385" s="7">
        <f t="shared" si="712"/>
        <v>0.0034</v>
      </c>
      <c r="O385" s="7">
        <f t="shared" si="712"/>
        <v>0.01175</v>
      </c>
      <c r="P385" s="7">
        <f t="shared" si="7"/>
        <v>2.384955496</v>
      </c>
      <c r="Q385" s="7">
        <f t="shared" si="8"/>
        <v>0.8012545557</v>
      </c>
      <c r="R385" s="7">
        <f t="shared" si="2"/>
        <v>0.9438959414</v>
      </c>
      <c r="S385" s="7">
        <f t="shared" si="3"/>
        <v>1.491241094</v>
      </c>
      <c r="T385" s="7">
        <f t="shared" si="4"/>
        <v>1</v>
      </c>
      <c r="U385" s="7">
        <f t="shared" si="5"/>
        <v>1</v>
      </c>
      <c r="V385" s="7">
        <f t="shared" ref="V385:W385" si="713">IF(AVERAGE(T325:T384) &gt; 0.25, 1, 0)</f>
        <v>1</v>
      </c>
      <c r="W385" s="7">
        <f t="shared" si="713"/>
        <v>1</v>
      </c>
      <c r="X385" s="8">
        <v>1.0</v>
      </c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 ht="22.5" customHeight="1">
      <c r="A386" s="6">
        <v>385.0</v>
      </c>
      <c r="B386" s="6">
        <v>83267.0</v>
      </c>
      <c r="C386" s="6">
        <v>0.09</v>
      </c>
      <c r="D386" s="6">
        <v>0.98</v>
      </c>
      <c r="E386" s="6">
        <v>10.8</v>
      </c>
      <c r="F386" s="6">
        <v>-0.03</v>
      </c>
      <c r="G386" s="6">
        <v>0.13</v>
      </c>
      <c r="H386" s="6">
        <v>0.42</v>
      </c>
      <c r="I386" s="6">
        <v>33.35</v>
      </c>
      <c r="J386" s="7">
        <f t="shared" ref="J386:O386" si="714">abs(C386-C385)/200</f>
        <v>0.0012</v>
      </c>
      <c r="K386" s="7">
        <f t="shared" si="714"/>
        <v>0.0032</v>
      </c>
      <c r="L386" s="7">
        <f t="shared" si="714"/>
        <v>0.0009</v>
      </c>
      <c r="M386" s="7">
        <f t="shared" si="714"/>
        <v>0.001</v>
      </c>
      <c r="N386" s="7">
        <f t="shared" si="714"/>
        <v>0.00015</v>
      </c>
      <c r="O386" s="7">
        <f t="shared" si="714"/>
        <v>0.00945</v>
      </c>
      <c r="P386" s="7">
        <f t="shared" si="7"/>
        <v>1.050559803</v>
      </c>
      <c r="Q386" s="7">
        <f t="shared" si="8"/>
        <v>0.1008493299</v>
      </c>
      <c r="R386" s="7">
        <f t="shared" si="2"/>
        <v>1.044745271</v>
      </c>
      <c r="S386" s="7">
        <f t="shared" si="3"/>
        <v>0.4406812907</v>
      </c>
      <c r="T386" s="7">
        <f t="shared" si="4"/>
        <v>1</v>
      </c>
      <c r="U386" s="7">
        <f t="shared" si="5"/>
        <v>1</v>
      </c>
      <c r="V386" s="7">
        <f t="shared" ref="V386:W386" si="715">IF(AVERAGE(T326:T385) &gt; 0.25, 1, 0)</f>
        <v>1</v>
      </c>
      <c r="W386" s="7">
        <f t="shared" si="715"/>
        <v>1</v>
      </c>
      <c r="X386" s="8">
        <v>1.0</v>
      </c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 ht="22.5" customHeight="1">
      <c r="A387" s="6">
        <v>386.0</v>
      </c>
      <c r="B387" s="6">
        <v>83471.0</v>
      </c>
      <c r="C387" s="6">
        <v>-2.14</v>
      </c>
      <c r="D387" s="6">
        <v>0.02</v>
      </c>
      <c r="E387" s="6">
        <v>10.55</v>
      </c>
      <c r="F387" s="6">
        <v>-0.2</v>
      </c>
      <c r="G387" s="6">
        <v>0.13</v>
      </c>
      <c r="H387" s="6">
        <v>1.78</v>
      </c>
      <c r="I387" s="6">
        <v>33.34</v>
      </c>
      <c r="J387" s="7">
        <f t="shared" ref="J387:O387" si="716">abs(C387-C386)/200</f>
        <v>0.01115</v>
      </c>
      <c r="K387" s="7">
        <f t="shared" si="716"/>
        <v>0.0048</v>
      </c>
      <c r="L387" s="7">
        <f t="shared" si="716"/>
        <v>0.00125</v>
      </c>
      <c r="M387" s="7">
        <f t="shared" si="716"/>
        <v>0.00085</v>
      </c>
      <c r="N387" s="7">
        <f t="shared" si="716"/>
        <v>0</v>
      </c>
      <c r="O387" s="7">
        <f t="shared" si="716"/>
        <v>0.0068</v>
      </c>
      <c r="P387" s="7">
        <f t="shared" si="7"/>
        <v>1.355230734</v>
      </c>
      <c r="Q387" s="7">
        <f t="shared" si="8"/>
        <v>0.07987183965</v>
      </c>
      <c r="R387" s="7">
        <f t="shared" si="2"/>
        <v>0.9648734317</v>
      </c>
      <c r="S387" s="7">
        <f t="shared" si="3"/>
        <v>1.795912025</v>
      </c>
      <c r="T387" s="7">
        <f t="shared" si="4"/>
        <v>1</v>
      </c>
      <c r="U387" s="7">
        <f t="shared" si="5"/>
        <v>1</v>
      </c>
      <c r="V387" s="7">
        <f t="shared" ref="V387:W387" si="717">IF(AVERAGE(T327:T386) &gt; 0.25, 1, 0)</f>
        <v>1</v>
      </c>
      <c r="W387" s="7">
        <f t="shared" si="717"/>
        <v>1</v>
      </c>
      <c r="X387" s="8">
        <v>1.0</v>
      </c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 ht="22.5" customHeight="1">
      <c r="A388" s="6">
        <v>387.0</v>
      </c>
      <c r="B388" s="6">
        <v>83675.0</v>
      </c>
      <c r="C388" s="6">
        <v>3.3</v>
      </c>
      <c r="D388" s="6">
        <v>-3.72</v>
      </c>
      <c r="E388" s="6">
        <v>10.58</v>
      </c>
      <c r="F388" s="6">
        <v>-0.09</v>
      </c>
      <c r="G388" s="6">
        <v>0.09</v>
      </c>
      <c r="H388" s="6">
        <v>3.47</v>
      </c>
      <c r="I388" s="6">
        <v>33.35</v>
      </c>
      <c r="J388" s="7">
        <f t="shared" ref="J388:O388" si="718">abs(C388-C387)/200</f>
        <v>0.0272</v>
      </c>
      <c r="K388" s="7">
        <f t="shared" si="718"/>
        <v>0.0187</v>
      </c>
      <c r="L388" s="7">
        <f t="shared" si="718"/>
        <v>0.00015</v>
      </c>
      <c r="M388" s="7">
        <f t="shared" si="718"/>
        <v>0.00055</v>
      </c>
      <c r="N388" s="7">
        <f t="shared" si="718"/>
        <v>0.0002</v>
      </c>
      <c r="O388" s="7">
        <f t="shared" si="718"/>
        <v>0.00845</v>
      </c>
      <c r="P388" s="7">
        <f t="shared" si="7"/>
        <v>1.676421485</v>
      </c>
      <c r="Q388" s="7">
        <f t="shared" si="8"/>
        <v>0.9254986753</v>
      </c>
      <c r="R388" s="7">
        <f t="shared" si="2"/>
        <v>1.890372107</v>
      </c>
      <c r="S388" s="7">
        <f t="shared" si="3"/>
        <v>3.472333509</v>
      </c>
      <c r="T388" s="7">
        <f t="shared" si="4"/>
        <v>1</v>
      </c>
      <c r="U388" s="7">
        <f t="shared" si="5"/>
        <v>1</v>
      </c>
      <c r="V388" s="7">
        <f t="shared" ref="V388:W388" si="719">IF(AVERAGE(T328:T387) &gt; 0.25, 1, 0)</f>
        <v>1</v>
      </c>
      <c r="W388" s="7">
        <f t="shared" si="719"/>
        <v>1</v>
      </c>
      <c r="X388" s="8">
        <v>1.0</v>
      </c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 ht="22.5" customHeight="1">
      <c r="A389" s="6">
        <v>388.0</v>
      </c>
      <c r="B389" s="6">
        <v>83879.0</v>
      </c>
      <c r="C389" s="6">
        <v>2.08</v>
      </c>
      <c r="D389" s="6">
        <v>-2.66</v>
      </c>
      <c r="E389" s="6">
        <v>10.74</v>
      </c>
      <c r="F389" s="6">
        <v>0.16</v>
      </c>
      <c r="G389" s="6">
        <v>-0.01</v>
      </c>
      <c r="H389" s="6">
        <v>2.07</v>
      </c>
      <c r="I389" s="6">
        <v>33.35</v>
      </c>
      <c r="J389" s="7">
        <f t="shared" ref="J389:O389" si="720">abs(C389-C388)/200</f>
        <v>0.0061</v>
      </c>
      <c r="K389" s="7">
        <f t="shared" si="720"/>
        <v>0.0053</v>
      </c>
      <c r="L389" s="7">
        <f t="shared" si="720"/>
        <v>0.0008</v>
      </c>
      <c r="M389" s="7">
        <f t="shared" si="720"/>
        <v>0.00125</v>
      </c>
      <c r="N389" s="7">
        <f t="shared" si="720"/>
        <v>0.0005</v>
      </c>
      <c r="O389" s="7">
        <f t="shared" si="720"/>
        <v>0.007</v>
      </c>
      <c r="P389" s="7">
        <f t="shared" si="7"/>
        <v>1.39613506</v>
      </c>
      <c r="Q389" s="7">
        <f t="shared" si="8"/>
        <v>0.4320596224</v>
      </c>
      <c r="R389" s="7">
        <f t="shared" si="2"/>
        <v>1.458312485</v>
      </c>
      <c r="S389" s="7">
        <f t="shared" si="3"/>
        <v>2.076198449</v>
      </c>
      <c r="T389" s="7">
        <f t="shared" si="4"/>
        <v>1</v>
      </c>
      <c r="U389" s="7">
        <f t="shared" si="5"/>
        <v>1</v>
      </c>
      <c r="V389" s="7">
        <f t="shared" ref="V389:W389" si="721">IF(AVERAGE(T329:T388) &gt; 0.25, 1, 0)</f>
        <v>1</v>
      </c>
      <c r="W389" s="7">
        <f t="shared" si="721"/>
        <v>1</v>
      </c>
      <c r="X389" s="8">
        <v>1.0</v>
      </c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 ht="22.5" customHeight="1">
      <c r="A390" s="6">
        <v>389.0</v>
      </c>
      <c r="B390" s="6">
        <v>84083.0</v>
      </c>
      <c r="C390" s="6">
        <v>2.7</v>
      </c>
      <c r="D390" s="6">
        <v>-0.82</v>
      </c>
      <c r="E390" s="6">
        <v>10.65</v>
      </c>
      <c r="F390" s="6">
        <v>-0.18</v>
      </c>
      <c r="G390" s="6">
        <v>-0.09</v>
      </c>
      <c r="H390" s="6">
        <v>-2.14</v>
      </c>
      <c r="I390" s="6">
        <v>33.35</v>
      </c>
      <c r="J390" s="7">
        <f t="shared" ref="J390:O390" si="722">abs(C390-C389)/200</f>
        <v>0.0031</v>
      </c>
      <c r="K390" s="7">
        <f t="shared" si="722"/>
        <v>0.0092</v>
      </c>
      <c r="L390" s="7">
        <f t="shared" si="722"/>
        <v>0.00045</v>
      </c>
      <c r="M390" s="7">
        <f t="shared" si="722"/>
        <v>0.0017</v>
      </c>
      <c r="N390" s="7">
        <f t="shared" si="722"/>
        <v>0.0004</v>
      </c>
      <c r="O390" s="7">
        <f t="shared" si="722"/>
        <v>0.02105</v>
      </c>
      <c r="P390" s="7">
        <f t="shared" si="7"/>
        <v>0.07324333891</v>
      </c>
      <c r="Q390" s="7">
        <f t="shared" si="8"/>
        <v>0.2408309212</v>
      </c>
      <c r="R390" s="7">
        <f t="shared" si="2"/>
        <v>1.217481563</v>
      </c>
      <c r="S390" s="7">
        <f t="shared" si="3"/>
        <v>2.149441788</v>
      </c>
      <c r="T390" s="7">
        <f t="shared" si="4"/>
        <v>1</v>
      </c>
      <c r="U390" s="7">
        <f t="shared" si="5"/>
        <v>1</v>
      </c>
      <c r="V390" s="7">
        <f t="shared" ref="V390:W390" si="723">IF(AVERAGE(T330:T389) &gt; 0.25, 1, 0)</f>
        <v>1</v>
      </c>
      <c r="W390" s="7">
        <f t="shared" si="723"/>
        <v>1</v>
      </c>
      <c r="X390" s="8">
        <v>1.0</v>
      </c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 ht="22.5" customHeight="1">
      <c r="A391" s="6">
        <v>390.0</v>
      </c>
      <c r="B391" s="6">
        <v>84287.0</v>
      </c>
      <c r="C391" s="6">
        <v>0.05</v>
      </c>
      <c r="D391" s="6">
        <v>0.2</v>
      </c>
      <c r="E391" s="6">
        <v>11.26</v>
      </c>
      <c r="F391" s="6">
        <v>-0.56</v>
      </c>
      <c r="G391" s="6">
        <v>-0.46</v>
      </c>
      <c r="H391" s="6">
        <v>-3.54</v>
      </c>
      <c r="I391" s="6">
        <v>33.35</v>
      </c>
      <c r="J391" s="7">
        <f t="shared" ref="J391:O391" si="724">abs(C391-C390)/200</f>
        <v>0.01325</v>
      </c>
      <c r="K391" s="7">
        <f t="shared" si="724"/>
        <v>0.0051</v>
      </c>
      <c r="L391" s="7">
        <f t="shared" si="724"/>
        <v>0.00305</v>
      </c>
      <c r="M391" s="7">
        <f t="shared" si="724"/>
        <v>0.0019</v>
      </c>
      <c r="N391" s="7">
        <f t="shared" si="724"/>
        <v>0.00185</v>
      </c>
      <c r="O391" s="7">
        <f t="shared" si="724"/>
        <v>0.007</v>
      </c>
      <c r="P391" s="7">
        <f t="shared" si="7"/>
        <v>1.463977645</v>
      </c>
      <c r="Q391" s="7">
        <f t="shared" si="8"/>
        <v>0.2444054898</v>
      </c>
      <c r="R391" s="7">
        <f t="shared" si="2"/>
        <v>1.461887053</v>
      </c>
      <c r="S391" s="7">
        <f t="shared" si="3"/>
        <v>3.613419433</v>
      </c>
      <c r="T391" s="7">
        <f t="shared" si="4"/>
        <v>1</v>
      </c>
      <c r="U391" s="7">
        <f t="shared" si="5"/>
        <v>1</v>
      </c>
      <c r="V391" s="7">
        <f t="shared" ref="V391:W391" si="725">IF(AVERAGE(T331:T390) &gt; 0.25, 1, 0)</f>
        <v>1</v>
      </c>
      <c r="W391" s="7">
        <f t="shared" si="725"/>
        <v>1</v>
      </c>
      <c r="X391" s="8">
        <v>1.0</v>
      </c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 ht="22.5" customHeight="1">
      <c r="A392" s="6">
        <v>391.0</v>
      </c>
      <c r="B392" s="6">
        <v>84491.0</v>
      </c>
      <c r="C392" s="6">
        <v>-2.24</v>
      </c>
      <c r="D392" s="6">
        <v>0.04</v>
      </c>
      <c r="E392" s="6">
        <v>10.12</v>
      </c>
      <c r="F392" s="6">
        <v>-0.29</v>
      </c>
      <c r="G392" s="6">
        <v>0.12</v>
      </c>
      <c r="H392" s="6">
        <v>-1.81</v>
      </c>
      <c r="I392" s="6">
        <v>33.36</v>
      </c>
      <c r="J392" s="7">
        <f t="shared" ref="J392:O392" si="726">abs(C392-C391)/200</f>
        <v>0.01145</v>
      </c>
      <c r="K392" s="7">
        <f t="shared" si="726"/>
        <v>0.0008</v>
      </c>
      <c r="L392" s="7">
        <f t="shared" si="726"/>
        <v>0.0057</v>
      </c>
      <c r="M392" s="7">
        <f t="shared" si="726"/>
        <v>0.00135</v>
      </c>
      <c r="N392" s="7">
        <f t="shared" si="726"/>
        <v>0.0029</v>
      </c>
      <c r="O392" s="7">
        <f t="shared" si="726"/>
        <v>0.00865</v>
      </c>
      <c r="P392" s="7">
        <f t="shared" si="7"/>
        <v>1.776410996</v>
      </c>
      <c r="Q392" s="7">
        <f t="shared" si="8"/>
        <v>0.8968689635</v>
      </c>
      <c r="R392" s="7">
        <f t="shared" si="2"/>
        <v>0.5650180897</v>
      </c>
      <c r="S392" s="7">
        <f t="shared" si="3"/>
        <v>1.837008438</v>
      </c>
      <c r="T392" s="7">
        <f t="shared" si="4"/>
        <v>1</v>
      </c>
      <c r="U392" s="7">
        <f t="shared" si="5"/>
        <v>1</v>
      </c>
      <c r="V392" s="7">
        <f t="shared" ref="V392:W392" si="727">IF(AVERAGE(T332:T391) &gt; 0.25, 1, 0)</f>
        <v>1</v>
      </c>
      <c r="W392" s="7">
        <f t="shared" si="727"/>
        <v>1</v>
      </c>
      <c r="X392" s="8">
        <v>1.0</v>
      </c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 ht="22.5" customHeight="1">
      <c r="A393" s="6">
        <v>392.0</v>
      </c>
      <c r="B393" s="6">
        <v>84695.0</v>
      </c>
      <c r="C393" s="6">
        <v>-0.33</v>
      </c>
      <c r="D393" s="6">
        <v>0.33</v>
      </c>
      <c r="E393" s="6">
        <v>11.24</v>
      </c>
      <c r="F393" s="6">
        <v>-0.02</v>
      </c>
      <c r="G393" s="6">
        <v>0.56</v>
      </c>
      <c r="H393" s="6">
        <v>2.12</v>
      </c>
      <c r="I393" s="6">
        <v>33.35</v>
      </c>
      <c r="J393" s="7">
        <f t="shared" ref="J393:O393" si="728">abs(C393-C392)/200</f>
        <v>0.00955</v>
      </c>
      <c r="K393" s="7">
        <f t="shared" si="728"/>
        <v>0.00145</v>
      </c>
      <c r="L393" s="7">
        <f t="shared" si="728"/>
        <v>0.0056</v>
      </c>
      <c r="M393" s="7">
        <f t="shared" si="728"/>
        <v>0.00135</v>
      </c>
      <c r="N393" s="7">
        <f t="shared" si="728"/>
        <v>0.0022</v>
      </c>
      <c r="O393" s="7">
        <f t="shared" si="728"/>
        <v>0.01965</v>
      </c>
      <c r="P393" s="7">
        <f t="shared" si="7"/>
        <v>0.3557979834</v>
      </c>
      <c r="Q393" s="7">
        <f t="shared" si="8"/>
        <v>0.8846663503</v>
      </c>
      <c r="R393" s="7">
        <f t="shared" si="2"/>
        <v>1.44968444</v>
      </c>
      <c r="S393" s="7">
        <f t="shared" si="3"/>
        <v>2.192806421</v>
      </c>
      <c r="T393" s="7">
        <f t="shared" si="4"/>
        <v>1</v>
      </c>
      <c r="U393" s="7">
        <f t="shared" si="5"/>
        <v>1</v>
      </c>
      <c r="V393" s="7">
        <f t="shared" ref="V393:W393" si="729">IF(AVERAGE(T333:T392) &gt; 0.25, 1, 0)</f>
        <v>1</v>
      </c>
      <c r="W393" s="7">
        <f t="shared" si="729"/>
        <v>1</v>
      </c>
      <c r="X393" s="8">
        <v>1.0</v>
      </c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 ht="22.5" customHeight="1">
      <c r="A394" s="6">
        <v>393.0</v>
      </c>
      <c r="B394" s="6">
        <v>84899.0</v>
      </c>
      <c r="C394" s="6">
        <v>0.61</v>
      </c>
      <c r="D394" s="6">
        <v>-0.5</v>
      </c>
      <c r="E394" s="6">
        <v>10.72</v>
      </c>
      <c r="F394" s="6">
        <v>-0.04</v>
      </c>
      <c r="G394" s="6">
        <v>0.19</v>
      </c>
      <c r="H394" s="6">
        <v>2.92</v>
      </c>
      <c r="I394" s="6">
        <v>33.35</v>
      </c>
      <c r="J394" s="7">
        <f t="shared" ref="J394:O394" si="730">abs(C394-C393)/200</f>
        <v>0.0047</v>
      </c>
      <c r="K394" s="7">
        <f t="shared" si="730"/>
        <v>0.00415</v>
      </c>
      <c r="L394" s="7">
        <f t="shared" si="730"/>
        <v>0.0026</v>
      </c>
      <c r="M394" s="7">
        <f t="shared" si="730"/>
        <v>0.0001</v>
      </c>
      <c r="N394" s="7">
        <f t="shared" si="730"/>
        <v>0.00185</v>
      </c>
      <c r="O394" s="7">
        <f t="shared" si="730"/>
        <v>0.004</v>
      </c>
      <c r="P394" s="7">
        <f t="shared" si="7"/>
        <v>0.7336419384</v>
      </c>
      <c r="Q394" s="7">
        <f t="shared" si="8"/>
        <v>0.5007077445</v>
      </c>
      <c r="R394" s="7">
        <f t="shared" si="2"/>
        <v>0.9489766955</v>
      </c>
      <c r="S394" s="7">
        <f t="shared" si="3"/>
        <v>2.926448359</v>
      </c>
      <c r="T394" s="7">
        <f t="shared" si="4"/>
        <v>1</v>
      </c>
      <c r="U394" s="7">
        <f t="shared" si="5"/>
        <v>1</v>
      </c>
      <c r="V394" s="7">
        <f t="shared" ref="V394:W394" si="731">IF(AVERAGE(T334:T393) &gt; 0.25, 1, 0)</f>
        <v>1</v>
      </c>
      <c r="W394" s="7">
        <f t="shared" si="731"/>
        <v>1</v>
      </c>
      <c r="X394" s="8">
        <v>1.0</v>
      </c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 ht="22.5" customHeight="1">
      <c r="A395" s="6">
        <v>394.0</v>
      </c>
      <c r="B395" s="6">
        <v>85103.0</v>
      </c>
      <c r="C395" s="6">
        <v>0.58</v>
      </c>
      <c r="D395" s="6">
        <v>-1.13</v>
      </c>
      <c r="E395" s="6">
        <v>10.72</v>
      </c>
      <c r="F395" s="6">
        <v>-0.14</v>
      </c>
      <c r="G395" s="6">
        <v>-0.05</v>
      </c>
      <c r="H395" s="6">
        <v>3.12</v>
      </c>
      <c r="I395" s="6">
        <v>33.36</v>
      </c>
      <c r="J395" s="7">
        <f t="shared" ref="J395:O395" si="732">abs(C395-C394)/200</f>
        <v>0.00015</v>
      </c>
      <c r="K395" s="7">
        <f t="shared" si="732"/>
        <v>0.00315</v>
      </c>
      <c r="L395" s="7">
        <f t="shared" si="732"/>
        <v>0</v>
      </c>
      <c r="M395" s="7">
        <f t="shared" si="732"/>
        <v>0.0005</v>
      </c>
      <c r="N395" s="7">
        <f t="shared" si="732"/>
        <v>0.0012</v>
      </c>
      <c r="O395" s="7">
        <f t="shared" si="732"/>
        <v>0.001</v>
      </c>
      <c r="P395" s="7">
        <f t="shared" si="7"/>
        <v>0.1970912994</v>
      </c>
      <c r="Q395" s="7">
        <f t="shared" si="8"/>
        <v>0.04600825124</v>
      </c>
      <c r="R395" s="7">
        <f t="shared" si="2"/>
        <v>0.9949849467</v>
      </c>
      <c r="S395" s="7">
        <f t="shared" si="3"/>
        <v>3.123539659</v>
      </c>
      <c r="T395" s="7">
        <f t="shared" si="4"/>
        <v>1</v>
      </c>
      <c r="U395" s="7">
        <f t="shared" si="5"/>
        <v>1</v>
      </c>
      <c r="V395" s="7">
        <f t="shared" ref="V395:W395" si="733">IF(AVERAGE(T335:T394) &gt; 0.25, 1, 0)</f>
        <v>1</v>
      </c>
      <c r="W395" s="7">
        <f t="shared" si="733"/>
        <v>1</v>
      </c>
      <c r="X395" s="8">
        <v>1.0</v>
      </c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 ht="22.5" customHeight="1">
      <c r="A396" s="6">
        <v>395.0</v>
      </c>
      <c r="B396" s="6">
        <v>85307.0</v>
      </c>
      <c r="C396" s="6">
        <v>3.22</v>
      </c>
      <c r="D396" s="6">
        <v>-1.97</v>
      </c>
      <c r="E396" s="6">
        <v>10.54</v>
      </c>
      <c r="F396" s="6">
        <v>-0.05</v>
      </c>
      <c r="G396" s="6">
        <v>0.17</v>
      </c>
      <c r="H396" s="6">
        <v>0.85</v>
      </c>
      <c r="I396" s="6">
        <v>33.36</v>
      </c>
      <c r="J396" s="7">
        <f t="shared" ref="J396:O396" si="734">abs(C396-C395)/200</f>
        <v>0.0132</v>
      </c>
      <c r="K396" s="7">
        <f t="shared" si="734"/>
        <v>0.0042</v>
      </c>
      <c r="L396" s="7">
        <f t="shared" si="734"/>
        <v>0.0009</v>
      </c>
      <c r="M396" s="7">
        <f t="shared" si="734"/>
        <v>0.00045</v>
      </c>
      <c r="N396" s="7">
        <f t="shared" si="734"/>
        <v>0.0011</v>
      </c>
      <c r="O396" s="7">
        <f t="shared" si="734"/>
        <v>0.01135</v>
      </c>
      <c r="P396" s="7">
        <f t="shared" si="7"/>
        <v>2.255265509</v>
      </c>
      <c r="Q396" s="7">
        <f t="shared" si="8"/>
        <v>0.400590072</v>
      </c>
      <c r="R396" s="7">
        <f t="shared" si="2"/>
        <v>1.395575019</v>
      </c>
      <c r="S396" s="7">
        <f t="shared" si="3"/>
        <v>0.8682741503</v>
      </c>
      <c r="T396" s="7">
        <f t="shared" si="4"/>
        <v>1</v>
      </c>
      <c r="U396" s="7">
        <f t="shared" si="5"/>
        <v>1</v>
      </c>
      <c r="V396" s="7">
        <f t="shared" ref="V396:W396" si="735">IF(AVERAGE(T336:T395) &gt; 0.25, 1, 0)</f>
        <v>1</v>
      </c>
      <c r="W396" s="7">
        <f t="shared" si="735"/>
        <v>1</v>
      </c>
      <c r="X396" s="8">
        <v>1.0</v>
      </c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 ht="22.5" customHeight="1">
      <c r="A397" s="6">
        <v>396.0</v>
      </c>
      <c r="B397" s="6">
        <v>85511.0</v>
      </c>
      <c r="C397" s="6">
        <v>2.21</v>
      </c>
      <c r="D397" s="6">
        <v>-1.62</v>
      </c>
      <c r="E397" s="6">
        <v>11.09</v>
      </c>
      <c r="F397" s="6">
        <v>-0.08</v>
      </c>
      <c r="G397" s="6">
        <v>-0.01</v>
      </c>
      <c r="H397" s="6">
        <v>-2.07</v>
      </c>
      <c r="I397" s="6">
        <v>33.36</v>
      </c>
      <c r="J397" s="7">
        <f t="shared" ref="J397:O397" si="736">abs(C397-C396)/200</f>
        <v>0.00505</v>
      </c>
      <c r="K397" s="7">
        <f t="shared" si="736"/>
        <v>0.00175</v>
      </c>
      <c r="L397" s="7">
        <f t="shared" si="736"/>
        <v>0.00275</v>
      </c>
      <c r="M397" s="7">
        <f t="shared" si="736"/>
        <v>0.00015</v>
      </c>
      <c r="N397" s="7">
        <f t="shared" si="736"/>
        <v>0.0009</v>
      </c>
      <c r="O397" s="7">
        <f t="shared" si="736"/>
        <v>0.0146</v>
      </c>
      <c r="P397" s="7">
        <f t="shared" si="7"/>
        <v>1.203295303</v>
      </c>
      <c r="Q397" s="7">
        <f t="shared" si="8"/>
        <v>0.2279358251</v>
      </c>
      <c r="R397" s="7">
        <f t="shared" si="2"/>
        <v>1.623510844</v>
      </c>
      <c r="S397" s="7">
        <f t="shared" si="3"/>
        <v>2.071569453</v>
      </c>
      <c r="T397" s="7">
        <f t="shared" si="4"/>
        <v>1</v>
      </c>
      <c r="U397" s="7">
        <f t="shared" si="5"/>
        <v>1</v>
      </c>
      <c r="V397" s="7">
        <f t="shared" ref="V397:W397" si="737">IF(AVERAGE(T337:T396) &gt; 0.25, 1, 0)</f>
        <v>1</v>
      </c>
      <c r="W397" s="7">
        <f t="shared" si="737"/>
        <v>1</v>
      </c>
      <c r="X397" s="8">
        <v>1.0</v>
      </c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 ht="22.5" customHeight="1">
      <c r="A398" s="6">
        <v>397.0</v>
      </c>
      <c r="B398" s="6">
        <v>85715.0</v>
      </c>
      <c r="C398" s="6">
        <v>-1.27</v>
      </c>
      <c r="D398" s="6">
        <v>-0.13</v>
      </c>
      <c r="E398" s="6">
        <v>11.12</v>
      </c>
      <c r="F398" s="6">
        <v>-0.29</v>
      </c>
      <c r="G398" s="6">
        <v>-0.47</v>
      </c>
      <c r="H398" s="6">
        <v>-3.17</v>
      </c>
      <c r="I398" s="6">
        <v>33.34</v>
      </c>
      <c r="J398" s="7">
        <f t="shared" ref="J398:O398" si="738">abs(C398-C397)/200</f>
        <v>0.0174</v>
      </c>
      <c r="K398" s="7">
        <f t="shared" si="738"/>
        <v>0.00745</v>
      </c>
      <c r="L398" s="7">
        <f t="shared" si="738"/>
        <v>0.00015</v>
      </c>
      <c r="M398" s="7">
        <f t="shared" si="738"/>
        <v>0.00105</v>
      </c>
      <c r="N398" s="7">
        <f t="shared" si="738"/>
        <v>0.0023</v>
      </c>
      <c r="O398" s="7">
        <f t="shared" si="738"/>
        <v>0.0055</v>
      </c>
      <c r="P398" s="7">
        <f t="shared" si="7"/>
        <v>1.146178206</v>
      </c>
      <c r="Q398" s="7">
        <f t="shared" si="8"/>
        <v>0.230468362</v>
      </c>
      <c r="R398" s="7">
        <f t="shared" si="2"/>
        <v>1.393042482</v>
      </c>
      <c r="S398" s="7">
        <f t="shared" si="3"/>
        <v>3.217747659</v>
      </c>
      <c r="T398" s="7">
        <f t="shared" si="4"/>
        <v>1</v>
      </c>
      <c r="U398" s="7">
        <f t="shared" si="5"/>
        <v>1</v>
      </c>
      <c r="V398" s="7">
        <f t="shared" ref="V398:W398" si="739">IF(AVERAGE(T338:T397) &gt; 0.25, 1, 0)</f>
        <v>1</v>
      </c>
      <c r="W398" s="7">
        <f t="shared" si="739"/>
        <v>1</v>
      </c>
      <c r="X398" s="8">
        <v>1.0</v>
      </c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 ht="22.5" customHeight="1">
      <c r="A399" s="6">
        <v>398.0</v>
      </c>
      <c r="B399" s="6">
        <v>85919.0</v>
      </c>
      <c r="C399" s="6">
        <v>-1.44</v>
      </c>
      <c r="D399" s="6">
        <v>1.98</v>
      </c>
      <c r="E399" s="6">
        <v>10.7</v>
      </c>
      <c r="F399" s="6">
        <v>-0.15</v>
      </c>
      <c r="G399" s="6">
        <v>-0.17</v>
      </c>
      <c r="H399" s="6">
        <v>-0.72</v>
      </c>
      <c r="I399" s="6">
        <v>33.34</v>
      </c>
      <c r="J399" s="7">
        <f t="shared" ref="J399:O399" si="740">abs(C399-C398)/200</f>
        <v>0.00085</v>
      </c>
      <c r="K399" s="7">
        <f t="shared" si="740"/>
        <v>0.01055</v>
      </c>
      <c r="L399" s="7">
        <f t="shared" si="740"/>
        <v>0.0021</v>
      </c>
      <c r="M399" s="7">
        <f t="shared" si="740"/>
        <v>0.0007</v>
      </c>
      <c r="N399" s="7">
        <f t="shared" si="740"/>
        <v>0.0015</v>
      </c>
      <c r="O399" s="7">
        <f t="shared" si="740"/>
        <v>0.01225</v>
      </c>
      <c r="P399" s="7">
        <f t="shared" si="7"/>
        <v>2.462896681</v>
      </c>
      <c r="Q399" s="7">
        <f t="shared" si="8"/>
        <v>0.216522086</v>
      </c>
      <c r="R399" s="7">
        <f t="shared" si="2"/>
        <v>1.176520396</v>
      </c>
      <c r="S399" s="7">
        <f t="shared" si="3"/>
        <v>0.7548509787</v>
      </c>
      <c r="T399" s="7">
        <f t="shared" si="4"/>
        <v>1</v>
      </c>
      <c r="U399" s="7">
        <f t="shared" si="5"/>
        <v>1</v>
      </c>
      <c r="V399" s="7">
        <f t="shared" ref="V399:W399" si="741">IF(AVERAGE(T339:T398) &gt; 0.25, 1, 0)</f>
        <v>1</v>
      </c>
      <c r="W399" s="7">
        <f t="shared" si="741"/>
        <v>1</v>
      </c>
      <c r="X399" s="8">
        <v>1.0</v>
      </c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 ht="22.5" customHeight="1">
      <c r="A400" s="6">
        <v>399.0</v>
      </c>
      <c r="B400" s="6">
        <v>86123.0</v>
      </c>
      <c r="C400" s="6">
        <v>-0.41</v>
      </c>
      <c r="D400" s="6">
        <v>1.4</v>
      </c>
      <c r="E400" s="6">
        <v>10.79</v>
      </c>
      <c r="F400" s="6">
        <v>-0.07</v>
      </c>
      <c r="G400" s="6">
        <v>0.27</v>
      </c>
      <c r="H400" s="6">
        <v>-0.95</v>
      </c>
      <c r="I400" s="6">
        <v>33.36</v>
      </c>
      <c r="J400" s="7">
        <f t="shared" ref="J400:O400" si="742">abs(C400-C399)/200</f>
        <v>0.00515</v>
      </c>
      <c r="K400" s="7">
        <f t="shared" si="742"/>
        <v>0.0029</v>
      </c>
      <c r="L400" s="7">
        <f t="shared" si="742"/>
        <v>0.00045</v>
      </c>
      <c r="M400" s="7">
        <f t="shared" si="742"/>
        <v>0.0004</v>
      </c>
      <c r="N400" s="7">
        <f t="shared" si="742"/>
        <v>0.0022</v>
      </c>
      <c r="O400" s="7">
        <f t="shared" si="742"/>
        <v>0.00115</v>
      </c>
      <c r="P400" s="7">
        <f t="shared" si="7"/>
        <v>0.2352500263</v>
      </c>
      <c r="Q400" s="7">
        <f t="shared" si="8"/>
        <v>0.08835250586</v>
      </c>
      <c r="R400" s="7">
        <f t="shared" si="2"/>
        <v>1.08816789</v>
      </c>
      <c r="S400" s="7">
        <f t="shared" si="3"/>
        <v>0.9901010049</v>
      </c>
      <c r="T400" s="7">
        <f t="shared" si="4"/>
        <v>1</v>
      </c>
      <c r="U400" s="7">
        <f t="shared" si="5"/>
        <v>1</v>
      </c>
      <c r="V400" s="7">
        <f t="shared" ref="V400:W400" si="743">IF(AVERAGE(T340:T399) &gt; 0.25, 1, 0)</f>
        <v>1</v>
      </c>
      <c r="W400" s="7">
        <f t="shared" si="743"/>
        <v>1</v>
      </c>
      <c r="X400" s="8">
        <v>1.0</v>
      </c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 ht="22.5" customHeight="1">
      <c r="A401" s="6">
        <v>400.0</v>
      </c>
      <c r="B401" s="6">
        <v>86327.0</v>
      </c>
      <c r="C401" s="6">
        <v>-0.26</v>
      </c>
      <c r="D401" s="6">
        <v>0.83</v>
      </c>
      <c r="E401" s="6">
        <v>10.75</v>
      </c>
      <c r="F401" s="6">
        <v>-0.08</v>
      </c>
      <c r="G401" s="6">
        <v>0.2</v>
      </c>
      <c r="H401" s="6">
        <v>1.21</v>
      </c>
      <c r="I401" s="6">
        <v>33.35</v>
      </c>
      <c r="J401" s="7">
        <f t="shared" ref="J401:O401" si="744">abs(C401-C400)/200</f>
        <v>0.00075</v>
      </c>
      <c r="K401" s="7">
        <f t="shared" si="744"/>
        <v>0.00285</v>
      </c>
      <c r="L401" s="7">
        <f t="shared" si="744"/>
        <v>0.0002</v>
      </c>
      <c r="M401" s="7">
        <f t="shared" si="744"/>
        <v>0.00005</v>
      </c>
      <c r="N401" s="7">
        <f t="shared" si="744"/>
        <v>0.00035</v>
      </c>
      <c r="O401" s="7">
        <f t="shared" si="744"/>
        <v>0.0108</v>
      </c>
      <c r="P401" s="7">
        <f t="shared" si="7"/>
        <v>0.2389229981</v>
      </c>
      <c r="Q401" s="7">
        <f t="shared" si="8"/>
        <v>0.1030392398</v>
      </c>
      <c r="R401" s="7">
        <f t="shared" si="2"/>
        <v>0.9851286501</v>
      </c>
      <c r="S401" s="7">
        <f t="shared" si="3"/>
        <v>1.229024003</v>
      </c>
      <c r="T401" s="7">
        <f t="shared" si="4"/>
        <v>1</v>
      </c>
      <c r="U401" s="7">
        <f t="shared" si="5"/>
        <v>1</v>
      </c>
      <c r="V401" s="7">
        <f t="shared" ref="V401:W401" si="745">IF(AVERAGE(T341:T400) &gt; 0.25, 1, 0)</f>
        <v>1</v>
      </c>
      <c r="W401" s="7">
        <f t="shared" si="745"/>
        <v>1</v>
      </c>
      <c r="X401" s="8">
        <v>1.0</v>
      </c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 ht="22.5" customHeight="1">
      <c r="A402" s="6">
        <v>401.0</v>
      </c>
      <c r="B402" s="6">
        <v>86531.0</v>
      </c>
      <c r="C402" s="6">
        <v>-2.44</v>
      </c>
      <c r="D402" s="6">
        <v>-0.43</v>
      </c>
      <c r="E402" s="6">
        <v>10.8</v>
      </c>
      <c r="F402" s="6">
        <v>-0.28</v>
      </c>
      <c r="G402" s="6">
        <v>0.15</v>
      </c>
      <c r="H402" s="6">
        <v>2.55</v>
      </c>
      <c r="I402" s="6">
        <v>33.35</v>
      </c>
      <c r="J402" s="7">
        <f t="shared" ref="J402:O402" si="746">abs(C402-C401)/200</f>
        <v>0.0109</v>
      </c>
      <c r="K402" s="7">
        <f t="shared" si="746"/>
        <v>0.0063</v>
      </c>
      <c r="L402" s="7">
        <f t="shared" si="746"/>
        <v>0.00025</v>
      </c>
      <c r="M402" s="7">
        <f t="shared" si="746"/>
        <v>0.001</v>
      </c>
      <c r="N402" s="7">
        <f t="shared" si="746"/>
        <v>0.00025</v>
      </c>
      <c r="O402" s="7">
        <f t="shared" si="746"/>
        <v>0.0067</v>
      </c>
      <c r="P402" s="7">
        <f t="shared" si="7"/>
        <v>1.340684152</v>
      </c>
      <c r="Q402" s="7">
        <f t="shared" si="8"/>
        <v>0.2954173653</v>
      </c>
      <c r="R402" s="7">
        <f t="shared" si="2"/>
        <v>1.280546015</v>
      </c>
      <c r="S402" s="7">
        <f t="shared" si="3"/>
        <v>2.569708155</v>
      </c>
      <c r="T402" s="7">
        <f t="shared" si="4"/>
        <v>1</v>
      </c>
      <c r="U402" s="7">
        <f t="shared" si="5"/>
        <v>1</v>
      </c>
      <c r="V402" s="7">
        <f t="shared" ref="V402:W402" si="747">IF(AVERAGE(T342:T401) &gt; 0.25, 1, 0)</f>
        <v>1</v>
      </c>
      <c r="W402" s="7">
        <f t="shared" si="747"/>
        <v>1</v>
      </c>
      <c r="X402" s="8">
        <v>1.0</v>
      </c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 ht="22.5" customHeight="1">
      <c r="A403" s="6">
        <v>402.0</v>
      </c>
      <c r="B403" s="6">
        <v>86735.0</v>
      </c>
      <c r="C403" s="6">
        <v>6.96</v>
      </c>
      <c r="D403" s="6">
        <v>-5.57</v>
      </c>
      <c r="E403" s="6">
        <v>9.97</v>
      </c>
      <c r="F403" s="6">
        <v>0.14</v>
      </c>
      <c r="G403" s="6">
        <v>-0.04</v>
      </c>
      <c r="H403" s="6">
        <v>3.06</v>
      </c>
      <c r="I403" s="6">
        <v>33.34</v>
      </c>
      <c r="J403" s="7">
        <f t="shared" ref="J403:O403" si="748">abs(C403-C402)/200</f>
        <v>0.047</v>
      </c>
      <c r="K403" s="7">
        <f t="shared" si="748"/>
        <v>0.0257</v>
      </c>
      <c r="L403" s="7">
        <f t="shared" si="748"/>
        <v>0.00415</v>
      </c>
      <c r="M403" s="7">
        <f t="shared" si="748"/>
        <v>0.0021</v>
      </c>
      <c r="N403" s="7">
        <f t="shared" si="748"/>
        <v>0.00095</v>
      </c>
      <c r="O403" s="7">
        <f t="shared" si="748"/>
        <v>0.00255</v>
      </c>
      <c r="P403" s="7">
        <f t="shared" si="7"/>
        <v>0.4937539391</v>
      </c>
      <c r="Q403" s="7">
        <f t="shared" si="8"/>
        <v>2.293585732</v>
      </c>
      <c r="R403" s="7">
        <f t="shared" si="2"/>
        <v>3.574131748</v>
      </c>
      <c r="S403" s="7">
        <f t="shared" si="3"/>
        <v>3.063462094</v>
      </c>
      <c r="T403" s="7">
        <f t="shared" si="4"/>
        <v>1</v>
      </c>
      <c r="U403" s="7">
        <f t="shared" si="5"/>
        <v>1</v>
      </c>
      <c r="V403" s="7">
        <f t="shared" ref="V403:W403" si="749">IF(AVERAGE(T343:T402) &gt; 0.25, 1, 0)</f>
        <v>1</v>
      </c>
      <c r="W403" s="7">
        <f t="shared" si="749"/>
        <v>1</v>
      </c>
      <c r="X403" s="8">
        <v>1.0</v>
      </c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 ht="22.5" customHeight="1">
      <c r="A404" s="6">
        <v>403.0</v>
      </c>
      <c r="B404" s="6">
        <v>86939.0</v>
      </c>
      <c r="C404" s="6">
        <v>5.6</v>
      </c>
      <c r="D404" s="6">
        <v>-4.28</v>
      </c>
      <c r="E404" s="6">
        <v>10.09</v>
      </c>
      <c r="F404" s="6">
        <v>-0.3</v>
      </c>
      <c r="G404" s="6">
        <v>-0.07</v>
      </c>
      <c r="H404" s="6">
        <v>-1.39</v>
      </c>
      <c r="I404" s="6">
        <v>33.34</v>
      </c>
      <c r="J404" s="7">
        <f t="shared" ref="J404:O404" si="750">abs(C404-C403)/200</f>
        <v>0.0068</v>
      </c>
      <c r="K404" s="7">
        <f t="shared" si="750"/>
        <v>0.00645</v>
      </c>
      <c r="L404" s="7">
        <f t="shared" si="750"/>
        <v>0.0006</v>
      </c>
      <c r="M404" s="7">
        <f t="shared" si="750"/>
        <v>0.0022</v>
      </c>
      <c r="N404" s="7">
        <f t="shared" si="750"/>
        <v>0.00015</v>
      </c>
      <c r="O404" s="7">
        <f t="shared" si="750"/>
        <v>0.02225</v>
      </c>
      <c r="P404" s="7">
        <f t="shared" si="7"/>
        <v>1.639734592</v>
      </c>
      <c r="Q404" s="7">
        <f t="shared" si="8"/>
        <v>1.066146535</v>
      </c>
      <c r="R404" s="7">
        <f t="shared" si="2"/>
        <v>2.507985213</v>
      </c>
      <c r="S404" s="7">
        <f t="shared" si="3"/>
        <v>1.423727502</v>
      </c>
      <c r="T404" s="7">
        <f t="shared" si="4"/>
        <v>1</v>
      </c>
      <c r="U404" s="7">
        <f t="shared" si="5"/>
        <v>1</v>
      </c>
      <c r="V404" s="7">
        <f t="shared" ref="V404:W404" si="751">IF(AVERAGE(T344:T403) &gt; 0.25, 1, 0)</f>
        <v>1</v>
      </c>
      <c r="W404" s="7">
        <f t="shared" si="751"/>
        <v>1</v>
      </c>
      <c r="X404" s="8">
        <v>1.0</v>
      </c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 ht="22.5" customHeight="1">
      <c r="A405" s="6">
        <v>404.0</v>
      </c>
      <c r="B405" s="6">
        <v>87143.0</v>
      </c>
      <c r="C405" s="6">
        <v>-0.59</v>
      </c>
      <c r="D405" s="6">
        <v>-3.61</v>
      </c>
      <c r="E405" s="6">
        <v>10.67</v>
      </c>
      <c r="F405" s="6">
        <v>-0.03</v>
      </c>
      <c r="G405" s="6">
        <v>-0.21</v>
      </c>
      <c r="H405" s="6">
        <v>-3.43</v>
      </c>
      <c r="I405" s="6">
        <v>33.35</v>
      </c>
      <c r="J405" s="7">
        <f t="shared" ref="J405:O405" si="752">abs(C405-C404)/200</f>
        <v>0.03095</v>
      </c>
      <c r="K405" s="7">
        <f t="shared" si="752"/>
        <v>0.00335</v>
      </c>
      <c r="L405" s="7">
        <f t="shared" si="752"/>
        <v>0.0029</v>
      </c>
      <c r="M405" s="7">
        <f t="shared" si="752"/>
        <v>0.00135</v>
      </c>
      <c r="N405" s="7">
        <f t="shared" si="752"/>
        <v>0.0007</v>
      </c>
      <c r="O405" s="7">
        <f t="shared" si="752"/>
        <v>0.0102</v>
      </c>
      <c r="P405" s="7">
        <f t="shared" si="7"/>
        <v>2.012826004</v>
      </c>
      <c r="Q405" s="7">
        <f t="shared" si="8"/>
        <v>1.028397454</v>
      </c>
      <c r="R405" s="7">
        <f t="shared" si="2"/>
        <v>1.479587758</v>
      </c>
      <c r="S405" s="7">
        <f t="shared" si="3"/>
        <v>3.436553506</v>
      </c>
      <c r="T405" s="7">
        <f t="shared" si="4"/>
        <v>1</v>
      </c>
      <c r="U405" s="7">
        <f t="shared" si="5"/>
        <v>1</v>
      </c>
      <c r="V405" s="7">
        <f t="shared" ref="V405:W405" si="753">IF(AVERAGE(T345:T404) &gt; 0.25, 1, 0)</f>
        <v>1</v>
      </c>
      <c r="W405" s="7">
        <f t="shared" si="753"/>
        <v>1</v>
      </c>
      <c r="X405" s="8">
        <v>1.0</v>
      </c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 ht="22.5" customHeight="1">
      <c r="A406" s="6">
        <v>405.0</v>
      </c>
      <c r="B406" s="6">
        <v>87347.0</v>
      </c>
      <c r="C406" s="6">
        <v>-2.83</v>
      </c>
      <c r="D406" s="6">
        <v>0.96</v>
      </c>
      <c r="E406" s="6">
        <v>10.95</v>
      </c>
      <c r="F406" s="6">
        <v>-0.08</v>
      </c>
      <c r="G406" s="6">
        <v>-0.13</v>
      </c>
      <c r="H406" s="6">
        <v>-1.75</v>
      </c>
      <c r="I406" s="6">
        <v>33.34</v>
      </c>
      <c r="J406" s="7">
        <f t="shared" ref="J406:O406" si="754">abs(C406-C405)/200</f>
        <v>0.0112</v>
      </c>
      <c r="K406" s="7">
        <f t="shared" si="754"/>
        <v>0.02285</v>
      </c>
      <c r="L406" s="7">
        <f t="shared" si="754"/>
        <v>0.0014</v>
      </c>
      <c r="M406" s="7">
        <f t="shared" si="754"/>
        <v>0.00025</v>
      </c>
      <c r="N406" s="7">
        <f t="shared" si="754"/>
        <v>0.0004</v>
      </c>
      <c r="O406" s="7">
        <f t="shared" si="754"/>
        <v>0.0084</v>
      </c>
      <c r="P406" s="7">
        <f t="shared" si="7"/>
        <v>1.679908977</v>
      </c>
      <c r="Q406" s="7">
        <f t="shared" si="8"/>
        <v>0.07087478722</v>
      </c>
      <c r="R406" s="7">
        <f t="shared" si="2"/>
        <v>1.550462546</v>
      </c>
      <c r="S406" s="7">
        <f t="shared" si="3"/>
        <v>1.756644529</v>
      </c>
      <c r="T406" s="7">
        <f t="shared" si="4"/>
        <v>1</v>
      </c>
      <c r="U406" s="7">
        <f t="shared" si="5"/>
        <v>1</v>
      </c>
      <c r="V406" s="7">
        <f t="shared" ref="V406:W406" si="755">IF(AVERAGE(T346:T405) &gt; 0.25, 1, 0)</f>
        <v>1</v>
      </c>
      <c r="W406" s="7">
        <f t="shared" si="755"/>
        <v>1</v>
      </c>
      <c r="X406" s="8">
        <v>1.0</v>
      </c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 ht="22.5" customHeight="1">
      <c r="A407" s="6">
        <v>406.0</v>
      </c>
      <c r="B407" s="6">
        <v>87551.0</v>
      </c>
      <c r="C407" s="6">
        <v>0.18</v>
      </c>
      <c r="D407" s="6">
        <v>2.24</v>
      </c>
      <c r="E407" s="6">
        <v>10.77</v>
      </c>
      <c r="F407" s="6">
        <v>-0.12</v>
      </c>
      <c r="G407" s="6">
        <v>0.06</v>
      </c>
      <c r="H407" s="6">
        <v>-0.36</v>
      </c>
      <c r="I407" s="6">
        <v>33.36</v>
      </c>
      <c r="J407" s="7">
        <f t="shared" ref="J407:O407" si="756">abs(C407-C406)/200</f>
        <v>0.01505</v>
      </c>
      <c r="K407" s="7">
        <f t="shared" si="756"/>
        <v>0.0064</v>
      </c>
      <c r="L407" s="7">
        <f t="shared" si="756"/>
        <v>0.0009</v>
      </c>
      <c r="M407" s="7">
        <f t="shared" si="756"/>
        <v>0.0002</v>
      </c>
      <c r="N407" s="7">
        <f t="shared" si="756"/>
        <v>0.00095</v>
      </c>
      <c r="O407" s="7">
        <f t="shared" si="756"/>
        <v>0.00695</v>
      </c>
      <c r="P407" s="7">
        <f t="shared" si="7"/>
        <v>1.372457074</v>
      </c>
      <c r="Q407" s="7">
        <f t="shared" si="8"/>
        <v>0.3485127185</v>
      </c>
      <c r="R407" s="7">
        <f t="shared" si="2"/>
        <v>1.201949827</v>
      </c>
      <c r="S407" s="7">
        <f t="shared" si="3"/>
        <v>0.3841874542</v>
      </c>
      <c r="T407" s="7">
        <f t="shared" si="4"/>
        <v>1</v>
      </c>
      <c r="U407" s="7">
        <f t="shared" si="5"/>
        <v>1</v>
      </c>
      <c r="V407" s="7">
        <f t="shared" ref="V407:W407" si="757">IF(AVERAGE(T347:T406) &gt; 0.25, 1, 0)</f>
        <v>1</v>
      </c>
      <c r="W407" s="7">
        <f t="shared" si="757"/>
        <v>1</v>
      </c>
      <c r="X407" s="8">
        <v>1.0</v>
      </c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 ht="22.5" customHeight="1">
      <c r="A408" s="6">
        <v>407.0</v>
      </c>
      <c r="B408" s="6">
        <v>87755.0</v>
      </c>
      <c r="C408" s="6">
        <v>-0.18</v>
      </c>
      <c r="D408" s="6">
        <v>0.52</v>
      </c>
      <c r="E408" s="6">
        <v>10.79</v>
      </c>
      <c r="F408" s="6">
        <v>-0.13</v>
      </c>
      <c r="G408" s="6">
        <v>0.17</v>
      </c>
      <c r="H408" s="6">
        <v>-0.65</v>
      </c>
      <c r="I408" s="6">
        <v>33.35</v>
      </c>
      <c r="J408" s="7">
        <f t="shared" ref="J408:O408" si="758">abs(C408-C407)/200</f>
        <v>0.0018</v>
      </c>
      <c r="K408" s="7">
        <f t="shared" si="758"/>
        <v>0.0086</v>
      </c>
      <c r="L408" s="7">
        <f t="shared" si="758"/>
        <v>0.0001</v>
      </c>
      <c r="M408" s="7">
        <f t="shared" si="758"/>
        <v>0.00005</v>
      </c>
      <c r="N408" s="7">
        <f t="shared" si="758"/>
        <v>0.00055</v>
      </c>
      <c r="O408" s="7">
        <f t="shared" si="758"/>
        <v>0.00145</v>
      </c>
      <c r="P408" s="7">
        <f t="shared" si="7"/>
        <v>0.3001370302</v>
      </c>
      <c r="Q408" s="7">
        <f t="shared" si="8"/>
        <v>0.1979274281</v>
      </c>
      <c r="R408" s="7">
        <f t="shared" si="2"/>
        <v>1.004022399</v>
      </c>
      <c r="S408" s="7">
        <f t="shared" si="3"/>
        <v>0.6843244844</v>
      </c>
      <c r="T408" s="7">
        <f t="shared" si="4"/>
        <v>1</v>
      </c>
      <c r="U408" s="7">
        <f t="shared" si="5"/>
        <v>1</v>
      </c>
      <c r="V408" s="7">
        <f t="shared" ref="V408:W408" si="759">IF(AVERAGE(T348:T407) &gt; 0.25, 1, 0)</f>
        <v>1</v>
      </c>
      <c r="W408" s="7">
        <f t="shared" si="759"/>
        <v>1</v>
      </c>
      <c r="X408" s="8">
        <v>1.0</v>
      </c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 ht="22.5" customHeight="1">
      <c r="A409" s="6">
        <v>408.0</v>
      </c>
      <c r="B409" s="6">
        <v>87959.0</v>
      </c>
      <c r="C409" s="6">
        <v>0.32</v>
      </c>
      <c r="D409" s="6">
        <v>1.12</v>
      </c>
      <c r="E409" s="6">
        <v>10.74</v>
      </c>
      <c r="F409" s="6">
        <v>-0.11</v>
      </c>
      <c r="G409" s="6">
        <v>0.14</v>
      </c>
      <c r="H409" s="6">
        <v>0.76</v>
      </c>
      <c r="I409" s="6">
        <v>33.37</v>
      </c>
      <c r="J409" s="7">
        <f t="shared" ref="J409:O409" si="760">abs(C409-C408)/200</f>
        <v>0.0025</v>
      </c>
      <c r="K409" s="7">
        <f t="shared" si="760"/>
        <v>0.003</v>
      </c>
      <c r="L409" s="7">
        <f t="shared" si="760"/>
        <v>0.00025</v>
      </c>
      <c r="M409" s="7">
        <f t="shared" si="760"/>
        <v>0.0001</v>
      </c>
      <c r="N409" s="7">
        <f t="shared" si="760"/>
        <v>0.00015</v>
      </c>
      <c r="O409" s="7">
        <f t="shared" si="760"/>
        <v>0.00705</v>
      </c>
      <c r="P409" s="7">
        <f t="shared" si="7"/>
        <v>0.09625222544</v>
      </c>
      <c r="Q409" s="7">
        <f t="shared" si="8"/>
        <v>0.001041329032</v>
      </c>
      <c r="R409" s="7">
        <f t="shared" si="2"/>
        <v>1.00298107</v>
      </c>
      <c r="S409" s="7">
        <f t="shared" si="3"/>
        <v>0.7805767099</v>
      </c>
      <c r="T409" s="7">
        <f t="shared" si="4"/>
        <v>1</v>
      </c>
      <c r="U409" s="7">
        <f t="shared" si="5"/>
        <v>1</v>
      </c>
      <c r="V409" s="7">
        <f t="shared" ref="V409:W409" si="761">IF(AVERAGE(T349:T408) &gt; 0.25, 1, 0)</f>
        <v>1</v>
      </c>
      <c r="W409" s="7">
        <f t="shared" si="761"/>
        <v>1</v>
      </c>
      <c r="X409" s="8">
        <v>1.0</v>
      </c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 ht="22.5" customHeight="1">
      <c r="A410" s="6">
        <v>409.0</v>
      </c>
      <c r="B410" s="6">
        <v>88163.0</v>
      </c>
      <c r="C410" s="6">
        <v>0.63</v>
      </c>
      <c r="D410" s="6">
        <v>0.39</v>
      </c>
      <c r="E410" s="6">
        <v>10.66</v>
      </c>
      <c r="F410" s="6">
        <v>-0.08</v>
      </c>
      <c r="G410" s="6">
        <v>0.06</v>
      </c>
      <c r="H410" s="6">
        <v>1.88</v>
      </c>
      <c r="I410" s="6">
        <v>33.35</v>
      </c>
      <c r="J410" s="7">
        <f t="shared" ref="J410:O410" si="762">abs(C410-C409)/200</f>
        <v>0.00155</v>
      </c>
      <c r="K410" s="7">
        <f t="shared" si="762"/>
        <v>0.00365</v>
      </c>
      <c r="L410" s="7">
        <f t="shared" si="762"/>
        <v>0.0004</v>
      </c>
      <c r="M410" s="7">
        <f t="shared" si="762"/>
        <v>0.00015</v>
      </c>
      <c r="N410" s="7">
        <f t="shared" si="762"/>
        <v>0.0004</v>
      </c>
      <c r="O410" s="7">
        <f t="shared" si="762"/>
        <v>0.0056</v>
      </c>
      <c r="P410" s="7">
        <f t="shared" si="7"/>
        <v>1.102080986</v>
      </c>
      <c r="Q410" s="7">
        <f t="shared" si="8"/>
        <v>0.1172616277</v>
      </c>
      <c r="R410" s="7">
        <f t="shared" si="2"/>
        <v>0.8857194423</v>
      </c>
      <c r="S410" s="7">
        <f t="shared" si="3"/>
        <v>1.882657696</v>
      </c>
      <c r="T410" s="7">
        <f t="shared" si="4"/>
        <v>1</v>
      </c>
      <c r="U410" s="7">
        <f t="shared" si="5"/>
        <v>1</v>
      </c>
      <c r="V410" s="7">
        <f t="shared" ref="V410:W410" si="763">IF(AVERAGE(T350:T409) &gt; 0.25, 1, 0)</f>
        <v>1</v>
      </c>
      <c r="W410" s="7">
        <f t="shared" si="763"/>
        <v>1</v>
      </c>
      <c r="X410" s="8">
        <v>1.0</v>
      </c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 ht="22.5" customHeight="1">
      <c r="A411" s="6">
        <v>410.0</v>
      </c>
      <c r="B411" s="6">
        <v>88367.0</v>
      </c>
      <c r="C411" s="6">
        <v>0.48</v>
      </c>
      <c r="D411" s="6">
        <v>-0.46</v>
      </c>
      <c r="E411" s="6">
        <v>10.8</v>
      </c>
      <c r="F411" s="6">
        <v>-0.1</v>
      </c>
      <c r="G411" s="6">
        <v>0.01</v>
      </c>
      <c r="H411" s="6">
        <v>2.45</v>
      </c>
      <c r="I411" s="6">
        <v>33.35</v>
      </c>
      <c r="J411" s="7">
        <f t="shared" ref="J411:O411" si="764">abs(C411-C410)/200</f>
        <v>0.00075</v>
      </c>
      <c r="K411" s="7">
        <f t="shared" si="764"/>
        <v>0.00425</v>
      </c>
      <c r="L411" s="7">
        <f t="shared" si="764"/>
        <v>0.0007</v>
      </c>
      <c r="M411" s="7">
        <f t="shared" si="764"/>
        <v>0.0001</v>
      </c>
      <c r="N411" s="7">
        <f t="shared" si="764"/>
        <v>0.00025</v>
      </c>
      <c r="O411" s="7">
        <f t="shared" si="764"/>
        <v>0.00285</v>
      </c>
      <c r="P411" s="7">
        <f t="shared" si="7"/>
        <v>0.5694026622</v>
      </c>
      <c r="Q411" s="7">
        <f t="shared" si="8"/>
        <v>0.1347241715</v>
      </c>
      <c r="R411" s="7">
        <f t="shared" si="2"/>
        <v>1.020443614</v>
      </c>
      <c r="S411" s="7">
        <f t="shared" si="3"/>
        <v>2.452060358</v>
      </c>
      <c r="T411" s="7">
        <f t="shared" si="4"/>
        <v>1</v>
      </c>
      <c r="U411" s="7">
        <f t="shared" si="5"/>
        <v>1</v>
      </c>
      <c r="V411" s="7">
        <f t="shared" ref="V411:W411" si="765">IF(AVERAGE(T351:T410) &gt; 0.25, 1, 0)</f>
        <v>1</v>
      </c>
      <c r="W411" s="7">
        <f t="shared" si="765"/>
        <v>1</v>
      </c>
      <c r="X411" s="8">
        <v>1.0</v>
      </c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 ht="22.5" customHeight="1">
      <c r="A412" s="6">
        <v>411.0</v>
      </c>
      <c r="B412" s="6">
        <v>88571.0</v>
      </c>
      <c r="C412" s="6">
        <v>1.31</v>
      </c>
      <c r="D412" s="6">
        <v>-0.03</v>
      </c>
      <c r="E412" s="6">
        <v>10.68</v>
      </c>
      <c r="F412" s="6">
        <v>-0.1</v>
      </c>
      <c r="G412" s="6">
        <v>0.07</v>
      </c>
      <c r="H412" s="6">
        <v>0.26</v>
      </c>
      <c r="I412" s="6">
        <v>33.36</v>
      </c>
      <c r="J412" s="7">
        <f t="shared" ref="J412:O412" si="766">abs(C412-C411)/200</f>
        <v>0.00415</v>
      </c>
      <c r="K412" s="7">
        <f t="shared" si="766"/>
        <v>0.00215</v>
      </c>
      <c r="L412" s="7">
        <f t="shared" si="766"/>
        <v>0.0006</v>
      </c>
      <c r="M412" s="7">
        <f t="shared" si="766"/>
        <v>0</v>
      </c>
      <c r="N412" s="7">
        <f t="shared" si="766"/>
        <v>0.0003</v>
      </c>
      <c r="O412" s="7">
        <f t="shared" si="766"/>
        <v>0.01095</v>
      </c>
      <c r="P412" s="7">
        <f t="shared" si="7"/>
        <v>2.164832226</v>
      </c>
      <c r="Q412" s="7">
        <f t="shared" si="8"/>
        <v>0.06035997103</v>
      </c>
      <c r="R412" s="7">
        <f t="shared" si="2"/>
        <v>0.9600836428</v>
      </c>
      <c r="S412" s="7">
        <f t="shared" si="3"/>
        <v>0.2872281323</v>
      </c>
      <c r="T412" s="7">
        <f t="shared" si="4"/>
        <v>1</v>
      </c>
      <c r="U412" s="7">
        <f t="shared" si="5"/>
        <v>1</v>
      </c>
      <c r="V412" s="7">
        <f t="shared" ref="V412:W412" si="767">IF(AVERAGE(T352:T411) &gt; 0.25, 1, 0)</f>
        <v>1</v>
      </c>
      <c r="W412" s="7">
        <f t="shared" si="767"/>
        <v>1</v>
      </c>
      <c r="X412" s="8">
        <v>1.0</v>
      </c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 ht="22.5" customHeight="1">
      <c r="A413" s="6">
        <v>412.0</v>
      </c>
      <c r="B413" s="6">
        <v>88775.0</v>
      </c>
      <c r="C413" s="6">
        <v>3.4</v>
      </c>
      <c r="D413" s="6">
        <v>-2.03</v>
      </c>
      <c r="E413" s="6">
        <v>10.48</v>
      </c>
      <c r="F413" s="6">
        <v>0.01</v>
      </c>
      <c r="G413" s="6">
        <v>-0.08</v>
      </c>
      <c r="H413" s="6">
        <v>-0.6</v>
      </c>
      <c r="I413" s="6">
        <v>33.37</v>
      </c>
      <c r="J413" s="7">
        <f t="shared" ref="J413:O413" si="768">abs(C413-C412)/200</f>
        <v>0.01045</v>
      </c>
      <c r="K413" s="7">
        <f t="shared" si="768"/>
        <v>0.01</v>
      </c>
      <c r="L413" s="7">
        <f t="shared" si="768"/>
        <v>0.001</v>
      </c>
      <c r="M413" s="7">
        <f t="shared" si="768"/>
        <v>0.00055</v>
      </c>
      <c r="N413" s="7">
        <f t="shared" si="768"/>
        <v>0.00075</v>
      </c>
      <c r="O413" s="7">
        <f t="shared" si="768"/>
        <v>0.0043</v>
      </c>
      <c r="P413" s="7">
        <f t="shared" si="7"/>
        <v>0.3181643024</v>
      </c>
      <c r="Q413" s="7">
        <f t="shared" si="8"/>
        <v>0.4430989407</v>
      </c>
      <c r="R413" s="7">
        <f t="shared" si="2"/>
        <v>1.403182584</v>
      </c>
      <c r="S413" s="7">
        <f t="shared" si="3"/>
        <v>0.6053924347</v>
      </c>
      <c r="T413" s="7">
        <f t="shared" si="4"/>
        <v>1</v>
      </c>
      <c r="U413" s="7">
        <f t="shared" si="5"/>
        <v>1</v>
      </c>
      <c r="V413" s="7">
        <f t="shared" ref="V413:W413" si="769">IF(AVERAGE(T353:T412) &gt; 0.25, 1, 0)</f>
        <v>1</v>
      </c>
      <c r="W413" s="7">
        <f t="shared" si="769"/>
        <v>1</v>
      </c>
      <c r="X413" s="8">
        <v>1.0</v>
      </c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 ht="22.5" customHeight="1">
      <c r="A414" s="6">
        <v>413.0</v>
      </c>
      <c r="B414" s="6">
        <v>88979.0</v>
      </c>
      <c r="C414" s="6">
        <v>0.77</v>
      </c>
      <c r="D414" s="6">
        <v>-0.36</v>
      </c>
      <c r="E414" s="6">
        <v>10.82</v>
      </c>
      <c r="F414" s="6">
        <v>-0.24</v>
      </c>
      <c r="G414" s="6">
        <v>-0.26</v>
      </c>
      <c r="H414" s="6">
        <v>-2.25</v>
      </c>
      <c r="I414" s="6">
        <v>33.37</v>
      </c>
      <c r="J414" s="7">
        <f t="shared" ref="J414:O414" si="770">abs(C414-C413)/200</f>
        <v>0.01315</v>
      </c>
      <c r="K414" s="7">
        <f t="shared" si="770"/>
        <v>0.00835</v>
      </c>
      <c r="L414" s="7">
        <f t="shared" si="770"/>
        <v>0.0017</v>
      </c>
      <c r="M414" s="7">
        <f t="shared" si="770"/>
        <v>0.00125</v>
      </c>
      <c r="N414" s="7">
        <f t="shared" si="770"/>
        <v>0.0009</v>
      </c>
      <c r="O414" s="7">
        <f t="shared" si="770"/>
        <v>0.00825</v>
      </c>
      <c r="P414" s="7">
        <f t="shared" si="7"/>
        <v>1.672259865</v>
      </c>
      <c r="Q414" s="7">
        <f t="shared" si="8"/>
        <v>0.3498466908</v>
      </c>
      <c r="R414" s="7">
        <f t="shared" si="2"/>
        <v>1.053335893</v>
      </c>
      <c r="S414" s="7">
        <f t="shared" si="3"/>
        <v>2.2776523</v>
      </c>
      <c r="T414" s="7">
        <f t="shared" si="4"/>
        <v>1</v>
      </c>
      <c r="U414" s="7">
        <f t="shared" si="5"/>
        <v>1</v>
      </c>
      <c r="V414" s="7">
        <f t="shared" ref="V414:W414" si="771">IF(AVERAGE(T354:T413) &gt; 0.25, 1, 0)</f>
        <v>1</v>
      </c>
      <c r="W414" s="7">
        <f t="shared" si="771"/>
        <v>1</v>
      </c>
      <c r="X414" s="8">
        <v>1.0</v>
      </c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 ht="22.5" customHeight="1">
      <c r="A415" s="6">
        <v>414.0</v>
      </c>
      <c r="B415" s="6">
        <v>89183.0</v>
      </c>
      <c r="C415" s="6">
        <v>-2.24</v>
      </c>
      <c r="D415" s="6">
        <v>2.73</v>
      </c>
      <c r="E415" s="6">
        <v>11.14</v>
      </c>
      <c r="F415" s="6">
        <v>-0.15</v>
      </c>
      <c r="G415" s="6">
        <v>-0.14</v>
      </c>
      <c r="H415" s="6">
        <v>-0.73</v>
      </c>
      <c r="I415" s="6">
        <v>33.35</v>
      </c>
      <c r="J415" s="7">
        <f t="shared" ref="J415:O415" si="772">abs(C415-C414)/200</f>
        <v>0.01505</v>
      </c>
      <c r="K415" s="7">
        <f t="shared" si="772"/>
        <v>0.01545</v>
      </c>
      <c r="L415" s="7">
        <f t="shared" si="772"/>
        <v>0.0016</v>
      </c>
      <c r="M415" s="7">
        <f t="shared" si="772"/>
        <v>0.00045</v>
      </c>
      <c r="N415" s="7">
        <f t="shared" si="772"/>
        <v>0.0006</v>
      </c>
      <c r="O415" s="7">
        <f t="shared" si="772"/>
        <v>0.0076</v>
      </c>
      <c r="P415" s="7">
        <f t="shared" si="7"/>
        <v>1.519364756</v>
      </c>
      <c r="Q415" s="7">
        <f t="shared" si="8"/>
        <v>0.8329851708</v>
      </c>
      <c r="R415" s="7">
        <f t="shared" si="2"/>
        <v>1.886321064</v>
      </c>
      <c r="S415" s="7">
        <f t="shared" si="3"/>
        <v>0.7582875444</v>
      </c>
      <c r="T415" s="7">
        <f t="shared" si="4"/>
        <v>1</v>
      </c>
      <c r="U415" s="7">
        <f t="shared" si="5"/>
        <v>1</v>
      </c>
      <c r="V415" s="7">
        <f t="shared" ref="V415:W415" si="773">IF(AVERAGE(T355:T414) &gt; 0.25, 1, 0)</f>
        <v>1</v>
      </c>
      <c r="W415" s="7">
        <f t="shared" si="773"/>
        <v>1</v>
      </c>
      <c r="X415" s="8">
        <v>1.0</v>
      </c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 ht="22.5" customHeight="1">
      <c r="A416" s="6">
        <v>415.0</v>
      </c>
      <c r="B416" s="6">
        <v>89387.0</v>
      </c>
      <c r="C416" s="6">
        <v>0.1</v>
      </c>
      <c r="D416" s="6">
        <v>1.56</v>
      </c>
      <c r="E416" s="6">
        <v>10.79</v>
      </c>
      <c r="F416" s="6">
        <v>-0.16</v>
      </c>
      <c r="G416" s="6">
        <v>0.13</v>
      </c>
      <c r="H416" s="6">
        <v>-0.62</v>
      </c>
      <c r="I416" s="6">
        <v>33.35</v>
      </c>
      <c r="J416" s="7">
        <f t="shared" ref="J416:O416" si="774">abs(C416-C415)/200</f>
        <v>0.0117</v>
      </c>
      <c r="K416" s="7">
        <f t="shared" si="774"/>
        <v>0.00585</v>
      </c>
      <c r="L416" s="7">
        <f t="shared" si="774"/>
        <v>0.00175</v>
      </c>
      <c r="M416" s="7">
        <f t="shared" si="774"/>
        <v>0.00005</v>
      </c>
      <c r="N416" s="7">
        <f t="shared" si="774"/>
        <v>0.00135</v>
      </c>
      <c r="O416" s="7">
        <f t="shared" si="774"/>
        <v>0.00055</v>
      </c>
      <c r="P416" s="7">
        <f t="shared" si="7"/>
        <v>0.1049116954</v>
      </c>
      <c r="Q416" s="7">
        <f t="shared" si="8"/>
        <v>0.7836745958</v>
      </c>
      <c r="R416" s="7">
        <f t="shared" si="2"/>
        <v>1.102646468</v>
      </c>
      <c r="S416" s="7">
        <f t="shared" si="3"/>
        <v>0.653375849</v>
      </c>
      <c r="T416" s="7">
        <f t="shared" si="4"/>
        <v>1</v>
      </c>
      <c r="U416" s="7">
        <f t="shared" si="5"/>
        <v>1</v>
      </c>
      <c r="V416" s="7">
        <f t="shared" ref="V416:W416" si="775">IF(AVERAGE(T356:T415) &gt; 0.25, 1, 0)</f>
        <v>1</v>
      </c>
      <c r="W416" s="7">
        <f t="shared" si="775"/>
        <v>1</v>
      </c>
      <c r="X416" s="8">
        <v>1.0</v>
      </c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 ht="22.5" customHeight="1">
      <c r="A417" s="6">
        <v>416.0</v>
      </c>
      <c r="B417" s="6">
        <v>89591.0</v>
      </c>
      <c r="C417" s="6">
        <v>-0.6</v>
      </c>
      <c r="D417" s="6">
        <v>0.41</v>
      </c>
      <c r="E417" s="6">
        <v>10.76</v>
      </c>
      <c r="F417" s="6">
        <v>-0.07</v>
      </c>
      <c r="G417" s="6">
        <v>0.15</v>
      </c>
      <c r="H417" s="6">
        <v>1.33</v>
      </c>
      <c r="I417" s="6">
        <v>33.36</v>
      </c>
      <c r="J417" s="7">
        <f t="shared" ref="J417:O417" si="776">abs(C417-C416)/200</f>
        <v>0.0035</v>
      </c>
      <c r="K417" s="7">
        <f t="shared" si="776"/>
        <v>0.00575</v>
      </c>
      <c r="L417" s="7">
        <f t="shared" si="776"/>
        <v>0.00015</v>
      </c>
      <c r="M417" s="7">
        <f t="shared" si="776"/>
        <v>0.00045</v>
      </c>
      <c r="N417" s="7">
        <f t="shared" si="776"/>
        <v>0.0001</v>
      </c>
      <c r="O417" s="7">
        <f t="shared" si="776"/>
        <v>0.00975</v>
      </c>
      <c r="P417" s="7">
        <f t="shared" si="7"/>
        <v>0.6868853196</v>
      </c>
      <c r="Q417" s="7">
        <f t="shared" si="8"/>
        <v>0.118134425</v>
      </c>
      <c r="R417" s="7">
        <f t="shared" si="2"/>
        <v>0.9845120427</v>
      </c>
      <c r="S417" s="7">
        <f t="shared" si="3"/>
        <v>1.340261169</v>
      </c>
      <c r="T417" s="7">
        <f t="shared" si="4"/>
        <v>1</v>
      </c>
      <c r="U417" s="7">
        <f t="shared" si="5"/>
        <v>1</v>
      </c>
      <c r="V417" s="7">
        <f t="shared" ref="V417:W417" si="777">IF(AVERAGE(T357:T416) &gt; 0.25, 1, 0)</f>
        <v>1</v>
      </c>
      <c r="W417" s="7">
        <f t="shared" si="777"/>
        <v>1</v>
      </c>
      <c r="X417" s="8">
        <v>1.0</v>
      </c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 ht="22.5" customHeight="1">
      <c r="A418" s="6">
        <v>417.0</v>
      </c>
      <c r="B418" s="6">
        <v>89795.0</v>
      </c>
      <c r="C418" s="6">
        <v>0.83</v>
      </c>
      <c r="D418" s="6">
        <v>-1.12</v>
      </c>
      <c r="E418" s="6">
        <v>10.84</v>
      </c>
      <c r="F418" s="6">
        <v>-0.03</v>
      </c>
      <c r="G418" s="6">
        <v>0.08</v>
      </c>
      <c r="H418" s="6">
        <v>2.94</v>
      </c>
      <c r="I418" s="6">
        <v>33.36</v>
      </c>
      <c r="J418" s="7">
        <f t="shared" ref="J418:O418" si="778">abs(C418-C417)/200</f>
        <v>0.00715</v>
      </c>
      <c r="K418" s="7">
        <f t="shared" si="778"/>
        <v>0.00765</v>
      </c>
      <c r="L418" s="7">
        <f t="shared" si="778"/>
        <v>0.0004</v>
      </c>
      <c r="M418" s="7">
        <f t="shared" si="778"/>
        <v>0.0002</v>
      </c>
      <c r="N418" s="7">
        <f t="shared" si="778"/>
        <v>0.00035</v>
      </c>
      <c r="O418" s="7">
        <f t="shared" si="778"/>
        <v>0.00805</v>
      </c>
      <c r="P418" s="7">
        <f t="shared" si="7"/>
        <v>1.600980066</v>
      </c>
      <c r="Q418" s="7">
        <f t="shared" si="8"/>
        <v>0.1447560023</v>
      </c>
      <c r="R418" s="7">
        <f t="shared" si="2"/>
        <v>1.129268045</v>
      </c>
      <c r="S418" s="7">
        <f t="shared" si="3"/>
        <v>2.941241235</v>
      </c>
      <c r="T418" s="7">
        <f t="shared" si="4"/>
        <v>1</v>
      </c>
      <c r="U418" s="7">
        <f t="shared" si="5"/>
        <v>1</v>
      </c>
      <c r="V418" s="7">
        <f t="shared" ref="V418:W418" si="779">IF(AVERAGE(T358:T417) &gt; 0.25, 1, 0)</f>
        <v>1</v>
      </c>
      <c r="W418" s="7">
        <f t="shared" si="779"/>
        <v>1</v>
      </c>
      <c r="X418" s="8">
        <v>1.0</v>
      </c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 ht="22.5" customHeight="1">
      <c r="A419" s="6">
        <v>418.0</v>
      </c>
      <c r="B419" s="6">
        <v>89999.0</v>
      </c>
      <c r="C419" s="6">
        <v>1.65</v>
      </c>
      <c r="D419" s="6">
        <v>0.09</v>
      </c>
      <c r="E419" s="6">
        <v>10.84</v>
      </c>
      <c r="F419" s="6">
        <v>-0.04</v>
      </c>
      <c r="G419" s="6">
        <v>0.04</v>
      </c>
      <c r="H419" s="6">
        <v>0.42</v>
      </c>
      <c r="I419" s="6">
        <v>33.36</v>
      </c>
      <c r="J419" s="7">
        <f t="shared" ref="J419:O419" si="780">abs(C419-C418)/200</f>
        <v>0.0041</v>
      </c>
      <c r="K419" s="7">
        <f t="shared" si="780"/>
        <v>0.00605</v>
      </c>
      <c r="L419" s="7">
        <f t="shared" si="780"/>
        <v>0</v>
      </c>
      <c r="M419" s="7">
        <f t="shared" si="780"/>
        <v>0.00005</v>
      </c>
      <c r="N419" s="7">
        <f t="shared" si="780"/>
        <v>0.0002</v>
      </c>
      <c r="O419" s="7">
        <f t="shared" si="780"/>
        <v>0.0126</v>
      </c>
      <c r="P419" s="7">
        <f t="shared" si="7"/>
        <v>2.517448833</v>
      </c>
      <c r="Q419" s="7">
        <f t="shared" si="8"/>
        <v>0.03595881081</v>
      </c>
      <c r="R419" s="7">
        <f t="shared" si="2"/>
        <v>1.165226856</v>
      </c>
      <c r="S419" s="7">
        <f t="shared" si="3"/>
        <v>0.423792402</v>
      </c>
      <c r="T419" s="7">
        <f t="shared" si="4"/>
        <v>1</v>
      </c>
      <c r="U419" s="7">
        <f t="shared" si="5"/>
        <v>1</v>
      </c>
      <c r="V419" s="7">
        <f t="shared" ref="V419:W419" si="781">IF(AVERAGE(T359:T418) &gt; 0.25, 1, 0)</f>
        <v>1</v>
      </c>
      <c r="W419" s="7">
        <f t="shared" si="781"/>
        <v>1</v>
      </c>
      <c r="X419" s="8">
        <v>1.0</v>
      </c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 ht="22.5" customHeight="1">
      <c r="A420" s="6">
        <v>419.0</v>
      </c>
      <c r="B420" s="6">
        <v>90203.0</v>
      </c>
      <c r="C420" s="6">
        <v>3.12</v>
      </c>
      <c r="D420" s="6">
        <v>-1.77</v>
      </c>
      <c r="E420" s="6">
        <v>10.47</v>
      </c>
      <c r="F420" s="6">
        <v>-0.04</v>
      </c>
      <c r="G420" s="6">
        <v>-0.11</v>
      </c>
      <c r="H420" s="6">
        <v>-1.18</v>
      </c>
      <c r="I420" s="6">
        <v>33.36</v>
      </c>
      <c r="J420" s="7">
        <f t="shared" ref="J420:O420" si="782">abs(C420-C419)/200</f>
        <v>0.00735</v>
      </c>
      <c r="K420" s="7">
        <f t="shared" si="782"/>
        <v>0.0093</v>
      </c>
      <c r="L420" s="7">
        <f t="shared" si="782"/>
        <v>0.00185</v>
      </c>
      <c r="M420" s="7">
        <f t="shared" si="782"/>
        <v>0</v>
      </c>
      <c r="N420" s="7">
        <f t="shared" si="782"/>
        <v>0.00075</v>
      </c>
      <c r="O420" s="7">
        <f t="shared" si="782"/>
        <v>0.008</v>
      </c>
      <c r="P420" s="7">
        <f t="shared" si="7"/>
        <v>0.7619984733</v>
      </c>
      <c r="Q420" s="7">
        <f t="shared" si="8"/>
        <v>0.1022118723</v>
      </c>
      <c r="R420" s="7">
        <f t="shared" si="2"/>
        <v>1.267438728</v>
      </c>
      <c r="S420" s="7">
        <f t="shared" si="3"/>
        <v>1.185790875</v>
      </c>
      <c r="T420" s="7">
        <f t="shared" si="4"/>
        <v>1</v>
      </c>
      <c r="U420" s="7">
        <f t="shared" si="5"/>
        <v>1</v>
      </c>
      <c r="V420" s="7">
        <f t="shared" ref="V420:W420" si="783">IF(AVERAGE(T360:T419) &gt; 0.25, 1, 0)</f>
        <v>1</v>
      </c>
      <c r="W420" s="7">
        <f t="shared" si="783"/>
        <v>1</v>
      </c>
      <c r="X420" s="8">
        <v>1.0</v>
      </c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 ht="22.5" customHeight="1">
      <c r="A421" s="6">
        <v>420.0</v>
      </c>
      <c r="B421" s="6">
        <v>90407.0</v>
      </c>
      <c r="C421" s="6">
        <v>0.57</v>
      </c>
      <c r="D421" s="6">
        <v>-0.57</v>
      </c>
      <c r="E421" s="6">
        <v>11.17</v>
      </c>
      <c r="F421" s="6">
        <v>-0.22</v>
      </c>
      <c r="G421" s="6">
        <v>-0.29</v>
      </c>
      <c r="H421" s="6">
        <v>-2.63</v>
      </c>
      <c r="I421" s="6">
        <v>33.36</v>
      </c>
      <c r="J421" s="7">
        <f t="shared" ref="J421:O421" si="784">abs(C421-C420)/200</f>
        <v>0.01275</v>
      </c>
      <c r="K421" s="7">
        <f t="shared" si="784"/>
        <v>0.006</v>
      </c>
      <c r="L421" s="7">
        <f t="shared" si="784"/>
        <v>0.0035</v>
      </c>
      <c r="M421" s="7">
        <f t="shared" si="784"/>
        <v>0.0009</v>
      </c>
      <c r="N421" s="7">
        <f t="shared" si="784"/>
        <v>0.0009</v>
      </c>
      <c r="O421" s="7">
        <f t="shared" si="784"/>
        <v>0.00725</v>
      </c>
      <c r="P421" s="7">
        <f t="shared" si="7"/>
        <v>1.469279745</v>
      </c>
      <c r="Q421" s="7">
        <f t="shared" si="8"/>
        <v>0.1316103387</v>
      </c>
      <c r="R421" s="7">
        <f t="shared" si="2"/>
        <v>1.399049067</v>
      </c>
      <c r="S421" s="7">
        <f t="shared" si="3"/>
        <v>2.655070621</v>
      </c>
      <c r="T421" s="7">
        <f t="shared" si="4"/>
        <v>1</v>
      </c>
      <c r="U421" s="7">
        <f t="shared" si="5"/>
        <v>1</v>
      </c>
      <c r="V421" s="7">
        <f t="shared" ref="V421:W421" si="785">IF(AVERAGE(T361:T420) &gt; 0.25, 1, 0)</f>
        <v>1</v>
      </c>
      <c r="W421" s="7">
        <f t="shared" si="785"/>
        <v>1</v>
      </c>
      <c r="X421" s="8">
        <v>1.0</v>
      </c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 ht="22.5" customHeight="1">
      <c r="A422" s="6">
        <v>421.0</v>
      </c>
      <c r="B422" s="6">
        <v>90611.0</v>
      </c>
      <c r="C422" s="6">
        <v>-3.21</v>
      </c>
      <c r="D422" s="6">
        <v>1.77</v>
      </c>
      <c r="E422" s="6">
        <v>11.04</v>
      </c>
      <c r="F422" s="6">
        <v>-0.25</v>
      </c>
      <c r="G422" s="6">
        <v>-0.2</v>
      </c>
      <c r="H422" s="6">
        <v>-2.65</v>
      </c>
      <c r="I422" s="6">
        <v>33.36</v>
      </c>
      <c r="J422" s="7">
        <f t="shared" ref="J422:O422" si="786">abs(C422-C421)/200</f>
        <v>0.0189</v>
      </c>
      <c r="K422" s="7">
        <f t="shared" si="786"/>
        <v>0.0117</v>
      </c>
      <c r="L422" s="7">
        <f t="shared" si="786"/>
        <v>0.00065</v>
      </c>
      <c r="M422" s="7">
        <f t="shared" si="786"/>
        <v>0.00015</v>
      </c>
      <c r="N422" s="7">
        <f t="shared" si="786"/>
        <v>0.00045</v>
      </c>
      <c r="O422" s="7">
        <f t="shared" si="786"/>
        <v>0.0001</v>
      </c>
      <c r="P422" s="7">
        <f t="shared" si="7"/>
        <v>0.01419894248</v>
      </c>
      <c r="Q422" s="7">
        <f t="shared" si="8"/>
        <v>0.4336032533</v>
      </c>
      <c r="R422" s="7">
        <f t="shared" si="2"/>
        <v>1.83265232</v>
      </c>
      <c r="S422" s="7">
        <f t="shared" si="3"/>
        <v>2.669269563</v>
      </c>
      <c r="T422" s="7">
        <f t="shared" si="4"/>
        <v>1</v>
      </c>
      <c r="U422" s="7">
        <f t="shared" si="5"/>
        <v>1</v>
      </c>
      <c r="V422" s="7">
        <f t="shared" ref="V422:W422" si="787">IF(AVERAGE(T362:T421) &gt; 0.25, 1, 0)</f>
        <v>1</v>
      </c>
      <c r="W422" s="7">
        <f t="shared" si="787"/>
        <v>1</v>
      </c>
      <c r="X422" s="8">
        <v>1.0</v>
      </c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 ht="22.5" customHeight="1">
      <c r="A423" s="6">
        <v>422.0</v>
      </c>
      <c r="B423" s="6">
        <v>90815.0</v>
      </c>
      <c r="C423" s="6">
        <v>0.59</v>
      </c>
      <c r="D423" s="6">
        <v>0.83</v>
      </c>
      <c r="E423" s="6">
        <v>10.62</v>
      </c>
      <c r="F423" s="6">
        <v>-0.16</v>
      </c>
      <c r="G423" s="6">
        <v>0.08</v>
      </c>
      <c r="H423" s="6">
        <v>-0.83</v>
      </c>
      <c r="I423" s="6">
        <v>33.36</v>
      </c>
      <c r="J423" s="7">
        <f t="shared" ref="J423:O423" si="788">abs(C423-C422)/200</f>
        <v>0.019</v>
      </c>
      <c r="K423" s="7">
        <f t="shared" si="788"/>
        <v>0.0047</v>
      </c>
      <c r="L423" s="7">
        <f t="shared" si="788"/>
        <v>0.0021</v>
      </c>
      <c r="M423" s="7">
        <f t="shared" si="788"/>
        <v>0.00045</v>
      </c>
      <c r="N423" s="7">
        <f t="shared" si="788"/>
        <v>0.0014</v>
      </c>
      <c r="O423" s="7">
        <f t="shared" si="788"/>
        <v>0.0091</v>
      </c>
      <c r="P423" s="7">
        <f t="shared" si="7"/>
        <v>1.820211261</v>
      </c>
      <c r="Q423" s="7">
        <f t="shared" si="8"/>
        <v>0.9639410577</v>
      </c>
      <c r="R423" s="7">
        <f t="shared" si="2"/>
        <v>0.8687112624</v>
      </c>
      <c r="S423" s="7">
        <f t="shared" si="3"/>
        <v>0.8490583019</v>
      </c>
      <c r="T423" s="7">
        <f t="shared" si="4"/>
        <v>1</v>
      </c>
      <c r="U423" s="7">
        <f t="shared" si="5"/>
        <v>1</v>
      </c>
      <c r="V423" s="7">
        <f t="shared" ref="V423:W423" si="789">IF(AVERAGE(T363:T422) &gt; 0.25, 1, 0)</f>
        <v>1</v>
      </c>
      <c r="W423" s="7">
        <f t="shared" si="789"/>
        <v>1</v>
      </c>
      <c r="X423" s="8">
        <v>1.0</v>
      </c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 ht="22.5" customHeight="1">
      <c r="A424" s="6">
        <v>423.0</v>
      </c>
      <c r="B424" s="6">
        <v>91019.0</v>
      </c>
      <c r="C424" s="6">
        <v>-0.11</v>
      </c>
      <c r="D424" s="6">
        <v>1.62</v>
      </c>
      <c r="E424" s="6">
        <v>10.75</v>
      </c>
      <c r="F424" s="6">
        <v>-0.12</v>
      </c>
      <c r="G424" s="6">
        <v>-0.01</v>
      </c>
      <c r="H424" s="6">
        <v>0.01</v>
      </c>
      <c r="I424" s="6">
        <v>33.35</v>
      </c>
      <c r="J424" s="7">
        <f t="shared" ref="J424:O424" si="790">abs(C424-C423)/200</f>
        <v>0.0035</v>
      </c>
      <c r="K424" s="7">
        <f t="shared" si="790"/>
        <v>0.00395</v>
      </c>
      <c r="L424" s="7">
        <f t="shared" si="790"/>
        <v>0.00065</v>
      </c>
      <c r="M424" s="7">
        <f t="shared" si="790"/>
        <v>0.0002</v>
      </c>
      <c r="N424" s="7">
        <f t="shared" si="790"/>
        <v>0.00045</v>
      </c>
      <c r="O424" s="7">
        <f t="shared" si="790"/>
        <v>0.0042</v>
      </c>
      <c r="P424" s="7">
        <f t="shared" si="7"/>
        <v>0.7282278421</v>
      </c>
      <c r="Q424" s="7">
        <f t="shared" si="8"/>
        <v>0.2032250877</v>
      </c>
      <c r="R424" s="7">
        <f t="shared" si="2"/>
        <v>1.07193635</v>
      </c>
      <c r="S424" s="7">
        <f t="shared" si="3"/>
        <v>0.1208304597</v>
      </c>
      <c r="T424" s="7">
        <f t="shared" si="4"/>
        <v>1</v>
      </c>
      <c r="U424" s="7">
        <f t="shared" si="5"/>
        <v>1</v>
      </c>
      <c r="V424" s="7">
        <f t="shared" ref="V424:W424" si="791">IF(AVERAGE(T364:T423) &gt; 0.25, 1, 0)</f>
        <v>1</v>
      </c>
      <c r="W424" s="7">
        <f t="shared" si="791"/>
        <v>1</v>
      </c>
      <c r="X424" s="8">
        <v>1.0</v>
      </c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 ht="22.5" customHeight="1">
      <c r="A425" s="6">
        <v>424.0</v>
      </c>
      <c r="B425" s="6">
        <v>91223.0</v>
      </c>
      <c r="C425" s="6">
        <v>0.11</v>
      </c>
      <c r="D425" s="6">
        <v>0.23</v>
      </c>
      <c r="E425" s="6">
        <v>10.94</v>
      </c>
      <c r="F425" s="6">
        <v>-0.05</v>
      </c>
      <c r="G425" s="6">
        <v>0.08</v>
      </c>
      <c r="H425" s="6">
        <v>1.97</v>
      </c>
      <c r="I425" s="6">
        <v>33.35</v>
      </c>
      <c r="J425" s="7">
        <f t="shared" ref="J425:O425" si="792">abs(C425-C424)/200</f>
        <v>0.0011</v>
      </c>
      <c r="K425" s="7">
        <f t="shared" si="792"/>
        <v>0.00695</v>
      </c>
      <c r="L425" s="7">
        <f t="shared" si="792"/>
        <v>0.00095</v>
      </c>
      <c r="M425" s="7">
        <f t="shared" si="792"/>
        <v>0.00035</v>
      </c>
      <c r="N425" s="7">
        <f t="shared" si="792"/>
        <v>0.00045</v>
      </c>
      <c r="O425" s="7">
        <f t="shared" si="792"/>
        <v>0.0098</v>
      </c>
      <c r="P425" s="7">
        <f t="shared" si="7"/>
        <v>1.85142713</v>
      </c>
      <c r="Q425" s="7">
        <f t="shared" si="8"/>
        <v>0.07103399623</v>
      </c>
      <c r="R425" s="7">
        <f t="shared" si="2"/>
        <v>1.142970346</v>
      </c>
      <c r="S425" s="7">
        <f t="shared" si="3"/>
        <v>1.97225759</v>
      </c>
      <c r="T425" s="7">
        <f t="shared" si="4"/>
        <v>1</v>
      </c>
      <c r="U425" s="7">
        <f t="shared" si="5"/>
        <v>1</v>
      </c>
      <c r="V425" s="7">
        <f t="shared" ref="V425:W425" si="793">IF(AVERAGE(T365:T424) &gt; 0.25, 1, 0)</f>
        <v>1</v>
      </c>
      <c r="W425" s="7">
        <f t="shared" si="793"/>
        <v>1</v>
      </c>
      <c r="X425" s="8">
        <v>1.0</v>
      </c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 ht="22.5" customHeight="1">
      <c r="A426" s="6">
        <v>425.0</v>
      </c>
      <c r="B426" s="6">
        <v>91427.0</v>
      </c>
      <c r="C426" s="6">
        <v>0.28</v>
      </c>
      <c r="D426" s="6">
        <v>-0.67</v>
      </c>
      <c r="E426" s="6">
        <v>10.85</v>
      </c>
      <c r="F426" s="6">
        <v>-0.05</v>
      </c>
      <c r="G426" s="6">
        <v>0.15</v>
      </c>
      <c r="H426" s="6">
        <v>2.75</v>
      </c>
      <c r="I426" s="6">
        <v>33.35</v>
      </c>
      <c r="J426" s="7">
        <f t="shared" ref="J426:O426" si="794">abs(C426-C425)/200</f>
        <v>0.00085</v>
      </c>
      <c r="K426" s="7">
        <f t="shared" si="794"/>
        <v>0.0045</v>
      </c>
      <c r="L426" s="7">
        <f t="shared" si="794"/>
        <v>0.00045</v>
      </c>
      <c r="M426" s="7">
        <f t="shared" si="794"/>
        <v>0</v>
      </c>
      <c r="N426" s="7">
        <f t="shared" si="794"/>
        <v>0.00035</v>
      </c>
      <c r="O426" s="7">
        <f t="shared" si="794"/>
        <v>0.0039</v>
      </c>
      <c r="P426" s="7">
        <f t="shared" si="7"/>
        <v>0.7822841145</v>
      </c>
      <c r="Q426" s="7">
        <f t="shared" si="8"/>
        <v>0.06869795685</v>
      </c>
      <c r="R426" s="7">
        <f t="shared" si="2"/>
        <v>1.074272389</v>
      </c>
      <c r="S426" s="7">
        <f t="shared" si="3"/>
        <v>2.754541704</v>
      </c>
      <c r="T426" s="7">
        <f t="shared" si="4"/>
        <v>1</v>
      </c>
      <c r="U426" s="7">
        <f t="shared" si="5"/>
        <v>1</v>
      </c>
      <c r="V426" s="7">
        <f t="shared" ref="V426:W426" si="795">IF(AVERAGE(T366:T425) &gt; 0.25, 1, 0)</f>
        <v>1</v>
      </c>
      <c r="W426" s="7">
        <f t="shared" si="795"/>
        <v>1</v>
      </c>
      <c r="X426" s="8">
        <v>1.0</v>
      </c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 ht="22.5" customHeight="1">
      <c r="A427" s="6">
        <v>426.0</v>
      </c>
      <c r="B427" s="6">
        <v>91631.0</v>
      </c>
      <c r="C427" s="6">
        <v>3.23</v>
      </c>
      <c r="D427" s="6">
        <v>-1.72</v>
      </c>
      <c r="E427" s="6">
        <v>10.6</v>
      </c>
      <c r="F427" s="6">
        <v>-0.02</v>
      </c>
      <c r="G427" s="6">
        <v>0.07</v>
      </c>
      <c r="H427" s="6">
        <v>2.63</v>
      </c>
      <c r="I427" s="6">
        <v>33.35</v>
      </c>
      <c r="J427" s="7">
        <f t="shared" ref="J427:O427" si="796">abs(C427-C426)/200</f>
        <v>0.01475</v>
      </c>
      <c r="K427" s="7">
        <f t="shared" si="796"/>
        <v>0.00525</v>
      </c>
      <c r="L427" s="7">
        <f t="shared" si="796"/>
        <v>0.00125</v>
      </c>
      <c r="M427" s="7">
        <f t="shared" si="796"/>
        <v>0.00015</v>
      </c>
      <c r="N427" s="7">
        <f t="shared" si="796"/>
        <v>0.0004</v>
      </c>
      <c r="O427" s="7">
        <f t="shared" si="796"/>
        <v>0.0006</v>
      </c>
      <c r="P427" s="7">
        <f t="shared" si="7"/>
        <v>0.1235342925</v>
      </c>
      <c r="Q427" s="7">
        <f t="shared" si="8"/>
        <v>0.3396163205</v>
      </c>
      <c r="R427" s="7">
        <f t="shared" si="2"/>
        <v>1.41388871</v>
      </c>
      <c r="S427" s="7">
        <f t="shared" si="3"/>
        <v>2.631007412</v>
      </c>
      <c r="T427" s="7">
        <f t="shared" si="4"/>
        <v>1</v>
      </c>
      <c r="U427" s="7">
        <f t="shared" si="5"/>
        <v>1</v>
      </c>
      <c r="V427" s="7">
        <f t="shared" ref="V427:W427" si="797">IF(AVERAGE(T367:T426) &gt; 0.25, 1, 0)</f>
        <v>1</v>
      </c>
      <c r="W427" s="7">
        <f t="shared" si="797"/>
        <v>1</v>
      </c>
      <c r="X427" s="8">
        <v>1.0</v>
      </c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 ht="22.5" customHeight="1">
      <c r="A428" s="6">
        <v>427.0</v>
      </c>
      <c r="B428" s="6">
        <v>91835.0</v>
      </c>
      <c r="C428" s="6">
        <v>3.06</v>
      </c>
      <c r="D428" s="6">
        <v>-1.6</v>
      </c>
      <c r="E428" s="6">
        <v>10.6</v>
      </c>
      <c r="F428" s="6">
        <v>0.0</v>
      </c>
      <c r="G428" s="6">
        <v>-0.07</v>
      </c>
      <c r="H428" s="6">
        <v>0.47</v>
      </c>
      <c r="I428" s="6">
        <v>33.35</v>
      </c>
      <c r="J428" s="7">
        <f t="shared" ref="J428:O428" si="798">abs(C428-C427)/200</f>
        <v>0.00085</v>
      </c>
      <c r="K428" s="7">
        <f t="shared" si="798"/>
        <v>0.0006</v>
      </c>
      <c r="L428" s="7">
        <f t="shared" si="798"/>
        <v>0</v>
      </c>
      <c r="M428" s="7">
        <f t="shared" si="798"/>
        <v>0.0001</v>
      </c>
      <c r="N428" s="7">
        <f t="shared" si="798"/>
        <v>0.0007</v>
      </c>
      <c r="O428" s="7">
        <f t="shared" si="798"/>
        <v>0.0108</v>
      </c>
      <c r="P428" s="7">
        <f t="shared" si="7"/>
        <v>2.155823237</v>
      </c>
      <c r="Q428" s="7">
        <f t="shared" si="8"/>
        <v>0.06563324108</v>
      </c>
      <c r="R428" s="7">
        <f t="shared" si="2"/>
        <v>1.348255469</v>
      </c>
      <c r="S428" s="7">
        <f t="shared" si="3"/>
        <v>0.4751841748</v>
      </c>
      <c r="T428" s="7">
        <f t="shared" si="4"/>
        <v>1</v>
      </c>
      <c r="U428" s="7">
        <f t="shared" si="5"/>
        <v>1</v>
      </c>
      <c r="V428" s="7">
        <f t="shared" ref="V428:W428" si="799">IF(AVERAGE(T368:T427) &gt; 0.25, 1, 0)</f>
        <v>1</v>
      </c>
      <c r="W428" s="7">
        <f t="shared" si="799"/>
        <v>1</v>
      </c>
      <c r="X428" s="8">
        <v>1.0</v>
      </c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 ht="22.5" customHeight="1">
      <c r="A429" s="6">
        <v>428.0</v>
      </c>
      <c r="B429" s="6">
        <v>92039.0</v>
      </c>
      <c r="C429" s="6">
        <v>-0.03</v>
      </c>
      <c r="D429" s="6">
        <v>2.06</v>
      </c>
      <c r="E429" s="6">
        <v>10.88</v>
      </c>
      <c r="F429" s="6">
        <v>-0.33</v>
      </c>
      <c r="G429" s="6">
        <v>-0.14</v>
      </c>
      <c r="H429" s="6">
        <v>-2.32</v>
      </c>
      <c r="I429" s="6">
        <v>33.36</v>
      </c>
      <c r="J429" s="7">
        <f t="shared" ref="J429:O429" si="800">abs(C429-C428)/200</f>
        <v>0.01545</v>
      </c>
      <c r="K429" s="7">
        <f t="shared" si="800"/>
        <v>0.0183</v>
      </c>
      <c r="L429" s="7">
        <f t="shared" si="800"/>
        <v>0.0014</v>
      </c>
      <c r="M429" s="7">
        <f t="shared" si="800"/>
        <v>0.00165</v>
      </c>
      <c r="N429" s="7">
        <f t="shared" si="800"/>
        <v>0.00035</v>
      </c>
      <c r="O429" s="7">
        <f t="shared" si="800"/>
        <v>0.01395</v>
      </c>
      <c r="P429" s="7">
        <f t="shared" si="7"/>
        <v>1.872346443</v>
      </c>
      <c r="Q429" s="7">
        <f t="shared" si="8"/>
        <v>0.07491360658</v>
      </c>
      <c r="R429" s="7">
        <f t="shared" si="2"/>
        <v>1.273341862</v>
      </c>
      <c r="S429" s="7">
        <f t="shared" si="3"/>
        <v>2.347530617</v>
      </c>
      <c r="T429" s="7">
        <f t="shared" si="4"/>
        <v>1</v>
      </c>
      <c r="U429" s="7">
        <f t="shared" si="5"/>
        <v>1</v>
      </c>
      <c r="V429" s="7">
        <f t="shared" ref="V429:W429" si="801">IF(AVERAGE(T369:T428) &gt; 0.25, 1, 0)</f>
        <v>1</v>
      </c>
      <c r="W429" s="7">
        <f t="shared" si="801"/>
        <v>1</v>
      </c>
      <c r="X429" s="8">
        <v>1.0</v>
      </c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 ht="22.5" customHeight="1">
      <c r="A430" s="6">
        <v>429.0</v>
      </c>
      <c r="B430" s="6">
        <v>92243.0</v>
      </c>
      <c r="C430" s="6">
        <v>-0.04</v>
      </c>
      <c r="D430" s="6">
        <v>1.31</v>
      </c>
      <c r="E430" s="6">
        <v>10.69</v>
      </c>
      <c r="F430" s="6">
        <v>-0.24</v>
      </c>
      <c r="G430" s="6">
        <v>0.36</v>
      </c>
      <c r="H430" s="6">
        <v>-1.69</v>
      </c>
      <c r="I430" s="6">
        <v>33.36</v>
      </c>
      <c r="J430" s="7">
        <f t="shared" ref="J430:O430" si="802">abs(C430-C429)/200</f>
        <v>0.00005</v>
      </c>
      <c r="K430" s="7">
        <f t="shared" si="802"/>
        <v>0.00375</v>
      </c>
      <c r="L430" s="7">
        <f t="shared" si="802"/>
        <v>0.00095</v>
      </c>
      <c r="M430" s="7">
        <f t="shared" si="802"/>
        <v>0.00045</v>
      </c>
      <c r="N430" s="7">
        <f t="shared" si="802"/>
        <v>0.0025</v>
      </c>
      <c r="O430" s="7">
        <f t="shared" si="802"/>
        <v>0.00315</v>
      </c>
      <c r="P430" s="7">
        <f t="shared" si="7"/>
        <v>0.6030249568</v>
      </c>
      <c r="Q430" s="7">
        <f t="shared" si="8"/>
        <v>0.3033000797</v>
      </c>
      <c r="R430" s="7">
        <f t="shared" si="2"/>
        <v>0.9700417826</v>
      </c>
      <c r="S430" s="7">
        <f t="shared" si="3"/>
        <v>1.744505661</v>
      </c>
      <c r="T430" s="7">
        <f t="shared" si="4"/>
        <v>1</v>
      </c>
      <c r="U430" s="7">
        <f t="shared" si="5"/>
        <v>1</v>
      </c>
      <c r="V430" s="7">
        <f t="shared" ref="V430:W430" si="803">IF(AVERAGE(T370:T429) &gt; 0.25, 1, 0)</f>
        <v>1</v>
      </c>
      <c r="W430" s="7">
        <f t="shared" si="803"/>
        <v>1</v>
      </c>
      <c r="X430" s="8">
        <v>1.0</v>
      </c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ht="22.5" customHeight="1">
      <c r="A431" s="6">
        <v>430.0</v>
      </c>
      <c r="B431" s="6">
        <v>92447.0</v>
      </c>
      <c r="C431" s="6">
        <v>-1.49</v>
      </c>
      <c r="D431" s="6">
        <v>0.6</v>
      </c>
      <c r="E431" s="6">
        <v>11.0</v>
      </c>
      <c r="F431" s="6">
        <v>-0.13</v>
      </c>
      <c r="G431" s="6">
        <v>-0.24</v>
      </c>
      <c r="H431" s="6">
        <v>2.24</v>
      </c>
      <c r="I431" s="6">
        <v>33.35</v>
      </c>
      <c r="J431" s="7">
        <f t="shared" ref="J431:O431" si="804">abs(C431-C430)/200</f>
        <v>0.00725</v>
      </c>
      <c r="K431" s="7">
        <f t="shared" si="804"/>
        <v>0.00355</v>
      </c>
      <c r="L431" s="7">
        <f t="shared" si="804"/>
        <v>0.00155</v>
      </c>
      <c r="M431" s="7">
        <f t="shared" si="804"/>
        <v>0.00055</v>
      </c>
      <c r="N431" s="7">
        <f t="shared" si="804"/>
        <v>0.003</v>
      </c>
      <c r="O431" s="7">
        <f t="shared" si="804"/>
        <v>0.01965</v>
      </c>
      <c r="P431" s="7">
        <f t="shared" si="7"/>
        <v>0.5120625302</v>
      </c>
      <c r="Q431" s="7">
        <f t="shared" si="8"/>
        <v>0.346616888</v>
      </c>
      <c r="R431" s="7">
        <f t="shared" si="2"/>
        <v>1.316658671</v>
      </c>
      <c r="S431" s="7">
        <f t="shared" si="3"/>
        <v>2.256568191</v>
      </c>
      <c r="T431" s="7">
        <f t="shared" si="4"/>
        <v>1</v>
      </c>
      <c r="U431" s="7">
        <f t="shared" si="5"/>
        <v>1</v>
      </c>
      <c r="V431" s="7">
        <f t="shared" ref="V431:W431" si="805">IF(AVERAGE(T371:T430) &gt; 0.25, 1, 0)</f>
        <v>1</v>
      </c>
      <c r="W431" s="7">
        <f t="shared" si="805"/>
        <v>1</v>
      </c>
      <c r="X431" s="8">
        <v>1.0</v>
      </c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ht="22.5" customHeight="1">
      <c r="A432" s="6">
        <v>431.0</v>
      </c>
      <c r="B432" s="6">
        <v>92651.0</v>
      </c>
      <c r="C432" s="6">
        <v>3.84</v>
      </c>
      <c r="D432" s="6">
        <v>-1.07</v>
      </c>
      <c r="E432" s="6">
        <v>10.75</v>
      </c>
      <c r="F432" s="6">
        <v>0.0</v>
      </c>
      <c r="G432" s="6">
        <v>0.26</v>
      </c>
      <c r="H432" s="6">
        <v>1.2</v>
      </c>
      <c r="I432" s="6">
        <v>33.35</v>
      </c>
      <c r="J432" s="7">
        <f t="shared" ref="J432:O432" si="806">abs(C432-C431)/200</f>
        <v>0.02665</v>
      </c>
      <c r="K432" s="7">
        <f t="shared" si="806"/>
        <v>0.00835</v>
      </c>
      <c r="L432" s="7">
        <f t="shared" si="806"/>
        <v>0.00125</v>
      </c>
      <c r="M432" s="7">
        <f t="shared" si="806"/>
        <v>0.00065</v>
      </c>
      <c r="N432" s="7">
        <f t="shared" si="806"/>
        <v>0.0025</v>
      </c>
      <c r="O432" s="7">
        <f t="shared" si="806"/>
        <v>0.0052</v>
      </c>
      <c r="P432" s="7">
        <f t="shared" si="7"/>
        <v>1.028724553</v>
      </c>
      <c r="Q432" s="7">
        <f t="shared" si="8"/>
        <v>0.34863679</v>
      </c>
      <c r="R432" s="7">
        <f t="shared" si="2"/>
        <v>1.665295461</v>
      </c>
      <c r="S432" s="7">
        <f t="shared" si="3"/>
        <v>1.227843638</v>
      </c>
      <c r="T432" s="7">
        <f t="shared" si="4"/>
        <v>1</v>
      </c>
      <c r="U432" s="7">
        <f t="shared" si="5"/>
        <v>1</v>
      </c>
      <c r="V432" s="7">
        <f t="shared" ref="V432:W432" si="807">IF(AVERAGE(T372:T431) &gt; 0.25, 1, 0)</f>
        <v>1</v>
      </c>
      <c r="W432" s="7">
        <f t="shared" si="807"/>
        <v>1</v>
      </c>
      <c r="X432" s="8">
        <v>1.0</v>
      </c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ht="22.5" customHeight="1">
      <c r="A433" s="6">
        <v>432.0</v>
      </c>
      <c r="B433" s="6">
        <v>92855.0</v>
      </c>
      <c r="C433" s="6">
        <v>3.97</v>
      </c>
      <c r="D433" s="6">
        <v>-0.35</v>
      </c>
      <c r="E433" s="6">
        <v>10.54</v>
      </c>
      <c r="F433" s="6">
        <v>-0.27</v>
      </c>
      <c r="G433" s="6">
        <v>-0.31</v>
      </c>
      <c r="H433" s="6">
        <v>-1.75</v>
      </c>
      <c r="I433" s="6">
        <v>33.36</v>
      </c>
      <c r="J433" s="7">
        <f t="shared" ref="J433:O433" si="808">abs(C433-C432)/200</f>
        <v>0.00065</v>
      </c>
      <c r="K433" s="7">
        <f t="shared" si="808"/>
        <v>0.0036</v>
      </c>
      <c r="L433" s="7">
        <f t="shared" si="808"/>
        <v>0.00105</v>
      </c>
      <c r="M433" s="7">
        <f t="shared" si="808"/>
        <v>0.00135</v>
      </c>
      <c r="N433" s="7">
        <f t="shared" si="808"/>
        <v>0.00285</v>
      </c>
      <c r="O433" s="7">
        <f t="shared" si="808"/>
        <v>0.01475</v>
      </c>
      <c r="P433" s="7">
        <f t="shared" si="7"/>
        <v>0.5697937</v>
      </c>
      <c r="Q433" s="7">
        <f t="shared" si="8"/>
        <v>0.1969770413</v>
      </c>
      <c r="R433" s="7">
        <f t="shared" si="2"/>
        <v>1.468318419</v>
      </c>
      <c r="S433" s="7">
        <f t="shared" si="3"/>
        <v>1.797637338</v>
      </c>
      <c r="T433" s="7">
        <f t="shared" si="4"/>
        <v>1</v>
      </c>
      <c r="U433" s="7">
        <f t="shared" si="5"/>
        <v>1</v>
      </c>
      <c r="V433" s="7">
        <f t="shared" ref="V433:W433" si="809">IF(AVERAGE(T373:T432) &gt; 0.25, 1, 0)</f>
        <v>1</v>
      </c>
      <c r="W433" s="7">
        <f t="shared" si="809"/>
        <v>1</v>
      </c>
      <c r="X433" s="8">
        <v>1.0</v>
      </c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ht="22.5" customHeight="1">
      <c r="A434" s="6">
        <v>433.0</v>
      </c>
      <c r="B434" s="6">
        <v>93059.0</v>
      </c>
      <c r="C434" s="6">
        <v>-1.64</v>
      </c>
      <c r="D434" s="6">
        <v>-2.4</v>
      </c>
      <c r="E434" s="6">
        <v>10.95</v>
      </c>
      <c r="F434" s="6">
        <v>-0.67</v>
      </c>
      <c r="G434" s="6">
        <v>-0.01</v>
      </c>
      <c r="H434" s="6">
        <v>-4.64</v>
      </c>
      <c r="I434" s="6">
        <v>33.36</v>
      </c>
      <c r="J434" s="7">
        <f t="shared" ref="J434:O434" si="810">abs(C434-C433)/200</f>
        <v>0.02805</v>
      </c>
      <c r="K434" s="7">
        <f t="shared" si="810"/>
        <v>0.01025</v>
      </c>
      <c r="L434" s="7">
        <f t="shared" si="810"/>
        <v>0.00205</v>
      </c>
      <c r="M434" s="7">
        <f t="shared" si="810"/>
        <v>0.002</v>
      </c>
      <c r="N434" s="7">
        <f t="shared" si="810"/>
        <v>0.0015</v>
      </c>
      <c r="O434" s="7">
        <f t="shared" si="810"/>
        <v>0.01445</v>
      </c>
      <c r="P434" s="7">
        <f t="shared" si="7"/>
        <v>2.890496619</v>
      </c>
      <c r="Q434" s="7">
        <f t="shared" si="8"/>
        <v>0.06094016186</v>
      </c>
      <c r="R434" s="7">
        <f t="shared" si="2"/>
        <v>1.529258581</v>
      </c>
      <c r="S434" s="7">
        <f t="shared" si="3"/>
        <v>4.688133957</v>
      </c>
      <c r="T434" s="7">
        <f t="shared" si="4"/>
        <v>1</v>
      </c>
      <c r="U434" s="7">
        <f t="shared" si="5"/>
        <v>1</v>
      </c>
      <c r="V434" s="7">
        <f t="shared" ref="V434:W434" si="811">IF(AVERAGE(T374:T433) &gt; 0.25, 1, 0)</f>
        <v>1</v>
      </c>
      <c r="W434" s="7">
        <f t="shared" si="811"/>
        <v>1</v>
      </c>
      <c r="X434" s="8">
        <v>1.0</v>
      </c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ht="22.5" customHeight="1">
      <c r="A435" s="6">
        <v>434.0</v>
      </c>
      <c r="B435" s="6">
        <v>93263.0</v>
      </c>
      <c r="C435" s="6">
        <v>-1.66</v>
      </c>
      <c r="D435" s="6">
        <v>-1.78</v>
      </c>
      <c r="E435" s="6">
        <v>10.65</v>
      </c>
      <c r="F435" s="6">
        <v>-0.05</v>
      </c>
      <c r="G435" s="6">
        <v>-0.07</v>
      </c>
      <c r="H435" s="6">
        <v>1.37</v>
      </c>
      <c r="I435" s="6">
        <v>33.35</v>
      </c>
      <c r="J435" s="7">
        <f t="shared" ref="J435:O435" si="812">abs(C435-C434)/200</f>
        <v>0.0001</v>
      </c>
      <c r="K435" s="7">
        <f t="shared" si="812"/>
        <v>0.0031</v>
      </c>
      <c r="L435" s="7">
        <f t="shared" si="812"/>
        <v>0.0015</v>
      </c>
      <c r="M435" s="7">
        <f t="shared" si="812"/>
        <v>0.0031</v>
      </c>
      <c r="N435" s="7">
        <f t="shared" si="812"/>
        <v>0.0003</v>
      </c>
      <c r="O435" s="7">
        <f t="shared" si="812"/>
        <v>0.03005</v>
      </c>
      <c r="P435" s="7">
        <f t="shared" si="7"/>
        <v>3.315435884</v>
      </c>
      <c r="Q435" s="7">
        <f t="shared" si="8"/>
        <v>0.4046762093</v>
      </c>
      <c r="R435" s="7">
        <f t="shared" si="2"/>
        <v>1.124582372</v>
      </c>
      <c r="S435" s="7">
        <f t="shared" si="3"/>
        <v>1.372698073</v>
      </c>
      <c r="T435" s="7">
        <f t="shared" si="4"/>
        <v>1</v>
      </c>
      <c r="U435" s="7">
        <f t="shared" si="5"/>
        <v>1</v>
      </c>
      <c r="V435" s="7">
        <f t="shared" ref="V435:W435" si="813">IF(AVERAGE(T375:T434) &gt; 0.25, 1, 0)</f>
        <v>1</v>
      </c>
      <c r="W435" s="7">
        <f t="shared" si="813"/>
        <v>1</v>
      </c>
      <c r="X435" s="8">
        <v>1.0</v>
      </c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ht="22.5" customHeight="1">
      <c r="A436" s="6">
        <v>435.0</v>
      </c>
      <c r="B436" s="6">
        <v>93467.0</v>
      </c>
      <c r="C436" s="6">
        <v>3.07</v>
      </c>
      <c r="D436" s="6">
        <v>0.03</v>
      </c>
      <c r="E436" s="6">
        <v>10.69</v>
      </c>
      <c r="F436" s="6">
        <v>0.0</v>
      </c>
      <c r="G436" s="6">
        <v>0.07</v>
      </c>
      <c r="H436" s="6">
        <v>0.1</v>
      </c>
      <c r="I436" s="6">
        <v>33.36</v>
      </c>
      <c r="J436" s="7">
        <f t="shared" ref="J436:O436" si="814">abs(C436-C435)/200</f>
        <v>0.02365</v>
      </c>
      <c r="K436" s="7">
        <f t="shared" si="814"/>
        <v>0.00905</v>
      </c>
      <c r="L436" s="7">
        <f t="shared" si="814"/>
        <v>0.0002</v>
      </c>
      <c r="M436" s="7">
        <f t="shared" si="814"/>
        <v>0.00025</v>
      </c>
      <c r="N436" s="7">
        <f t="shared" si="814"/>
        <v>0.0007</v>
      </c>
      <c r="O436" s="7">
        <f t="shared" si="814"/>
        <v>0.00635</v>
      </c>
      <c r="P436" s="7">
        <f t="shared" si="7"/>
        <v>1.250632517</v>
      </c>
      <c r="Q436" s="7">
        <f t="shared" si="8"/>
        <v>0.1975532144</v>
      </c>
      <c r="R436" s="7">
        <f t="shared" si="2"/>
        <v>1.322135586</v>
      </c>
      <c r="S436" s="7">
        <f t="shared" si="3"/>
        <v>0.1220655562</v>
      </c>
      <c r="T436" s="7">
        <f t="shared" si="4"/>
        <v>1</v>
      </c>
      <c r="U436" s="7">
        <f t="shared" si="5"/>
        <v>1</v>
      </c>
      <c r="V436" s="7">
        <f t="shared" ref="V436:W436" si="815">IF(AVERAGE(T376:T435) &gt; 0.25, 1, 0)</f>
        <v>1</v>
      </c>
      <c r="W436" s="7">
        <f t="shared" si="815"/>
        <v>1</v>
      </c>
      <c r="X436" s="8">
        <v>1.0</v>
      </c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ht="22.5" customHeight="1">
      <c r="A437" s="6">
        <v>436.0</v>
      </c>
      <c r="B437" s="6">
        <v>93671.0</v>
      </c>
      <c r="C437" s="6">
        <v>1.39</v>
      </c>
      <c r="D437" s="6">
        <v>-0.31</v>
      </c>
      <c r="E437" s="6">
        <v>10.68</v>
      </c>
      <c r="F437" s="6">
        <v>-0.09</v>
      </c>
      <c r="G437" s="6">
        <v>0.0</v>
      </c>
      <c r="H437" s="6">
        <v>-0.01</v>
      </c>
      <c r="I437" s="6">
        <v>33.35</v>
      </c>
      <c r="J437" s="7">
        <f t="shared" ref="J437:O437" si="816">abs(C437-C436)/200</f>
        <v>0.0084</v>
      </c>
      <c r="K437" s="7">
        <f t="shared" si="816"/>
        <v>0.0017</v>
      </c>
      <c r="L437" s="7">
        <f t="shared" si="816"/>
        <v>0.00005</v>
      </c>
      <c r="M437" s="7">
        <f t="shared" si="816"/>
        <v>0.00045</v>
      </c>
      <c r="N437" s="7">
        <f t="shared" si="816"/>
        <v>0.00035</v>
      </c>
      <c r="O437" s="7">
        <f t="shared" si="816"/>
        <v>0.00055</v>
      </c>
      <c r="P437" s="7">
        <f t="shared" si="7"/>
        <v>0.03151170478</v>
      </c>
      <c r="Q437" s="7">
        <f t="shared" si="8"/>
        <v>0.3476007936</v>
      </c>
      <c r="R437" s="7">
        <f t="shared" si="2"/>
        <v>0.9745347927</v>
      </c>
      <c r="S437" s="7">
        <f t="shared" si="3"/>
        <v>0.09055385138</v>
      </c>
      <c r="T437" s="7">
        <f t="shared" si="4"/>
        <v>1</v>
      </c>
      <c r="U437" s="7">
        <f t="shared" si="5"/>
        <v>1</v>
      </c>
      <c r="V437" s="7">
        <f t="shared" ref="V437:W437" si="817">IF(AVERAGE(T377:T436) &gt; 0.25, 1, 0)</f>
        <v>1</v>
      </c>
      <c r="W437" s="7">
        <f t="shared" si="817"/>
        <v>1</v>
      </c>
      <c r="X437" s="8">
        <v>1.0</v>
      </c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ht="22.5" customHeight="1">
      <c r="A438" s="6">
        <v>437.0</v>
      </c>
      <c r="B438" s="6">
        <v>93875.0</v>
      </c>
      <c r="C438" s="6">
        <v>1.38</v>
      </c>
      <c r="D438" s="6">
        <v>-0.31</v>
      </c>
      <c r="E438" s="6">
        <v>10.65</v>
      </c>
      <c r="F438" s="6">
        <v>-0.1</v>
      </c>
      <c r="G438" s="6">
        <v>0.0</v>
      </c>
      <c r="H438" s="6">
        <v>-0.01</v>
      </c>
      <c r="I438" s="6">
        <v>33.37</v>
      </c>
      <c r="J438" s="7">
        <f t="shared" ref="J438:O438" si="818">abs(C438-C437)/200</f>
        <v>0.00005</v>
      </c>
      <c r="K438" s="7">
        <f t="shared" si="818"/>
        <v>0</v>
      </c>
      <c r="L438" s="7">
        <f t="shared" si="818"/>
        <v>0.00015</v>
      </c>
      <c r="M438" s="7">
        <f t="shared" si="818"/>
        <v>0.00005</v>
      </c>
      <c r="N438" s="7">
        <f t="shared" si="818"/>
        <v>0</v>
      </c>
      <c r="O438" s="7">
        <f t="shared" si="818"/>
        <v>0</v>
      </c>
      <c r="P438" s="7">
        <f t="shared" si="7"/>
        <v>0.00994490483</v>
      </c>
      <c r="Q438" s="7">
        <f t="shared" si="8"/>
        <v>0.03102512411</v>
      </c>
      <c r="R438" s="7">
        <f t="shared" si="2"/>
        <v>0.9435096686</v>
      </c>
      <c r="S438" s="7">
        <f t="shared" si="3"/>
        <v>0.1004987562</v>
      </c>
      <c r="T438" s="7">
        <f t="shared" si="4"/>
        <v>0</v>
      </c>
      <c r="U438" s="7">
        <f t="shared" si="5"/>
        <v>0</v>
      </c>
      <c r="V438" s="7">
        <f t="shared" ref="V438:W438" si="819">IF(AVERAGE(T378:T437) &gt; 0.25, 1, 0)</f>
        <v>1</v>
      </c>
      <c r="W438" s="7">
        <f t="shared" si="819"/>
        <v>1</v>
      </c>
      <c r="X438" s="8">
        <v>1.0</v>
      </c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ht="22.5" customHeight="1">
      <c r="A439" s="6">
        <v>438.0</v>
      </c>
      <c r="B439" s="6">
        <v>94079.0</v>
      </c>
      <c r="C439" s="6">
        <v>1.41</v>
      </c>
      <c r="D439" s="6">
        <v>-0.3</v>
      </c>
      <c r="E439" s="6">
        <v>10.56</v>
      </c>
      <c r="F439" s="6">
        <v>-0.1</v>
      </c>
      <c r="G439" s="6">
        <v>-0.03</v>
      </c>
      <c r="H439" s="6">
        <v>-0.01</v>
      </c>
      <c r="I439" s="6">
        <v>33.36</v>
      </c>
      <c r="J439" s="7">
        <f t="shared" ref="J439:O439" si="820">abs(C439-C438)/200</f>
        <v>0.00015</v>
      </c>
      <c r="K439" s="7">
        <f t="shared" si="820"/>
        <v>0.00005</v>
      </c>
      <c r="L439" s="7">
        <f t="shared" si="820"/>
        <v>0.00045</v>
      </c>
      <c r="M439" s="7">
        <f t="shared" si="820"/>
        <v>0</v>
      </c>
      <c r="N439" s="7">
        <f t="shared" si="820"/>
        <v>0.00015</v>
      </c>
      <c r="O439" s="7">
        <f t="shared" si="820"/>
        <v>0</v>
      </c>
      <c r="P439" s="7">
        <f t="shared" si="7"/>
        <v>0.004382128606</v>
      </c>
      <c r="Q439" s="7">
        <f t="shared" si="8"/>
        <v>0.08556896698</v>
      </c>
      <c r="R439" s="7">
        <f t="shared" si="2"/>
        <v>0.8579407017</v>
      </c>
      <c r="S439" s="7">
        <f t="shared" si="3"/>
        <v>0.1048808848</v>
      </c>
      <c r="T439" s="7">
        <f t="shared" si="4"/>
        <v>1</v>
      </c>
      <c r="U439" s="7">
        <f t="shared" si="5"/>
        <v>0</v>
      </c>
      <c r="V439" s="7">
        <f t="shared" ref="V439:W439" si="821">IF(AVERAGE(T379:T438) &gt; 0.25, 1, 0)</f>
        <v>1</v>
      </c>
      <c r="W439" s="7">
        <f t="shared" si="821"/>
        <v>1</v>
      </c>
      <c r="X439" s="8">
        <v>1.0</v>
      </c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ht="22.5" customHeight="1">
      <c r="A440" s="6">
        <v>439.0</v>
      </c>
      <c r="B440" s="6">
        <v>94283.0</v>
      </c>
      <c r="C440" s="6">
        <v>3.75</v>
      </c>
      <c r="D440" s="6">
        <v>-0.14</v>
      </c>
      <c r="E440" s="6">
        <v>10.45</v>
      </c>
      <c r="F440" s="6">
        <v>-0.25</v>
      </c>
      <c r="G440" s="6">
        <v>-0.16</v>
      </c>
      <c r="H440" s="6">
        <v>-1.24</v>
      </c>
      <c r="I440" s="6">
        <v>33.37</v>
      </c>
      <c r="J440" s="7">
        <f t="shared" ref="J440:O440" si="822">abs(C440-C439)/200</f>
        <v>0.0117</v>
      </c>
      <c r="K440" s="7">
        <f t="shared" si="822"/>
        <v>0.0008</v>
      </c>
      <c r="L440" s="7">
        <f t="shared" si="822"/>
        <v>0.00055</v>
      </c>
      <c r="M440" s="7">
        <f t="shared" si="822"/>
        <v>0.00075</v>
      </c>
      <c r="N440" s="7">
        <f t="shared" si="822"/>
        <v>0.00065</v>
      </c>
      <c r="O440" s="7">
        <f t="shared" si="822"/>
        <v>0.00615</v>
      </c>
      <c r="P440" s="7">
        <f t="shared" si="7"/>
        <v>1.170148527</v>
      </c>
      <c r="Q440" s="7">
        <f t="shared" si="8"/>
        <v>0.4454191502</v>
      </c>
      <c r="R440" s="7">
        <f t="shared" si="2"/>
        <v>1.303359852</v>
      </c>
      <c r="S440" s="7">
        <f t="shared" si="3"/>
        <v>1.275029411</v>
      </c>
      <c r="T440" s="7">
        <f t="shared" si="4"/>
        <v>1</v>
      </c>
      <c r="U440" s="7">
        <f t="shared" si="5"/>
        <v>1</v>
      </c>
      <c r="V440" s="7">
        <f t="shared" ref="V440:W440" si="823">IF(AVERAGE(T380:T439) &gt; 0.25, 1, 0)</f>
        <v>1</v>
      </c>
      <c r="W440" s="7">
        <f t="shared" si="823"/>
        <v>1</v>
      </c>
      <c r="X440" s="8">
        <v>1.0</v>
      </c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ht="22.5" customHeight="1">
      <c r="A441" s="6">
        <v>440.0</v>
      </c>
      <c r="B441" s="6">
        <v>94487.0</v>
      </c>
      <c r="C441" s="6">
        <v>1.03</v>
      </c>
      <c r="D441" s="6">
        <v>-1.09</v>
      </c>
      <c r="E441" s="6">
        <v>11.1</v>
      </c>
      <c r="F441" s="6">
        <v>-0.12</v>
      </c>
      <c r="G441" s="6">
        <v>0.07</v>
      </c>
      <c r="H441" s="6">
        <v>-0.97</v>
      </c>
      <c r="I441" s="6">
        <v>33.36</v>
      </c>
      <c r="J441" s="7">
        <f t="shared" ref="J441:O441" si="824">abs(C441-C440)/200</f>
        <v>0.0136</v>
      </c>
      <c r="K441" s="7">
        <f t="shared" si="824"/>
        <v>0.00475</v>
      </c>
      <c r="L441" s="7">
        <f t="shared" si="824"/>
        <v>0.00325</v>
      </c>
      <c r="M441" s="7">
        <f t="shared" si="824"/>
        <v>0.00065</v>
      </c>
      <c r="N441" s="7">
        <f t="shared" si="824"/>
        <v>0.00115</v>
      </c>
      <c r="O441" s="7">
        <f t="shared" si="824"/>
        <v>0.00135</v>
      </c>
      <c r="P441" s="7">
        <f t="shared" si="7"/>
        <v>0.2951314576</v>
      </c>
      <c r="Q441" s="7">
        <f t="shared" si="8"/>
        <v>0.0974883303</v>
      </c>
      <c r="R441" s="7">
        <f t="shared" si="2"/>
        <v>1.400848182</v>
      </c>
      <c r="S441" s="7">
        <f t="shared" si="3"/>
        <v>0.9798979539</v>
      </c>
      <c r="T441" s="7">
        <f t="shared" si="4"/>
        <v>1</v>
      </c>
      <c r="U441" s="7">
        <f t="shared" si="5"/>
        <v>1</v>
      </c>
      <c r="V441" s="7">
        <f t="shared" ref="V441:W441" si="825">IF(AVERAGE(T381:T440) &gt; 0.25, 1, 0)</f>
        <v>1</v>
      </c>
      <c r="W441" s="7">
        <f t="shared" si="825"/>
        <v>1</v>
      </c>
      <c r="X441" s="8">
        <v>1.0</v>
      </c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ht="22.5" customHeight="1">
      <c r="A442" s="6">
        <v>441.0</v>
      </c>
      <c r="B442" s="6">
        <v>94691.0</v>
      </c>
      <c r="C442" s="6">
        <v>0.99</v>
      </c>
      <c r="D442" s="6">
        <v>-4.51</v>
      </c>
      <c r="E442" s="6">
        <v>10.4</v>
      </c>
      <c r="F442" s="6">
        <v>-0.49</v>
      </c>
      <c r="G442" s="6">
        <v>-0.2</v>
      </c>
      <c r="H442" s="6">
        <v>-3.66</v>
      </c>
      <c r="I442" s="6">
        <v>33.36</v>
      </c>
      <c r="J442" s="7">
        <f t="shared" ref="J442:O442" si="826">abs(C442-C441)/200</f>
        <v>0.0002</v>
      </c>
      <c r="K442" s="7">
        <f t="shared" si="826"/>
        <v>0.0171</v>
      </c>
      <c r="L442" s="7">
        <f t="shared" si="826"/>
        <v>0.0035</v>
      </c>
      <c r="M442" s="7">
        <f t="shared" si="826"/>
        <v>0.00185</v>
      </c>
      <c r="N442" s="7">
        <f t="shared" si="826"/>
        <v>0.00135</v>
      </c>
      <c r="O442" s="7">
        <f t="shared" si="826"/>
        <v>0.01345</v>
      </c>
      <c r="P442" s="7">
        <f t="shared" si="7"/>
        <v>2.718169109</v>
      </c>
      <c r="Q442" s="7">
        <f t="shared" si="8"/>
        <v>0.1780884993</v>
      </c>
      <c r="R442" s="7">
        <f t="shared" si="2"/>
        <v>1.578936681</v>
      </c>
      <c r="S442" s="7">
        <f t="shared" si="3"/>
        <v>3.698067063</v>
      </c>
      <c r="T442" s="7">
        <f t="shared" si="4"/>
        <v>1</v>
      </c>
      <c r="U442" s="7">
        <f t="shared" si="5"/>
        <v>1</v>
      </c>
      <c r="V442" s="7">
        <f t="shared" ref="V442:W442" si="827">IF(AVERAGE(T382:T441) &gt; 0.25, 1, 0)</f>
        <v>1</v>
      </c>
      <c r="W442" s="7">
        <f t="shared" si="827"/>
        <v>1</v>
      </c>
      <c r="X442" s="8">
        <v>1.0</v>
      </c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ht="22.5" customHeight="1">
      <c r="A443" s="6">
        <v>442.0</v>
      </c>
      <c r="B443" s="6">
        <v>94895.0</v>
      </c>
      <c r="C443" s="6">
        <v>-2.5</v>
      </c>
      <c r="D443" s="6">
        <v>1.31</v>
      </c>
      <c r="E443" s="6">
        <v>9.71</v>
      </c>
      <c r="F443" s="6">
        <v>-0.4</v>
      </c>
      <c r="G443" s="6">
        <v>-0.01</v>
      </c>
      <c r="H443" s="6">
        <v>-1.38</v>
      </c>
      <c r="I443" s="6">
        <v>33.35</v>
      </c>
      <c r="J443" s="7">
        <f t="shared" ref="J443:O443" si="828">abs(C443-C442)/200</f>
        <v>0.01745</v>
      </c>
      <c r="K443" s="7">
        <f t="shared" si="828"/>
        <v>0.0291</v>
      </c>
      <c r="L443" s="7">
        <f t="shared" si="828"/>
        <v>0.00345</v>
      </c>
      <c r="M443" s="7">
        <f t="shared" si="828"/>
        <v>0.00045</v>
      </c>
      <c r="N443" s="7">
        <f t="shared" si="828"/>
        <v>0.00095</v>
      </c>
      <c r="O443" s="7">
        <f t="shared" si="828"/>
        <v>0.0114</v>
      </c>
      <c r="P443" s="7">
        <f t="shared" si="7"/>
        <v>2.261230259</v>
      </c>
      <c r="Q443" s="7">
        <f t="shared" si="8"/>
        <v>1.267052584</v>
      </c>
      <c r="R443" s="7">
        <f t="shared" si="2"/>
        <v>0.3118840974</v>
      </c>
      <c r="S443" s="7">
        <f t="shared" si="3"/>
        <v>1.436836804</v>
      </c>
      <c r="T443" s="7">
        <f t="shared" si="4"/>
        <v>1</v>
      </c>
      <c r="U443" s="7">
        <f t="shared" si="5"/>
        <v>1</v>
      </c>
      <c r="V443" s="7">
        <f t="shared" ref="V443:W443" si="829">IF(AVERAGE(T383:T442) &gt; 0.25, 1, 0)</f>
        <v>1</v>
      </c>
      <c r="W443" s="7">
        <f t="shared" si="829"/>
        <v>1</v>
      </c>
      <c r="X443" s="8">
        <v>1.0</v>
      </c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ht="22.5" customHeight="1">
      <c r="A444" s="6">
        <v>443.0</v>
      </c>
      <c r="B444" s="6">
        <v>95099.0</v>
      </c>
      <c r="C444" s="6">
        <v>3.89</v>
      </c>
      <c r="D444" s="6">
        <v>4.32</v>
      </c>
      <c r="E444" s="6">
        <v>10.54</v>
      </c>
      <c r="F444" s="6">
        <v>-0.11</v>
      </c>
      <c r="G444" s="6">
        <v>0.06</v>
      </c>
      <c r="H444" s="6">
        <v>0.02</v>
      </c>
      <c r="I444" s="6">
        <v>33.36</v>
      </c>
      <c r="J444" s="7">
        <f t="shared" ref="J444:O444" si="830">abs(C444-C443)/200</f>
        <v>0.03195</v>
      </c>
      <c r="K444" s="7">
        <f t="shared" si="830"/>
        <v>0.01505</v>
      </c>
      <c r="L444" s="7">
        <f t="shared" si="830"/>
        <v>0.00415</v>
      </c>
      <c r="M444" s="7">
        <f t="shared" si="830"/>
        <v>0.00145</v>
      </c>
      <c r="N444" s="7">
        <f t="shared" si="830"/>
        <v>0.00035</v>
      </c>
      <c r="O444" s="7">
        <f t="shared" si="830"/>
        <v>0.007</v>
      </c>
      <c r="P444" s="7">
        <f t="shared" si="7"/>
        <v>1.309951028</v>
      </c>
      <c r="Q444" s="7">
        <f t="shared" si="8"/>
        <v>1.924980112</v>
      </c>
      <c r="R444" s="7">
        <f t="shared" si="2"/>
        <v>2.23686421</v>
      </c>
      <c r="S444" s="7">
        <f t="shared" si="3"/>
        <v>0.1268857754</v>
      </c>
      <c r="T444" s="7">
        <f t="shared" si="4"/>
        <v>1</v>
      </c>
      <c r="U444" s="7">
        <f t="shared" si="5"/>
        <v>1</v>
      </c>
      <c r="V444" s="7">
        <f t="shared" ref="V444:W444" si="831">IF(AVERAGE(T384:T443) &gt; 0.25, 1, 0)</f>
        <v>1</v>
      </c>
      <c r="W444" s="7">
        <f t="shared" si="831"/>
        <v>1</v>
      </c>
      <c r="X444" s="8">
        <v>1.0</v>
      </c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ht="22.5" customHeight="1">
      <c r="A445" s="6">
        <v>444.0</v>
      </c>
      <c r="B445" s="6">
        <v>303.0</v>
      </c>
      <c r="C445" s="6">
        <v>2.69</v>
      </c>
      <c r="D445" s="6">
        <v>1.45</v>
      </c>
      <c r="E445" s="6">
        <v>10.77</v>
      </c>
      <c r="F445" s="6">
        <v>0.24</v>
      </c>
      <c r="G445" s="6">
        <v>0.08</v>
      </c>
      <c r="H445" s="6">
        <v>0.88</v>
      </c>
      <c r="I445" s="6">
        <v>33.36</v>
      </c>
      <c r="J445" s="7">
        <f t="shared" ref="J445:O445" si="832">abs(C445-C444)/200</f>
        <v>0.006</v>
      </c>
      <c r="K445" s="7">
        <f t="shared" si="832"/>
        <v>0.01435</v>
      </c>
      <c r="L445" s="7">
        <f t="shared" si="832"/>
        <v>0.00115</v>
      </c>
      <c r="M445" s="7">
        <f t="shared" si="832"/>
        <v>0.00175</v>
      </c>
      <c r="N445" s="7">
        <f t="shared" si="832"/>
        <v>0.0001</v>
      </c>
      <c r="O445" s="7">
        <f t="shared" si="832"/>
        <v>0.0043</v>
      </c>
      <c r="P445" s="7">
        <f t="shared" si="7"/>
        <v>0.788756076</v>
      </c>
      <c r="Q445" s="7">
        <f t="shared" si="8"/>
        <v>0.8417090074</v>
      </c>
      <c r="R445" s="7">
        <f t="shared" si="2"/>
        <v>1.395155202</v>
      </c>
      <c r="S445" s="7">
        <f t="shared" si="3"/>
        <v>0.9156418514</v>
      </c>
      <c r="T445" s="7">
        <f t="shared" si="4"/>
        <v>1</v>
      </c>
      <c r="U445" s="7">
        <f t="shared" si="5"/>
        <v>1</v>
      </c>
      <c r="V445" s="7">
        <f t="shared" ref="V445:W445" si="833">IF(AVERAGE(T385:T444) &gt; 0.25, 1, 0)</f>
        <v>1</v>
      </c>
      <c r="W445" s="7">
        <f t="shared" si="833"/>
        <v>1</v>
      </c>
      <c r="X445" s="8">
        <v>1.0</v>
      </c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ht="22.5" customHeight="1">
      <c r="A446" s="6">
        <v>445.0</v>
      </c>
      <c r="B446" s="6">
        <v>95507.0</v>
      </c>
      <c r="C446" s="6">
        <v>1.92</v>
      </c>
      <c r="D446" s="6">
        <v>-3.76</v>
      </c>
      <c r="E446" s="6">
        <v>10.79</v>
      </c>
      <c r="F446" s="6">
        <v>0.01</v>
      </c>
      <c r="G446" s="6">
        <v>0.07</v>
      </c>
      <c r="H446" s="6">
        <v>0.25</v>
      </c>
      <c r="I446" s="6">
        <v>33.36</v>
      </c>
      <c r="J446" s="7">
        <f t="shared" ref="J446:O446" si="834">abs(C446-C445)/200</f>
        <v>0.00385</v>
      </c>
      <c r="K446" s="7">
        <f t="shared" si="834"/>
        <v>0.02605</v>
      </c>
      <c r="L446" s="7">
        <f t="shared" si="834"/>
        <v>0.0001</v>
      </c>
      <c r="M446" s="7">
        <f t="shared" si="834"/>
        <v>0.00115</v>
      </c>
      <c r="N446" s="7">
        <f t="shared" si="834"/>
        <v>0.00005</v>
      </c>
      <c r="O446" s="7">
        <f t="shared" si="834"/>
        <v>0.00315</v>
      </c>
      <c r="P446" s="7">
        <f t="shared" si="7"/>
        <v>0.6558342302</v>
      </c>
      <c r="Q446" s="7">
        <f t="shared" si="8"/>
        <v>0.3913930328</v>
      </c>
      <c r="R446" s="7">
        <f t="shared" si="2"/>
        <v>1.786548235</v>
      </c>
      <c r="S446" s="7">
        <f t="shared" si="3"/>
        <v>0.2598076211</v>
      </c>
      <c r="T446" s="7">
        <f t="shared" si="4"/>
        <v>1</v>
      </c>
      <c r="U446" s="7">
        <f t="shared" si="5"/>
        <v>1</v>
      </c>
      <c r="V446" s="7">
        <f t="shared" ref="V446:W446" si="835">IF(AVERAGE(T386:T445) &gt; 0.25, 1, 0)</f>
        <v>1</v>
      </c>
      <c r="W446" s="7">
        <f t="shared" si="835"/>
        <v>1</v>
      </c>
      <c r="X446" s="8">
        <v>1.0</v>
      </c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ht="22.5" customHeight="1">
      <c r="A447" s="6">
        <v>446.0</v>
      </c>
      <c r="B447" s="6">
        <v>95711.0</v>
      </c>
      <c r="C447" s="6">
        <v>1.41</v>
      </c>
      <c r="D447" s="6">
        <v>-3.02</v>
      </c>
      <c r="E447" s="6">
        <v>10.49</v>
      </c>
      <c r="F447" s="6">
        <v>-0.42</v>
      </c>
      <c r="G447" s="6">
        <v>0.32</v>
      </c>
      <c r="H447" s="6">
        <v>-1.77</v>
      </c>
      <c r="I447" s="6">
        <v>33.36</v>
      </c>
      <c r="J447" s="7">
        <f t="shared" ref="J447:O447" si="836">abs(C447-C446)/200</f>
        <v>0.00255</v>
      </c>
      <c r="K447" s="7">
        <f t="shared" si="836"/>
        <v>0.0037</v>
      </c>
      <c r="L447" s="7">
        <f t="shared" si="836"/>
        <v>0.0015</v>
      </c>
      <c r="M447" s="7">
        <f t="shared" si="836"/>
        <v>0.00215</v>
      </c>
      <c r="N447" s="7">
        <f t="shared" si="836"/>
        <v>0.00125</v>
      </c>
      <c r="O447" s="7">
        <f t="shared" si="836"/>
        <v>0.0101</v>
      </c>
      <c r="P447" s="7">
        <f t="shared" si="7"/>
        <v>1.587271154</v>
      </c>
      <c r="Q447" s="7">
        <f t="shared" si="8"/>
        <v>0.579795762</v>
      </c>
      <c r="R447" s="7">
        <f t="shared" si="2"/>
        <v>1.206752473</v>
      </c>
      <c r="S447" s="7">
        <f t="shared" si="3"/>
        <v>1.847078775</v>
      </c>
      <c r="T447" s="7">
        <f t="shared" si="4"/>
        <v>1</v>
      </c>
      <c r="U447" s="7">
        <f t="shared" si="5"/>
        <v>1</v>
      </c>
      <c r="V447" s="7">
        <f t="shared" ref="V447:W447" si="837">IF(AVERAGE(T387:T446) &gt; 0.25, 1, 0)</f>
        <v>1</v>
      </c>
      <c r="W447" s="7">
        <f t="shared" si="837"/>
        <v>1</v>
      </c>
      <c r="X447" s="8">
        <v>1.0</v>
      </c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ht="22.5" customHeight="1">
      <c r="A448" s="6">
        <v>447.0</v>
      </c>
      <c r="B448" s="6">
        <v>95915.0</v>
      </c>
      <c r="C448" s="6">
        <v>-0.96</v>
      </c>
      <c r="D448" s="6">
        <v>-0.17</v>
      </c>
      <c r="E448" s="6">
        <v>11.57</v>
      </c>
      <c r="F448" s="6">
        <v>-0.37</v>
      </c>
      <c r="G448" s="6">
        <v>-0.06</v>
      </c>
      <c r="H448" s="6">
        <v>-1.11</v>
      </c>
      <c r="I448" s="6">
        <v>33.37</v>
      </c>
      <c r="J448" s="7">
        <f t="shared" ref="J448:O448" si="838">abs(C448-C447)/200</f>
        <v>0.01185</v>
      </c>
      <c r="K448" s="7">
        <f t="shared" si="838"/>
        <v>0.01425</v>
      </c>
      <c r="L448" s="7">
        <f t="shared" si="838"/>
        <v>0.0054</v>
      </c>
      <c r="M448" s="7">
        <f t="shared" si="838"/>
        <v>0.00025</v>
      </c>
      <c r="N448" s="7">
        <f t="shared" si="838"/>
        <v>0.0019</v>
      </c>
      <c r="O448" s="7">
        <f t="shared" si="838"/>
        <v>0.0033</v>
      </c>
      <c r="P448" s="7">
        <f t="shared" si="7"/>
        <v>0.6754986451</v>
      </c>
      <c r="Q448" s="7">
        <f t="shared" si="8"/>
        <v>0.604250929</v>
      </c>
      <c r="R448" s="7">
        <f t="shared" si="2"/>
        <v>1.811003402</v>
      </c>
      <c r="S448" s="7">
        <f t="shared" si="3"/>
        <v>1.17158013</v>
      </c>
      <c r="T448" s="7">
        <f t="shared" si="4"/>
        <v>1</v>
      </c>
      <c r="U448" s="7">
        <f t="shared" si="5"/>
        <v>1</v>
      </c>
      <c r="V448" s="7">
        <f t="shared" ref="V448:W448" si="839">IF(AVERAGE(T388:T447) &gt; 0.25, 1, 0)</f>
        <v>1</v>
      </c>
      <c r="W448" s="7">
        <f t="shared" si="839"/>
        <v>1</v>
      </c>
      <c r="X448" s="8">
        <v>1.0</v>
      </c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ht="22.5" customHeight="1">
      <c r="A449" s="6">
        <v>448.0</v>
      </c>
      <c r="B449" s="6">
        <v>96119.0</v>
      </c>
      <c r="C449" s="6">
        <v>-0.57</v>
      </c>
      <c r="D449" s="6">
        <v>2.43</v>
      </c>
      <c r="E449" s="6">
        <v>10.8</v>
      </c>
      <c r="F449" s="6">
        <v>0.08</v>
      </c>
      <c r="G449" s="6">
        <v>-0.14</v>
      </c>
      <c r="H449" s="6">
        <v>0.65</v>
      </c>
      <c r="I449" s="6">
        <v>33.37</v>
      </c>
      <c r="J449" s="7">
        <f t="shared" ref="J449:O449" si="840">abs(C449-C448)/200</f>
        <v>0.00195</v>
      </c>
      <c r="K449" s="7">
        <f t="shared" si="840"/>
        <v>0.013</v>
      </c>
      <c r="L449" s="7">
        <f t="shared" si="840"/>
        <v>0.00385</v>
      </c>
      <c r="M449" s="7">
        <f t="shared" si="840"/>
        <v>0.00225</v>
      </c>
      <c r="N449" s="7">
        <f t="shared" si="840"/>
        <v>0.0004</v>
      </c>
      <c r="O449" s="7">
        <f t="shared" si="840"/>
        <v>0.0088</v>
      </c>
      <c r="P449" s="7">
        <f t="shared" si="7"/>
        <v>0.5018787036</v>
      </c>
      <c r="Q449" s="7">
        <f t="shared" si="8"/>
        <v>0.526338319</v>
      </c>
      <c r="R449" s="7">
        <f t="shared" si="2"/>
        <v>1.284665083</v>
      </c>
      <c r="S449" s="7">
        <f t="shared" si="3"/>
        <v>0.669701426</v>
      </c>
      <c r="T449" s="7">
        <f t="shared" si="4"/>
        <v>1</v>
      </c>
      <c r="U449" s="7">
        <f t="shared" si="5"/>
        <v>1</v>
      </c>
      <c r="V449" s="7">
        <f t="shared" ref="V449:W449" si="841">IF(AVERAGE(T389:T448) &gt; 0.25, 1, 0)</f>
        <v>1</v>
      </c>
      <c r="W449" s="7">
        <f t="shared" si="841"/>
        <v>1</v>
      </c>
      <c r="X449" s="8">
        <v>1.0</v>
      </c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ht="22.5" customHeight="1">
      <c r="A450" s="6">
        <v>449.0</v>
      </c>
      <c r="B450" s="6">
        <v>96323.0</v>
      </c>
      <c r="C450" s="6">
        <v>0.48</v>
      </c>
      <c r="D450" s="6">
        <v>3.15</v>
      </c>
      <c r="E450" s="6">
        <v>10.57</v>
      </c>
      <c r="F450" s="6">
        <v>0.0</v>
      </c>
      <c r="G450" s="6">
        <v>0.07</v>
      </c>
      <c r="H450" s="6">
        <v>-0.21</v>
      </c>
      <c r="I450" s="6">
        <v>33.37</v>
      </c>
      <c r="J450" s="7">
        <f t="shared" ref="J450:O450" si="842">abs(C450-C449)/200</f>
        <v>0.00525</v>
      </c>
      <c r="K450" s="7">
        <f t="shared" si="842"/>
        <v>0.0036</v>
      </c>
      <c r="L450" s="7">
        <f t="shared" si="842"/>
        <v>0.00115</v>
      </c>
      <c r="M450" s="7">
        <f t="shared" si="842"/>
        <v>0.0004</v>
      </c>
      <c r="N450" s="7">
        <f t="shared" si="842"/>
        <v>0.00105</v>
      </c>
      <c r="O450" s="7">
        <f t="shared" si="842"/>
        <v>0.0043</v>
      </c>
      <c r="P450" s="7">
        <f t="shared" si="7"/>
        <v>0.4483419898</v>
      </c>
      <c r="Q450" s="7">
        <f t="shared" si="8"/>
        <v>0.04483718569</v>
      </c>
      <c r="R450" s="7">
        <f t="shared" si="2"/>
        <v>1.239827897</v>
      </c>
      <c r="S450" s="7">
        <f t="shared" si="3"/>
        <v>0.2213594362</v>
      </c>
      <c r="T450" s="7">
        <f t="shared" si="4"/>
        <v>1</v>
      </c>
      <c r="U450" s="7">
        <f t="shared" si="5"/>
        <v>1</v>
      </c>
      <c r="V450" s="7">
        <f t="shared" ref="V450:W450" si="843">IF(AVERAGE(T390:T449) &gt; 0.25, 1, 0)</f>
        <v>1</v>
      </c>
      <c r="W450" s="7">
        <f t="shared" si="843"/>
        <v>1</v>
      </c>
      <c r="X450" s="8">
        <v>1.0</v>
      </c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ht="22.5" customHeight="1">
      <c r="A451" s="6">
        <v>450.0</v>
      </c>
      <c r="B451" s="6">
        <v>96527.0</v>
      </c>
      <c r="C451" s="6">
        <v>4.81</v>
      </c>
      <c r="D451" s="6">
        <v>-0.52</v>
      </c>
      <c r="E451" s="6">
        <v>10.5</v>
      </c>
      <c r="F451" s="6">
        <v>-0.03</v>
      </c>
      <c r="G451" s="6">
        <v>0.0</v>
      </c>
      <c r="H451" s="6">
        <v>-0.2</v>
      </c>
      <c r="I451" s="6">
        <v>33.37</v>
      </c>
      <c r="J451" s="7">
        <f t="shared" ref="J451:O451" si="844">abs(C451-C450)/200</f>
        <v>0.02165</v>
      </c>
      <c r="K451" s="7">
        <f t="shared" si="844"/>
        <v>0.01835</v>
      </c>
      <c r="L451" s="7">
        <f t="shared" si="844"/>
        <v>0.00035</v>
      </c>
      <c r="M451" s="7">
        <f t="shared" si="844"/>
        <v>0.00015</v>
      </c>
      <c r="N451" s="7">
        <f t="shared" si="844"/>
        <v>0.00035</v>
      </c>
      <c r="O451" s="7">
        <f t="shared" si="844"/>
        <v>0.00005</v>
      </c>
      <c r="P451" s="7">
        <f t="shared" si="7"/>
        <v>0.01912195205</v>
      </c>
      <c r="Q451" s="7">
        <f t="shared" si="8"/>
        <v>0.5211625448</v>
      </c>
      <c r="R451" s="7">
        <f t="shared" si="2"/>
        <v>1.760990442</v>
      </c>
      <c r="S451" s="7">
        <f t="shared" si="3"/>
        <v>0.2022374842</v>
      </c>
      <c r="T451" s="7">
        <f t="shared" si="4"/>
        <v>1</v>
      </c>
      <c r="U451" s="7">
        <f t="shared" si="5"/>
        <v>1</v>
      </c>
      <c r="V451" s="7">
        <f t="shared" ref="V451:W451" si="845">IF(AVERAGE(T391:T450) &gt; 0.25, 1, 0)</f>
        <v>1</v>
      </c>
      <c r="W451" s="7">
        <f t="shared" si="845"/>
        <v>1</v>
      </c>
      <c r="X451" s="8">
        <v>1.0</v>
      </c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ht="22.5" customHeight="1">
      <c r="A452" s="6">
        <v>451.0</v>
      </c>
      <c r="B452" s="6">
        <v>96731.0</v>
      </c>
      <c r="C452" s="6">
        <v>3.69</v>
      </c>
      <c r="D452" s="6">
        <v>-2.16</v>
      </c>
      <c r="E452" s="6">
        <v>10.36</v>
      </c>
      <c r="F452" s="6">
        <v>-0.19</v>
      </c>
      <c r="G452" s="6">
        <v>-0.06</v>
      </c>
      <c r="H452" s="6">
        <v>-0.58</v>
      </c>
      <c r="I452" s="6">
        <v>33.37</v>
      </c>
      <c r="J452" s="7">
        <f t="shared" ref="J452:O452" si="846">abs(C452-C451)/200</f>
        <v>0.0056</v>
      </c>
      <c r="K452" s="7">
        <f t="shared" si="846"/>
        <v>0.0082</v>
      </c>
      <c r="L452" s="7">
        <f t="shared" si="846"/>
        <v>0.0007</v>
      </c>
      <c r="M452" s="7">
        <f t="shared" si="846"/>
        <v>0.0008</v>
      </c>
      <c r="N452" s="7">
        <f t="shared" si="846"/>
        <v>0.0003</v>
      </c>
      <c r="O452" s="7">
        <f t="shared" si="846"/>
        <v>0.0019</v>
      </c>
      <c r="P452" s="7">
        <f t="shared" si="7"/>
        <v>0.4110324401</v>
      </c>
      <c r="Q452" s="7">
        <f t="shared" si="8"/>
        <v>0.3533457296</v>
      </c>
      <c r="R452" s="7">
        <f t="shared" si="2"/>
        <v>1.407644712</v>
      </c>
      <c r="S452" s="7">
        <f t="shared" si="3"/>
        <v>0.6132699243</v>
      </c>
      <c r="T452" s="7">
        <f t="shared" si="4"/>
        <v>1</v>
      </c>
      <c r="U452" s="7">
        <f t="shared" si="5"/>
        <v>1</v>
      </c>
      <c r="V452" s="7">
        <f t="shared" ref="V452:W452" si="847">IF(AVERAGE(T392:T451) &gt; 0.25, 1, 0)</f>
        <v>1</v>
      </c>
      <c r="W452" s="7">
        <f t="shared" si="847"/>
        <v>1</v>
      </c>
      <c r="X452" s="8">
        <v>1.0</v>
      </c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ht="22.5" customHeight="1">
      <c r="A453" s="6">
        <v>452.0</v>
      </c>
      <c r="B453" s="6">
        <v>96935.0</v>
      </c>
      <c r="C453" s="6">
        <v>0.25</v>
      </c>
      <c r="D453" s="6">
        <v>-3.25</v>
      </c>
      <c r="E453" s="6">
        <v>11.1</v>
      </c>
      <c r="F453" s="6">
        <v>-0.33</v>
      </c>
      <c r="G453" s="6">
        <v>-0.01</v>
      </c>
      <c r="H453" s="6">
        <v>-0.83</v>
      </c>
      <c r="I453" s="6">
        <v>33.37</v>
      </c>
      <c r="J453" s="7">
        <f t="shared" ref="J453:O453" si="848">abs(C453-C452)/200</f>
        <v>0.0172</v>
      </c>
      <c r="K453" s="7">
        <f t="shared" si="848"/>
        <v>0.00545</v>
      </c>
      <c r="L453" s="7">
        <f t="shared" si="848"/>
        <v>0.0037</v>
      </c>
      <c r="M453" s="7">
        <f t="shared" si="848"/>
        <v>0.0007</v>
      </c>
      <c r="N453" s="7">
        <f t="shared" si="848"/>
        <v>0.00025</v>
      </c>
      <c r="O453" s="7">
        <f t="shared" si="848"/>
        <v>0.00125</v>
      </c>
      <c r="P453" s="7">
        <f t="shared" si="7"/>
        <v>0.2799825596</v>
      </c>
      <c r="Q453" s="7">
        <f t="shared" si="8"/>
        <v>0.3610630806</v>
      </c>
      <c r="R453" s="7">
        <f t="shared" si="2"/>
        <v>1.768707793</v>
      </c>
      <c r="S453" s="7">
        <f t="shared" si="3"/>
        <v>0.8932524839</v>
      </c>
      <c r="T453" s="7">
        <f t="shared" si="4"/>
        <v>1</v>
      </c>
      <c r="U453" s="7">
        <f t="shared" si="5"/>
        <v>1</v>
      </c>
      <c r="V453" s="7">
        <f t="shared" ref="V453:W453" si="849">IF(AVERAGE(T393:T452) &gt; 0.25, 1, 0)</f>
        <v>1</v>
      </c>
      <c r="W453" s="7">
        <f t="shared" si="849"/>
        <v>1</v>
      </c>
      <c r="X453" s="8">
        <v>1.0</v>
      </c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ht="22.5" customHeight="1">
      <c r="A454" s="6">
        <v>453.0</v>
      </c>
      <c r="B454" s="6">
        <v>97139.0</v>
      </c>
      <c r="C454" s="6">
        <v>-1.41</v>
      </c>
      <c r="D454" s="6">
        <v>2.83</v>
      </c>
      <c r="E454" s="6">
        <v>10.69</v>
      </c>
      <c r="F454" s="6">
        <v>0.02</v>
      </c>
      <c r="G454" s="6">
        <v>-0.01</v>
      </c>
      <c r="H454" s="6">
        <v>1.23</v>
      </c>
      <c r="I454" s="6">
        <v>33.37</v>
      </c>
      <c r="J454" s="7">
        <f t="shared" ref="J454:O454" si="850">abs(C454-C453)/200</f>
        <v>0.0083</v>
      </c>
      <c r="K454" s="7">
        <f t="shared" si="850"/>
        <v>0.0304</v>
      </c>
      <c r="L454" s="7">
        <f t="shared" si="850"/>
        <v>0.00205</v>
      </c>
      <c r="M454" s="7">
        <f t="shared" si="850"/>
        <v>0.00175</v>
      </c>
      <c r="N454" s="7">
        <f t="shared" si="850"/>
        <v>0</v>
      </c>
      <c r="O454" s="7">
        <f t="shared" si="850"/>
        <v>0.0103</v>
      </c>
      <c r="P454" s="7">
        <f t="shared" si="7"/>
        <v>0.3369507513</v>
      </c>
      <c r="Q454" s="7">
        <f t="shared" si="8"/>
        <v>0.4209232597</v>
      </c>
      <c r="R454" s="7">
        <f t="shared" si="2"/>
        <v>1.347784533</v>
      </c>
      <c r="S454" s="7">
        <f t="shared" si="3"/>
        <v>1.230203235</v>
      </c>
      <c r="T454" s="7">
        <f t="shared" si="4"/>
        <v>1</v>
      </c>
      <c r="U454" s="7">
        <f t="shared" si="5"/>
        <v>1</v>
      </c>
      <c r="V454" s="7">
        <f t="shared" ref="V454:W454" si="851">IF(AVERAGE(T394:T453) &gt; 0.25, 1, 0)</f>
        <v>1</v>
      </c>
      <c r="W454" s="7">
        <f t="shared" si="851"/>
        <v>1</v>
      </c>
      <c r="X454" s="8">
        <v>1.0</v>
      </c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ht="22.5" customHeight="1">
      <c r="A455" s="6">
        <v>454.0</v>
      </c>
      <c r="B455" s="6">
        <v>97343.0</v>
      </c>
      <c r="C455" s="6">
        <v>1.25</v>
      </c>
      <c r="D455" s="6">
        <v>1.73</v>
      </c>
      <c r="E455" s="6">
        <v>10.8</v>
      </c>
      <c r="F455" s="6">
        <v>-0.12</v>
      </c>
      <c r="G455" s="6">
        <v>0.16</v>
      </c>
      <c r="H455" s="6">
        <v>-0.46</v>
      </c>
      <c r="I455" s="6">
        <v>33.36</v>
      </c>
      <c r="J455" s="7">
        <f t="shared" ref="J455:O455" si="852">abs(C455-C454)/200</f>
        <v>0.0133</v>
      </c>
      <c r="K455" s="7">
        <f t="shared" si="852"/>
        <v>0.0055</v>
      </c>
      <c r="L455" s="7">
        <f t="shared" si="852"/>
        <v>0.00055</v>
      </c>
      <c r="M455" s="7">
        <f t="shared" si="852"/>
        <v>0.0007</v>
      </c>
      <c r="N455" s="7">
        <f t="shared" si="852"/>
        <v>0.00085</v>
      </c>
      <c r="O455" s="7">
        <f t="shared" si="852"/>
        <v>0.00845</v>
      </c>
      <c r="P455" s="7">
        <f t="shared" si="7"/>
        <v>0.7286057871</v>
      </c>
      <c r="Q455" s="7">
        <f t="shared" si="8"/>
        <v>0.1389062979</v>
      </c>
      <c r="R455" s="7">
        <f t="shared" si="2"/>
        <v>1.208878235</v>
      </c>
      <c r="S455" s="7">
        <f t="shared" si="3"/>
        <v>0.5015974482</v>
      </c>
      <c r="T455" s="7">
        <f t="shared" si="4"/>
        <v>1</v>
      </c>
      <c r="U455" s="7">
        <f t="shared" si="5"/>
        <v>1</v>
      </c>
      <c r="V455" s="7">
        <f t="shared" ref="V455:W455" si="853">IF(AVERAGE(T395:T454) &gt; 0.25, 1, 0)</f>
        <v>1</v>
      </c>
      <c r="W455" s="7">
        <f t="shared" si="853"/>
        <v>1</v>
      </c>
      <c r="X455" s="8">
        <v>1.0</v>
      </c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ht="22.5" customHeight="1">
      <c r="A456" s="6">
        <v>455.0</v>
      </c>
      <c r="B456" s="6">
        <v>97547.0</v>
      </c>
      <c r="C456" s="6">
        <v>4.29</v>
      </c>
      <c r="D456" s="6">
        <v>1.64</v>
      </c>
      <c r="E456" s="6">
        <v>10.45</v>
      </c>
      <c r="F456" s="6">
        <v>0.06</v>
      </c>
      <c r="G456" s="6">
        <v>0.0</v>
      </c>
      <c r="H456" s="6">
        <v>0.77</v>
      </c>
      <c r="I456" s="6">
        <v>33.36</v>
      </c>
      <c r="J456" s="7">
        <f t="shared" ref="J456:O456" si="854">abs(C456-C455)/200</f>
        <v>0.0152</v>
      </c>
      <c r="K456" s="7">
        <f t="shared" si="854"/>
        <v>0.00045</v>
      </c>
      <c r="L456" s="7">
        <f t="shared" si="854"/>
        <v>0.00175</v>
      </c>
      <c r="M456" s="7">
        <f t="shared" si="854"/>
        <v>0.0009</v>
      </c>
      <c r="N456" s="7">
        <f t="shared" si="854"/>
        <v>0.0008</v>
      </c>
      <c r="O456" s="7">
        <f t="shared" si="854"/>
        <v>0.00615</v>
      </c>
      <c r="P456" s="7">
        <f t="shared" si="7"/>
        <v>0.2707366764</v>
      </c>
      <c r="Q456" s="7">
        <f t="shared" si="8"/>
        <v>0.4058578545</v>
      </c>
      <c r="R456" s="7">
        <f t="shared" si="2"/>
        <v>1.61473609</v>
      </c>
      <c r="S456" s="7">
        <f t="shared" si="3"/>
        <v>0.7723341246</v>
      </c>
      <c r="T456" s="7">
        <f t="shared" si="4"/>
        <v>1</v>
      </c>
      <c r="U456" s="7">
        <f t="shared" si="5"/>
        <v>1</v>
      </c>
      <c r="V456" s="7">
        <f t="shared" ref="V456:W456" si="855">IF(AVERAGE(T396:T455) &gt; 0.25, 1, 0)</f>
        <v>1</v>
      </c>
      <c r="W456" s="7">
        <f t="shared" si="855"/>
        <v>1</v>
      </c>
      <c r="X456" s="8">
        <v>1.0</v>
      </c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ht="22.5" customHeight="1">
      <c r="A457" s="6">
        <v>456.0</v>
      </c>
      <c r="B457" s="6">
        <v>97751.0</v>
      </c>
      <c r="C457" s="6">
        <v>4.24</v>
      </c>
      <c r="D457" s="6">
        <v>-0.65</v>
      </c>
      <c r="E457" s="6">
        <v>10.56</v>
      </c>
      <c r="F457" s="6">
        <v>-0.07</v>
      </c>
      <c r="G457" s="6">
        <v>-0.13</v>
      </c>
      <c r="H457" s="6">
        <v>-0.35</v>
      </c>
      <c r="I457" s="6">
        <v>33.37</v>
      </c>
      <c r="J457" s="7">
        <f t="shared" ref="J457:O457" si="856">abs(C457-C456)/200</f>
        <v>0.00025</v>
      </c>
      <c r="K457" s="7">
        <f t="shared" si="856"/>
        <v>0.01145</v>
      </c>
      <c r="L457" s="7">
        <f t="shared" si="856"/>
        <v>0.00055</v>
      </c>
      <c r="M457" s="7">
        <f t="shared" si="856"/>
        <v>0.00065</v>
      </c>
      <c r="N457" s="7">
        <f t="shared" si="856"/>
        <v>0.00065</v>
      </c>
      <c r="O457" s="7">
        <f t="shared" si="856"/>
        <v>0.0056</v>
      </c>
      <c r="P457" s="7">
        <f t="shared" si="7"/>
        <v>0.3924657263</v>
      </c>
      <c r="Q457" s="7">
        <f t="shared" si="8"/>
        <v>0.01676697246</v>
      </c>
      <c r="R457" s="7">
        <f t="shared" si="2"/>
        <v>1.597969117</v>
      </c>
      <c r="S457" s="7">
        <f t="shared" si="3"/>
        <v>0.3798683983</v>
      </c>
      <c r="T457" s="7">
        <f t="shared" si="4"/>
        <v>1</v>
      </c>
      <c r="U457" s="7">
        <f t="shared" si="5"/>
        <v>1</v>
      </c>
      <c r="V457" s="7">
        <f t="shared" ref="V457:W457" si="857">IF(AVERAGE(T397:T456) &gt; 0.25, 1, 0)</f>
        <v>1</v>
      </c>
      <c r="W457" s="7">
        <f t="shared" si="857"/>
        <v>1</v>
      </c>
      <c r="X457" s="8">
        <v>1.0</v>
      </c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ht="22.5" customHeight="1">
      <c r="A458" s="6">
        <v>457.0</v>
      </c>
      <c r="B458" s="6">
        <v>97955.0</v>
      </c>
      <c r="C458" s="6">
        <v>3.39</v>
      </c>
      <c r="D458" s="6">
        <v>-2.77</v>
      </c>
      <c r="E458" s="6">
        <v>9.84</v>
      </c>
      <c r="F458" s="6">
        <v>-0.56</v>
      </c>
      <c r="G458" s="6">
        <v>0.24</v>
      </c>
      <c r="H458" s="6">
        <v>-1.32</v>
      </c>
      <c r="I458" s="6">
        <v>33.35</v>
      </c>
      <c r="J458" s="7">
        <f t="shared" ref="J458:O458" si="858">abs(C458-C457)/200</f>
        <v>0.00425</v>
      </c>
      <c r="K458" s="7">
        <f t="shared" si="858"/>
        <v>0.0106</v>
      </c>
      <c r="L458" s="7">
        <f t="shared" si="858"/>
        <v>0.0036</v>
      </c>
      <c r="M458" s="7">
        <f t="shared" si="858"/>
        <v>0.00245</v>
      </c>
      <c r="N458" s="7">
        <f t="shared" si="858"/>
        <v>0.00185</v>
      </c>
      <c r="O458" s="7">
        <f t="shared" si="858"/>
        <v>0.00485</v>
      </c>
      <c r="P458" s="7">
        <f t="shared" si="7"/>
        <v>1.073954149</v>
      </c>
      <c r="Q458" s="7">
        <f t="shared" si="8"/>
        <v>0.628075896</v>
      </c>
      <c r="R458" s="7">
        <f t="shared" si="2"/>
        <v>0.9698932214</v>
      </c>
      <c r="S458" s="7">
        <f t="shared" si="3"/>
        <v>1.453822548</v>
      </c>
      <c r="T458" s="7">
        <f t="shared" si="4"/>
        <v>1</v>
      </c>
      <c r="U458" s="7">
        <f t="shared" si="5"/>
        <v>1</v>
      </c>
      <c r="V458" s="7">
        <f t="shared" ref="V458:W458" si="859">IF(AVERAGE(T398:T457) &gt; 0.25, 1, 0)</f>
        <v>1</v>
      </c>
      <c r="W458" s="7">
        <f t="shared" si="859"/>
        <v>1</v>
      </c>
      <c r="X458" s="8">
        <v>1.0</v>
      </c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ht="22.5" customHeight="1">
      <c r="A459" s="6">
        <v>458.0</v>
      </c>
      <c r="B459" s="6">
        <v>98159.0</v>
      </c>
      <c r="C459" s="6">
        <v>-2.18</v>
      </c>
      <c r="D459" s="6">
        <v>-2.17</v>
      </c>
      <c r="E459" s="6">
        <v>11.26</v>
      </c>
      <c r="F459" s="6">
        <v>-0.3</v>
      </c>
      <c r="G459" s="6">
        <v>-0.2</v>
      </c>
      <c r="H459" s="6">
        <v>-0.59</v>
      </c>
      <c r="I459" s="6">
        <v>33.37</v>
      </c>
      <c r="J459" s="7">
        <f t="shared" ref="J459:O459" si="860">abs(C459-C458)/200</f>
        <v>0.02785</v>
      </c>
      <c r="K459" s="7">
        <f t="shared" si="860"/>
        <v>0.003</v>
      </c>
      <c r="L459" s="7">
        <f t="shared" si="860"/>
        <v>0.0071</v>
      </c>
      <c r="M459" s="7">
        <f t="shared" si="860"/>
        <v>0.0013</v>
      </c>
      <c r="N459" s="7">
        <f t="shared" si="860"/>
        <v>0.0022</v>
      </c>
      <c r="O459" s="7">
        <f t="shared" si="860"/>
        <v>0.00365</v>
      </c>
      <c r="P459" s="7">
        <f t="shared" si="7"/>
        <v>0.7623747911</v>
      </c>
      <c r="Q459" s="7">
        <f t="shared" si="8"/>
        <v>0.9026771896</v>
      </c>
      <c r="R459" s="7">
        <f t="shared" si="2"/>
        <v>1.872570411</v>
      </c>
      <c r="S459" s="7">
        <f t="shared" si="3"/>
        <v>0.6914477565</v>
      </c>
      <c r="T459" s="7">
        <f t="shared" si="4"/>
        <v>1</v>
      </c>
      <c r="U459" s="7">
        <f t="shared" si="5"/>
        <v>1</v>
      </c>
      <c r="V459" s="7">
        <f t="shared" ref="V459:W459" si="861">IF(AVERAGE(T399:T458) &gt; 0.25, 1, 0)</f>
        <v>1</v>
      </c>
      <c r="W459" s="7">
        <f t="shared" si="861"/>
        <v>1</v>
      </c>
      <c r="X459" s="8">
        <v>1.0</v>
      </c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ht="22.5" customHeight="1">
      <c r="A460" s="6">
        <v>459.0</v>
      </c>
      <c r="B460" s="6">
        <v>98363.0</v>
      </c>
      <c r="C460" s="6">
        <v>-2.05</v>
      </c>
      <c r="D460" s="6">
        <v>0.0</v>
      </c>
      <c r="E460" s="6">
        <v>11.1</v>
      </c>
      <c r="F460" s="6">
        <v>0.42</v>
      </c>
      <c r="G460" s="6">
        <v>-0.15</v>
      </c>
      <c r="H460" s="6">
        <v>1.72</v>
      </c>
      <c r="I460" s="6">
        <v>33.35</v>
      </c>
      <c r="J460" s="7">
        <f t="shared" ref="J460:O460" si="862">abs(C460-C459)/200</f>
        <v>0.00065</v>
      </c>
      <c r="K460" s="7">
        <f t="shared" si="862"/>
        <v>0.01085</v>
      </c>
      <c r="L460" s="7">
        <f t="shared" si="862"/>
        <v>0.0008</v>
      </c>
      <c r="M460" s="7">
        <f t="shared" si="862"/>
        <v>0.0036</v>
      </c>
      <c r="N460" s="7">
        <f t="shared" si="862"/>
        <v>0.00025</v>
      </c>
      <c r="O460" s="7">
        <f t="shared" si="862"/>
        <v>0.01155</v>
      </c>
      <c r="P460" s="7">
        <f t="shared" si="7"/>
        <v>1.08543153</v>
      </c>
      <c r="Q460" s="7">
        <f t="shared" si="8"/>
        <v>0.3848558505</v>
      </c>
      <c r="R460" s="7">
        <f t="shared" si="2"/>
        <v>1.487714561</v>
      </c>
      <c r="S460" s="7">
        <f t="shared" si="3"/>
        <v>1.776879287</v>
      </c>
      <c r="T460" s="7">
        <f t="shared" si="4"/>
        <v>1</v>
      </c>
      <c r="U460" s="7">
        <f t="shared" si="5"/>
        <v>1</v>
      </c>
      <c r="V460" s="7">
        <f t="shared" ref="V460:W460" si="863">IF(AVERAGE(T400:T459) &gt; 0.25, 1, 0)</f>
        <v>1</v>
      </c>
      <c r="W460" s="7">
        <f t="shared" si="863"/>
        <v>1</v>
      </c>
      <c r="X460" s="8">
        <v>1.0</v>
      </c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ht="22.5" customHeight="1">
      <c r="A461" s="6">
        <v>460.0</v>
      </c>
      <c r="B461" s="6">
        <v>98567.0</v>
      </c>
      <c r="C461" s="6">
        <v>3.16</v>
      </c>
      <c r="D461" s="6">
        <v>3.45</v>
      </c>
      <c r="E461" s="6">
        <v>10.43</v>
      </c>
      <c r="F461" s="6">
        <v>0.03</v>
      </c>
      <c r="G461" s="6">
        <v>0.08</v>
      </c>
      <c r="H461" s="6">
        <v>1.87</v>
      </c>
      <c r="I461" s="6">
        <v>33.36</v>
      </c>
      <c r="J461" s="7">
        <f t="shared" ref="J461:O461" si="864">abs(C461-C460)/200</f>
        <v>0.02605</v>
      </c>
      <c r="K461" s="7">
        <f t="shared" si="864"/>
        <v>0.01725</v>
      </c>
      <c r="L461" s="7">
        <f t="shared" si="864"/>
        <v>0.00335</v>
      </c>
      <c r="M461" s="7">
        <f t="shared" si="864"/>
        <v>0.00195</v>
      </c>
      <c r="N461" s="7">
        <f t="shared" si="864"/>
        <v>0.00115</v>
      </c>
      <c r="O461" s="7">
        <f t="shared" si="864"/>
        <v>0.00075</v>
      </c>
      <c r="P461" s="7">
        <f t="shared" si="7"/>
        <v>0.09507156722</v>
      </c>
      <c r="Q461" s="7">
        <f t="shared" si="8"/>
        <v>0.1435145947</v>
      </c>
      <c r="R461" s="7">
        <f t="shared" si="2"/>
        <v>1.631229155</v>
      </c>
      <c r="S461" s="7">
        <f t="shared" si="3"/>
        <v>1.871950854</v>
      </c>
      <c r="T461" s="7">
        <f t="shared" si="4"/>
        <v>1</v>
      </c>
      <c r="U461" s="7">
        <f t="shared" si="5"/>
        <v>1</v>
      </c>
      <c r="V461" s="7">
        <f t="shared" ref="V461:W461" si="865">IF(AVERAGE(T401:T460) &gt; 0.25, 1, 0)</f>
        <v>1</v>
      </c>
      <c r="W461" s="7">
        <f t="shared" si="865"/>
        <v>1</v>
      </c>
      <c r="X461" s="8">
        <v>1.0</v>
      </c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ht="22.5" customHeight="1">
      <c r="A462" s="6">
        <v>461.0</v>
      </c>
      <c r="B462" s="6">
        <v>98771.0</v>
      </c>
      <c r="C462" s="6">
        <v>4.54</v>
      </c>
      <c r="D462" s="6">
        <v>2.02</v>
      </c>
      <c r="E462" s="6">
        <v>10.76</v>
      </c>
      <c r="F462" s="6">
        <v>0.11</v>
      </c>
      <c r="G462" s="6">
        <v>-0.03</v>
      </c>
      <c r="H462" s="6">
        <v>0.02</v>
      </c>
      <c r="I462" s="6">
        <v>33.37</v>
      </c>
      <c r="J462" s="7">
        <f t="shared" ref="J462:O462" si="866">abs(C462-C461)/200</f>
        <v>0.0069</v>
      </c>
      <c r="K462" s="7">
        <f t="shared" si="866"/>
        <v>0.00715</v>
      </c>
      <c r="L462" s="7">
        <f t="shared" si="866"/>
        <v>0.00165</v>
      </c>
      <c r="M462" s="7">
        <f t="shared" si="866"/>
        <v>0.0004</v>
      </c>
      <c r="N462" s="7">
        <f t="shared" si="866"/>
        <v>0.00055</v>
      </c>
      <c r="O462" s="7">
        <f t="shared" si="866"/>
        <v>0.00925</v>
      </c>
      <c r="P462" s="7">
        <f t="shared" si="7"/>
        <v>1.756192485</v>
      </c>
      <c r="Q462" s="7">
        <f t="shared" si="8"/>
        <v>0.4207580199</v>
      </c>
      <c r="R462" s="7">
        <f t="shared" si="2"/>
        <v>2.051987175</v>
      </c>
      <c r="S462" s="7">
        <f t="shared" si="3"/>
        <v>0.115758369</v>
      </c>
      <c r="T462" s="7">
        <f t="shared" si="4"/>
        <v>1</v>
      </c>
      <c r="U462" s="7">
        <f t="shared" si="5"/>
        <v>1</v>
      </c>
      <c r="V462" s="7">
        <f t="shared" ref="V462:W462" si="867">IF(AVERAGE(T402:T461) &gt; 0.25, 1, 0)</f>
        <v>1</v>
      </c>
      <c r="W462" s="7">
        <f t="shared" si="867"/>
        <v>1</v>
      </c>
      <c r="X462" s="8">
        <v>1.0</v>
      </c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ht="22.5" customHeight="1">
      <c r="A463" s="6">
        <v>462.0</v>
      </c>
      <c r="B463" s="6">
        <v>98975.0</v>
      </c>
      <c r="C463" s="6">
        <v>3.32</v>
      </c>
      <c r="D463" s="6">
        <v>-2.01</v>
      </c>
      <c r="E463" s="6">
        <v>10.37</v>
      </c>
      <c r="F463" s="6">
        <v>-0.29</v>
      </c>
      <c r="G463" s="6">
        <v>-0.11</v>
      </c>
      <c r="H463" s="6">
        <v>-1.6</v>
      </c>
      <c r="I463" s="6">
        <v>33.36</v>
      </c>
      <c r="J463" s="7">
        <f t="shared" ref="J463:O463" si="868">abs(C463-C462)/200</f>
        <v>0.0061</v>
      </c>
      <c r="K463" s="7">
        <f t="shared" si="868"/>
        <v>0.02015</v>
      </c>
      <c r="L463" s="7">
        <f t="shared" si="868"/>
        <v>0.00195</v>
      </c>
      <c r="M463" s="7">
        <f t="shared" si="868"/>
        <v>0.002</v>
      </c>
      <c r="N463" s="7">
        <f t="shared" si="868"/>
        <v>0.0004</v>
      </c>
      <c r="O463" s="7">
        <f t="shared" si="868"/>
        <v>0.0081</v>
      </c>
      <c r="P463" s="7">
        <f t="shared" si="7"/>
        <v>1.514026893</v>
      </c>
      <c r="Q463" s="7">
        <f t="shared" si="8"/>
        <v>0.7795258408</v>
      </c>
      <c r="R463" s="7">
        <f t="shared" si="2"/>
        <v>1.272461334</v>
      </c>
      <c r="S463" s="7">
        <f t="shared" si="3"/>
        <v>1.629785262</v>
      </c>
      <c r="T463" s="7">
        <f t="shared" si="4"/>
        <v>1</v>
      </c>
      <c r="U463" s="7">
        <f t="shared" si="5"/>
        <v>1</v>
      </c>
      <c r="V463" s="7">
        <f t="shared" ref="V463:W463" si="869">IF(AVERAGE(T403:T462) &gt; 0.25, 1, 0)</f>
        <v>1</v>
      </c>
      <c r="W463" s="7">
        <f t="shared" si="869"/>
        <v>1</v>
      </c>
      <c r="X463" s="8">
        <v>1.0</v>
      </c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ht="22.5" customHeight="1">
      <c r="A464" s="6">
        <v>463.0</v>
      </c>
      <c r="B464" s="6">
        <v>99179.0</v>
      </c>
      <c r="C464" s="6">
        <v>1.03</v>
      </c>
      <c r="D464" s="6">
        <v>-3.64</v>
      </c>
      <c r="E464" s="6">
        <v>10.75</v>
      </c>
      <c r="F464" s="6">
        <v>-0.4</v>
      </c>
      <c r="G464" s="6">
        <v>0.17</v>
      </c>
      <c r="H464" s="6">
        <v>-1.32</v>
      </c>
      <c r="I464" s="6">
        <v>33.37</v>
      </c>
      <c r="J464" s="7">
        <f t="shared" ref="J464:O464" si="870">abs(C464-C463)/200</f>
        <v>0.01145</v>
      </c>
      <c r="K464" s="7">
        <f t="shared" si="870"/>
        <v>0.00815</v>
      </c>
      <c r="L464" s="7">
        <f t="shared" si="870"/>
        <v>0.0019</v>
      </c>
      <c r="M464" s="7">
        <f t="shared" si="870"/>
        <v>0.00055</v>
      </c>
      <c r="N464" s="7">
        <f t="shared" si="870"/>
        <v>0.0014</v>
      </c>
      <c r="O464" s="7">
        <f t="shared" si="870"/>
        <v>0.0014</v>
      </c>
      <c r="P464" s="7">
        <f t="shared" si="7"/>
        <v>0.2400730615</v>
      </c>
      <c r="Q464" s="7">
        <f t="shared" si="8"/>
        <v>0.3237222374</v>
      </c>
      <c r="R464" s="7">
        <f t="shared" si="2"/>
        <v>1.596183572</v>
      </c>
      <c r="S464" s="7">
        <f t="shared" si="3"/>
        <v>1.3897122</v>
      </c>
      <c r="T464" s="7">
        <f t="shared" si="4"/>
        <v>1</v>
      </c>
      <c r="U464" s="7">
        <f t="shared" si="5"/>
        <v>1</v>
      </c>
      <c r="V464" s="7">
        <f t="shared" ref="V464:W464" si="871">IF(AVERAGE(T404:T463) &gt; 0.25, 1, 0)</f>
        <v>1</v>
      </c>
      <c r="W464" s="7">
        <f t="shared" si="871"/>
        <v>1</v>
      </c>
      <c r="X464" s="8">
        <v>1.0</v>
      </c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ht="22.5" customHeight="1">
      <c r="A465" s="6">
        <v>464.0</v>
      </c>
      <c r="B465" s="6">
        <v>99383.0</v>
      </c>
      <c r="C465" s="6">
        <v>-1.52</v>
      </c>
      <c r="D465" s="6">
        <v>-1.13</v>
      </c>
      <c r="E465" s="6">
        <v>11.07</v>
      </c>
      <c r="F465" s="6">
        <v>-0.19</v>
      </c>
      <c r="G465" s="6">
        <v>-0.22</v>
      </c>
      <c r="H465" s="6">
        <v>0.24</v>
      </c>
      <c r="I465" s="6">
        <v>33.37</v>
      </c>
      <c r="J465" s="7">
        <f t="shared" ref="J465:O465" si="872">abs(C465-C464)/200</f>
        <v>0.01275</v>
      </c>
      <c r="K465" s="7">
        <f t="shared" si="872"/>
        <v>0.01255</v>
      </c>
      <c r="L465" s="7">
        <f t="shared" si="872"/>
        <v>0.0016</v>
      </c>
      <c r="M465" s="7">
        <f t="shared" si="872"/>
        <v>0.00105</v>
      </c>
      <c r="N465" s="7">
        <f t="shared" si="872"/>
        <v>0.00195</v>
      </c>
      <c r="O465" s="7">
        <f t="shared" si="872"/>
        <v>0.0078</v>
      </c>
      <c r="P465" s="7">
        <f t="shared" si="7"/>
        <v>1.012750664</v>
      </c>
      <c r="Q465" s="7">
        <f t="shared" si="8"/>
        <v>0.1653242991</v>
      </c>
      <c r="R465" s="7">
        <f t="shared" si="2"/>
        <v>1.430859273</v>
      </c>
      <c r="S465" s="7">
        <f t="shared" si="3"/>
        <v>0.3769615365</v>
      </c>
      <c r="T465" s="7">
        <f t="shared" si="4"/>
        <v>1</v>
      </c>
      <c r="U465" s="7">
        <f t="shared" si="5"/>
        <v>1</v>
      </c>
      <c r="V465" s="7">
        <f t="shared" ref="V465:W465" si="873">IF(AVERAGE(T405:T464) &gt; 0.25, 1, 0)</f>
        <v>1</v>
      </c>
      <c r="W465" s="7">
        <f t="shared" si="873"/>
        <v>1</v>
      </c>
      <c r="X465" s="8">
        <v>1.0</v>
      </c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ht="22.5" customHeight="1">
      <c r="A466" s="6">
        <v>465.0</v>
      </c>
      <c r="B466" s="6">
        <v>99587.0</v>
      </c>
      <c r="C466" s="6">
        <v>-1.04</v>
      </c>
      <c r="D466" s="6">
        <v>1.11</v>
      </c>
      <c r="E466" s="6">
        <v>10.71</v>
      </c>
      <c r="F466" s="6">
        <v>0.27</v>
      </c>
      <c r="G466" s="6">
        <v>-0.22</v>
      </c>
      <c r="H466" s="6">
        <v>1.16</v>
      </c>
      <c r="I466" s="6">
        <v>33.37</v>
      </c>
      <c r="J466" s="7">
        <f t="shared" ref="J466:O466" si="874">abs(C466-C465)/200</f>
        <v>0.0024</v>
      </c>
      <c r="K466" s="7">
        <f t="shared" si="874"/>
        <v>0.0112</v>
      </c>
      <c r="L466" s="7">
        <f t="shared" si="874"/>
        <v>0.0018</v>
      </c>
      <c r="M466" s="7">
        <f t="shared" si="874"/>
        <v>0.0023</v>
      </c>
      <c r="N466" s="7">
        <f t="shared" si="874"/>
        <v>0</v>
      </c>
      <c r="O466" s="7">
        <f t="shared" si="874"/>
        <v>0.0046</v>
      </c>
      <c r="P466" s="7">
        <f t="shared" si="7"/>
        <v>0.8341949356</v>
      </c>
      <c r="Q466" s="7">
        <f t="shared" si="8"/>
        <v>0.4133826722</v>
      </c>
      <c r="R466" s="7">
        <f t="shared" si="2"/>
        <v>1.0174766</v>
      </c>
      <c r="S466" s="7">
        <f t="shared" si="3"/>
        <v>1.211156472</v>
      </c>
      <c r="T466" s="7">
        <f t="shared" si="4"/>
        <v>1</v>
      </c>
      <c r="U466" s="7">
        <f t="shared" si="5"/>
        <v>1</v>
      </c>
      <c r="V466" s="7">
        <f t="shared" ref="V466:W466" si="875">IF(AVERAGE(T406:T465) &gt; 0.25, 1, 0)</f>
        <v>1</v>
      </c>
      <c r="W466" s="7">
        <f t="shared" si="875"/>
        <v>1</v>
      </c>
      <c r="X466" s="8">
        <v>1.0</v>
      </c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ht="22.5" customHeight="1">
      <c r="A467" s="6">
        <v>466.0</v>
      </c>
      <c r="B467" s="6">
        <v>99791.0</v>
      </c>
      <c r="C467" s="6">
        <v>1.04</v>
      </c>
      <c r="D467" s="6">
        <v>3.76</v>
      </c>
      <c r="E467" s="6">
        <v>10.67</v>
      </c>
      <c r="F467" s="6">
        <v>0.19</v>
      </c>
      <c r="G467" s="6">
        <v>-0.1</v>
      </c>
      <c r="H467" s="6">
        <v>0.99</v>
      </c>
      <c r="I467" s="6">
        <v>33.38</v>
      </c>
      <c r="J467" s="7">
        <f t="shared" ref="J467:O467" si="876">abs(C467-C466)/200</f>
        <v>0.0104</v>
      </c>
      <c r="K467" s="7">
        <f t="shared" si="876"/>
        <v>0.01325</v>
      </c>
      <c r="L467" s="7">
        <f t="shared" si="876"/>
        <v>0.0002</v>
      </c>
      <c r="M467" s="7">
        <f t="shared" si="876"/>
        <v>0.0004</v>
      </c>
      <c r="N467" s="7">
        <f t="shared" si="876"/>
        <v>0.0006</v>
      </c>
      <c r="O467" s="7">
        <f t="shared" si="876"/>
        <v>0.00085</v>
      </c>
      <c r="P467" s="7">
        <f t="shared" si="7"/>
        <v>0.1981411712</v>
      </c>
      <c r="Q467" s="7">
        <f t="shared" si="8"/>
        <v>0.543337631</v>
      </c>
      <c r="R467" s="7">
        <f t="shared" si="2"/>
        <v>1.560814231</v>
      </c>
      <c r="S467" s="7">
        <f t="shared" si="3"/>
        <v>1.013015301</v>
      </c>
      <c r="T467" s="7">
        <f t="shared" si="4"/>
        <v>1</v>
      </c>
      <c r="U467" s="7">
        <f t="shared" si="5"/>
        <v>1</v>
      </c>
      <c r="V467" s="7">
        <f t="shared" ref="V467:W467" si="877">IF(AVERAGE(T407:T466) &gt; 0.25, 1, 0)</f>
        <v>1</v>
      </c>
      <c r="W467" s="7">
        <f t="shared" si="877"/>
        <v>1</v>
      </c>
      <c r="X467" s="8">
        <v>1.0</v>
      </c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ht="22.5" customHeight="1">
      <c r="A468" s="6">
        <v>467.0</v>
      </c>
      <c r="B468" s="6">
        <v>99995.0</v>
      </c>
      <c r="C468" s="6">
        <v>4.66</v>
      </c>
      <c r="D468" s="6">
        <v>0.13</v>
      </c>
      <c r="E468" s="6">
        <v>10.5</v>
      </c>
      <c r="F468" s="6">
        <v>-0.01</v>
      </c>
      <c r="G468" s="6">
        <v>0.08</v>
      </c>
      <c r="H468" s="6">
        <v>0.09</v>
      </c>
      <c r="I468" s="6">
        <v>33.39</v>
      </c>
      <c r="J468" s="7">
        <f t="shared" ref="J468:O468" si="878">abs(C468-C467)/200</f>
        <v>0.0181</v>
      </c>
      <c r="K468" s="7">
        <f t="shared" si="878"/>
        <v>0.01815</v>
      </c>
      <c r="L468" s="7">
        <f t="shared" si="878"/>
        <v>0.00085</v>
      </c>
      <c r="M468" s="7">
        <f t="shared" si="878"/>
        <v>0.001</v>
      </c>
      <c r="N468" s="7">
        <f t="shared" si="878"/>
        <v>0.0009</v>
      </c>
      <c r="O468" s="7">
        <f t="shared" si="878"/>
        <v>0.0045</v>
      </c>
      <c r="P468" s="7">
        <f t="shared" si="7"/>
        <v>0.8921848412</v>
      </c>
      <c r="Q468" s="7">
        <f t="shared" si="8"/>
        <v>0.1275494467</v>
      </c>
      <c r="R468" s="7">
        <f t="shared" si="2"/>
        <v>1.688363678</v>
      </c>
      <c r="S468" s="7">
        <f t="shared" si="3"/>
        <v>0.1208304597</v>
      </c>
      <c r="T468" s="7">
        <f t="shared" si="4"/>
        <v>1</v>
      </c>
      <c r="U468" s="7">
        <f t="shared" si="5"/>
        <v>1</v>
      </c>
      <c r="V468" s="7">
        <f t="shared" ref="V468:W468" si="879">IF(AVERAGE(T408:T467) &gt; 0.25, 1, 0)</f>
        <v>1</v>
      </c>
      <c r="W468" s="7">
        <f t="shared" si="879"/>
        <v>1</v>
      </c>
      <c r="X468" s="8">
        <v>1.0</v>
      </c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ht="22.5" customHeight="1">
      <c r="A469" s="6">
        <v>468.0</v>
      </c>
      <c r="B469" s="6">
        <v>100199.0</v>
      </c>
      <c r="C469" s="6">
        <v>3.44</v>
      </c>
      <c r="D469" s="6">
        <v>-2.61</v>
      </c>
      <c r="E469" s="6">
        <v>10.52</v>
      </c>
      <c r="F469" s="6">
        <v>-0.4</v>
      </c>
      <c r="G469" s="6">
        <v>0.29</v>
      </c>
      <c r="H469" s="6">
        <v>-1.13</v>
      </c>
      <c r="I469" s="6">
        <v>33.37</v>
      </c>
      <c r="J469" s="7">
        <f t="shared" ref="J469:O469" si="880">abs(C469-C468)/200</f>
        <v>0.0061</v>
      </c>
      <c r="K469" s="7">
        <f t="shared" si="880"/>
        <v>0.0137</v>
      </c>
      <c r="L469" s="7">
        <f t="shared" si="880"/>
        <v>0.0001</v>
      </c>
      <c r="M469" s="7">
        <f t="shared" si="880"/>
        <v>0.00195</v>
      </c>
      <c r="N469" s="7">
        <f t="shared" si="880"/>
        <v>0.00105</v>
      </c>
      <c r="O469" s="7">
        <f t="shared" si="880"/>
        <v>0.0061</v>
      </c>
      <c r="P469" s="7">
        <f t="shared" si="7"/>
        <v>1.112457828</v>
      </c>
      <c r="Q469" s="7">
        <f t="shared" si="8"/>
        <v>0.1166399741</v>
      </c>
      <c r="R469" s="7">
        <f t="shared" si="2"/>
        <v>1.571723704</v>
      </c>
      <c r="S469" s="7">
        <f t="shared" si="3"/>
        <v>1.233288287</v>
      </c>
      <c r="T469" s="7">
        <f t="shared" si="4"/>
        <v>1</v>
      </c>
      <c r="U469" s="7">
        <f t="shared" si="5"/>
        <v>1</v>
      </c>
      <c r="V469" s="7">
        <f t="shared" ref="V469:W469" si="881">IF(AVERAGE(T409:T468) &gt; 0.25, 1, 0)</f>
        <v>1</v>
      </c>
      <c r="W469" s="7">
        <f t="shared" si="881"/>
        <v>1</v>
      </c>
      <c r="X469" s="8">
        <v>1.0</v>
      </c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ht="22.5" customHeight="1">
      <c r="A470" s="6">
        <v>469.0</v>
      </c>
      <c r="B470" s="6">
        <v>100403.0</v>
      </c>
      <c r="C470" s="6">
        <v>-0.68</v>
      </c>
      <c r="D470" s="6">
        <v>-2.83</v>
      </c>
      <c r="E470" s="6">
        <v>11.4</v>
      </c>
      <c r="F470" s="6">
        <v>-0.41</v>
      </c>
      <c r="G470" s="6">
        <v>-0.04</v>
      </c>
      <c r="H470" s="6">
        <v>-1.05</v>
      </c>
      <c r="I470" s="6">
        <v>33.37</v>
      </c>
      <c r="J470" s="7">
        <f t="shared" ref="J470:O470" si="882">abs(C470-C469)/200</f>
        <v>0.0206</v>
      </c>
      <c r="K470" s="7">
        <f t="shared" si="882"/>
        <v>0.0011</v>
      </c>
      <c r="L470" s="7">
        <f t="shared" si="882"/>
        <v>0.0044</v>
      </c>
      <c r="M470" s="7">
        <f t="shared" si="882"/>
        <v>0.00005</v>
      </c>
      <c r="N470" s="7">
        <f t="shared" si="882"/>
        <v>0.00165</v>
      </c>
      <c r="O470" s="7">
        <f t="shared" si="882"/>
        <v>0.0004</v>
      </c>
      <c r="P470" s="7">
        <f t="shared" si="7"/>
        <v>0.1053698507</v>
      </c>
      <c r="Q470" s="7">
        <f t="shared" si="8"/>
        <v>0.3939594466</v>
      </c>
      <c r="R470" s="7">
        <f t="shared" si="2"/>
        <v>1.965683151</v>
      </c>
      <c r="S470" s="7">
        <f t="shared" si="3"/>
        <v>1.127918437</v>
      </c>
      <c r="T470" s="7">
        <f t="shared" si="4"/>
        <v>1</v>
      </c>
      <c r="U470" s="7">
        <f t="shared" si="5"/>
        <v>1</v>
      </c>
      <c r="V470" s="7">
        <f t="shared" ref="V470:W470" si="883">IF(AVERAGE(T410:T469) &gt; 0.25, 1, 0)</f>
        <v>1</v>
      </c>
      <c r="W470" s="7">
        <f t="shared" si="883"/>
        <v>1</v>
      </c>
      <c r="X470" s="8">
        <v>1.0</v>
      </c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ht="22.5" customHeight="1">
      <c r="A471" s="6">
        <v>470.0</v>
      </c>
      <c r="B471" s="6">
        <v>100607.0</v>
      </c>
      <c r="C471" s="6">
        <v>-2.5</v>
      </c>
      <c r="D471" s="6">
        <v>-0.88</v>
      </c>
      <c r="E471" s="6">
        <v>11.08</v>
      </c>
      <c r="F471" s="6">
        <v>0.01</v>
      </c>
      <c r="G471" s="6">
        <v>-0.2</v>
      </c>
      <c r="H471" s="6">
        <v>0.63</v>
      </c>
      <c r="I471" s="6">
        <v>33.37</v>
      </c>
      <c r="J471" s="7">
        <f t="shared" ref="J471:O471" si="884">abs(C471-C470)/200</f>
        <v>0.0091</v>
      </c>
      <c r="K471" s="7">
        <f t="shared" si="884"/>
        <v>0.00975</v>
      </c>
      <c r="L471" s="7">
        <f t="shared" si="884"/>
        <v>0.0016</v>
      </c>
      <c r="M471" s="7">
        <f t="shared" si="884"/>
        <v>0.0021</v>
      </c>
      <c r="N471" s="7">
        <f t="shared" si="884"/>
        <v>0.0008</v>
      </c>
      <c r="O471" s="7">
        <f t="shared" si="884"/>
        <v>0.0084</v>
      </c>
      <c r="P471" s="7">
        <f t="shared" si="7"/>
        <v>0.4668586815</v>
      </c>
      <c r="Q471" s="7">
        <f t="shared" si="8"/>
        <v>0.3731066202</v>
      </c>
      <c r="R471" s="7">
        <f t="shared" si="2"/>
        <v>1.59257653</v>
      </c>
      <c r="S471" s="7">
        <f t="shared" si="3"/>
        <v>0.6610597552</v>
      </c>
      <c r="T471" s="7">
        <f t="shared" si="4"/>
        <v>1</v>
      </c>
      <c r="U471" s="7">
        <f t="shared" si="5"/>
        <v>1</v>
      </c>
      <c r="V471" s="7">
        <f t="shared" ref="V471:W471" si="885">IF(AVERAGE(T411:T470) &gt; 0.25, 1, 0)</f>
        <v>1</v>
      </c>
      <c r="W471" s="7">
        <f t="shared" si="885"/>
        <v>1</v>
      </c>
      <c r="X471" s="8">
        <v>1.0</v>
      </c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ht="22.5" customHeight="1">
      <c r="A472" s="6">
        <v>471.0</v>
      </c>
      <c r="B472" s="6">
        <v>100811.0</v>
      </c>
      <c r="C472" s="6">
        <v>1.04</v>
      </c>
      <c r="D472" s="6">
        <v>2.87</v>
      </c>
      <c r="E472" s="6">
        <v>10.27</v>
      </c>
      <c r="F472" s="6">
        <v>0.19</v>
      </c>
      <c r="G472" s="6">
        <v>-0.08</v>
      </c>
      <c r="H472" s="6">
        <v>1.18</v>
      </c>
      <c r="I472" s="6">
        <v>33.38</v>
      </c>
      <c r="J472" s="7">
        <f t="shared" ref="J472:O472" si="886">abs(C472-C471)/200</f>
        <v>0.0177</v>
      </c>
      <c r="K472" s="7">
        <f t="shared" si="886"/>
        <v>0.01875</v>
      </c>
      <c r="L472" s="7">
        <f t="shared" si="886"/>
        <v>0.00405</v>
      </c>
      <c r="M472" s="7">
        <f t="shared" si="886"/>
        <v>0.0009</v>
      </c>
      <c r="N472" s="7">
        <f t="shared" si="886"/>
        <v>0.0006</v>
      </c>
      <c r="O472" s="7">
        <f t="shared" si="886"/>
        <v>0.00275</v>
      </c>
      <c r="P472" s="7">
        <f t="shared" si="7"/>
        <v>0.5368133599</v>
      </c>
      <c r="Q472" s="7">
        <f t="shared" si="8"/>
        <v>0.6785016753</v>
      </c>
      <c r="R472" s="7">
        <f t="shared" si="2"/>
        <v>0.9140748551</v>
      </c>
      <c r="S472" s="7">
        <f t="shared" si="3"/>
        <v>1.197873115</v>
      </c>
      <c r="T472" s="7">
        <f t="shared" si="4"/>
        <v>1</v>
      </c>
      <c r="U472" s="7">
        <f t="shared" si="5"/>
        <v>1</v>
      </c>
      <c r="V472" s="7">
        <f t="shared" ref="V472:W472" si="887">IF(AVERAGE(T412:T471) &gt; 0.25, 1, 0)</f>
        <v>1</v>
      </c>
      <c r="W472" s="7">
        <f t="shared" si="887"/>
        <v>1</v>
      </c>
      <c r="X472" s="8">
        <v>1.0</v>
      </c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ht="22.5" customHeight="1">
      <c r="A473" s="6">
        <v>472.0</v>
      </c>
      <c r="B473" s="6">
        <v>101015.0</v>
      </c>
      <c r="C473" s="6">
        <v>2.88</v>
      </c>
      <c r="D473" s="6">
        <v>0.28</v>
      </c>
      <c r="E473" s="6">
        <v>10.37</v>
      </c>
      <c r="F473" s="6">
        <v>0.01</v>
      </c>
      <c r="G473" s="6">
        <v>0.01</v>
      </c>
      <c r="H473" s="6">
        <v>-0.1</v>
      </c>
      <c r="I473" s="6">
        <v>33.37</v>
      </c>
      <c r="J473" s="7">
        <f t="shared" ref="J473:O473" si="888">abs(C473-C472)/200</f>
        <v>0.0092</v>
      </c>
      <c r="K473" s="7">
        <f t="shared" si="888"/>
        <v>0.01295</v>
      </c>
      <c r="L473" s="7">
        <f t="shared" si="888"/>
        <v>0.0005</v>
      </c>
      <c r="M473" s="7">
        <f t="shared" si="888"/>
        <v>0.0009</v>
      </c>
      <c r="N473" s="7">
        <f t="shared" si="888"/>
        <v>0.00045</v>
      </c>
      <c r="O473" s="7">
        <f t="shared" si="888"/>
        <v>0.0064</v>
      </c>
      <c r="P473" s="7">
        <f t="shared" si="7"/>
        <v>1.096878066</v>
      </c>
      <c r="Q473" s="7">
        <f t="shared" si="8"/>
        <v>0.0520618708</v>
      </c>
      <c r="R473" s="7">
        <f t="shared" si="2"/>
        <v>0.9661367259</v>
      </c>
      <c r="S473" s="7">
        <f t="shared" si="3"/>
        <v>0.1009950494</v>
      </c>
      <c r="T473" s="7">
        <f t="shared" si="4"/>
        <v>1</v>
      </c>
      <c r="U473" s="7">
        <f t="shared" si="5"/>
        <v>1</v>
      </c>
      <c r="V473" s="7">
        <f t="shared" ref="V473:W473" si="889">IF(AVERAGE(T413:T472) &gt; 0.25, 1, 0)</f>
        <v>1</v>
      </c>
      <c r="W473" s="7">
        <f t="shared" si="889"/>
        <v>1</v>
      </c>
      <c r="X473" s="8">
        <v>1.0</v>
      </c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ht="22.5" customHeight="1">
      <c r="A474" s="6">
        <v>473.0</v>
      </c>
      <c r="B474" s="6">
        <v>101219.0</v>
      </c>
      <c r="C474" s="6">
        <v>3.18</v>
      </c>
      <c r="D474" s="6">
        <v>-0.52</v>
      </c>
      <c r="E474" s="6">
        <v>10.67</v>
      </c>
      <c r="F474" s="6">
        <v>-0.03</v>
      </c>
      <c r="G474" s="6">
        <v>0.03</v>
      </c>
      <c r="H474" s="6">
        <v>0.24</v>
      </c>
      <c r="I474" s="6">
        <v>33.39</v>
      </c>
      <c r="J474" s="7">
        <f t="shared" ref="J474:O474" si="890">abs(C474-C473)/200</f>
        <v>0.0015</v>
      </c>
      <c r="K474" s="7">
        <f t="shared" si="890"/>
        <v>0.004</v>
      </c>
      <c r="L474" s="7">
        <f t="shared" si="890"/>
        <v>0.0015</v>
      </c>
      <c r="M474" s="7">
        <f t="shared" si="890"/>
        <v>0.0002</v>
      </c>
      <c r="N474" s="7">
        <f t="shared" si="890"/>
        <v>0.0001</v>
      </c>
      <c r="O474" s="7">
        <f t="shared" si="890"/>
        <v>0.0017</v>
      </c>
      <c r="P474" s="7">
        <f t="shared" si="7"/>
        <v>0.1427261028</v>
      </c>
      <c r="Q474" s="7">
        <f t="shared" si="8"/>
        <v>0.3797907815</v>
      </c>
      <c r="R474" s="7">
        <f t="shared" si="2"/>
        <v>1.345927507</v>
      </c>
      <c r="S474" s="7">
        <f t="shared" si="3"/>
        <v>0.2437211521</v>
      </c>
      <c r="T474" s="7">
        <f t="shared" si="4"/>
        <v>1</v>
      </c>
      <c r="U474" s="7">
        <f t="shared" si="5"/>
        <v>1</v>
      </c>
      <c r="V474" s="7">
        <f t="shared" ref="V474:W474" si="891">IF(AVERAGE(T414:T473) &gt; 0.25, 1, 0)</f>
        <v>1</v>
      </c>
      <c r="W474" s="7">
        <f t="shared" si="891"/>
        <v>1</v>
      </c>
      <c r="X474" s="8">
        <v>1.0</v>
      </c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ht="22.5" customHeight="1">
      <c r="A475" s="6">
        <v>474.0</v>
      </c>
      <c r="B475" s="6">
        <v>101423.0</v>
      </c>
      <c r="C475" s="6">
        <v>3.57</v>
      </c>
      <c r="D475" s="6">
        <v>-2.22</v>
      </c>
      <c r="E475" s="6">
        <v>10.09</v>
      </c>
      <c r="F475" s="6">
        <v>-0.28</v>
      </c>
      <c r="G475" s="6">
        <v>0.1</v>
      </c>
      <c r="H475" s="6">
        <v>-0.81</v>
      </c>
      <c r="I475" s="6">
        <v>33.38</v>
      </c>
      <c r="J475" s="7">
        <f t="shared" ref="J475:O475" si="892">abs(C475-C474)/200</f>
        <v>0.00195</v>
      </c>
      <c r="K475" s="7">
        <f t="shared" si="892"/>
        <v>0.0085</v>
      </c>
      <c r="L475" s="7">
        <f t="shared" si="892"/>
        <v>0.0029</v>
      </c>
      <c r="M475" s="7">
        <f t="shared" si="892"/>
        <v>0.00125</v>
      </c>
      <c r="N475" s="7">
        <f t="shared" si="892"/>
        <v>0.00035</v>
      </c>
      <c r="O475" s="7">
        <f t="shared" si="892"/>
        <v>0.00525</v>
      </c>
      <c r="P475" s="7">
        <f t="shared" si="7"/>
        <v>0.6191229821</v>
      </c>
      <c r="Q475" s="7">
        <f t="shared" si="8"/>
        <v>0.2151727302</v>
      </c>
      <c r="R475" s="7">
        <f t="shared" si="2"/>
        <v>1.130754777</v>
      </c>
      <c r="S475" s="7">
        <f t="shared" si="3"/>
        <v>0.8628441342</v>
      </c>
      <c r="T475" s="7">
        <f t="shared" si="4"/>
        <v>1</v>
      </c>
      <c r="U475" s="7">
        <f t="shared" si="5"/>
        <v>1</v>
      </c>
      <c r="V475" s="7">
        <f t="shared" ref="V475:W475" si="893">IF(AVERAGE(T415:T474) &gt; 0.25, 1, 0)</f>
        <v>1</v>
      </c>
      <c r="W475" s="7">
        <f t="shared" si="893"/>
        <v>1</v>
      </c>
      <c r="X475" s="8">
        <v>1.0</v>
      </c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ht="22.5" customHeight="1">
      <c r="A476" s="6">
        <v>475.0</v>
      </c>
      <c r="B476" s="6">
        <v>105911.0</v>
      </c>
      <c r="C476" s="6">
        <v>1.42</v>
      </c>
      <c r="D476" s="6">
        <v>-1.13</v>
      </c>
      <c r="E476" s="6">
        <v>10.86</v>
      </c>
      <c r="F476" s="6">
        <v>0.01</v>
      </c>
      <c r="G476" s="6">
        <v>0.13</v>
      </c>
      <c r="H476" s="6">
        <v>-0.34</v>
      </c>
      <c r="I476" s="6">
        <v>33.39</v>
      </c>
      <c r="J476" s="7">
        <f t="shared" ref="J476:O476" si="894">abs(C476-C475)/200</f>
        <v>0.01075</v>
      </c>
      <c r="K476" s="7">
        <f t="shared" si="894"/>
        <v>0.00545</v>
      </c>
      <c r="L476" s="7">
        <f t="shared" si="894"/>
        <v>0.00385</v>
      </c>
      <c r="M476" s="7">
        <f t="shared" si="894"/>
        <v>0.00145</v>
      </c>
      <c r="N476" s="7">
        <f t="shared" si="894"/>
        <v>0.00015</v>
      </c>
      <c r="O476" s="7">
        <f t="shared" si="894"/>
        <v>0.00235</v>
      </c>
      <c r="P476" s="7">
        <f t="shared" si="7"/>
        <v>0.4987013051</v>
      </c>
      <c r="Q476" s="7">
        <f t="shared" si="8"/>
        <v>0.07982649716</v>
      </c>
      <c r="R476" s="7">
        <f t="shared" si="2"/>
        <v>1.210581274</v>
      </c>
      <c r="S476" s="7">
        <f t="shared" si="3"/>
        <v>0.3641428291</v>
      </c>
      <c r="T476" s="7">
        <f t="shared" si="4"/>
        <v>1</v>
      </c>
      <c r="U476" s="7">
        <f t="shared" si="5"/>
        <v>1</v>
      </c>
      <c r="V476" s="7">
        <f t="shared" ref="V476:W476" si="895">IF(AVERAGE(T416:T475) &gt; 0.25, 1, 0)</f>
        <v>1</v>
      </c>
      <c r="W476" s="7">
        <f t="shared" si="895"/>
        <v>1</v>
      </c>
      <c r="X476" s="8">
        <v>1.0</v>
      </c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ht="22.5" customHeight="1">
      <c r="A477" s="6">
        <v>476.0</v>
      </c>
      <c r="B477" s="6">
        <v>106115.0</v>
      </c>
      <c r="C477" s="6">
        <v>2.04</v>
      </c>
      <c r="D477" s="6">
        <v>-2.39</v>
      </c>
      <c r="E477" s="6">
        <v>10.51</v>
      </c>
      <c r="F477" s="6">
        <v>-0.1</v>
      </c>
      <c r="G477" s="6">
        <v>-0.08</v>
      </c>
      <c r="H477" s="6">
        <v>-0.38</v>
      </c>
      <c r="I477" s="6">
        <v>33.39</v>
      </c>
      <c r="J477" s="7">
        <f t="shared" ref="J477:O477" si="896">abs(C477-C476)/200</f>
        <v>0.0031</v>
      </c>
      <c r="K477" s="7">
        <f t="shared" si="896"/>
        <v>0.0063</v>
      </c>
      <c r="L477" s="7">
        <f t="shared" si="896"/>
        <v>0.00175</v>
      </c>
      <c r="M477" s="7">
        <f t="shared" si="896"/>
        <v>0.00055</v>
      </c>
      <c r="N477" s="7">
        <f t="shared" si="896"/>
        <v>0.00105</v>
      </c>
      <c r="O477" s="7">
        <f t="shared" si="896"/>
        <v>0.0002</v>
      </c>
      <c r="P477" s="7">
        <f t="shared" si="7"/>
        <v>0.03685592399</v>
      </c>
      <c r="Q477" s="7">
        <f t="shared" si="8"/>
        <v>0.04090488901</v>
      </c>
      <c r="R477" s="7">
        <f t="shared" si="2"/>
        <v>1.169676385</v>
      </c>
      <c r="S477" s="7">
        <f t="shared" si="3"/>
        <v>0.4009987531</v>
      </c>
      <c r="T477" s="7">
        <f t="shared" si="4"/>
        <v>1</v>
      </c>
      <c r="U477" s="7">
        <f t="shared" si="5"/>
        <v>1</v>
      </c>
      <c r="V477" s="7">
        <f t="shared" ref="V477:W477" si="897">IF(AVERAGE(T417:T476) &gt; 0.25, 1, 0)</f>
        <v>1</v>
      </c>
      <c r="W477" s="7">
        <f t="shared" si="897"/>
        <v>1</v>
      </c>
      <c r="X477" s="8">
        <v>1.0</v>
      </c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ht="22.5" customHeight="1">
      <c r="A478" s="6">
        <v>477.0</v>
      </c>
      <c r="B478" s="6">
        <v>106319.0</v>
      </c>
      <c r="C478" s="6">
        <v>0.97</v>
      </c>
      <c r="D478" s="6">
        <v>-2.0</v>
      </c>
      <c r="E478" s="6">
        <v>10.9</v>
      </c>
      <c r="F478" s="6">
        <v>-0.34</v>
      </c>
      <c r="G478" s="6">
        <v>-0.14</v>
      </c>
      <c r="H478" s="6">
        <v>-0.64</v>
      </c>
      <c r="I478" s="6">
        <v>33.38</v>
      </c>
      <c r="J478" s="7">
        <f t="shared" ref="J478:O478" si="898">abs(C478-C477)/200</f>
        <v>0.00535</v>
      </c>
      <c r="K478" s="7">
        <f t="shared" si="898"/>
        <v>0.00195</v>
      </c>
      <c r="L478" s="7">
        <f t="shared" si="898"/>
        <v>0.00195</v>
      </c>
      <c r="M478" s="7">
        <f t="shared" si="898"/>
        <v>0.0012</v>
      </c>
      <c r="N478" s="7">
        <f t="shared" si="898"/>
        <v>0.0003</v>
      </c>
      <c r="O478" s="7">
        <f t="shared" si="898"/>
        <v>0.0013</v>
      </c>
      <c r="P478" s="7">
        <f t="shared" si="7"/>
        <v>0.3371069304</v>
      </c>
      <c r="Q478" s="7">
        <f t="shared" si="8"/>
        <v>0.1546617972</v>
      </c>
      <c r="R478" s="7">
        <f t="shared" si="2"/>
        <v>1.324338183</v>
      </c>
      <c r="S478" s="7">
        <f t="shared" si="3"/>
        <v>0.7381056835</v>
      </c>
      <c r="T478" s="7">
        <f t="shared" si="4"/>
        <v>1</v>
      </c>
      <c r="U478" s="7">
        <f t="shared" si="5"/>
        <v>1</v>
      </c>
      <c r="V478" s="7">
        <f t="shared" ref="V478:W478" si="899">IF(AVERAGE(T418:T477) &gt; 0.25, 1, 0)</f>
        <v>1</v>
      </c>
      <c r="W478" s="7">
        <f t="shared" si="899"/>
        <v>1</v>
      </c>
      <c r="X478" s="8">
        <v>1.0</v>
      </c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ht="22.5" customHeight="1">
      <c r="A479" s="6">
        <v>478.0</v>
      </c>
      <c r="B479" s="6">
        <v>106523.0</v>
      </c>
      <c r="C479" s="6">
        <v>-0.91</v>
      </c>
      <c r="D479" s="6">
        <v>-0.08</v>
      </c>
      <c r="E479" s="6">
        <v>10.79</v>
      </c>
      <c r="F479" s="6">
        <v>-0.14</v>
      </c>
      <c r="G479" s="6">
        <v>-0.18</v>
      </c>
      <c r="H479" s="6">
        <v>0.11</v>
      </c>
      <c r="I479" s="6">
        <v>33.4</v>
      </c>
      <c r="J479" s="7">
        <f t="shared" ref="J479:O479" si="900">abs(C479-C478)/200</f>
        <v>0.0094</v>
      </c>
      <c r="K479" s="7">
        <f t="shared" si="900"/>
        <v>0.0096</v>
      </c>
      <c r="L479" s="7">
        <f t="shared" si="900"/>
        <v>0.00055</v>
      </c>
      <c r="M479" s="7">
        <f t="shared" si="900"/>
        <v>0.001</v>
      </c>
      <c r="N479" s="7">
        <f t="shared" si="900"/>
        <v>0.0002</v>
      </c>
      <c r="O479" s="7">
        <f t="shared" si="900"/>
        <v>0.00375</v>
      </c>
      <c r="P479" s="7">
        <f t="shared" si="7"/>
        <v>0.4849259055</v>
      </c>
      <c r="Q479" s="7">
        <f t="shared" si="8"/>
        <v>0.2957371649</v>
      </c>
      <c r="R479" s="7">
        <f t="shared" si="2"/>
        <v>1.028601018</v>
      </c>
      <c r="S479" s="7">
        <f t="shared" si="3"/>
        <v>0.253179778</v>
      </c>
      <c r="T479" s="7">
        <f t="shared" si="4"/>
        <v>1</v>
      </c>
      <c r="U479" s="7">
        <f t="shared" si="5"/>
        <v>1</v>
      </c>
      <c r="V479" s="7">
        <f t="shared" ref="V479:W479" si="901">IF(AVERAGE(T419:T478) &gt; 0.25, 1, 0)</f>
        <v>1</v>
      </c>
      <c r="W479" s="7">
        <f t="shared" si="901"/>
        <v>1</v>
      </c>
      <c r="X479" s="8">
        <v>1.0</v>
      </c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ht="22.5" customHeight="1">
      <c r="A480" s="6">
        <v>479.0</v>
      </c>
      <c r="B480" s="6">
        <v>106727.0</v>
      </c>
      <c r="C480" s="6">
        <v>0.68</v>
      </c>
      <c r="D480" s="6">
        <v>1.68</v>
      </c>
      <c r="E480" s="6">
        <v>10.65</v>
      </c>
      <c r="F480" s="6">
        <v>0.01</v>
      </c>
      <c r="G480" s="6">
        <v>0.0</v>
      </c>
      <c r="H480" s="6">
        <v>0.52</v>
      </c>
      <c r="I480" s="6">
        <v>33.39</v>
      </c>
      <c r="J480" s="7">
        <f t="shared" ref="J480:O480" si="902">abs(C480-C479)/200</f>
        <v>0.00795</v>
      </c>
      <c r="K480" s="7">
        <f t="shared" si="902"/>
        <v>0.0088</v>
      </c>
      <c r="L480" s="7">
        <f t="shared" si="902"/>
        <v>0.0007</v>
      </c>
      <c r="M480" s="7">
        <f t="shared" si="902"/>
        <v>0.00075</v>
      </c>
      <c r="N480" s="7">
        <f t="shared" si="902"/>
        <v>0.0009</v>
      </c>
      <c r="O480" s="7">
        <f t="shared" si="902"/>
        <v>0.00205</v>
      </c>
      <c r="P480" s="7">
        <f t="shared" si="7"/>
        <v>0.2669163669</v>
      </c>
      <c r="Q480" s="7">
        <f t="shared" si="8"/>
        <v>0.02548572624</v>
      </c>
      <c r="R480" s="7">
        <f t="shared" si="2"/>
        <v>1.003115291</v>
      </c>
      <c r="S480" s="7">
        <f t="shared" si="3"/>
        <v>0.520096145</v>
      </c>
      <c r="T480" s="7">
        <f t="shared" si="4"/>
        <v>1</v>
      </c>
      <c r="U480" s="7">
        <f t="shared" si="5"/>
        <v>1</v>
      </c>
      <c r="V480" s="7">
        <f t="shared" ref="V480:W480" si="903">IF(AVERAGE(T420:T479) &gt; 0.25, 1, 0)</f>
        <v>1</v>
      </c>
      <c r="W480" s="7">
        <f t="shared" si="903"/>
        <v>1</v>
      </c>
      <c r="X480" s="8">
        <v>1.0</v>
      </c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ht="22.5" customHeight="1">
      <c r="A481" s="6">
        <v>480.0</v>
      </c>
      <c r="B481" s="6">
        <v>106931.0</v>
      </c>
      <c r="C481" s="6">
        <v>1.42</v>
      </c>
      <c r="D481" s="6">
        <v>2.23</v>
      </c>
      <c r="E481" s="6">
        <v>10.47</v>
      </c>
      <c r="F481" s="6">
        <v>0.06</v>
      </c>
      <c r="G481" s="6">
        <v>0.08</v>
      </c>
      <c r="H481" s="6">
        <v>0.55</v>
      </c>
      <c r="I481" s="6">
        <v>33.39</v>
      </c>
      <c r="J481" s="7">
        <f t="shared" ref="J481:O481" si="904">abs(C481-C480)/200</f>
        <v>0.0037</v>
      </c>
      <c r="K481" s="7">
        <f t="shared" si="904"/>
        <v>0.00275</v>
      </c>
      <c r="L481" s="7">
        <f t="shared" si="904"/>
        <v>0.0009</v>
      </c>
      <c r="M481" s="7">
        <f t="shared" si="904"/>
        <v>0.00025</v>
      </c>
      <c r="N481" s="7">
        <f t="shared" si="904"/>
        <v>0.0004</v>
      </c>
      <c r="O481" s="7">
        <f t="shared" si="904"/>
        <v>0.00015</v>
      </c>
      <c r="P481" s="7">
        <f t="shared" si="7"/>
        <v>0.03892084942</v>
      </c>
      <c r="Q481" s="7">
        <f t="shared" si="8"/>
        <v>0.004495009194</v>
      </c>
      <c r="R481" s="7">
        <f t="shared" si="2"/>
        <v>0.9986202822</v>
      </c>
      <c r="S481" s="7">
        <f t="shared" si="3"/>
        <v>0.5590169944</v>
      </c>
      <c r="T481" s="7">
        <f t="shared" si="4"/>
        <v>1</v>
      </c>
      <c r="U481" s="7">
        <f t="shared" si="5"/>
        <v>1</v>
      </c>
      <c r="V481" s="7">
        <f t="shared" ref="V481:W481" si="905">IF(AVERAGE(T421:T480) &gt; 0.25, 1, 0)</f>
        <v>1</v>
      </c>
      <c r="W481" s="7">
        <f t="shared" si="905"/>
        <v>1</v>
      </c>
      <c r="X481" s="8">
        <v>1.0</v>
      </c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ht="22.5" customHeight="1">
      <c r="A482" s="6">
        <v>481.0</v>
      </c>
      <c r="B482" s="6">
        <v>107135.0</v>
      </c>
      <c r="C482" s="6">
        <v>2.12</v>
      </c>
      <c r="D482" s="6">
        <v>-0.36</v>
      </c>
      <c r="E482" s="6">
        <v>10.53</v>
      </c>
      <c r="F482" s="6">
        <v>0.02</v>
      </c>
      <c r="G482" s="6">
        <v>0.18</v>
      </c>
      <c r="H482" s="6">
        <v>0.25</v>
      </c>
      <c r="I482" s="6">
        <v>33.39</v>
      </c>
      <c r="J482" s="7">
        <f t="shared" ref="J482:O482" si="906">abs(C482-C481)/200</f>
        <v>0.0035</v>
      </c>
      <c r="K482" s="7">
        <f t="shared" si="906"/>
        <v>0.01295</v>
      </c>
      <c r="L482" s="7">
        <f t="shared" si="906"/>
        <v>0.0003</v>
      </c>
      <c r="M482" s="7">
        <f t="shared" si="906"/>
        <v>0.0002</v>
      </c>
      <c r="N482" s="7">
        <f t="shared" si="906"/>
        <v>0.0005</v>
      </c>
      <c r="O482" s="7">
        <f t="shared" si="906"/>
        <v>0.0015</v>
      </c>
      <c r="P482" s="7">
        <f t="shared" si="7"/>
        <v>0.2503100136</v>
      </c>
      <c r="Q482" s="7">
        <f t="shared" si="8"/>
        <v>0.05129968592</v>
      </c>
      <c r="R482" s="7">
        <f t="shared" si="2"/>
        <v>0.9473205963</v>
      </c>
      <c r="S482" s="7">
        <f t="shared" si="3"/>
        <v>0.3087069808</v>
      </c>
      <c r="T482" s="7">
        <f t="shared" si="4"/>
        <v>1</v>
      </c>
      <c r="U482" s="7">
        <f t="shared" si="5"/>
        <v>1</v>
      </c>
      <c r="V482" s="7">
        <f t="shared" ref="V482:W482" si="907">IF(AVERAGE(T422:T481) &gt; 0.25, 1, 0)</f>
        <v>1</v>
      </c>
      <c r="W482" s="7">
        <f t="shared" si="907"/>
        <v>1</v>
      </c>
      <c r="X482" s="8">
        <v>1.0</v>
      </c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ht="22.5" customHeight="1">
      <c r="A483" s="6">
        <v>482.0</v>
      </c>
      <c r="B483" s="6">
        <v>107339.0</v>
      </c>
      <c r="C483" s="6">
        <v>2.94</v>
      </c>
      <c r="D483" s="6">
        <v>-3.51</v>
      </c>
      <c r="E483" s="6">
        <v>10.49</v>
      </c>
      <c r="F483" s="6">
        <v>-0.15</v>
      </c>
      <c r="G483" s="6">
        <v>0.0</v>
      </c>
      <c r="H483" s="6">
        <v>-0.85</v>
      </c>
      <c r="I483" s="6">
        <v>33.39</v>
      </c>
      <c r="J483" s="7">
        <f t="shared" ref="J483:O483" si="908">abs(C483-C482)/200</f>
        <v>0.0041</v>
      </c>
      <c r="K483" s="7">
        <f t="shared" si="908"/>
        <v>0.01575</v>
      </c>
      <c r="L483" s="7">
        <f t="shared" si="908"/>
        <v>0.0002</v>
      </c>
      <c r="M483" s="7">
        <f t="shared" si="908"/>
        <v>0.00085</v>
      </c>
      <c r="N483" s="7">
        <f t="shared" si="908"/>
        <v>0.0009</v>
      </c>
      <c r="O483" s="7">
        <f t="shared" si="908"/>
        <v>0.0055</v>
      </c>
      <c r="P483" s="7">
        <f t="shared" si="7"/>
        <v>0.5544268443</v>
      </c>
      <c r="Q483" s="7">
        <f t="shared" si="8"/>
        <v>0.6983685485</v>
      </c>
      <c r="R483" s="7">
        <f t="shared" si="2"/>
        <v>1.645689145</v>
      </c>
      <c r="S483" s="7">
        <f t="shared" si="3"/>
        <v>0.8631338251</v>
      </c>
      <c r="T483" s="7">
        <f t="shared" si="4"/>
        <v>1</v>
      </c>
      <c r="U483" s="7">
        <f t="shared" si="5"/>
        <v>1</v>
      </c>
      <c r="V483" s="7">
        <f t="shared" ref="V483:W483" si="909">IF(AVERAGE(T423:T482) &gt; 0.25, 1, 0)</f>
        <v>1</v>
      </c>
      <c r="W483" s="7">
        <f t="shared" si="909"/>
        <v>1</v>
      </c>
      <c r="X483" s="8">
        <v>1.0</v>
      </c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ht="22.5" customHeight="1">
      <c r="A484" s="6">
        <v>483.0</v>
      </c>
      <c r="B484" s="6">
        <v>107543.0</v>
      </c>
      <c r="C484" s="6">
        <v>-0.08</v>
      </c>
      <c r="D484" s="6">
        <v>-1.63</v>
      </c>
      <c r="E484" s="6">
        <v>10.91</v>
      </c>
      <c r="F484" s="6">
        <v>-0.37</v>
      </c>
      <c r="G484" s="6">
        <v>-0.22</v>
      </c>
      <c r="H484" s="6">
        <v>-1.05</v>
      </c>
      <c r="I484" s="6">
        <v>33.41</v>
      </c>
      <c r="J484" s="7">
        <f t="shared" ref="J484:O484" si="910">abs(C484-C483)/200</f>
        <v>0.0151</v>
      </c>
      <c r="K484" s="7">
        <f t="shared" si="910"/>
        <v>0.0094</v>
      </c>
      <c r="L484" s="7">
        <f t="shared" si="910"/>
        <v>0.0021</v>
      </c>
      <c r="M484" s="7">
        <f t="shared" si="910"/>
        <v>0.0011</v>
      </c>
      <c r="N484" s="7">
        <f t="shared" si="910"/>
        <v>0.0011</v>
      </c>
      <c r="O484" s="7">
        <f t="shared" si="910"/>
        <v>0.001</v>
      </c>
      <c r="P484" s="7">
        <f t="shared" si="7"/>
        <v>0.2716789348</v>
      </c>
      <c r="Q484" s="7">
        <f t="shared" si="8"/>
        <v>0.4143066385</v>
      </c>
      <c r="R484" s="7">
        <f t="shared" si="2"/>
        <v>1.231382506</v>
      </c>
      <c r="S484" s="7">
        <f t="shared" si="3"/>
        <v>1.13481276</v>
      </c>
      <c r="T484" s="7">
        <f t="shared" si="4"/>
        <v>1</v>
      </c>
      <c r="U484" s="7">
        <f t="shared" si="5"/>
        <v>1</v>
      </c>
      <c r="V484" s="7">
        <f t="shared" ref="V484:W484" si="911">IF(AVERAGE(T424:T483) &gt; 0.25, 1, 0)</f>
        <v>1</v>
      </c>
      <c r="W484" s="7">
        <f t="shared" si="911"/>
        <v>1</v>
      </c>
      <c r="X484" s="8">
        <v>1.0</v>
      </c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ht="22.5" customHeight="1">
      <c r="A485" s="6">
        <v>484.0</v>
      </c>
      <c r="B485" s="6">
        <v>107747.0</v>
      </c>
      <c r="C485" s="6">
        <v>0.07</v>
      </c>
      <c r="D485" s="6">
        <v>-0.66</v>
      </c>
      <c r="E485" s="6">
        <v>10.76</v>
      </c>
      <c r="F485" s="6">
        <v>-0.14</v>
      </c>
      <c r="G485" s="6">
        <v>-0.1</v>
      </c>
      <c r="H485" s="6">
        <v>-0.04</v>
      </c>
      <c r="I485" s="6">
        <v>33.4</v>
      </c>
      <c r="J485" s="7">
        <f t="shared" ref="J485:O485" si="912">abs(C485-C484)/200</f>
        <v>0.00075</v>
      </c>
      <c r="K485" s="7">
        <f t="shared" si="912"/>
        <v>0.00485</v>
      </c>
      <c r="L485" s="7">
        <f t="shared" si="912"/>
        <v>0.00075</v>
      </c>
      <c r="M485" s="7">
        <f t="shared" si="912"/>
        <v>0.00115</v>
      </c>
      <c r="N485" s="7">
        <f t="shared" si="912"/>
        <v>0.0006</v>
      </c>
      <c r="O485" s="7">
        <f t="shared" si="912"/>
        <v>0.00505</v>
      </c>
      <c r="P485" s="7">
        <f t="shared" si="7"/>
        <v>0.9581775426</v>
      </c>
      <c r="Q485" s="7">
        <f t="shared" si="8"/>
        <v>0.2509326084</v>
      </c>
      <c r="R485" s="7">
        <f t="shared" si="2"/>
        <v>0.9804498978</v>
      </c>
      <c r="S485" s="7">
        <f t="shared" si="3"/>
        <v>0.1766352173</v>
      </c>
      <c r="T485" s="7">
        <f t="shared" si="4"/>
        <v>1</v>
      </c>
      <c r="U485" s="7">
        <f t="shared" si="5"/>
        <v>1</v>
      </c>
      <c r="V485" s="7">
        <f t="shared" ref="V485:W485" si="913">IF(AVERAGE(T425:T484) &gt; 0.25, 1, 0)</f>
        <v>1</v>
      </c>
      <c r="W485" s="7">
        <f t="shared" si="913"/>
        <v>1</v>
      </c>
      <c r="X485" s="8">
        <v>1.0</v>
      </c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ht="22.5" customHeight="1">
      <c r="A486" s="6">
        <v>485.0</v>
      </c>
      <c r="B486" s="6">
        <v>107951.0</v>
      </c>
      <c r="C486" s="6">
        <v>0.53</v>
      </c>
      <c r="D486" s="6">
        <v>2.07</v>
      </c>
      <c r="E486" s="6">
        <v>10.64</v>
      </c>
      <c r="F486" s="6">
        <v>0.02</v>
      </c>
      <c r="G486" s="6">
        <v>0.03</v>
      </c>
      <c r="H486" s="6">
        <v>0.48</v>
      </c>
      <c r="I486" s="6">
        <v>33.4</v>
      </c>
      <c r="J486" s="7">
        <f t="shared" ref="J486:O486" si="914">abs(C486-C485)/200</f>
        <v>0.0023</v>
      </c>
      <c r="K486" s="7">
        <f t="shared" si="914"/>
        <v>0.01365</v>
      </c>
      <c r="L486" s="7">
        <f t="shared" si="914"/>
        <v>0.0006</v>
      </c>
      <c r="M486" s="7">
        <f t="shared" si="914"/>
        <v>0.0008</v>
      </c>
      <c r="N486" s="7">
        <f t="shared" si="914"/>
        <v>0.00065</v>
      </c>
      <c r="O486" s="7">
        <f t="shared" si="914"/>
        <v>0.0026</v>
      </c>
      <c r="P486" s="7">
        <f t="shared" si="7"/>
        <v>0.3047170445</v>
      </c>
      <c r="Q486" s="7">
        <f t="shared" si="8"/>
        <v>0.07198761637</v>
      </c>
      <c r="R486" s="7">
        <f t="shared" si="2"/>
        <v>1.052437514</v>
      </c>
      <c r="S486" s="7">
        <f t="shared" si="3"/>
        <v>0.4813522619</v>
      </c>
      <c r="T486" s="7">
        <f t="shared" si="4"/>
        <v>1</v>
      </c>
      <c r="U486" s="7">
        <f t="shared" si="5"/>
        <v>1</v>
      </c>
      <c r="V486" s="7">
        <f t="shared" ref="V486:W486" si="915">IF(AVERAGE(T426:T485) &gt; 0.25, 1, 0)</f>
        <v>1</v>
      </c>
      <c r="W486" s="7">
        <f t="shared" si="915"/>
        <v>1</v>
      </c>
      <c r="X486" s="8">
        <v>1.0</v>
      </c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ht="22.5" customHeight="1">
      <c r="A487" s="6">
        <v>486.0</v>
      </c>
      <c r="B487" s="6">
        <v>108155.0</v>
      </c>
      <c r="C487" s="6">
        <v>0.22</v>
      </c>
      <c r="D487" s="6">
        <v>2.94</v>
      </c>
      <c r="E487" s="6">
        <v>10.76</v>
      </c>
      <c r="F487" s="6">
        <v>-0.05</v>
      </c>
      <c r="G487" s="6">
        <v>0.2</v>
      </c>
      <c r="H487" s="6">
        <v>-0.33</v>
      </c>
      <c r="I487" s="6">
        <v>33.4</v>
      </c>
      <c r="J487" s="7">
        <f t="shared" ref="J487:O487" si="916">abs(C487-C486)/200</f>
        <v>0.00155</v>
      </c>
      <c r="K487" s="7">
        <f t="shared" si="916"/>
        <v>0.00435</v>
      </c>
      <c r="L487" s="7">
        <f t="shared" si="916"/>
        <v>0.0006</v>
      </c>
      <c r="M487" s="7">
        <f t="shared" si="916"/>
        <v>0.00035</v>
      </c>
      <c r="N487" s="7">
        <f t="shared" si="916"/>
        <v>0.00085</v>
      </c>
      <c r="O487" s="7">
        <f t="shared" si="916"/>
        <v>0.00405</v>
      </c>
      <c r="P487" s="7">
        <f t="shared" si="7"/>
        <v>0.0922507327</v>
      </c>
      <c r="Q487" s="7">
        <f t="shared" si="8"/>
        <v>0.3041569483</v>
      </c>
      <c r="R487" s="7">
        <f t="shared" si="2"/>
        <v>1.356594462</v>
      </c>
      <c r="S487" s="7">
        <f t="shared" si="3"/>
        <v>0.3891015292</v>
      </c>
      <c r="T487" s="7">
        <f t="shared" si="4"/>
        <v>1</v>
      </c>
      <c r="U487" s="7">
        <f t="shared" si="5"/>
        <v>1</v>
      </c>
      <c r="V487" s="7">
        <f t="shared" ref="V487:W487" si="917">IF(AVERAGE(T427:T486) &gt; 0.25, 1, 0)</f>
        <v>1</v>
      </c>
      <c r="W487" s="7">
        <f t="shared" si="917"/>
        <v>1</v>
      </c>
      <c r="X487" s="8">
        <v>1.0</v>
      </c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ht="22.5" customHeight="1">
      <c r="A488" s="6">
        <v>487.0</v>
      </c>
      <c r="B488" s="6">
        <v>108359.0</v>
      </c>
      <c r="C488" s="6">
        <v>2.85</v>
      </c>
      <c r="D488" s="6">
        <v>-4.09</v>
      </c>
      <c r="E488" s="6">
        <v>11.0</v>
      </c>
      <c r="F488" s="6">
        <v>0.16</v>
      </c>
      <c r="G488" s="6">
        <v>0.1</v>
      </c>
      <c r="H488" s="6">
        <v>0.04</v>
      </c>
      <c r="I488" s="6">
        <v>33.39</v>
      </c>
      <c r="J488" s="7">
        <f t="shared" ref="J488:O488" si="918">abs(C488-C487)/200</f>
        <v>0.01315</v>
      </c>
      <c r="K488" s="7">
        <f t="shared" si="918"/>
        <v>0.03515</v>
      </c>
      <c r="L488" s="7">
        <f t="shared" si="918"/>
        <v>0.0012</v>
      </c>
      <c r="M488" s="7">
        <f t="shared" si="918"/>
        <v>0.00105</v>
      </c>
      <c r="N488" s="7">
        <f t="shared" si="918"/>
        <v>0.0005</v>
      </c>
      <c r="O488" s="7">
        <f t="shared" si="918"/>
        <v>0.00185</v>
      </c>
      <c r="P488" s="7">
        <f t="shared" si="7"/>
        <v>0.1962285139</v>
      </c>
      <c r="Q488" s="7">
        <f t="shared" si="8"/>
        <v>0.9202677128</v>
      </c>
      <c r="R488" s="7">
        <f t="shared" si="2"/>
        <v>2.276862175</v>
      </c>
      <c r="S488" s="7">
        <f t="shared" si="3"/>
        <v>0.1928730152</v>
      </c>
      <c r="T488" s="7">
        <f t="shared" si="4"/>
        <v>1</v>
      </c>
      <c r="U488" s="7">
        <f t="shared" si="5"/>
        <v>1</v>
      </c>
      <c r="V488" s="7">
        <f t="shared" ref="V488:W488" si="919">IF(AVERAGE(T428:T487) &gt; 0.25, 1, 0)</f>
        <v>1</v>
      </c>
      <c r="W488" s="7">
        <f t="shared" si="919"/>
        <v>1</v>
      </c>
      <c r="X488" s="8">
        <v>1.0</v>
      </c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ht="22.5" customHeight="1">
      <c r="A489" s="6">
        <v>488.0</v>
      </c>
      <c r="B489" s="6">
        <v>108563.0</v>
      </c>
      <c r="C489" s="6">
        <v>2.28</v>
      </c>
      <c r="D489" s="6">
        <v>-2.34</v>
      </c>
      <c r="E489" s="6">
        <v>10.65</v>
      </c>
      <c r="F489" s="6">
        <v>-0.3</v>
      </c>
      <c r="G489" s="6">
        <v>-0.15</v>
      </c>
      <c r="H489" s="6">
        <v>-0.7</v>
      </c>
      <c r="I489" s="6">
        <v>33.39</v>
      </c>
      <c r="J489" s="7">
        <f t="shared" ref="J489:O489" si="920">abs(C489-C488)/200</f>
        <v>0.00285</v>
      </c>
      <c r="K489" s="7">
        <f t="shared" si="920"/>
        <v>0.00875</v>
      </c>
      <c r="L489" s="7">
        <f t="shared" si="920"/>
        <v>0.00175</v>
      </c>
      <c r="M489" s="7">
        <f t="shared" si="920"/>
        <v>0.0023</v>
      </c>
      <c r="N489" s="7">
        <f t="shared" si="920"/>
        <v>0.00125</v>
      </c>
      <c r="O489" s="7">
        <f t="shared" si="920"/>
        <v>0.0037</v>
      </c>
      <c r="P489" s="7">
        <f t="shared" si="7"/>
        <v>0.5833357196</v>
      </c>
      <c r="Q489" s="7">
        <f t="shared" si="8"/>
        <v>0.9370013144</v>
      </c>
      <c r="R489" s="7">
        <f t="shared" si="2"/>
        <v>1.339860861</v>
      </c>
      <c r="S489" s="7">
        <f t="shared" si="3"/>
        <v>0.7762087348</v>
      </c>
      <c r="T489" s="7">
        <f t="shared" si="4"/>
        <v>1</v>
      </c>
      <c r="U489" s="7">
        <f t="shared" si="5"/>
        <v>1</v>
      </c>
      <c r="V489" s="7">
        <f t="shared" ref="V489:W489" si="921">IF(AVERAGE(T429:T488) &gt; 0.25, 1, 0)</f>
        <v>1</v>
      </c>
      <c r="W489" s="7">
        <f t="shared" si="921"/>
        <v>1</v>
      </c>
      <c r="X489" s="8">
        <v>1.0</v>
      </c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ht="22.5" customHeight="1">
      <c r="A490" s="6">
        <v>489.0</v>
      </c>
      <c r="B490" s="6">
        <v>108767.0</v>
      </c>
      <c r="C490" s="6">
        <v>0.01</v>
      </c>
      <c r="D490" s="6">
        <v>-1.2</v>
      </c>
      <c r="E490" s="6">
        <v>10.84</v>
      </c>
      <c r="F490" s="6">
        <v>-0.29</v>
      </c>
      <c r="G490" s="6">
        <v>-0.27</v>
      </c>
      <c r="H490" s="6">
        <v>-0.19</v>
      </c>
      <c r="I490" s="6">
        <v>33.39</v>
      </c>
      <c r="J490" s="7">
        <f t="shared" ref="J490:O490" si="922">abs(C490-C489)/200</f>
        <v>0.01135</v>
      </c>
      <c r="K490" s="7">
        <f t="shared" si="922"/>
        <v>0.0057</v>
      </c>
      <c r="L490" s="7">
        <f t="shared" si="922"/>
        <v>0.00095</v>
      </c>
      <c r="M490" s="7">
        <f t="shared" si="922"/>
        <v>0.00005</v>
      </c>
      <c r="N490" s="7">
        <f t="shared" si="922"/>
        <v>0.0006</v>
      </c>
      <c r="O490" s="7">
        <f t="shared" si="922"/>
        <v>0.00255</v>
      </c>
      <c r="P490" s="7">
        <f t="shared" si="7"/>
        <v>0.336777284</v>
      </c>
      <c r="Q490" s="7">
        <f t="shared" si="8"/>
        <v>0.2336378667</v>
      </c>
      <c r="R490" s="7">
        <f t="shared" si="2"/>
        <v>1.106222994</v>
      </c>
      <c r="S490" s="7">
        <f t="shared" si="3"/>
        <v>0.4394314509</v>
      </c>
      <c r="T490" s="7">
        <f t="shared" si="4"/>
        <v>1</v>
      </c>
      <c r="U490" s="7">
        <f t="shared" si="5"/>
        <v>1</v>
      </c>
      <c r="V490" s="7">
        <f t="shared" ref="V490:W490" si="923">IF(AVERAGE(T430:T489) &gt; 0.25, 1, 0)</f>
        <v>1</v>
      </c>
      <c r="W490" s="7">
        <f t="shared" si="923"/>
        <v>1</v>
      </c>
      <c r="X490" s="8">
        <v>1.0</v>
      </c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ht="22.5" customHeight="1">
      <c r="A491" s="6">
        <v>490.0</v>
      </c>
      <c r="B491" s="6">
        <v>108971.0</v>
      </c>
      <c r="C491" s="6">
        <v>0.71</v>
      </c>
      <c r="D491" s="6">
        <v>4.36</v>
      </c>
      <c r="E491" s="6">
        <v>10.54</v>
      </c>
      <c r="F491" s="6">
        <v>-0.01</v>
      </c>
      <c r="G491" s="6">
        <v>0.0</v>
      </c>
      <c r="H491" s="6">
        <v>0.38</v>
      </c>
      <c r="I491" s="6">
        <v>33.4</v>
      </c>
      <c r="J491" s="7">
        <f t="shared" ref="J491:O491" si="924">abs(C491-C490)/200</f>
        <v>0.0035</v>
      </c>
      <c r="K491" s="7">
        <f t="shared" si="924"/>
        <v>0.0278</v>
      </c>
      <c r="L491" s="7">
        <f t="shared" si="924"/>
        <v>0.0015</v>
      </c>
      <c r="M491" s="7">
        <f t="shared" si="924"/>
        <v>0.0014</v>
      </c>
      <c r="N491" s="7">
        <f t="shared" si="924"/>
        <v>0.00135</v>
      </c>
      <c r="O491" s="7">
        <f t="shared" si="924"/>
        <v>0.00285</v>
      </c>
      <c r="P491" s="7">
        <f t="shared" si="7"/>
        <v>0.05929989468</v>
      </c>
      <c r="Q491" s="7">
        <f t="shared" si="8"/>
        <v>0.522044591</v>
      </c>
      <c r="R491" s="7">
        <f t="shared" si="2"/>
        <v>1.628267585</v>
      </c>
      <c r="S491" s="7">
        <f t="shared" si="3"/>
        <v>0.3801315562</v>
      </c>
      <c r="T491" s="7">
        <f t="shared" si="4"/>
        <v>1</v>
      </c>
      <c r="U491" s="7">
        <f t="shared" si="5"/>
        <v>1</v>
      </c>
      <c r="V491" s="7">
        <f t="shared" ref="V491:W491" si="925">IF(AVERAGE(T431:T490) &gt; 0.25, 1, 0)</f>
        <v>1</v>
      </c>
      <c r="W491" s="7">
        <f t="shared" si="925"/>
        <v>1</v>
      </c>
      <c r="X491" s="8">
        <v>1.0</v>
      </c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ht="22.5" customHeight="1">
      <c r="A492" s="6">
        <v>491.0</v>
      </c>
      <c r="B492" s="6">
        <v>109175.0</v>
      </c>
      <c r="C492" s="6">
        <v>-0.23</v>
      </c>
      <c r="D492" s="6">
        <v>2.32</v>
      </c>
      <c r="E492" s="6">
        <v>10.7</v>
      </c>
      <c r="F492" s="6">
        <v>-0.12</v>
      </c>
      <c r="G492" s="6">
        <v>0.15</v>
      </c>
      <c r="H492" s="6">
        <v>-0.43</v>
      </c>
      <c r="I492" s="6">
        <v>33.39</v>
      </c>
      <c r="J492" s="7">
        <f t="shared" ref="J492:O492" si="926">abs(C492-C491)/200</f>
        <v>0.0047</v>
      </c>
      <c r="K492" s="7">
        <f t="shared" si="926"/>
        <v>0.0102</v>
      </c>
      <c r="L492" s="7">
        <f t="shared" si="926"/>
        <v>0.0008</v>
      </c>
      <c r="M492" s="7">
        <f t="shared" si="926"/>
        <v>0.00055</v>
      </c>
      <c r="N492" s="7">
        <f t="shared" si="926"/>
        <v>0.00075</v>
      </c>
      <c r="O492" s="7">
        <f t="shared" si="926"/>
        <v>0.00405</v>
      </c>
      <c r="P492" s="7">
        <f t="shared" si="7"/>
        <v>0.0908249174</v>
      </c>
      <c r="Q492" s="7">
        <f t="shared" si="8"/>
        <v>0.4772265388</v>
      </c>
      <c r="R492" s="7">
        <f t="shared" si="2"/>
        <v>1.151041046</v>
      </c>
      <c r="S492" s="7">
        <f t="shared" si="3"/>
        <v>0.4709564736</v>
      </c>
      <c r="T492" s="7">
        <f t="shared" si="4"/>
        <v>1</v>
      </c>
      <c r="U492" s="7">
        <f t="shared" si="5"/>
        <v>1</v>
      </c>
      <c r="V492" s="7">
        <f t="shared" ref="V492:W492" si="927">IF(AVERAGE(T432:T491) &gt; 0.25, 1, 0)</f>
        <v>1</v>
      </c>
      <c r="W492" s="7">
        <f t="shared" si="927"/>
        <v>1</v>
      </c>
      <c r="X492" s="8">
        <v>1.0</v>
      </c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ht="22.5" customHeight="1">
      <c r="A493" s="6">
        <v>492.0</v>
      </c>
      <c r="B493" s="6">
        <v>109379.0</v>
      </c>
      <c r="C493" s="6">
        <v>1.13</v>
      </c>
      <c r="D493" s="6">
        <v>-2.11</v>
      </c>
      <c r="E493" s="6">
        <v>11.03</v>
      </c>
      <c r="F493" s="6">
        <v>0.17</v>
      </c>
      <c r="G493" s="6">
        <v>0.41</v>
      </c>
      <c r="H493" s="6">
        <v>-0.86</v>
      </c>
      <c r="I493" s="6">
        <v>33.4</v>
      </c>
      <c r="J493" s="7">
        <f t="shared" ref="J493:O493" si="928">abs(C493-C492)/200</f>
        <v>0.0068</v>
      </c>
      <c r="K493" s="7">
        <f t="shared" si="928"/>
        <v>0.02215</v>
      </c>
      <c r="L493" s="7">
        <f t="shared" si="928"/>
        <v>0.00165</v>
      </c>
      <c r="M493" s="7">
        <f t="shared" si="928"/>
        <v>0.00145</v>
      </c>
      <c r="N493" s="7">
        <f t="shared" si="928"/>
        <v>0.0013</v>
      </c>
      <c r="O493" s="7">
        <f t="shared" si="928"/>
        <v>0.00215</v>
      </c>
      <c r="P493" s="7">
        <f t="shared" si="7"/>
        <v>0.4968244934</v>
      </c>
      <c r="Q493" s="7">
        <f t="shared" si="8"/>
        <v>0.3356723813</v>
      </c>
      <c r="R493" s="7">
        <f t="shared" si="2"/>
        <v>1.486713428</v>
      </c>
      <c r="S493" s="7">
        <f t="shared" si="3"/>
        <v>0.967780967</v>
      </c>
      <c r="T493" s="7">
        <f t="shared" si="4"/>
        <v>1</v>
      </c>
      <c r="U493" s="7">
        <f t="shared" si="5"/>
        <v>1</v>
      </c>
      <c r="V493" s="7">
        <f t="shared" ref="V493:W493" si="929">IF(AVERAGE(T433:T492) &gt; 0.25, 1, 0)</f>
        <v>1</v>
      </c>
      <c r="W493" s="7">
        <f t="shared" si="929"/>
        <v>1</v>
      </c>
      <c r="X493" s="8">
        <v>1.0</v>
      </c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ht="22.5" customHeight="1">
      <c r="A494" s="6">
        <v>493.0</v>
      </c>
      <c r="B494" s="6">
        <v>109583.0</v>
      </c>
      <c r="C494" s="6">
        <v>-0.97</v>
      </c>
      <c r="D494" s="6">
        <v>-2.94</v>
      </c>
      <c r="E494" s="6">
        <v>10.82</v>
      </c>
      <c r="F494" s="6">
        <v>0.03</v>
      </c>
      <c r="G494" s="6">
        <v>0.06</v>
      </c>
      <c r="H494" s="6">
        <v>1.28</v>
      </c>
      <c r="I494" s="6">
        <v>33.4</v>
      </c>
      <c r="J494" s="7">
        <f t="shared" ref="J494:O494" si="930">abs(C494-C493)/200</f>
        <v>0.0105</v>
      </c>
      <c r="K494" s="7">
        <f t="shared" si="930"/>
        <v>0.00415</v>
      </c>
      <c r="L494" s="7">
        <f t="shared" si="930"/>
        <v>0.00105</v>
      </c>
      <c r="M494" s="7">
        <f t="shared" si="930"/>
        <v>0.0007</v>
      </c>
      <c r="N494" s="7">
        <f t="shared" si="930"/>
        <v>0.00175</v>
      </c>
      <c r="O494" s="7">
        <f t="shared" si="930"/>
        <v>0.0107</v>
      </c>
      <c r="P494" s="7">
        <f t="shared" si="7"/>
        <v>0.3139756402</v>
      </c>
      <c r="Q494" s="7">
        <f t="shared" si="8"/>
        <v>0.03251865424</v>
      </c>
      <c r="R494" s="7">
        <f t="shared" si="2"/>
        <v>1.454194774</v>
      </c>
      <c r="S494" s="7">
        <f t="shared" si="3"/>
        <v>1.281756607</v>
      </c>
      <c r="T494" s="7">
        <f t="shared" si="4"/>
        <v>1</v>
      </c>
      <c r="U494" s="7">
        <f t="shared" si="5"/>
        <v>1</v>
      </c>
      <c r="V494" s="7">
        <f t="shared" ref="V494:W494" si="931">IF(AVERAGE(T434:T493) &gt; 0.25, 1, 0)</f>
        <v>1</v>
      </c>
      <c r="W494" s="7">
        <f t="shared" si="931"/>
        <v>1</v>
      </c>
      <c r="X494" s="8">
        <v>1.0</v>
      </c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ht="22.5" customHeight="1">
      <c r="A495" s="6">
        <v>494.0</v>
      </c>
      <c r="B495" s="6">
        <v>109787.0</v>
      </c>
      <c r="C495" s="6">
        <v>1.04</v>
      </c>
      <c r="D495" s="6">
        <v>-2.18</v>
      </c>
      <c r="E495" s="6">
        <v>10.66</v>
      </c>
      <c r="F495" s="6">
        <v>-0.2</v>
      </c>
      <c r="G495" s="6">
        <v>-0.15</v>
      </c>
      <c r="H495" s="6">
        <v>1.27</v>
      </c>
      <c r="I495" s="6">
        <v>33.39</v>
      </c>
      <c r="J495" s="7">
        <f t="shared" ref="J495:O495" si="932">abs(C495-C494)/200</f>
        <v>0.01005</v>
      </c>
      <c r="K495" s="7">
        <f t="shared" si="932"/>
        <v>0.0038</v>
      </c>
      <c r="L495" s="7">
        <f t="shared" si="932"/>
        <v>0.0008</v>
      </c>
      <c r="M495" s="7">
        <f t="shared" si="932"/>
        <v>0.00115</v>
      </c>
      <c r="N495" s="7">
        <f t="shared" si="932"/>
        <v>0.00105</v>
      </c>
      <c r="O495" s="7">
        <f t="shared" si="932"/>
        <v>0.00005</v>
      </c>
      <c r="P495" s="7">
        <f t="shared" si="7"/>
        <v>0.01261582765</v>
      </c>
      <c r="Q495" s="7">
        <f t="shared" si="8"/>
        <v>0.323979771</v>
      </c>
      <c r="R495" s="7">
        <f t="shared" si="2"/>
        <v>1.130215002</v>
      </c>
      <c r="S495" s="7">
        <f t="shared" si="3"/>
        <v>1.294372435</v>
      </c>
      <c r="T495" s="7">
        <f t="shared" si="4"/>
        <v>1</v>
      </c>
      <c r="U495" s="7">
        <f t="shared" si="5"/>
        <v>1</v>
      </c>
      <c r="V495" s="7">
        <f t="shared" ref="V495:W495" si="933">IF(AVERAGE(T435:T494) &gt; 0.25, 1, 0)</f>
        <v>1</v>
      </c>
      <c r="W495" s="7">
        <f t="shared" si="933"/>
        <v>1</v>
      </c>
      <c r="X495" s="8">
        <v>1.0</v>
      </c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ht="22.5" customHeight="1">
      <c r="A496" s="6">
        <v>495.0</v>
      </c>
      <c r="B496" s="6">
        <v>109991.0</v>
      </c>
      <c r="C496" s="6">
        <v>1.07</v>
      </c>
      <c r="D496" s="6">
        <v>-1.6</v>
      </c>
      <c r="E496" s="6">
        <v>9.46</v>
      </c>
      <c r="F496" s="6">
        <v>0.29</v>
      </c>
      <c r="G496" s="6">
        <v>-0.52</v>
      </c>
      <c r="H496" s="6">
        <v>2.23</v>
      </c>
      <c r="I496" s="6">
        <v>33.41</v>
      </c>
      <c r="J496" s="7">
        <f t="shared" ref="J496:O496" si="934">abs(C496-C495)/200</f>
        <v>0.00015</v>
      </c>
      <c r="K496" s="7">
        <f t="shared" si="934"/>
        <v>0.0029</v>
      </c>
      <c r="L496" s="7">
        <f t="shared" si="934"/>
        <v>0.006</v>
      </c>
      <c r="M496" s="7">
        <f t="shared" si="934"/>
        <v>0.00245</v>
      </c>
      <c r="N496" s="7">
        <f t="shared" si="934"/>
        <v>0.00185</v>
      </c>
      <c r="O496" s="7">
        <f t="shared" si="934"/>
        <v>0.0048</v>
      </c>
      <c r="P496" s="7">
        <f t="shared" si="7"/>
        <v>1.01374368</v>
      </c>
      <c r="Q496" s="7">
        <f t="shared" si="8"/>
        <v>1.276381567</v>
      </c>
      <c r="R496" s="7">
        <f t="shared" si="2"/>
        <v>-0.1461665645</v>
      </c>
      <c r="S496" s="7">
        <f t="shared" si="3"/>
        <v>2.308116115</v>
      </c>
      <c r="T496" s="7">
        <f t="shared" si="4"/>
        <v>1</v>
      </c>
      <c r="U496" s="7">
        <f t="shared" si="5"/>
        <v>1</v>
      </c>
      <c r="V496" s="7">
        <f t="shared" ref="V496:W496" si="935">IF(AVERAGE(T436:T495) &gt; 0.25, 1, 0)</f>
        <v>1</v>
      </c>
      <c r="W496" s="7">
        <f t="shared" si="935"/>
        <v>1</v>
      </c>
      <c r="X496" s="8">
        <v>1.0</v>
      </c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ht="22.5" customHeight="1">
      <c r="A497" s="6">
        <v>496.0</v>
      </c>
      <c r="B497" s="6">
        <v>110195.0</v>
      </c>
      <c r="C497" s="6">
        <v>4.47</v>
      </c>
      <c r="D497" s="6">
        <v>3.55</v>
      </c>
      <c r="E497" s="6">
        <v>10.28</v>
      </c>
      <c r="F497" s="6">
        <v>-0.23</v>
      </c>
      <c r="G497" s="6">
        <v>0.05</v>
      </c>
      <c r="H497" s="6">
        <v>-0.11</v>
      </c>
      <c r="I497" s="6">
        <v>33.4</v>
      </c>
      <c r="J497" s="7">
        <f t="shared" ref="J497:O497" si="936">abs(C497-C496)/200</f>
        <v>0.017</v>
      </c>
      <c r="K497" s="7">
        <f t="shared" si="936"/>
        <v>0.02575</v>
      </c>
      <c r="L497" s="7">
        <f t="shared" si="936"/>
        <v>0.0041</v>
      </c>
      <c r="M497" s="7">
        <f t="shared" si="936"/>
        <v>0.0026</v>
      </c>
      <c r="N497" s="7">
        <f t="shared" si="936"/>
        <v>0.00285</v>
      </c>
      <c r="O497" s="7">
        <f t="shared" si="936"/>
        <v>0.0117</v>
      </c>
      <c r="P497" s="7">
        <f t="shared" si="7"/>
        <v>2.048308494</v>
      </c>
      <c r="Q497" s="7">
        <f t="shared" si="8"/>
        <v>2.104644357</v>
      </c>
      <c r="R497" s="7">
        <f t="shared" si="2"/>
        <v>1.958477793</v>
      </c>
      <c r="S497" s="7">
        <f t="shared" si="3"/>
        <v>0.2598076211</v>
      </c>
      <c r="T497" s="7">
        <f t="shared" si="4"/>
        <v>1</v>
      </c>
      <c r="U497" s="7">
        <f t="shared" si="5"/>
        <v>1</v>
      </c>
      <c r="V497" s="7">
        <f t="shared" ref="V497:W497" si="937">IF(AVERAGE(T437:T496) &gt; 0.25, 1, 0)</f>
        <v>1</v>
      </c>
      <c r="W497" s="7">
        <f t="shared" si="937"/>
        <v>1</v>
      </c>
      <c r="X497" s="8">
        <v>1.0</v>
      </c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ht="22.5" customHeight="1">
      <c r="A498" s="6">
        <v>497.0</v>
      </c>
      <c r="B498" s="6">
        <v>110399.0</v>
      </c>
      <c r="C498" s="6">
        <v>0.55</v>
      </c>
      <c r="D498" s="6">
        <v>2.12</v>
      </c>
      <c r="E498" s="6">
        <v>10.98</v>
      </c>
      <c r="F498" s="6">
        <v>0.01</v>
      </c>
      <c r="G498" s="6">
        <v>0.04</v>
      </c>
      <c r="H498" s="6">
        <v>-0.2</v>
      </c>
      <c r="I498" s="6">
        <v>33.4</v>
      </c>
      <c r="J498" s="7">
        <f t="shared" ref="J498:O498" si="938">abs(C498-C497)/200</f>
        <v>0.0196</v>
      </c>
      <c r="K498" s="7">
        <f t="shared" si="938"/>
        <v>0.00715</v>
      </c>
      <c r="L498" s="7">
        <f t="shared" si="938"/>
        <v>0.0035</v>
      </c>
      <c r="M498" s="7">
        <f t="shared" si="938"/>
        <v>0.0012</v>
      </c>
      <c r="N498" s="7">
        <f t="shared" si="938"/>
        <v>0.00005</v>
      </c>
      <c r="O498" s="7">
        <f t="shared" si="938"/>
        <v>0.00045</v>
      </c>
      <c r="P498" s="7">
        <f t="shared" si="7"/>
        <v>0.05560184257</v>
      </c>
      <c r="Q498" s="7">
        <f t="shared" si="8"/>
        <v>0.5621703656</v>
      </c>
      <c r="R498" s="7">
        <f t="shared" si="2"/>
        <v>1.396307427</v>
      </c>
      <c r="S498" s="7">
        <f t="shared" si="3"/>
        <v>0.2042057786</v>
      </c>
      <c r="T498" s="7">
        <f t="shared" si="4"/>
        <v>1</v>
      </c>
      <c r="U498" s="7">
        <f t="shared" si="5"/>
        <v>1</v>
      </c>
      <c r="V498" s="7">
        <f t="shared" ref="V498:W498" si="939">IF(AVERAGE(T438:T497) &gt; 0.25, 1, 0)</f>
        <v>1</v>
      </c>
      <c r="W498" s="7">
        <f t="shared" si="939"/>
        <v>1</v>
      </c>
      <c r="X498" s="8">
        <v>1.0</v>
      </c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ht="22.5" customHeight="1">
      <c r="A499" s="6">
        <v>498.0</v>
      </c>
      <c r="B499" s="6">
        <v>110603.0</v>
      </c>
      <c r="C499" s="6">
        <v>3.87</v>
      </c>
      <c r="D499" s="6">
        <v>0.6</v>
      </c>
      <c r="E499" s="6">
        <v>10.51</v>
      </c>
      <c r="F499" s="6">
        <v>0.05</v>
      </c>
      <c r="G499" s="6">
        <v>-0.07</v>
      </c>
      <c r="H499" s="6">
        <v>0.24</v>
      </c>
      <c r="I499" s="6">
        <v>33.4</v>
      </c>
      <c r="J499" s="7">
        <f t="shared" ref="J499:O499" si="940">abs(C499-C498)/200</f>
        <v>0.0166</v>
      </c>
      <c r="K499" s="7">
        <f t="shared" si="940"/>
        <v>0.0076</v>
      </c>
      <c r="L499" s="7">
        <f t="shared" si="940"/>
        <v>0.00235</v>
      </c>
      <c r="M499" s="7">
        <f t="shared" si="940"/>
        <v>0.0002</v>
      </c>
      <c r="N499" s="7">
        <f t="shared" si="940"/>
        <v>0.00055</v>
      </c>
      <c r="O499" s="7">
        <f t="shared" si="940"/>
        <v>0.0022</v>
      </c>
      <c r="P499" s="7">
        <f t="shared" si="7"/>
        <v>0.05074519711</v>
      </c>
      <c r="Q499" s="7">
        <f t="shared" si="8"/>
        <v>0.01961874964</v>
      </c>
      <c r="R499" s="7">
        <f t="shared" si="2"/>
        <v>1.415926177</v>
      </c>
      <c r="S499" s="7">
        <f t="shared" si="3"/>
        <v>0.2549509757</v>
      </c>
      <c r="T499" s="7">
        <f t="shared" si="4"/>
        <v>1</v>
      </c>
      <c r="U499" s="7">
        <f t="shared" si="5"/>
        <v>1</v>
      </c>
      <c r="V499" s="7">
        <f t="shared" ref="V499:W499" si="941">IF(AVERAGE(T439:T498) &gt; 0.25, 1, 0)</f>
        <v>1</v>
      </c>
      <c r="W499" s="7">
        <f t="shared" si="941"/>
        <v>1</v>
      </c>
      <c r="X499" s="8">
        <v>1.0</v>
      </c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ht="22.5" customHeight="1">
      <c r="A500" s="6">
        <v>499.0</v>
      </c>
      <c r="B500" s="6">
        <v>110807.0</v>
      </c>
      <c r="C500" s="6">
        <v>4.63</v>
      </c>
      <c r="D500" s="6">
        <v>-1.12</v>
      </c>
      <c r="E500" s="6">
        <v>10.67</v>
      </c>
      <c r="F500" s="6">
        <v>-0.26</v>
      </c>
      <c r="G500" s="6">
        <v>-0.19</v>
      </c>
      <c r="H500" s="6">
        <v>-1.41</v>
      </c>
      <c r="I500" s="6">
        <v>33.4</v>
      </c>
      <c r="J500" s="7">
        <f t="shared" ref="J500:O500" si="942">abs(C500-C499)/200</f>
        <v>0.0038</v>
      </c>
      <c r="K500" s="7">
        <f t="shared" si="942"/>
        <v>0.0086</v>
      </c>
      <c r="L500" s="7">
        <f t="shared" si="942"/>
        <v>0.0008</v>
      </c>
      <c r="M500" s="7">
        <f t="shared" si="942"/>
        <v>0.00155</v>
      </c>
      <c r="N500" s="7">
        <f t="shared" si="942"/>
        <v>0.0006</v>
      </c>
      <c r="O500" s="7">
        <f t="shared" si="942"/>
        <v>0.00825</v>
      </c>
      <c r="P500" s="7">
        <f t="shared" si="7"/>
        <v>1.191354663</v>
      </c>
      <c r="Q500" s="7">
        <f t="shared" si="8"/>
        <v>0.4691155434</v>
      </c>
      <c r="R500" s="7">
        <f t="shared" si="2"/>
        <v>1.88504172</v>
      </c>
      <c r="S500" s="7">
        <f t="shared" si="3"/>
        <v>1.446305639</v>
      </c>
      <c r="T500" s="7">
        <f t="shared" si="4"/>
        <v>1</v>
      </c>
      <c r="U500" s="7">
        <f t="shared" si="5"/>
        <v>1</v>
      </c>
      <c r="V500" s="7">
        <f t="shared" ref="V500:W500" si="943">IF(AVERAGE(T440:T499) &gt; 0.25, 1, 0)</f>
        <v>1</v>
      </c>
      <c r="W500" s="7">
        <f t="shared" si="943"/>
        <v>1</v>
      </c>
      <c r="X500" s="8">
        <v>1.0</v>
      </c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ht="22.5" customHeight="1">
      <c r="A501" s="6">
        <v>500.0</v>
      </c>
      <c r="B501" s="6">
        <v>111011.0</v>
      </c>
      <c r="C501" s="6">
        <v>2.17</v>
      </c>
      <c r="D501" s="6">
        <v>-2.36</v>
      </c>
      <c r="E501" s="6">
        <v>11.07</v>
      </c>
      <c r="F501" s="6">
        <v>-0.66</v>
      </c>
      <c r="G501" s="6">
        <v>0.37</v>
      </c>
      <c r="H501" s="6">
        <v>-1.55</v>
      </c>
      <c r="I501" s="6">
        <v>33.4</v>
      </c>
      <c r="J501" s="7">
        <f t="shared" ref="J501:O501" si="944">abs(C501-C500)/200</f>
        <v>0.0123</v>
      </c>
      <c r="K501" s="7">
        <f t="shared" si="944"/>
        <v>0.0062</v>
      </c>
      <c r="L501" s="7">
        <f t="shared" si="944"/>
        <v>0.002</v>
      </c>
      <c r="M501" s="7">
        <f t="shared" si="944"/>
        <v>0.002</v>
      </c>
      <c r="N501" s="7">
        <f t="shared" si="944"/>
        <v>0.0028</v>
      </c>
      <c r="O501" s="7">
        <f t="shared" si="944"/>
        <v>0.0007</v>
      </c>
      <c r="P501" s="7">
        <f t="shared" si="7"/>
        <v>0.2785131926</v>
      </c>
      <c r="Q501" s="7">
        <f t="shared" si="8"/>
        <v>0.1601382498</v>
      </c>
      <c r="R501" s="7">
        <f t="shared" si="2"/>
        <v>1.72490347</v>
      </c>
      <c r="S501" s="7">
        <f t="shared" si="3"/>
        <v>1.724818831</v>
      </c>
      <c r="T501" s="7">
        <f t="shared" si="4"/>
        <v>1</v>
      </c>
      <c r="U501" s="7">
        <f t="shared" si="5"/>
        <v>1</v>
      </c>
      <c r="V501" s="7">
        <f t="shared" ref="V501:W501" si="945">IF(AVERAGE(T441:T500) &gt; 0.25, 1, 0)</f>
        <v>1</v>
      </c>
      <c r="W501" s="7">
        <f t="shared" si="945"/>
        <v>1</v>
      </c>
      <c r="X501" s="8">
        <v>1.0</v>
      </c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ht="22.5" customHeight="1">
      <c r="A502" s="6">
        <v>501.0</v>
      </c>
      <c r="B502" s="6">
        <v>111215.0</v>
      </c>
      <c r="C502" s="6">
        <v>-1.95</v>
      </c>
      <c r="D502" s="6">
        <v>-0.96</v>
      </c>
      <c r="E502" s="6">
        <v>11.44</v>
      </c>
      <c r="F502" s="6">
        <v>-0.36</v>
      </c>
      <c r="G502" s="6">
        <v>-0.32</v>
      </c>
      <c r="H502" s="6">
        <v>-1.07</v>
      </c>
      <c r="I502" s="6">
        <v>33.39</v>
      </c>
      <c r="J502" s="7">
        <f t="shared" ref="J502:O502" si="946">abs(C502-C501)/200</f>
        <v>0.0206</v>
      </c>
      <c r="K502" s="7">
        <f t="shared" si="946"/>
        <v>0.007</v>
      </c>
      <c r="L502" s="7">
        <f t="shared" si="946"/>
        <v>0.00185</v>
      </c>
      <c r="M502" s="7">
        <f t="shared" si="946"/>
        <v>0.0015</v>
      </c>
      <c r="N502" s="7">
        <f t="shared" si="946"/>
        <v>0.00345</v>
      </c>
      <c r="O502" s="7">
        <f t="shared" si="946"/>
        <v>0.0024</v>
      </c>
      <c r="P502" s="7">
        <f t="shared" si="7"/>
        <v>0.5514050081</v>
      </c>
      <c r="Q502" s="7">
        <f t="shared" si="8"/>
        <v>0.1197390747</v>
      </c>
      <c r="R502" s="7">
        <f t="shared" si="2"/>
        <v>1.844642545</v>
      </c>
      <c r="S502" s="7">
        <f t="shared" si="3"/>
        <v>1.173413823</v>
      </c>
      <c r="T502" s="7">
        <f t="shared" si="4"/>
        <v>1</v>
      </c>
      <c r="U502" s="7">
        <f t="shared" si="5"/>
        <v>1</v>
      </c>
      <c r="V502" s="7">
        <f t="shared" ref="V502:W502" si="947">IF(AVERAGE(T442:T501) &gt; 0.25, 1, 0)</f>
        <v>1</v>
      </c>
      <c r="W502" s="7">
        <f t="shared" si="947"/>
        <v>1</v>
      </c>
      <c r="X502" s="8">
        <v>1.0</v>
      </c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ht="22.5" customHeight="1">
      <c r="A503" s="6">
        <v>502.0</v>
      </c>
      <c r="B503" s="6">
        <v>111419.0</v>
      </c>
      <c r="C503" s="6">
        <v>-0.7</v>
      </c>
      <c r="D503" s="6">
        <v>1.67</v>
      </c>
      <c r="E503" s="6">
        <v>10.6</v>
      </c>
      <c r="F503" s="6">
        <v>-0.08</v>
      </c>
      <c r="G503" s="6">
        <v>0.01</v>
      </c>
      <c r="H503" s="6">
        <v>0.23</v>
      </c>
      <c r="I503" s="6">
        <v>33.4</v>
      </c>
      <c r="J503" s="7">
        <f t="shared" ref="J503:O503" si="948">abs(C503-C502)/200</f>
        <v>0.00625</v>
      </c>
      <c r="K503" s="7">
        <f t="shared" si="948"/>
        <v>0.01315</v>
      </c>
      <c r="L503" s="7">
        <f t="shared" si="948"/>
        <v>0.0042</v>
      </c>
      <c r="M503" s="7">
        <f t="shared" si="948"/>
        <v>0.0014</v>
      </c>
      <c r="N503" s="7">
        <f t="shared" si="948"/>
        <v>0.00165</v>
      </c>
      <c r="O503" s="7">
        <f t="shared" si="948"/>
        <v>0.0065</v>
      </c>
      <c r="P503" s="7">
        <f t="shared" si="7"/>
        <v>0.9296926709</v>
      </c>
      <c r="Q503" s="7">
        <f t="shared" si="8"/>
        <v>0.8910896437</v>
      </c>
      <c r="R503" s="7">
        <f t="shared" si="2"/>
        <v>0.9535529013</v>
      </c>
      <c r="S503" s="7">
        <f t="shared" si="3"/>
        <v>0.2437211521</v>
      </c>
      <c r="T503" s="7">
        <f t="shared" si="4"/>
        <v>1</v>
      </c>
      <c r="U503" s="7">
        <f t="shared" si="5"/>
        <v>1</v>
      </c>
      <c r="V503" s="7">
        <f t="shared" ref="V503:W503" si="949">IF(AVERAGE(T443:T502) &gt; 0.25, 1, 0)</f>
        <v>1</v>
      </c>
      <c r="W503" s="7">
        <f t="shared" si="949"/>
        <v>1</v>
      </c>
      <c r="X503" s="8">
        <v>1.0</v>
      </c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ht="22.5" customHeight="1">
      <c r="A504" s="6">
        <v>503.0</v>
      </c>
      <c r="B504" s="6">
        <v>111623.0</v>
      </c>
      <c r="C504" s="6">
        <v>0.64</v>
      </c>
      <c r="D504" s="6">
        <v>-0.38</v>
      </c>
      <c r="E504" s="6">
        <v>11.13</v>
      </c>
      <c r="F504" s="6">
        <v>0.13</v>
      </c>
      <c r="G504" s="6">
        <v>0.35</v>
      </c>
      <c r="H504" s="6">
        <v>-0.15</v>
      </c>
      <c r="I504" s="6">
        <v>33.41</v>
      </c>
      <c r="J504" s="7">
        <f t="shared" ref="J504:O504" si="950">abs(C504-C503)/200</f>
        <v>0.0067</v>
      </c>
      <c r="K504" s="7">
        <f t="shared" si="950"/>
        <v>0.01025</v>
      </c>
      <c r="L504" s="7">
        <f t="shared" si="950"/>
        <v>0.00265</v>
      </c>
      <c r="M504" s="7">
        <f t="shared" si="950"/>
        <v>0.00105</v>
      </c>
      <c r="N504" s="7">
        <f t="shared" si="950"/>
        <v>0.0017</v>
      </c>
      <c r="O504" s="7">
        <f t="shared" si="950"/>
        <v>0.0019</v>
      </c>
      <c r="P504" s="7">
        <f t="shared" si="7"/>
        <v>0.1586468386</v>
      </c>
      <c r="Q504" s="7">
        <f t="shared" si="8"/>
        <v>0.4013070262</v>
      </c>
      <c r="R504" s="7">
        <f t="shared" si="2"/>
        <v>1.354859927</v>
      </c>
      <c r="S504" s="7">
        <f t="shared" si="3"/>
        <v>0.4023679908</v>
      </c>
      <c r="T504" s="7">
        <f t="shared" si="4"/>
        <v>1</v>
      </c>
      <c r="U504" s="7">
        <f t="shared" si="5"/>
        <v>1</v>
      </c>
      <c r="V504" s="7">
        <f t="shared" ref="V504:W504" si="951">IF(AVERAGE(T444:T503) &gt; 0.25, 1, 0)</f>
        <v>1</v>
      </c>
      <c r="W504" s="7">
        <f t="shared" si="951"/>
        <v>1</v>
      </c>
      <c r="X504" s="8">
        <v>1.0</v>
      </c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ht="22.5" customHeight="1">
      <c r="A505" s="6">
        <v>504.0</v>
      </c>
      <c r="B505" s="6">
        <v>111827.0</v>
      </c>
      <c r="C505" s="6">
        <v>0.43</v>
      </c>
      <c r="D505" s="6">
        <v>-2.27</v>
      </c>
      <c r="E505" s="6">
        <v>10.89</v>
      </c>
      <c r="F505" s="6">
        <v>0.07</v>
      </c>
      <c r="G505" s="6">
        <v>0.22</v>
      </c>
      <c r="H505" s="6">
        <v>0.64</v>
      </c>
      <c r="I505" s="6">
        <v>33.39</v>
      </c>
      <c r="J505" s="7">
        <f t="shared" ref="J505:O505" si="952">abs(C505-C504)/200</f>
        <v>0.00105</v>
      </c>
      <c r="K505" s="7">
        <f t="shared" si="952"/>
        <v>0.00945</v>
      </c>
      <c r="L505" s="7">
        <f t="shared" si="952"/>
        <v>0.0012</v>
      </c>
      <c r="M505" s="7">
        <f t="shared" si="952"/>
        <v>0.0003</v>
      </c>
      <c r="N505" s="7">
        <f t="shared" si="952"/>
        <v>0.00065</v>
      </c>
      <c r="O505" s="7">
        <f t="shared" si="952"/>
        <v>0.00395</v>
      </c>
      <c r="P505" s="7">
        <f t="shared" si="7"/>
        <v>0.277999557</v>
      </c>
      <c r="Q505" s="7">
        <f t="shared" si="8"/>
        <v>0.02247922964</v>
      </c>
      <c r="R505" s="7">
        <f t="shared" si="2"/>
        <v>1.332380698</v>
      </c>
      <c r="S505" s="7">
        <f t="shared" si="3"/>
        <v>0.6803675477</v>
      </c>
      <c r="T505" s="7">
        <f t="shared" si="4"/>
        <v>1</v>
      </c>
      <c r="U505" s="7">
        <f t="shared" si="5"/>
        <v>1</v>
      </c>
      <c r="V505" s="7">
        <f t="shared" ref="V505:W505" si="953">IF(AVERAGE(T445:T504) &gt; 0.25, 1, 0)</f>
        <v>1</v>
      </c>
      <c r="W505" s="7">
        <f t="shared" si="953"/>
        <v>1</v>
      </c>
      <c r="X505" s="8">
        <v>1.0</v>
      </c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ht="22.5" customHeight="1">
      <c r="A506" s="6">
        <v>505.0</v>
      </c>
      <c r="B506" s="6">
        <v>112031.0</v>
      </c>
      <c r="C506" s="6">
        <v>1.85</v>
      </c>
      <c r="D506" s="6">
        <v>-2.1</v>
      </c>
      <c r="E506" s="6">
        <v>10.61</v>
      </c>
      <c r="F506" s="6">
        <v>-0.07</v>
      </c>
      <c r="G506" s="6">
        <v>-0.13</v>
      </c>
      <c r="H506" s="6">
        <v>1.34</v>
      </c>
      <c r="I506" s="6">
        <v>33.41</v>
      </c>
      <c r="J506" s="7">
        <f t="shared" ref="J506:O506" si="954">abs(C506-C505)/200</f>
        <v>0.0071</v>
      </c>
      <c r="K506" s="7">
        <f t="shared" si="954"/>
        <v>0.00085</v>
      </c>
      <c r="L506" s="7">
        <f t="shared" si="954"/>
        <v>0.0014</v>
      </c>
      <c r="M506" s="7">
        <f t="shared" si="954"/>
        <v>0.0007</v>
      </c>
      <c r="N506" s="7">
        <f t="shared" si="954"/>
        <v>0.00175</v>
      </c>
      <c r="O506" s="7">
        <f t="shared" si="954"/>
        <v>0.0035</v>
      </c>
      <c r="P506" s="7">
        <f t="shared" si="7"/>
        <v>0.6677422401</v>
      </c>
      <c r="Q506" s="7">
        <f t="shared" si="8"/>
        <v>0.159477709</v>
      </c>
      <c r="R506" s="7">
        <f t="shared" si="2"/>
        <v>1.172902989</v>
      </c>
      <c r="S506" s="7">
        <f t="shared" si="3"/>
        <v>1.348109788</v>
      </c>
      <c r="T506" s="7">
        <f t="shared" si="4"/>
        <v>1</v>
      </c>
      <c r="U506" s="7">
        <f t="shared" si="5"/>
        <v>1</v>
      </c>
      <c r="V506" s="7">
        <f t="shared" ref="V506:W506" si="955">IF(AVERAGE(T446:T505) &gt; 0.25, 1, 0)</f>
        <v>1</v>
      </c>
      <c r="W506" s="7">
        <f t="shared" si="955"/>
        <v>1</v>
      </c>
      <c r="X506" s="8">
        <v>1.0</v>
      </c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ht="22.5" customHeight="1">
      <c r="A507" s="6">
        <v>506.0</v>
      </c>
      <c r="B507" s="6">
        <v>112235.0</v>
      </c>
      <c r="C507" s="6">
        <v>2.02</v>
      </c>
      <c r="D507" s="6">
        <v>-1.72</v>
      </c>
      <c r="E507" s="6">
        <v>10.07</v>
      </c>
      <c r="F507" s="6">
        <v>0.13</v>
      </c>
      <c r="G507" s="6">
        <v>-0.45</v>
      </c>
      <c r="H507" s="6">
        <v>1.32</v>
      </c>
      <c r="I507" s="6">
        <v>33.4</v>
      </c>
      <c r="J507" s="7">
        <f t="shared" ref="J507:O507" si="956">abs(C507-C506)/200</f>
        <v>0.00085</v>
      </c>
      <c r="K507" s="7">
        <f t="shared" si="956"/>
        <v>0.0019</v>
      </c>
      <c r="L507" s="7">
        <f t="shared" si="956"/>
        <v>0.0027</v>
      </c>
      <c r="M507" s="7">
        <f t="shared" si="956"/>
        <v>0.001</v>
      </c>
      <c r="N507" s="7">
        <f t="shared" si="956"/>
        <v>0.0016</v>
      </c>
      <c r="O507" s="7">
        <f t="shared" si="956"/>
        <v>0.0001</v>
      </c>
      <c r="P507" s="7">
        <f t="shared" si="7"/>
        <v>0.0525329218</v>
      </c>
      <c r="Q507" s="7">
        <f t="shared" si="8"/>
        <v>0.5592724979</v>
      </c>
      <c r="R507" s="7">
        <f t="shared" si="2"/>
        <v>0.6136304909</v>
      </c>
      <c r="S507" s="7">
        <f t="shared" si="3"/>
        <v>1.40064271</v>
      </c>
      <c r="T507" s="7">
        <f t="shared" si="4"/>
        <v>1</v>
      </c>
      <c r="U507" s="7">
        <f t="shared" si="5"/>
        <v>1</v>
      </c>
      <c r="V507" s="7">
        <f t="shared" ref="V507:W507" si="957">IF(AVERAGE(T447:T506) &gt; 0.25, 1, 0)</f>
        <v>1</v>
      </c>
      <c r="W507" s="7">
        <f t="shared" si="957"/>
        <v>1</v>
      </c>
      <c r="X507" s="8">
        <v>1.0</v>
      </c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ht="22.5" customHeight="1">
      <c r="A508" s="6">
        <v>507.0</v>
      </c>
      <c r="B508" s="6">
        <v>112439.0</v>
      </c>
      <c r="C508" s="6">
        <v>3.66</v>
      </c>
      <c r="D508" s="6">
        <v>0.43</v>
      </c>
      <c r="E508" s="6">
        <v>10.44</v>
      </c>
      <c r="F508" s="6">
        <v>-0.26</v>
      </c>
      <c r="G508" s="6">
        <v>0.08</v>
      </c>
      <c r="H508" s="6">
        <v>0.46</v>
      </c>
      <c r="I508" s="6">
        <v>33.4</v>
      </c>
      <c r="J508" s="7">
        <f t="shared" ref="J508:O508" si="958">abs(C508-C507)/200</f>
        <v>0.0082</v>
      </c>
      <c r="K508" s="7">
        <f t="shared" si="958"/>
        <v>0.01075</v>
      </c>
      <c r="L508" s="7">
        <f t="shared" si="958"/>
        <v>0.00185</v>
      </c>
      <c r="M508" s="7">
        <f t="shared" si="958"/>
        <v>0.00195</v>
      </c>
      <c r="N508" s="7">
        <f t="shared" si="958"/>
        <v>0.00265</v>
      </c>
      <c r="O508" s="7">
        <f t="shared" si="958"/>
        <v>0.0043</v>
      </c>
      <c r="P508" s="7">
        <f t="shared" si="7"/>
        <v>0.866227141</v>
      </c>
      <c r="Q508" s="7">
        <f t="shared" si="8"/>
        <v>0.6576883104</v>
      </c>
      <c r="R508" s="7">
        <f t="shared" si="2"/>
        <v>1.271318801</v>
      </c>
      <c r="S508" s="7">
        <f t="shared" si="3"/>
        <v>0.5344155686</v>
      </c>
      <c r="T508" s="7">
        <f t="shared" si="4"/>
        <v>1</v>
      </c>
      <c r="U508" s="7">
        <f t="shared" si="5"/>
        <v>1</v>
      </c>
      <c r="V508" s="7">
        <f t="shared" ref="V508:W508" si="959">IF(AVERAGE(T448:T507) &gt; 0.25, 1, 0)</f>
        <v>1</v>
      </c>
      <c r="W508" s="7">
        <f t="shared" si="959"/>
        <v>1</v>
      </c>
      <c r="X508" s="8">
        <v>1.0</v>
      </c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ht="22.5" customHeight="1">
      <c r="A509" s="6">
        <v>508.0</v>
      </c>
      <c r="B509" s="6">
        <v>112643.0</v>
      </c>
      <c r="C509" s="6">
        <v>2.35</v>
      </c>
      <c r="D509" s="6">
        <v>3.63</v>
      </c>
      <c r="E509" s="6">
        <v>9.99</v>
      </c>
      <c r="F509" s="6">
        <v>-0.13</v>
      </c>
      <c r="G509" s="6">
        <v>0.09</v>
      </c>
      <c r="H509" s="6">
        <v>0.07</v>
      </c>
      <c r="I509" s="6">
        <v>33.4</v>
      </c>
      <c r="J509" s="7">
        <f t="shared" ref="J509:O509" si="960">abs(C509-C508)/200</f>
        <v>0.00655</v>
      </c>
      <c r="K509" s="7">
        <f t="shared" si="960"/>
        <v>0.016</v>
      </c>
      <c r="L509" s="7">
        <f t="shared" si="960"/>
        <v>0.00225</v>
      </c>
      <c r="M509" s="7">
        <f t="shared" si="960"/>
        <v>0.00065</v>
      </c>
      <c r="N509" s="7">
        <f t="shared" si="960"/>
        <v>0.00005</v>
      </c>
      <c r="O509" s="7">
        <f t="shared" si="960"/>
        <v>0.00195</v>
      </c>
      <c r="P509" s="7">
        <f t="shared" si="7"/>
        <v>0.361499404</v>
      </c>
      <c r="Q509" s="7">
        <f t="shared" si="8"/>
        <v>0.1855712385</v>
      </c>
      <c r="R509" s="7">
        <f t="shared" si="2"/>
        <v>1.085747563</v>
      </c>
      <c r="S509" s="7">
        <f t="shared" si="3"/>
        <v>0.1729161647</v>
      </c>
      <c r="T509" s="7">
        <f t="shared" si="4"/>
        <v>1</v>
      </c>
      <c r="U509" s="7">
        <f t="shared" si="5"/>
        <v>1</v>
      </c>
      <c r="V509" s="7">
        <f t="shared" ref="V509:W509" si="961">IF(AVERAGE(T449:T508) &gt; 0.25, 1, 0)</f>
        <v>1</v>
      </c>
      <c r="W509" s="7">
        <f t="shared" si="961"/>
        <v>1</v>
      </c>
      <c r="X509" s="8">
        <v>1.0</v>
      </c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ht="22.5" customHeight="1">
      <c r="A510" s="6">
        <v>509.0</v>
      </c>
      <c r="B510" s="6">
        <v>112847.0</v>
      </c>
      <c r="C510" s="6">
        <v>0.77</v>
      </c>
      <c r="D510" s="6">
        <v>1.1</v>
      </c>
      <c r="E510" s="6">
        <v>10.75</v>
      </c>
      <c r="F510" s="6">
        <v>0.11</v>
      </c>
      <c r="G510" s="6">
        <v>0.06</v>
      </c>
      <c r="H510" s="6">
        <v>-0.15</v>
      </c>
      <c r="I510" s="6">
        <v>33.41</v>
      </c>
      <c r="J510" s="7">
        <f t="shared" ref="J510:O510" si="962">abs(C510-C509)/200</f>
        <v>0.0079</v>
      </c>
      <c r="K510" s="7">
        <f t="shared" si="962"/>
        <v>0.01265</v>
      </c>
      <c r="L510" s="7">
        <f t="shared" si="962"/>
        <v>0.0038</v>
      </c>
      <c r="M510" s="7">
        <f t="shared" si="962"/>
        <v>0.0012</v>
      </c>
      <c r="N510" s="7">
        <f t="shared" si="962"/>
        <v>0.00015</v>
      </c>
      <c r="O510" s="7">
        <f t="shared" si="962"/>
        <v>0.0011</v>
      </c>
      <c r="P510" s="7">
        <f t="shared" si="7"/>
        <v>0.0225320382</v>
      </c>
      <c r="Q510" s="7">
        <f t="shared" si="8"/>
        <v>0.05221628251</v>
      </c>
      <c r="R510" s="7">
        <f t="shared" si="2"/>
        <v>1.03353128</v>
      </c>
      <c r="S510" s="7">
        <f t="shared" si="3"/>
        <v>0.1954482029</v>
      </c>
      <c r="T510" s="7">
        <f t="shared" si="4"/>
        <v>1</v>
      </c>
      <c r="U510" s="7">
        <f t="shared" si="5"/>
        <v>1</v>
      </c>
      <c r="V510" s="7">
        <f t="shared" ref="V510:W510" si="963">IF(AVERAGE(T450:T509) &gt; 0.25, 1, 0)</f>
        <v>1</v>
      </c>
      <c r="W510" s="7">
        <f t="shared" si="963"/>
        <v>1</v>
      </c>
      <c r="X510" s="8">
        <v>1.0</v>
      </c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ht="22.5" customHeight="1">
      <c r="A511" s="6">
        <v>510.0</v>
      </c>
      <c r="B511" s="6">
        <v>113051.0</v>
      </c>
      <c r="C511" s="6">
        <v>5.8</v>
      </c>
      <c r="D511" s="6">
        <v>-0.24</v>
      </c>
      <c r="E511" s="6">
        <v>10.45</v>
      </c>
      <c r="F511" s="6">
        <v>0.11</v>
      </c>
      <c r="G511" s="6">
        <v>-0.01</v>
      </c>
      <c r="H511" s="6">
        <v>0.57</v>
      </c>
      <c r="I511" s="6">
        <v>33.4</v>
      </c>
      <c r="J511" s="7">
        <f t="shared" ref="J511:O511" si="964">abs(C511-C510)/200</f>
        <v>0.02515</v>
      </c>
      <c r="K511" s="7">
        <f t="shared" si="964"/>
        <v>0.0067</v>
      </c>
      <c r="L511" s="7">
        <f t="shared" si="964"/>
        <v>0.0015</v>
      </c>
      <c r="M511" s="7">
        <f t="shared" si="964"/>
        <v>0</v>
      </c>
      <c r="N511" s="7">
        <f t="shared" si="964"/>
        <v>0.00035</v>
      </c>
      <c r="O511" s="7">
        <f t="shared" si="964"/>
        <v>0.0036</v>
      </c>
      <c r="P511" s="7">
        <f t="shared" si="7"/>
        <v>0.3851549318</v>
      </c>
      <c r="Q511" s="7">
        <f t="shared" si="8"/>
        <v>1.120551704</v>
      </c>
      <c r="R511" s="7">
        <f t="shared" si="2"/>
        <v>2.154082984</v>
      </c>
      <c r="S511" s="7">
        <f t="shared" si="3"/>
        <v>0.5806031347</v>
      </c>
      <c r="T511" s="7">
        <f t="shared" si="4"/>
        <v>1</v>
      </c>
      <c r="U511" s="7">
        <f t="shared" si="5"/>
        <v>1</v>
      </c>
      <c r="V511" s="7">
        <f t="shared" ref="V511:W511" si="965">IF(AVERAGE(T451:T510) &gt; 0.25, 1, 0)</f>
        <v>1</v>
      </c>
      <c r="W511" s="7">
        <f t="shared" si="965"/>
        <v>1</v>
      </c>
      <c r="X511" s="8">
        <v>1.0</v>
      </c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ht="22.5" customHeight="1">
      <c r="A512" s="6">
        <v>511.0</v>
      </c>
      <c r="B512" s="6">
        <v>113255.0</v>
      </c>
      <c r="C512" s="6">
        <v>3.05</v>
      </c>
      <c r="D512" s="6">
        <v>-3.67</v>
      </c>
      <c r="E512" s="6">
        <v>10.7</v>
      </c>
      <c r="F512" s="6">
        <v>-0.29</v>
      </c>
      <c r="G512" s="6">
        <v>-0.3</v>
      </c>
      <c r="H512" s="6">
        <v>-1.54</v>
      </c>
      <c r="I512" s="6">
        <v>33.41</v>
      </c>
      <c r="J512" s="7">
        <f t="shared" ref="J512:O512" si="966">abs(C512-C511)/200</f>
        <v>0.01375</v>
      </c>
      <c r="K512" s="7">
        <f t="shared" si="966"/>
        <v>0.01715</v>
      </c>
      <c r="L512" s="7">
        <f t="shared" si="966"/>
        <v>0.00125</v>
      </c>
      <c r="M512" s="7">
        <f t="shared" si="966"/>
        <v>0.002</v>
      </c>
      <c r="N512" s="7">
        <f t="shared" si="966"/>
        <v>0.00145</v>
      </c>
      <c r="O512" s="7">
        <f t="shared" si="966"/>
        <v>0.01055</v>
      </c>
      <c r="P512" s="7">
        <f t="shared" si="7"/>
        <v>1.014921857</v>
      </c>
      <c r="Q512" s="7">
        <f t="shared" si="8"/>
        <v>0.2382219406</v>
      </c>
      <c r="R512" s="7">
        <f t="shared" si="2"/>
        <v>1.915861044</v>
      </c>
      <c r="S512" s="7">
        <f t="shared" si="3"/>
        <v>1.595524992</v>
      </c>
      <c r="T512" s="7">
        <f t="shared" si="4"/>
        <v>1</v>
      </c>
      <c r="U512" s="7">
        <f t="shared" si="5"/>
        <v>1</v>
      </c>
      <c r="V512" s="7">
        <f t="shared" ref="V512:W512" si="967">IF(AVERAGE(T452:T511) &gt; 0.25, 1, 0)</f>
        <v>1</v>
      </c>
      <c r="W512" s="7">
        <f t="shared" si="967"/>
        <v>1</v>
      </c>
      <c r="X512" s="8">
        <v>1.0</v>
      </c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ht="22.5" customHeight="1">
      <c r="A513" s="6">
        <v>512.0</v>
      </c>
      <c r="B513" s="6">
        <v>113459.0</v>
      </c>
      <c r="C513" s="6">
        <v>1.6</v>
      </c>
      <c r="D513" s="6">
        <v>-2.06</v>
      </c>
      <c r="E513" s="6">
        <v>10.29</v>
      </c>
      <c r="F513" s="6">
        <v>-0.68</v>
      </c>
      <c r="G513" s="6">
        <v>0.27</v>
      </c>
      <c r="H513" s="6">
        <v>-2.08</v>
      </c>
      <c r="I513" s="6">
        <v>33.4</v>
      </c>
      <c r="J513" s="7">
        <f t="shared" ref="J513:O513" si="968">abs(C513-C512)/200</f>
        <v>0.00725</v>
      </c>
      <c r="K513" s="7">
        <f t="shared" si="968"/>
        <v>0.00805</v>
      </c>
      <c r="L513" s="7">
        <f t="shared" si="968"/>
        <v>0.00205</v>
      </c>
      <c r="M513" s="7">
        <f t="shared" si="968"/>
        <v>0.00195</v>
      </c>
      <c r="N513" s="7">
        <f t="shared" si="968"/>
        <v>0.00285</v>
      </c>
      <c r="O513" s="7">
        <f t="shared" si="968"/>
        <v>0.0027</v>
      </c>
      <c r="P513" s="7">
        <f t="shared" si="7"/>
        <v>0.6094013107</v>
      </c>
      <c r="Q513" s="7">
        <f t="shared" si="8"/>
        <v>1.100414751</v>
      </c>
      <c r="R513" s="7">
        <f t="shared" si="2"/>
        <v>0.815446293</v>
      </c>
      <c r="S513" s="7">
        <f t="shared" si="3"/>
        <v>2.204926303</v>
      </c>
      <c r="T513" s="7">
        <f t="shared" si="4"/>
        <v>1</v>
      </c>
      <c r="U513" s="7">
        <f t="shared" si="5"/>
        <v>1</v>
      </c>
      <c r="V513" s="7">
        <f t="shared" ref="V513:W513" si="969">IF(AVERAGE(T453:T512) &gt; 0.25, 1, 0)</f>
        <v>1</v>
      </c>
      <c r="W513" s="7">
        <f t="shared" si="969"/>
        <v>1</v>
      </c>
      <c r="X513" s="8">
        <v>1.0</v>
      </c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ht="22.5" customHeight="1">
      <c r="A514" s="6">
        <v>513.0</v>
      </c>
      <c r="B514" s="6">
        <v>113663.0</v>
      </c>
      <c r="C514" s="6">
        <v>-3.06</v>
      </c>
      <c r="D514" s="6">
        <v>0.37</v>
      </c>
      <c r="E514" s="6">
        <v>11.03</v>
      </c>
      <c r="F514" s="6">
        <v>-0.22</v>
      </c>
      <c r="G514" s="6">
        <v>-0.22</v>
      </c>
      <c r="H514" s="6">
        <v>-0.75</v>
      </c>
      <c r="I514" s="6">
        <v>33.4</v>
      </c>
      <c r="J514" s="7">
        <f t="shared" ref="J514:O514" si="970">abs(C514-C513)/200</f>
        <v>0.0233</v>
      </c>
      <c r="K514" s="7">
        <f t="shared" si="970"/>
        <v>0.01215</v>
      </c>
      <c r="L514" s="7">
        <f t="shared" si="970"/>
        <v>0.0037</v>
      </c>
      <c r="M514" s="7">
        <f t="shared" si="970"/>
        <v>0.0023</v>
      </c>
      <c r="N514" s="7">
        <f t="shared" si="970"/>
        <v>0.00245</v>
      </c>
      <c r="O514" s="7">
        <f t="shared" si="970"/>
        <v>0.00665</v>
      </c>
      <c r="P514" s="7">
        <f t="shared" si="7"/>
        <v>1.392953397</v>
      </c>
      <c r="Q514" s="7">
        <f t="shared" si="8"/>
        <v>0.8371254706</v>
      </c>
      <c r="R514" s="7">
        <f t="shared" si="2"/>
        <v>1.652571764</v>
      </c>
      <c r="S514" s="7">
        <f t="shared" si="3"/>
        <v>0.811972906</v>
      </c>
      <c r="T514" s="7">
        <f t="shared" si="4"/>
        <v>1</v>
      </c>
      <c r="U514" s="7">
        <f t="shared" si="5"/>
        <v>1</v>
      </c>
      <c r="V514" s="7">
        <f t="shared" ref="V514:W514" si="971">IF(AVERAGE(T454:T513) &gt; 0.25, 1, 0)</f>
        <v>1</v>
      </c>
      <c r="W514" s="7">
        <f t="shared" si="971"/>
        <v>1</v>
      </c>
      <c r="X514" s="8">
        <v>1.0</v>
      </c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ht="22.5" customHeight="1">
      <c r="A515" s="6">
        <v>514.0</v>
      </c>
      <c r="B515" s="6">
        <v>113867.0</v>
      </c>
      <c r="C515" s="6">
        <v>-0.62</v>
      </c>
      <c r="D515" s="6">
        <v>1.78</v>
      </c>
      <c r="E515" s="6">
        <v>10.79</v>
      </c>
      <c r="F515" s="6">
        <v>-0.12</v>
      </c>
      <c r="G515" s="6">
        <v>0.07</v>
      </c>
      <c r="H515" s="6">
        <v>-0.25</v>
      </c>
      <c r="I515" s="6">
        <v>33.4</v>
      </c>
      <c r="J515" s="7">
        <f t="shared" ref="J515:O515" si="972">abs(C515-C514)/200</f>
        <v>0.0122</v>
      </c>
      <c r="K515" s="7">
        <f t="shared" si="972"/>
        <v>0.00705</v>
      </c>
      <c r="L515" s="7">
        <f t="shared" si="972"/>
        <v>0.0012</v>
      </c>
      <c r="M515" s="7">
        <f t="shared" si="972"/>
        <v>0.0005</v>
      </c>
      <c r="N515" s="7">
        <f t="shared" si="972"/>
        <v>0.00145</v>
      </c>
      <c r="O515" s="7">
        <f t="shared" si="972"/>
        <v>0.0025</v>
      </c>
      <c r="P515" s="7">
        <f t="shared" si="7"/>
        <v>0.525965913</v>
      </c>
      <c r="Q515" s="7">
        <f t="shared" si="8"/>
        <v>0.4991750301</v>
      </c>
      <c r="R515" s="7">
        <f t="shared" si="2"/>
        <v>1.153396733</v>
      </c>
      <c r="S515" s="7">
        <f t="shared" si="3"/>
        <v>0.2860069929</v>
      </c>
      <c r="T515" s="7">
        <f t="shared" si="4"/>
        <v>1</v>
      </c>
      <c r="U515" s="7">
        <f t="shared" si="5"/>
        <v>1</v>
      </c>
      <c r="V515" s="7">
        <f t="shared" ref="V515:W515" si="973">IF(AVERAGE(T455:T514) &gt; 0.25, 1, 0)</f>
        <v>1</v>
      </c>
      <c r="W515" s="7">
        <f t="shared" si="973"/>
        <v>1</v>
      </c>
      <c r="X515" s="8">
        <v>1.0</v>
      </c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ht="22.5" customHeight="1">
      <c r="A516" s="6">
        <v>515.0</v>
      </c>
      <c r="B516" s="6">
        <v>114071.0</v>
      </c>
      <c r="C516" s="6">
        <v>0.86</v>
      </c>
      <c r="D516" s="6">
        <v>-0.72</v>
      </c>
      <c r="E516" s="6">
        <v>11.13</v>
      </c>
      <c r="F516" s="6">
        <v>0.12</v>
      </c>
      <c r="G516" s="6">
        <v>0.3</v>
      </c>
      <c r="H516" s="6">
        <v>-0.11</v>
      </c>
      <c r="I516" s="6">
        <v>33.4</v>
      </c>
      <c r="J516" s="7">
        <f t="shared" ref="J516:O516" si="974">abs(C516-C515)/200</f>
        <v>0.0074</v>
      </c>
      <c r="K516" s="7">
        <f t="shared" si="974"/>
        <v>0.0125</v>
      </c>
      <c r="L516" s="7">
        <f t="shared" si="974"/>
        <v>0.0017</v>
      </c>
      <c r="M516" s="7">
        <f t="shared" si="974"/>
        <v>0.0012</v>
      </c>
      <c r="N516" s="7">
        <f t="shared" si="974"/>
        <v>0.00115</v>
      </c>
      <c r="O516" s="7">
        <f t="shared" si="974"/>
        <v>0.0007</v>
      </c>
      <c r="P516" s="7">
        <f t="shared" si="7"/>
        <v>0.0553139704</v>
      </c>
      <c r="Q516" s="7">
        <f t="shared" si="8"/>
        <v>0.2329744387</v>
      </c>
      <c r="R516" s="7">
        <f t="shared" si="2"/>
        <v>1.386371172</v>
      </c>
      <c r="S516" s="7">
        <f t="shared" si="3"/>
        <v>0.3413209633</v>
      </c>
      <c r="T516" s="7">
        <f t="shared" si="4"/>
        <v>1</v>
      </c>
      <c r="U516" s="7">
        <f t="shared" si="5"/>
        <v>1</v>
      </c>
      <c r="V516" s="7">
        <f t="shared" ref="V516:W516" si="975">IF(AVERAGE(T456:T515) &gt; 0.25, 1, 0)</f>
        <v>1</v>
      </c>
      <c r="W516" s="7">
        <f t="shared" si="975"/>
        <v>1</v>
      </c>
      <c r="X516" s="8">
        <v>1.0</v>
      </c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ht="22.5" customHeight="1">
      <c r="A517" s="6">
        <v>516.0</v>
      </c>
      <c r="B517" s="6">
        <v>114275.0</v>
      </c>
      <c r="C517" s="6">
        <v>-0.17</v>
      </c>
      <c r="D517" s="6">
        <v>-2.88</v>
      </c>
      <c r="E517" s="6">
        <v>10.7</v>
      </c>
      <c r="F517" s="6">
        <v>-0.01</v>
      </c>
      <c r="G517" s="6">
        <v>0.05</v>
      </c>
      <c r="H517" s="6">
        <v>-0.13</v>
      </c>
      <c r="I517" s="6">
        <v>33.4</v>
      </c>
      <c r="J517" s="7">
        <f t="shared" ref="J517:O517" si="976">abs(C517-C516)/200</f>
        <v>0.00515</v>
      </c>
      <c r="K517" s="7">
        <f t="shared" si="976"/>
        <v>0.0108</v>
      </c>
      <c r="L517" s="7">
        <f t="shared" si="976"/>
        <v>0.00215</v>
      </c>
      <c r="M517" s="7">
        <f t="shared" si="976"/>
        <v>0.00065</v>
      </c>
      <c r="N517" s="7">
        <f t="shared" si="976"/>
        <v>0.00125</v>
      </c>
      <c r="O517" s="7">
        <f t="shared" si="976"/>
        <v>0.0001</v>
      </c>
      <c r="P517" s="7">
        <f t="shared" si="7"/>
        <v>0.2016785629</v>
      </c>
      <c r="Q517" s="7">
        <f t="shared" si="8"/>
        <v>0.1042549482</v>
      </c>
      <c r="R517" s="7">
        <f t="shared" si="2"/>
        <v>1.282116224</v>
      </c>
      <c r="S517" s="7">
        <f t="shared" si="3"/>
        <v>0.1396424004</v>
      </c>
      <c r="T517" s="7">
        <f t="shared" si="4"/>
        <v>1</v>
      </c>
      <c r="U517" s="7">
        <f t="shared" si="5"/>
        <v>1</v>
      </c>
      <c r="V517" s="7">
        <f t="shared" ref="V517:W517" si="977">IF(AVERAGE(T457:T516) &gt; 0.25, 1, 0)</f>
        <v>1</v>
      </c>
      <c r="W517" s="7">
        <f t="shared" si="977"/>
        <v>1</v>
      </c>
      <c r="X517" s="8">
        <v>1.0</v>
      </c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ht="22.5" customHeight="1">
      <c r="A518" s="6">
        <v>517.0</v>
      </c>
      <c r="B518" s="6">
        <v>114479.0</v>
      </c>
      <c r="C518" s="6">
        <v>4.95</v>
      </c>
      <c r="D518" s="6">
        <v>-1.68</v>
      </c>
      <c r="E518" s="6">
        <v>10.39</v>
      </c>
      <c r="F518" s="6">
        <v>-0.17</v>
      </c>
      <c r="G518" s="6">
        <v>-0.15</v>
      </c>
      <c r="H518" s="6">
        <v>0.7</v>
      </c>
      <c r="I518" s="6">
        <v>33.4</v>
      </c>
      <c r="J518" s="7">
        <f t="shared" ref="J518:O518" si="978">abs(C518-C517)/200</f>
        <v>0.0256</v>
      </c>
      <c r="K518" s="7">
        <f t="shared" si="978"/>
        <v>0.006</v>
      </c>
      <c r="L518" s="7">
        <f t="shared" si="978"/>
        <v>0.00155</v>
      </c>
      <c r="M518" s="7">
        <f t="shared" si="978"/>
        <v>0.0008</v>
      </c>
      <c r="N518" s="7">
        <f t="shared" si="978"/>
        <v>0.001</v>
      </c>
      <c r="O518" s="7">
        <f t="shared" si="978"/>
        <v>0.00415</v>
      </c>
      <c r="P518" s="7">
        <f t="shared" si="7"/>
        <v>0.5961564851</v>
      </c>
      <c r="Q518" s="7">
        <f t="shared" si="8"/>
        <v>0.5487478885</v>
      </c>
      <c r="R518" s="7">
        <f t="shared" si="2"/>
        <v>1.830864112</v>
      </c>
      <c r="S518" s="7">
        <f t="shared" si="3"/>
        <v>0.7357988856</v>
      </c>
      <c r="T518" s="7">
        <f t="shared" si="4"/>
        <v>1</v>
      </c>
      <c r="U518" s="7">
        <f t="shared" si="5"/>
        <v>1</v>
      </c>
      <c r="V518" s="7">
        <f t="shared" ref="V518:W518" si="979">IF(AVERAGE(T458:T517) &gt; 0.25, 1, 0)</f>
        <v>1</v>
      </c>
      <c r="W518" s="7">
        <f t="shared" si="979"/>
        <v>1</v>
      </c>
      <c r="X518" s="8">
        <v>1.0</v>
      </c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ht="22.5" customHeight="1">
      <c r="A519" s="6">
        <v>518.0</v>
      </c>
      <c r="B519" s="6">
        <v>114683.0</v>
      </c>
      <c r="C519" s="6">
        <v>1.49</v>
      </c>
      <c r="D519" s="6">
        <v>1.32</v>
      </c>
      <c r="E519" s="6">
        <v>11.22</v>
      </c>
      <c r="F519" s="6">
        <v>-0.33</v>
      </c>
      <c r="G519" s="6">
        <v>-0.28</v>
      </c>
      <c r="H519" s="6">
        <v>-0.65</v>
      </c>
      <c r="I519" s="6">
        <v>33.4</v>
      </c>
      <c r="J519" s="7">
        <f t="shared" ref="J519:O519" si="980">abs(C519-C518)/200</f>
        <v>0.0173</v>
      </c>
      <c r="K519" s="7">
        <f t="shared" si="980"/>
        <v>0.015</v>
      </c>
      <c r="L519" s="7">
        <f t="shared" si="980"/>
        <v>0.00415</v>
      </c>
      <c r="M519" s="7">
        <f t="shared" si="980"/>
        <v>0.0008</v>
      </c>
      <c r="N519" s="7">
        <f t="shared" si="980"/>
        <v>0.00065</v>
      </c>
      <c r="O519" s="7">
        <f t="shared" si="980"/>
        <v>0.00675</v>
      </c>
      <c r="P519" s="7">
        <f t="shared" si="7"/>
        <v>0.04509803465</v>
      </c>
      <c r="Q519" s="7">
        <f t="shared" si="8"/>
        <v>0.2356502048</v>
      </c>
      <c r="R519" s="7">
        <f t="shared" si="2"/>
        <v>1.595213908</v>
      </c>
      <c r="S519" s="7">
        <f t="shared" si="3"/>
        <v>0.7808969202</v>
      </c>
      <c r="T519" s="7">
        <f t="shared" si="4"/>
        <v>1</v>
      </c>
      <c r="U519" s="7">
        <f t="shared" si="5"/>
        <v>1</v>
      </c>
      <c r="V519" s="7">
        <f t="shared" ref="V519:W519" si="981">IF(AVERAGE(T459:T518) &gt; 0.25, 1, 0)</f>
        <v>1</v>
      </c>
      <c r="W519" s="7">
        <f t="shared" si="981"/>
        <v>1</v>
      </c>
      <c r="X519" s="8">
        <v>1.0</v>
      </c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ht="22.5" customHeight="1">
      <c r="A520" s="6">
        <v>519.0</v>
      </c>
      <c r="B520" s="6">
        <v>114887.0</v>
      </c>
      <c r="C520" s="6">
        <v>-1.65</v>
      </c>
      <c r="D520" s="6">
        <v>2.14</v>
      </c>
      <c r="E520" s="6">
        <v>10.91</v>
      </c>
      <c r="F520" s="6">
        <v>-0.23</v>
      </c>
      <c r="G520" s="6">
        <v>-0.02</v>
      </c>
      <c r="H520" s="6">
        <v>-0.63</v>
      </c>
      <c r="I520" s="6">
        <v>33.39</v>
      </c>
      <c r="J520" s="7">
        <f t="shared" ref="J520:O520" si="982">abs(C520-C519)/200</f>
        <v>0.0157</v>
      </c>
      <c r="K520" s="7">
        <f t="shared" si="982"/>
        <v>0.0041</v>
      </c>
      <c r="L520" s="7">
        <f t="shared" si="982"/>
        <v>0.00155</v>
      </c>
      <c r="M520" s="7">
        <f t="shared" si="982"/>
        <v>0.0005</v>
      </c>
      <c r="N520" s="7">
        <f t="shared" si="982"/>
        <v>0.0013</v>
      </c>
      <c r="O520" s="7">
        <f t="shared" si="982"/>
        <v>0.0001</v>
      </c>
      <c r="P520" s="7">
        <f t="shared" si="7"/>
        <v>0.1099274723</v>
      </c>
      <c r="Q520" s="7">
        <f t="shared" si="8"/>
        <v>0.1555430939</v>
      </c>
      <c r="R520" s="7">
        <f t="shared" si="2"/>
        <v>1.439670814</v>
      </c>
      <c r="S520" s="7">
        <f t="shared" si="3"/>
        <v>0.6709694479</v>
      </c>
      <c r="T520" s="7">
        <f t="shared" si="4"/>
        <v>1</v>
      </c>
      <c r="U520" s="7">
        <f t="shared" si="5"/>
        <v>1</v>
      </c>
      <c r="V520" s="7">
        <f t="shared" ref="V520:W520" si="983">IF(AVERAGE(T460:T519) &gt; 0.25, 1, 0)</f>
        <v>1</v>
      </c>
      <c r="W520" s="7">
        <f t="shared" si="983"/>
        <v>1</v>
      </c>
      <c r="X520" s="8">
        <v>1.0</v>
      </c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ht="22.5" customHeight="1">
      <c r="A521" s="6">
        <v>520.0</v>
      </c>
      <c r="B521" s="6">
        <v>115091.0</v>
      </c>
      <c r="C521" s="6">
        <v>-0.34</v>
      </c>
      <c r="D521" s="6">
        <v>-0.77</v>
      </c>
      <c r="E521" s="6">
        <v>11.12</v>
      </c>
      <c r="F521" s="6">
        <v>0.01</v>
      </c>
      <c r="G521" s="6">
        <v>0.1</v>
      </c>
      <c r="H521" s="6">
        <v>-0.34</v>
      </c>
      <c r="I521" s="6">
        <v>33.39</v>
      </c>
      <c r="J521" s="7">
        <f t="shared" ref="J521:O521" si="984">abs(C521-C520)/200</f>
        <v>0.00655</v>
      </c>
      <c r="K521" s="7">
        <f t="shared" si="984"/>
        <v>0.01455</v>
      </c>
      <c r="L521" s="7">
        <f t="shared" si="984"/>
        <v>0.00105</v>
      </c>
      <c r="M521" s="7">
        <f t="shared" si="984"/>
        <v>0.0012</v>
      </c>
      <c r="N521" s="7">
        <f t="shared" si="984"/>
        <v>0.0006</v>
      </c>
      <c r="O521" s="7">
        <f t="shared" si="984"/>
        <v>0.00145</v>
      </c>
      <c r="P521" s="7">
        <f t="shared" si="7"/>
        <v>0.3164274899</v>
      </c>
      <c r="Q521" s="7">
        <f t="shared" si="8"/>
        <v>0.08785930165</v>
      </c>
      <c r="R521" s="7">
        <f t="shared" si="2"/>
        <v>1.351811512</v>
      </c>
      <c r="S521" s="7">
        <f t="shared" si="3"/>
        <v>0.354541958</v>
      </c>
      <c r="T521" s="7">
        <f t="shared" si="4"/>
        <v>1</v>
      </c>
      <c r="U521" s="7">
        <f t="shared" si="5"/>
        <v>1</v>
      </c>
      <c r="V521" s="7">
        <f t="shared" ref="V521:W521" si="985">IF(AVERAGE(T461:T520) &gt; 0.25, 1, 0)</f>
        <v>1</v>
      </c>
      <c r="W521" s="7">
        <f t="shared" si="985"/>
        <v>1</v>
      </c>
      <c r="X521" s="8">
        <v>1.0</v>
      </c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ht="22.5" customHeight="1">
      <c r="A522" s="6">
        <v>521.0</v>
      </c>
      <c r="B522" s="6">
        <v>115295.0</v>
      </c>
      <c r="C522" s="6">
        <v>0.72</v>
      </c>
      <c r="D522" s="6">
        <v>-1.95</v>
      </c>
      <c r="E522" s="6">
        <v>11.17</v>
      </c>
      <c r="F522" s="6">
        <v>0.06</v>
      </c>
      <c r="G522" s="6">
        <v>0.36</v>
      </c>
      <c r="H522" s="6">
        <v>0.25</v>
      </c>
      <c r="I522" s="6">
        <v>33.39</v>
      </c>
      <c r="J522" s="7">
        <f t="shared" ref="J522:O522" si="986">abs(C522-C521)/200</f>
        <v>0.0053</v>
      </c>
      <c r="K522" s="7">
        <f t="shared" si="986"/>
        <v>0.0059</v>
      </c>
      <c r="L522" s="7">
        <f t="shared" si="986"/>
        <v>0.00025</v>
      </c>
      <c r="M522" s="7">
        <f t="shared" si="986"/>
        <v>0.00025</v>
      </c>
      <c r="N522" s="7">
        <f t="shared" si="986"/>
        <v>0.0013</v>
      </c>
      <c r="O522" s="7">
        <f t="shared" si="986"/>
        <v>0.00295</v>
      </c>
      <c r="P522" s="7">
        <f t="shared" si="7"/>
        <v>0.08783796919</v>
      </c>
      <c r="Q522" s="7">
        <f t="shared" si="8"/>
        <v>0.2099577164</v>
      </c>
      <c r="R522" s="7">
        <f t="shared" si="2"/>
        <v>1.561769228</v>
      </c>
      <c r="S522" s="7">
        <f t="shared" si="3"/>
        <v>0.4423799272</v>
      </c>
      <c r="T522" s="7">
        <f t="shared" si="4"/>
        <v>1</v>
      </c>
      <c r="U522" s="7">
        <f t="shared" si="5"/>
        <v>1</v>
      </c>
      <c r="V522" s="7">
        <f t="shared" ref="V522:W522" si="987">IF(AVERAGE(T462:T521) &gt; 0.25, 1, 0)</f>
        <v>1</v>
      </c>
      <c r="W522" s="7">
        <f t="shared" si="987"/>
        <v>1</v>
      </c>
      <c r="X522" s="8">
        <v>1.0</v>
      </c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ht="22.5" customHeight="1">
      <c r="A523" s="6">
        <v>522.0</v>
      </c>
      <c r="B523" s="6">
        <v>115499.0</v>
      </c>
      <c r="C523" s="6">
        <v>3.5</v>
      </c>
      <c r="D523" s="6">
        <v>-1.16</v>
      </c>
      <c r="E523" s="6">
        <v>10.61</v>
      </c>
      <c r="F523" s="6">
        <v>-0.08</v>
      </c>
      <c r="G523" s="6">
        <v>0.03</v>
      </c>
      <c r="H523" s="6">
        <v>0.85</v>
      </c>
      <c r="I523" s="6">
        <v>33.39</v>
      </c>
      <c r="J523" s="7">
        <f t="shared" ref="J523:O523" si="988">abs(C523-C522)/200</f>
        <v>0.0139</v>
      </c>
      <c r="K523" s="7">
        <f t="shared" si="988"/>
        <v>0.00395</v>
      </c>
      <c r="L523" s="7">
        <f t="shared" si="988"/>
        <v>0.0028</v>
      </c>
      <c r="M523" s="7">
        <f t="shared" si="988"/>
        <v>0.0007</v>
      </c>
      <c r="N523" s="7">
        <f t="shared" si="988"/>
        <v>0.00165</v>
      </c>
      <c r="O523" s="7">
        <f t="shared" si="988"/>
        <v>0.003</v>
      </c>
      <c r="P523" s="7">
        <f t="shared" si="7"/>
        <v>0.4119033982</v>
      </c>
      <c r="Q523" s="7">
        <f t="shared" si="8"/>
        <v>0.1293296003</v>
      </c>
      <c r="R523" s="7">
        <f t="shared" si="2"/>
        <v>1.432439628</v>
      </c>
      <c r="S523" s="7">
        <f t="shared" si="3"/>
        <v>0.8542833254</v>
      </c>
      <c r="T523" s="7">
        <f t="shared" si="4"/>
        <v>1</v>
      </c>
      <c r="U523" s="7">
        <f t="shared" si="5"/>
        <v>1</v>
      </c>
      <c r="V523" s="7">
        <f t="shared" ref="V523:W523" si="989">IF(AVERAGE(T463:T522) &gt; 0.25, 1, 0)</f>
        <v>1</v>
      </c>
      <c r="W523" s="7">
        <f t="shared" si="989"/>
        <v>1</v>
      </c>
      <c r="X523" s="8">
        <v>1.0</v>
      </c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ht="22.5" customHeight="1">
      <c r="A524" s="6">
        <v>523.0</v>
      </c>
      <c r="B524" s="6">
        <v>115703.0</v>
      </c>
      <c r="C524" s="6">
        <v>2.22</v>
      </c>
      <c r="D524" s="6">
        <v>-1.74</v>
      </c>
      <c r="E524" s="6">
        <v>10.42</v>
      </c>
      <c r="F524" s="6">
        <v>-0.35</v>
      </c>
      <c r="G524" s="6">
        <v>-0.25</v>
      </c>
      <c r="H524" s="6">
        <v>-0.2</v>
      </c>
      <c r="I524" s="6">
        <v>33.39</v>
      </c>
      <c r="J524" s="7">
        <f t="shared" ref="J524:O524" si="990">abs(C524-C523)/200</f>
        <v>0.0064</v>
      </c>
      <c r="K524" s="7">
        <f t="shared" si="990"/>
        <v>0.0029</v>
      </c>
      <c r="L524" s="7">
        <f t="shared" si="990"/>
        <v>0.00095</v>
      </c>
      <c r="M524" s="7">
        <f t="shared" si="990"/>
        <v>0.00135</v>
      </c>
      <c r="N524" s="7">
        <f t="shared" si="990"/>
        <v>0.0014</v>
      </c>
      <c r="O524" s="7">
        <f t="shared" si="990"/>
        <v>0.00525</v>
      </c>
      <c r="P524" s="7">
        <f t="shared" si="7"/>
        <v>0.3799416763</v>
      </c>
      <c r="Q524" s="7">
        <f t="shared" si="8"/>
        <v>0.437422259</v>
      </c>
      <c r="R524" s="7">
        <f t="shared" si="2"/>
        <v>0.9950173691</v>
      </c>
      <c r="S524" s="7">
        <f t="shared" si="3"/>
        <v>0.474341649</v>
      </c>
      <c r="T524" s="7">
        <f t="shared" si="4"/>
        <v>1</v>
      </c>
      <c r="U524" s="7">
        <f t="shared" si="5"/>
        <v>1</v>
      </c>
      <c r="V524" s="7">
        <f t="shared" ref="V524:W524" si="991">IF(AVERAGE(T464:T523) &gt; 0.25, 1, 0)</f>
        <v>1</v>
      </c>
      <c r="W524" s="7">
        <f t="shared" si="991"/>
        <v>1</v>
      </c>
      <c r="X524" s="8">
        <v>1.0</v>
      </c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ht="22.5" customHeight="1">
      <c r="A525" s="6">
        <v>524.0</v>
      </c>
      <c r="B525" s="6">
        <v>115907.0</v>
      </c>
      <c r="C525" s="6">
        <v>-0.1</v>
      </c>
      <c r="D525" s="6">
        <v>0.27</v>
      </c>
      <c r="E525" s="6">
        <v>10.65</v>
      </c>
      <c r="F525" s="6">
        <v>-0.17</v>
      </c>
      <c r="G525" s="6">
        <v>-0.19</v>
      </c>
      <c r="H525" s="6">
        <v>-0.04</v>
      </c>
      <c r="I525" s="6">
        <v>33.39</v>
      </c>
      <c r="J525" s="7">
        <f t="shared" ref="J525:O525" si="992">abs(C525-C524)/200</f>
        <v>0.0116</v>
      </c>
      <c r="K525" s="7">
        <f t="shared" si="992"/>
        <v>0.01005</v>
      </c>
      <c r="L525" s="7">
        <f t="shared" si="992"/>
        <v>0.00115</v>
      </c>
      <c r="M525" s="7">
        <f t="shared" si="992"/>
        <v>0.0009</v>
      </c>
      <c r="N525" s="7">
        <f t="shared" si="992"/>
        <v>0.0003</v>
      </c>
      <c r="O525" s="7">
        <f t="shared" si="992"/>
        <v>0.0008</v>
      </c>
      <c r="P525" s="7">
        <f t="shared" si="7"/>
        <v>0.216271891</v>
      </c>
      <c r="Q525" s="7">
        <f t="shared" si="8"/>
        <v>0.1411260613</v>
      </c>
      <c r="R525" s="7">
        <f t="shared" si="2"/>
        <v>0.8538913079</v>
      </c>
      <c r="S525" s="7">
        <f t="shared" si="3"/>
        <v>0.258069758</v>
      </c>
      <c r="T525" s="7">
        <f t="shared" si="4"/>
        <v>1</v>
      </c>
      <c r="U525" s="7">
        <f t="shared" si="5"/>
        <v>1</v>
      </c>
      <c r="V525" s="7">
        <f t="shared" ref="V525:W525" si="993">IF(AVERAGE(T465:T524) &gt; 0.25, 1, 0)</f>
        <v>1</v>
      </c>
      <c r="W525" s="7">
        <f t="shared" si="993"/>
        <v>1</v>
      </c>
      <c r="X525" s="8">
        <v>1.0</v>
      </c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ht="22.5" customHeight="1">
      <c r="A526" s="6">
        <v>525.0</v>
      </c>
      <c r="B526" s="6">
        <v>116111.0</v>
      </c>
      <c r="C526" s="6">
        <v>-1.54</v>
      </c>
      <c r="D526" s="6">
        <v>2.05</v>
      </c>
      <c r="E526" s="6">
        <v>10.95</v>
      </c>
      <c r="F526" s="6">
        <v>-0.05</v>
      </c>
      <c r="G526" s="6">
        <v>0.21</v>
      </c>
      <c r="H526" s="6">
        <v>0.21</v>
      </c>
      <c r="I526" s="6">
        <v>33.38</v>
      </c>
      <c r="J526" s="7">
        <f t="shared" ref="J526:O526" si="994">abs(C526-C525)/200</f>
        <v>0.0072</v>
      </c>
      <c r="K526" s="7">
        <f t="shared" si="994"/>
        <v>0.0089</v>
      </c>
      <c r="L526" s="7">
        <f t="shared" si="994"/>
        <v>0.0015</v>
      </c>
      <c r="M526" s="7">
        <f t="shared" si="994"/>
        <v>0.0006</v>
      </c>
      <c r="N526" s="7">
        <f t="shared" si="994"/>
        <v>0.002</v>
      </c>
      <c r="O526" s="7">
        <f t="shared" si="994"/>
        <v>0.00125</v>
      </c>
      <c r="P526" s="7">
        <f t="shared" si="7"/>
        <v>0.04309464892</v>
      </c>
      <c r="Q526" s="7">
        <f t="shared" si="8"/>
        <v>0.5922902663</v>
      </c>
      <c r="R526" s="7">
        <f t="shared" si="2"/>
        <v>1.446181574</v>
      </c>
      <c r="S526" s="7">
        <f t="shared" si="3"/>
        <v>0.3011644069</v>
      </c>
      <c r="T526" s="7">
        <f t="shared" si="4"/>
        <v>1</v>
      </c>
      <c r="U526" s="7">
        <f t="shared" si="5"/>
        <v>1</v>
      </c>
      <c r="V526" s="7">
        <f t="shared" ref="V526:W526" si="995">IF(AVERAGE(T466:T525) &gt; 0.25, 1, 0)</f>
        <v>1</v>
      </c>
      <c r="W526" s="7">
        <f t="shared" si="995"/>
        <v>1</v>
      </c>
      <c r="X526" s="8">
        <v>1.0</v>
      </c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ht="22.5" customHeight="1">
      <c r="A527" s="6">
        <v>526.0</v>
      </c>
      <c r="B527" s="6">
        <v>116315.0</v>
      </c>
      <c r="C527" s="6">
        <v>1.79</v>
      </c>
      <c r="D527" s="6">
        <v>0.58</v>
      </c>
      <c r="E527" s="6">
        <v>10.92</v>
      </c>
      <c r="F527" s="6">
        <v>0.15</v>
      </c>
      <c r="G527" s="6">
        <v>0.25</v>
      </c>
      <c r="H527" s="6">
        <v>0.65</v>
      </c>
      <c r="I527" s="6">
        <v>33.4</v>
      </c>
      <c r="J527" s="7">
        <f t="shared" ref="J527:O527" si="996">abs(C527-C526)/200</f>
        <v>0.01665</v>
      </c>
      <c r="K527" s="7">
        <f t="shared" si="996"/>
        <v>0.00735</v>
      </c>
      <c r="L527" s="7">
        <f t="shared" si="996"/>
        <v>0.00015</v>
      </c>
      <c r="M527" s="7">
        <f t="shared" si="996"/>
        <v>0.001</v>
      </c>
      <c r="N527" s="7">
        <f t="shared" si="996"/>
        <v>0.0002</v>
      </c>
      <c r="O527" s="7">
        <f t="shared" si="996"/>
        <v>0.0022</v>
      </c>
      <c r="P527" s="7">
        <f t="shared" si="7"/>
        <v>0.4112259355</v>
      </c>
      <c r="Q527" s="7">
        <f t="shared" si="8"/>
        <v>0.1652565226</v>
      </c>
      <c r="R527" s="7">
        <f t="shared" si="2"/>
        <v>1.280925052</v>
      </c>
      <c r="S527" s="7">
        <f t="shared" si="3"/>
        <v>0.7123903424</v>
      </c>
      <c r="T527" s="7">
        <f t="shared" si="4"/>
        <v>1</v>
      </c>
      <c r="U527" s="7">
        <f t="shared" si="5"/>
        <v>1</v>
      </c>
      <c r="V527" s="7">
        <f t="shared" ref="V527:W527" si="997">IF(AVERAGE(T467:T526) &gt; 0.25, 1, 0)</f>
        <v>1</v>
      </c>
      <c r="W527" s="7">
        <f t="shared" si="997"/>
        <v>1</v>
      </c>
      <c r="X527" s="8">
        <v>1.0</v>
      </c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ht="22.5" customHeight="1">
      <c r="A528" s="6">
        <v>527.0</v>
      </c>
      <c r="B528" s="6">
        <v>116519.0</v>
      </c>
      <c r="C528" s="6">
        <v>3.37</v>
      </c>
      <c r="D528" s="6">
        <v>-3.49</v>
      </c>
      <c r="E528" s="6">
        <v>10.62</v>
      </c>
      <c r="F528" s="6">
        <v>0.0</v>
      </c>
      <c r="G528" s="6">
        <v>0.03</v>
      </c>
      <c r="H528" s="6">
        <v>0.29</v>
      </c>
      <c r="I528" s="6">
        <v>33.39</v>
      </c>
      <c r="J528" s="7">
        <f t="shared" ref="J528:O528" si="998">abs(C528-C527)/200</f>
        <v>0.0079</v>
      </c>
      <c r="K528" s="7">
        <f t="shared" si="998"/>
        <v>0.02035</v>
      </c>
      <c r="L528" s="7">
        <f t="shared" si="998"/>
        <v>0.0015</v>
      </c>
      <c r="M528" s="7">
        <f t="shared" si="998"/>
        <v>0.00075</v>
      </c>
      <c r="N528" s="7">
        <f t="shared" si="998"/>
        <v>0.0011</v>
      </c>
      <c r="O528" s="7">
        <f t="shared" si="998"/>
        <v>0.0018</v>
      </c>
      <c r="P528" s="7">
        <f t="shared" si="7"/>
        <v>0.4208427477</v>
      </c>
      <c r="Q528" s="7">
        <f t="shared" si="8"/>
        <v>0.5947505177</v>
      </c>
      <c r="R528" s="7">
        <f t="shared" si="2"/>
        <v>1.875675569</v>
      </c>
      <c r="S528" s="7">
        <f t="shared" si="3"/>
        <v>0.2915475947</v>
      </c>
      <c r="T528" s="7">
        <f t="shared" si="4"/>
        <v>1</v>
      </c>
      <c r="U528" s="7">
        <f t="shared" si="5"/>
        <v>1</v>
      </c>
      <c r="V528" s="7">
        <f t="shared" ref="V528:W528" si="999">IF(AVERAGE(T468:T527) &gt; 0.25, 1, 0)</f>
        <v>1</v>
      </c>
      <c r="W528" s="7">
        <f t="shared" si="999"/>
        <v>1</v>
      </c>
      <c r="X528" s="8">
        <v>1.0</v>
      </c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ht="22.5" customHeight="1">
      <c r="A529" s="6">
        <v>528.0</v>
      </c>
      <c r="B529" s="6">
        <v>116723.0</v>
      </c>
      <c r="C529" s="6">
        <v>2.57</v>
      </c>
      <c r="D529" s="6">
        <v>-2.02</v>
      </c>
      <c r="E529" s="6">
        <v>10.57</v>
      </c>
      <c r="F529" s="6">
        <v>-0.3</v>
      </c>
      <c r="G529" s="6">
        <v>-0.07</v>
      </c>
      <c r="H529" s="6">
        <v>-0.56</v>
      </c>
      <c r="I529" s="6">
        <v>33.39</v>
      </c>
      <c r="J529" s="7">
        <f t="shared" ref="J529:O529" si="1000">abs(C529-C528)/200</f>
        <v>0.004</v>
      </c>
      <c r="K529" s="7">
        <f t="shared" si="1000"/>
        <v>0.00735</v>
      </c>
      <c r="L529" s="7">
        <f t="shared" si="1000"/>
        <v>0.00025</v>
      </c>
      <c r="M529" s="7">
        <f t="shared" si="1000"/>
        <v>0.0015</v>
      </c>
      <c r="N529" s="7">
        <f t="shared" si="1000"/>
        <v>0.0005</v>
      </c>
      <c r="O529" s="7">
        <f t="shared" si="1000"/>
        <v>0.00425</v>
      </c>
      <c r="P529" s="7">
        <f t="shared" si="7"/>
        <v>0.3475924525</v>
      </c>
      <c r="Q529" s="7">
        <f t="shared" si="8"/>
        <v>0.6117612529</v>
      </c>
      <c r="R529" s="7">
        <f t="shared" si="2"/>
        <v>1.263914316</v>
      </c>
      <c r="S529" s="7">
        <f t="shared" si="3"/>
        <v>0.6391400473</v>
      </c>
      <c r="T529" s="7">
        <f t="shared" si="4"/>
        <v>1</v>
      </c>
      <c r="U529" s="7">
        <f t="shared" si="5"/>
        <v>1</v>
      </c>
      <c r="V529" s="7">
        <f t="shared" ref="V529:W529" si="1001">IF(AVERAGE(T469:T528) &gt; 0.25, 1, 0)</f>
        <v>1</v>
      </c>
      <c r="W529" s="7">
        <f t="shared" si="1001"/>
        <v>1</v>
      </c>
      <c r="X529" s="8">
        <v>1.0</v>
      </c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ht="22.5" customHeight="1">
      <c r="A530" s="6">
        <v>529.0</v>
      </c>
      <c r="B530" s="6">
        <v>116927.0</v>
      </c>
      <c r="C530" s="6">
        <v>0.78</v>
      </c>
      <c r="D530" s="6">
        <v>0.21</v>
      </c>
      <c r="E530" s="6">
        <v>10.87</v>
      </c>
      <c r="F530" s="6">
        <v>-0.26</v>
      </c>
      <c r="G530" s="6">
        <v>-0.19</v>
      </c>
      <c r="H530" s="6">
        <v>-0.31</v>
      </c>
      <c r="I530" s="6">
        <v>33.4</v>
      </c>
      <c r="J530" s="7">
        <f t="shared" ref="J530:O530" si="1002">abs(C530-C529)/200</f>
        <v>0.00895</v>
      </c>
      <c r="K530" s="7">
        <f t="shared" si="1002"/>
        <v>0.01115</v>
      </c>
      <c r="L530" s="7">
        <f t="shared" si="1002"/>
        <v>0.0015</v>
      </c>
      <c r="M530" s="7">
        <f t="shared" si="1002"/>
        <v>0.0002</v>
      </c>
      <c r="N530" s="7">
        <f t="shared" si="1002"/>
        <v>0.0006</v>
      </c>
      <c r="O530" s="7">
        <f t="shared" si="1002"/>
        <v>0.00125</v>
      </c>
      <c r="P530" s="7">
        <f t="shared" si="7"/>
        <v>0.1921501145</v>
      </c>
      <c r="Q530" s="7">
        <f t="shared" si="8"/>
        <v>0.1639418393</v>
      </c>
      <c r="R530" s="7">
        <f t="shared" si="2"/>
        <v>1.099972477</v>
      </c>
      <c r="S530" s="7">
        <f t="shared" si="3"/>
        <v>0.4469899328</v>
      </c>
      <c r="T530" s="7">
        <f t="shared" si="4"/>
        <v>1</v>
      </c>
      <c r="U530" s="7">
        <f t="shared" si="5"/>
        <v>1</v>
      </c>
      <c r="V530" s="7">
        <f t="shared" ref="V530:W530" si="1003">IF(AVERAGE(T470:T529) &gt; 0.25, 1, 0)</f>
        <v>1</v>
      </c>
      <c r="W530" s="7">
        <f t="shared" si="1003"/>
        <v>1</v>
      </c>
      <c r="X530" s="8">
        <v>1.0</v>
      </c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ht="22.5" customHeight="1">
      <c r="A531" s="6">
        <v>530.0</v>
      </c>
      <c r="B531" s="6">
        <v>117131.0</v>
      </c>
      <c r="C531" s="6">
        <v>0.09</v>
      </c>
      <c r="D531" s="6">
        <v>1.27</v>
      </c>
      <c r="E531" s="6">
        <v>10.64</v>
      </c>
      <c r="F531" s="6">
        <v>-0.12</v>
      </c>
      <c r="G531" s="6">
        <v>0.03</v>
      </c>
      <c r="H531" s="6">
        <v>-0.03</v>
      </c>
      <c r="I531" s="6">
        <v>33.39</v>
      </c>
      <c r="J531" s="7">
        <f t="shared" ref="J531:O531" si="1004">abs(C531-C530)/200</f>
        <v>0.00345</v>
      </c>
      <c r="K531" s="7">
        <f t="shared" si="1004"/>
        <v>0.0053</v>
      </c>
      <c r="L531" s="7">
        <f t="shared" si="1004"/>
        <v>0.00115</v>
      </c>
      <c r="M531" s="7">
        <f t="shared" si="1004"/>
        <v>0.0007</v>
      </c>
      <c r="N531" s="7">
        <f t="shared" si="1004"/>
        <v>0.0011</v>
      </c>
      <c r="O531" s="7">
        <f t="shared" si="1004"/>
        <v>0.0014</v>
      </c>
      <c r="P531" s="7">
        <f t="shared" si="7"/>
        <v>0.3197107122</v>
      </c>
      <c r="Q531" s="7">
        <f t="shared" si="8"/>
        <v>0.1840684088</v>
      </c>
      <c r="R531" s="7">
        <f t="shared" si="2"/>
        <v>0.9159040683</v>
      </c>
      <c r="S531" s="7">
        <f t="shared" si="3"/>
        <v>0.1272792206</v>
      </c>
      <c r="T531" s="7">
        <f t="shared" si="4"/>
        <v>1</v>
      </c>
      <c r="U531" s="7">
        <f t="shared" si="5"/>
        <v>1</v>
      </c>
      <c r="V531" s="7">
        <f t="shared" ref="V531:W531" si="1005">IF(AVERAGE(T471:T530) &gt; 0.25, 1, 0)</f>
        <v>1</v>
      </c>
      <c r="W531" s="7">
        <f t="shared" si="1005"/>
        <v>1</v>
      </c>
      <c r="X531" s="8">
        <v>1.0</v>
      </c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ht="22.5" customHeight="1">
      <c r="A532" s="6">
        <v>531.0</v>
      </c>
      <c r="B532" s="6">
        <v>117335.0</v>
      </c>
      <c r="C532" s="6">
        <v>0.83</v>
      </c>
      <c r="D532" s="6">
        <v>1.14</v>
      </c>
      <c r="E532" s="6">
        <v>10.77</v>
      </c>
      <c r="F532" s="6">
        <v>-0.16</v>
      </c>
      <c r="G532" s="6">
        <v>0.09</v>
      </c>
      <c r="H532" s="6">
        <v>-0.36</v>
      </c>
      <c r="I532" s="6">
        <v>33.4</v>
      </c>
      <c r="J532" s="7">
        <f t="shared" ref="J532:O532" si="1006">abs(C532-C531)/200</f>
        <v>0.0037</v>
      </c>
      <c r="K532" s="7">
        <f t="shared" si="1006"/>
        <v>0.00065</v>
      </c>
      <c r="L532" s="7">
        <f t="shared" si="1006"/>
        <v>0.00065</v>
      </c>
      <c r="M532" s="7">
        <f t="shared" si="1006"/>
        <v>0.0002</v>
      </c>
      <c r="N532" s="7">
        <f t="shared" si="1006"/>
        <v>0.0003</v>
      </c>
      <c r="O532" s="7">
        <f t="shared" si="1006"/>
        <v>0.00165</v>
      </c>
      <c r="P532" s="7">
        <f t="shared" si="7"/>
        <v>0.2768247264</v>
      </c>
      <c r="Q532" s="7">
        <f t="shared" si="8"/>
        <v>0.1460202548</v>
      </c>
      <c r="R532" s="7">
        <f t="shared" si="2"/>
        <v>1.061924323</v>
      </c>
      <c r="S532" s="7">
        <f t="shared" si="3"/>
        <v>0.404103947</v>
      </c>
      <c r="T532" s="7">
        <f t="shared" si="4"/>
        <v>1</v>
      </c>
      <c r="U532" s="7">
        <f t="shared" si="5"/>
        <v>1</v>
      </c>
      <c r="V532" s="7">
        <f t="shared" ref="V532:W532" si="1007">IF(AVERAGE(T472:T531) &gt; 0.25, 1, 0)</f>
        <v>1</v>
      </c>
      <c r="W532" s="7">
        <f t="shared" si="1007"/>
        <v>1</v>
      </c>
      <c r="X532" s="8">
        <v>1.0</v>
      </c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ht="22.5" customHeight="1">
      <c r="A533" s="6">
        <v>532.0</v>
      </c>
      <c r="B533" s="6">
        <v>117539.0</v>
      </c>
      <c r="C533" s="6">
        <v>1.16</v>
      </c>
      <c r="D533" s="6">
        <v>-1.21</v>
      </c>
      <c r="E533" s="6">
        <v>10.76</v>
      </c>
      <c r="F533" s="6">
        <v>0.06</v>
      </c>
      <c r="G533" s="6">
        <v>0.23</v>
      </c>
      <c r="H533" s="6">
        <v>-0.16</v>
      </c>
      <c r="I533" s="6">
        <v>33.41</v>
      </c>
      <c r="J533" s="7">
        <f t="shared" ref="J533:O533" si="1008">abs(C533-C532)/200</f>
        <v>0.00165</v>
      </c>
      <c r="K533" s="7">
        <f t="shared" si="1008"/>
        <v>0.01175</v>
      </c>
      <c r="L533" s="7">
        <f t="shared" si="1008"/>
        <v>0.00005</v>
      </c>
      <c r="M533" s="7">
        <f t="shared" si="1008"/>
        <v>0.0011</v>
      </c>
      <c r="N533" s="7">
        <f t="shared" si="1008"/>
        <v>0.0007</v>
      </c>
      <c r="O533" s="7">
        <f t="shared" si="1008"/>
        <v>0.001</v>
      </c>
      <c r="P533" s="7">
        <f t="shared" si="7"/>
        <v>0.1175729714</v>
      </c>
      <c r="Q533" s="7">
        <f t="shared" si="8"/>
        <v>0.02785528903</v>
      </c>
      <c r="R533" s="7">
        <f t="shared" si="2"/>
        <v>1.089779612</v>
      </c>
      <c r="S533" s="7">
        <f t="shared" si="3"/>
        <v>0.2865309756</v>
      </c>
      <c r="T533" s="7">
        <f t="shared" si="4"/>
        <v>1</v>
      </c>
      <c r="U533" s="7">
        <f t="shared" si="5"/>
        <v>1</v>
      </c>
      <c r="V533" s="7">
        <f t="shared" ref="V533:W533" si="1009">IF(AVERAGE(T473:T532) &gt; 0.25, 1, 0)</f>
        <v>1</v>
      </c>
      <c r="W533" s="7">
        <f t="shared" si="1009"/>
        <v>1</v>
      </c>
      <c r="X533" s="8">
        <v>1.0</v>
      </c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ht="22.5" customHeight="1">
      <c r="A534" s="6">
        <v>533.0</v>
      </c>
      <c r="B534" s="6">
        <v>117743.0</v>
      </c>
      <c r="C534" s="6">
        <v>1.62</v>
      </c>
      <c r="D534" s="6">
        <v>-1.65</v>
      </c>
      <c r="E534" s="6">
        <v>10.83</v>
      </c>
      <c r="F534" s="6">
        <v>0.07</v>
      </c>
      <c r="G534" s="6">
        <v>0.05</v>
      </c>
      <c r="H534" s="6">
        <v>0.24</v>
      </c>
      <c r="I534" s="6">
        <v>33.4</v>
      </c>
      <c r="J534" s="7">
        <f t="shared" ref="J534:O534" si="1010">abs(C534-C533)/200</f>
        <v>0.0023</v>
      </c>
      <c r="K534" s="7">
        <f t="shared" si="1010"/>
        <v>0.0022</v>
      </c>
      <c r="L534" s="7">
        <f t="shared" si="1010"/>
        <v>0.00035</v>
      </c>
      <c r="M534" s="7">
        <f t="shared" si="1010"/>
        <v>0.00005</v>
      </c>
      <c r="N534" s="7">
        <f t="shared" si="1010"/>
        <v>0.0009</v>
      </c>
      <c r="O534" s="7">
        <f t="shared" si="1010"/>
        <v>0.002</v>
      </c>
      <c r="P534" s="7">
        <f t="shared" si="7"/>
        <v>0.03157999996</v>
      </c>
      <c r="Q534" s="7">
        <f t="shared" si="8"/>
        <v>0.1843253179</v>
      </c>
      <c r="R534" s="7">
        <f t="shared" si="2"/>
        <v>1.27410493</v>
      </c>
      <c r="S534" s="7">
        <f t="shared" si="3"/>
        <v>0.2549509757</v>
      </c>
      <c r="T534" s="7">
        <f t="shared" si="4"/>
        <v>1</v>
      </c>
      <c r="U534" s="7">
        <f t="shared" si="5"/>
        <v>1</v>
      </c>
      <c r="V534" s="7">
        <f t="shared" ref="V534:W534" si="1011">IF(AVERAGE(T474:T533) &gt; 0.25, 1, 0)</f>
        <v>1</v>
      </c>
      <c r="W534" s="7">
        <f t="shared" si="1011"/>
        <v>1</v>
      </c>
      <c r="X534" s="8">
        <v>1.0</v>
      </c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ht="22.5" customHeight="1">
      <c r="A535" s="6">
        <v>534.0</v>
      </c>
      <c r="B535" s="6">
        <v>117947.0</v>
      </c>
      <c r="C535" s="6">
        <v>2.69</v>
      </c>
      <c r="D535" s="6">
        <v>-2.72</v>
      </c>
      <c r="E535" s="6">
        <v>10.67</v>
      </c>
      <c r="F535" s="6">
        <v>-0.22</v>
      </c>
      <c r="G535" s="6">
        <v>-0.14</v>
      </c>
      <c r="H535" s="6">
        <v>0.21</v>
      </c>
      <c r="I535" s="6">
        <v>33.4</v>
      </c>
      <c r="J535" s="7">
        <f t="shared" ref="J535:O535" si="1012">abs(C535-C534)/200</f>
        <v>0.00535</v>
      </c>
      <c r="K535" s="7">
        <f t="shared" si="1012"/>
        <v>0.00535</v>
      </c>
      <c r="L535" s="7">
        <f t="shared" si="1012"/>
        <v>0.0008</v>
      </c>
      <c r="M535" s="7">
        <f t="shared" si="1012"/>
        <v>0.00145</v>
      </c>
      <c r="N535" s="7">
        <f t="shared" si="1012"/>
        <v>0.00095</v>
      </c>
      <c r="O535" s="7">
        <f t="shared" si="1012"/>
        <v>0.00015</v>
      </c>
      <c r="P535" s="7">
        <f t="shared" si="7"/>
        <v>0.07986240518</v>
      </c>
      <c r="Q535" s="7">
        <f t="shared" si="8"/>
        <v>0.2609469005</v>
      </c>
      <c r="R535" s="7">
        <f t="shared" si="2"/>
        <v>1.53505183</v>
      </c>
      <c r="S535" s="7">
        <f t="shared" si="3"/>
        <v>0.3348133809</v>
      </c>
      <c r="T535" s="7">
        <f t="shared" si="4"/>
        <v>1</v>
      </c>
      <c r="U535" s="7">
        <f t="shared" si="5"/>
        <v>1</v>
      </c>
      <c r="V535" s="7">
        <f t="shared" ref="V535:W535" si="1013">IF(AVERAGE(T475:T534) &gt; 0.25, 1, 0)</f>
        <v>1</v>
      </c>
      <c r="W535" s="7">
        <f t="shared" si="1013"/>
        <v>1</v>
      </c>
      <c r="X535" s="8">
        <v>1.0</v>
      </c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ht="22.5" customHeight="1">
      <c r="A536" s="6">
        <v>535.0</v>
      </c>
      <c r="B536" s="6">
        <v>118151.0</v>
      </c>
      <c r="C536" s="6">
        <v>1.23</v>
      </c>
      <c r="D536" s="6">
        <v>0.42</v>
      </c>
      <c r="E536" s="6">
        <v>10.67</v>
      </c>
      <c r="F536" s="6">
        <v>-0.17</v>
      </c>
      <c r="G536" s="6">
        <v>-0.22</v>
      </c>
      <c r="H536" s="6">
        <v>0.23</v>
      </c>
      <c r="I536" s="6">
        <v>33.38</v>
      </c>
      <c r="J536" s="7">
        <f t="shared" ref="J536:O536" si="1014">abs(C536-C535)/200</f>
        <v>0.0073</v>
      </c>
      <c r="K536" s="7">
        <f t="shared" si="1014"/>
        <v>0.0157</v>
      </c>
      <c r="L536" s="7">
        <f t="shared" si="1014"/>
        <v>0</v>
      </c>
      <c r="M536" s="7">
        <f t="shared" si="1014"/>
        <v>0.00025</v>
      </c>
      <c r="N536" s="7">
        <f t="shared" si="1014"/>
        <v>0.0004</v>
      </c>
      <c r="O536" s="7">
        <f t="shared" si="1014"/>
        <v>0.0001</v>
      </c>
      <c r="P536" s="7">
        <f t="shared" si="7"/>
        <v>0.0260189902</v>
      </c>
      <c r="Q536" s="7">
        <f t="shared" si="8"/>
        <v>0.5861821225</v>
      </c>
      <c r="R536" s="7">
        <f t="shared" si="2"/>
        <v>0.948869708</v>
      </c>
      <c r="S536" s="7">
        <f t="shared" si="3"/>
        <v>0.3608323711</v>
      </c>
      <c r="T536" s="7">
        <f t="shared" si="4"/>
        <v>1</v>
      </c>
      <c r="U536" s="7">
        <f t="shared" si="5"/>
        <v>1</v>
      </c>
      <c r="V536" s="7">
        <f t="shared" ref="V536:W536" si="1015">IF(AVERAGE(T476:T535) &gt; 0.25, 1, 0)</f>
        <v>1</v>
      </c>
      <c r="W536" s="7">
        <f t="shared" si="1015"/>
        <v>1</v>
      </c>
      <c r="X536" s="8">
        <v>1.0</v>
      </c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ht="22.5" customHeight="1">
      <c r="A537" s="6">
        <v>536.0</v>
      </c>
      <c r="B537" s="6">
        <v>118355.0</v>
      </c>
      <c r="C537" s="6">
        <v>1.2</v>
      </c>
      <c r="D537" s="6">
        <v>2.78</v>
      </c>
      <c r="E537" s="6">
        <v>10.3</v>
      </c>
      <c r="F537" s="6">
        <v>-0.08</v>
      </c>
      <c r="G537" s="6">
        <v>-0.06</v>
      </c>
      <c r="H537" s="6">
        <v>-0.03</v>
      </c>
      <c r="I537" s="6">
        <v>33.39</v>
      </c>
      <c r="J537" s="7">
        <f t="shared" ref="J537:O537" si="1016">abs(C537-C536)/200</f>
        <v>0.00015</v>
      </c>
      <c r="K537" s="7">
        <f t="shared" si="1016"/>
        <v>0.0118</v>
      </c>
      <c r="L537" s="7">
        <f t="shared" si="1016"/>
        <v>0.00185</v>
      </c>
      <c r="M537" s="7">
        <f t="shared" si="1016"/>
        <v>0.00045</v>
      </c>
      <c r="N537" s="7">
        <f t="shared" si="1016"/>
        <v>0.0008</v>
      </c>
      <c r="O537" s="7">
        <f t="shared" si="1016"/>
        <v>0.0013</v>
      </c>
      <c r="P537" s="7">
        <f t="shared" si="7"/>
        <v>0.256429306</v>
      </c>
      <c r="Q537" s="7">
        <f t="shared" si="8"/>
        <v>0.01302321135</v>
      </c>
      <c r="R537" s="7">
        <f t="shared" si="2"/>
        <v>0.9358464967</v>
      </c>
      <c r="S537" s="7">
        <f t="shared" si="3"/>
        <v>0.1044030651</v>
      </c>
      <c r="T537" s="7">
        <f t="shared" si="4"/>
        <v>1</v>
      </c>
      <c r="U537" s="7">
        <f t="shared" si="5"/>
        <v>1</v>
      </c>
      <c r="V537" s="7">
        <f t="shared" ref="V537:W537" si="1017">IF(AVERAGE(T477:T536) &gt; 0.25, 1, 0)</f>
        <v>1</v>
      </c>
      <c r="W537" s="7">
        <f t="shared" si="1017"/>
        <v>1</v>
      </c>
      <c r="X537" s="8">
        <v>1.0</v>
      </c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ht="22.5" customHeight="1">
      <c r="A538" s="6">
        <v>537.0</v>
      </c>
      <c r="B538" s="6">
        <v>118559.0</v>
      </c>
      <c r="C538" s="6">
        <v>0.75</v>
      </c>
      <c r="D538" s="6">
        <v>1.57</v>
      </c>
      <c r="E538" s="6">
        <v>10.7</v>
      </c>
      <c r="F538" s="6">
        <v>0.01</v>
      </c>
      <c r="G538" s="6">
        <v>0.2</v>
      </c>
      <c r="H538" s="6">
        <v>0.26</v>
      </c>
      <c r="I538" s="6">
        <v>33.39</v>
      </c>
      <c r="J538" s="7">
        <f t="shared" ref="J538:O538" si="1018">abs(C538-C537)/200</f>
        <v>0.00225</v>
      </c>
      <c r="K538" s="7">
        <f t="shared" si="1018"/>
        <v>0.00605</v>
      </c>
      <c r="L538" s="7">
        <f t="shared" si="1018"/>
        <v>0.002</v>
      </c>
      <c r="M538" s="7">
        <f t="shared" si="1018"/>
        <v>0.00045</v>
      </c>
      <c r="N538" s="7">
        <f t="shared" si="1018"/>
        <v>0.0013</v>
      </c>
      <c r="O538" s="7">
        <f t="shared" si="1018"/>
        <v>0.00145</v>
      </c>
      <c r="P538" s="7">
        <f t="shared" si="7"/>
        <v>0.2237737165</v>
      </c>
      <c r="Q538" s="7">
        <f t="shared" si="8"/>
        <v>0.1046977701</v>
      </c>
      <c r="R538" s="7">
        <f t="shared" si="2"/>
        <v>1.040544267</v>
      </c>
      <c r="S538" s="7">
        <f t="shared" si="3"/>
        <v>0.3281767816</v>
      </c>
      <c r="T538" s="7">
        <f t="shared" si="4"/>
        <v>1</v>
      </c>
      <c r="U538" s="7">
        <f t="shared" si="5"/>
        <v>1</v>
      </c>
      <c r="V538" s="7">
        <f t="shared" ref="V538:W538" si="1019">IF(AVERAGE(T478:T537) &gt; 0.25, 1, 0)</f>
        <v>1</v>
      </c>
      <c r="W538" s="7">
        <f t="shared" si="1019"/>
        <v>1</v>
      </c>
      <c r="X538" s="8">
        <v>1.0</v>
      </c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ht="22.5" customHeight="1">
      <c r="A539" s="6">
        <v>538.0</v>
      </c>
      <c r="B539" s="6">
        <v>118763.0</v>
      </c>
      <c r="C539" s="6">
        <v>2.01</v>
      </c>
      <c r="D539" s="6">
        <v>-1.09</v>
      </c>
      <c r="E539" s="6">
        <v>10.83</v>
      </c>
      <c r="F539" s="6">
        <v>0.11</v>
      </c>
      <c r="G539" s="6">
        <v>0.11</v>
      </c>
      <c r="H539" s="6">
        <v>0.01</v>
      </c>
      <c r="I539" s="6">
        <v>33.39</v>
      </c>
      <c r="J539" s="7">
        <f t="shared" ref="J539:O539" si="1020">abs(C539-C538)/200</f>
        <v>0.0063</v>
      </c>
      <c r="K539" s="7">
        <f t="shared" si="1020"/>
        <v>0.0133</v>
      </c>
      <c r="L539" s="7">
        <f t="shared" si="1020"/>
        <v>0.00065</v>
      </c>
      <c r="M539" s="7">
        <f t="shared" si="1020"/>
        <v>0.0005</v>
      </c>
      <c r="N539" s="7">
        <f t="shared" si="1020"/>
        <v>0.00045</v>
      </c>
      <c r="O539" s="7">
        <f t="shared" si="1020"/>
        <v>0.00125</v>
      </c>
      <c r="P539" s="7">
        <f t="shared" si="7"/>
        <v>0.1722922089</v>
      </c>
      <c r="Q539" s="7">
        <f t="shared" si="8"/>
        <v>0.2282000161</v>
      </c>
      <c r="R539" s="7">
        <f t="shared" si="2"/>
        <v>1.268744283</v>
      </c>
      <c r="S539" s="7">
        <f t="shared" si="3"/>
        <v>0.1558845727</v>
      </c>
      <c r="T539" s="7">
        <f t="shared" si="4"/>
        <v>1</v>
      </c>
      <c r="U539" s="7">
        <f t="shared" si="5"/>
        <v>1</v>
      </c>
      <c r="V539" s="7">
        <f t="shared" ref="V539:W539" si="1021">IF(AVERAGE(T479:T538) &gt; 0.25, 1, 0)</f>
        <v>1</v>
      </c>
      <c r="W539" s="7">
        <f t="shared" si="1021"/>
        <v>1</v>
      </c>
      <c r="X539" s="8">
        <v>1.0</v>
      </c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ht="22.5" customHeight="1">
      <c r="A540" s="6">
        <v>539.0</v>
      </c>
      <c r="B540" s="6">
        <v>118967.0</v>
      </c>
      <c r="C540" s="6">
        <v>3.18</v>
      </c>
      <c r="D540" s="6">
        <v>-3.25</v>
      </c>
      <c r="E540" s="6">
        <v>10.29</v>
      </c>
      <c r="F540" s="6">
        <v>-0.12</v>
      </c>
      <c r="G540" s="6">
        <v>-0.1</v>
      </c>
      <c r="H540" s="6">
        <v>-0.02</v>
      </c>
      <c r="I540" s="6">
        <v>33.39</v>
      </c>
      <c r="J540" s="7">
        <f t="shared" ref="J540:O540" si="1022">abs(C540-C539)/200</f>
        <v>0.00585</v>
      </c>
      <c r="K540" s="7">
        <f t="shared" si="1022"/>
        <v>0.0108</v>
      </c>
      <c r="L540" s="7">
        <f t="shared" si="1022"/>
        <v>0.0027</v>
      </c>
      <c r="M540" s="7">
        <f t="shared" si="1022"/>
        <v>0.00115</v>
      </c>
      <c r="N540" s="7">
        <f t="shared" si="1022"/>
        <v>0.00105</v>
      </c>
      <c r="O540" s="7">
        <f t="shared" si="1022"/>
        <v>0.00015</v>
      </c>
      <c r="P540" s="7">
        <f t="shared" si="7"/>
        <v>0.001595584799</v>
      </c>
      <c r="Q540" s="7">
        <f t="shared" si="8"/>
        <v>0.1811001605</v>
      </c>
      <c r="R540" s="7">
        <f t="shared" si="2"/>
        <v>1.449844443</v>
      </c>
      <c r="S540" s="7">
        <f t="shared" si="3"/>
        <v>0.1574801575</v>
      </c>
      <c r="T540" s="7">
        <f t="shared" si="4"/>
        <v>1</v>
      </c>
      <c r="U540" s="7">
        <f t="shared" si="5"/>
        <v>1</v>
      </c>
      <c r="V540" s="7">
        <f t="shared" ref="V540:W540" si="1023">IF(AVERAGE(T480:T539) &gt; 0.25, 1, 0)</f>
        <v>1</v>
      </c>
      <c r="W540" s="7">
        <f t="shared" si="1023"/>
        <v>1</v>
      </c>
      <c r="X540" s="8">
        <v>1.0</v>
      </c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ht="22.5" customHeight="1">
      <c r="A541" s="6">
        <v>540.0</v>
      </c>
      <c r="B541" s="6">
        <v>119171.0</v>
      </c>
      <c r="C541" s="6">
        <v>2.28</v>
      </c>
      <c r="D541" s="6">
        <v>-1.26</v>
      </c>
      <c r="E541" s="6">
        <v>10.78</v>
      </c>
      <c r="F541" s="6">
        <v>-0.36</v>
      </c>
      <c r="G541" s="6">
        <v>-0.19</v>
      </c>
      <c r="H541" s="6">
        <v>-0.53</v>
      </c>
      <c r="I541" s="6">
        <v>33.39</v>
      </c>
      <c r="J541" s="7">
        <f t="shared" ref="J541:O541" si="1024">abs(C541-C540)/200</f>
        <v>0.0045</v>
      </c>
      <c r="K541" s="7">
        <f t="shared" si="1024"/>
        <v>0.00995</v>
      </c>
      <c r="L541" s="7">
        <f t="shared" si="1024"/>
        <v>0.00245</v>
      </c>
      <c r="M541" s="7">
        <f t="shared" si="1024"/>
        <v>0.0012</v>
      </c>
      <c r="N541" s="7">
        <f t="shared" si="1024"/>
        <v>0.00045</v>
      </c>
      <c r="O541" s="7">
        <f t="shared" si="1024"/>
        <v>0.00255</v>
      </c>
      <c r="P541" s="7">
        <f t="shared" si="7"/>
        <v>0.5108012204</v>
      </c>
      <c r="Q541" s="7">
        <f t="shared" si="8"/>
        <v>0.1595604073</v>
      </c>
      <c r="R541" s="7">
        <f t="shared" si="2"/>
        <v>1.290284036</v>
      </c>
      <c r="S541" s="7">
        <f t="shared" si="3"/>
        <v>0.6682813779</v>
      </c>
      <c r="T541" s="7">
        <f t="shared" si="4"/>
        <v>1</v>
      </c>
      <c r="U541" s="7">
        <f t="shared" si="5"/>
        <v>1</v>
      </c>
      <c r="V541" s="7">
        <f t="shared" ref="V541:W541" si="1025">IF(AVERAGE(T481:T540) &gt; 0.25, 1, 0)</f>
        <v>1</v>
      </c>
      <c r="W541" s="7">
        <f t="shared" si="1025"/>
        <v>1</v>
      </c>
      <c r="X541" s="8">
        <v>1.0</v>
      </c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ht="22.5" customHeight="1">
      <c r="A542" s="6">
        <v>541.0</v>
      </c>
      <c r="B542" s="6">
        <v>119375.0</v>
      </c>
      <c r="C542" s="6">
        <v>-0.4</v>
      </c>
      <c r="D542" s="6">
        <v>1.33</v>
      </c>
      <c r="E542" s="6">
        <v>10.98</v>
      </c>
      <c r="F542" s="6">
        <v>-0.24</v>
      </c>
      <c r="G542" s="6">
        <v>-0.3</v>
      </c>
      <c r="H542" s="6">
        <v>-0.77</v>
      </c>
      <c r="I542" s="6">
        <v>33.39</v>
      </c>
      <c r="J542" s="7">
        <f t="shared" ref="J542:O542" si="1026">abs(C542-C541)/200</f>
        <v>0.0134</v>
      </c>
      <c r="K542" s="7">
        <f t="shared" si="1026"/>
        <v>0.01295</v>
      </c>
      <c r="L542" s="7">
        <f t="shared" si="1026"/>
        <v>0.001</v>
      </c>
      <c r="M542" s="7">
        <f t="shared" si="1026"/>
        <v>0.0006</v>
      </c>
      <c r="N542" s="7">
        <f t="shared" si="1026"/>
        <v>0.00055</v>
      </c>
      <c r="O542" s="7">
        <f t="shared" si="1026"/>
        <v>0.0012</v>
      </c>
      <c r="P542" s="7">
        <f t="shared" si="7"/>
        <v>0.1922417189</v>
      </c>
      <c r="Q542" s="7">
        <f t="shared" si="8"/>
        <v>0.02279561273</v>
      </c>
      <c r="R542" s="7">
        <f t="shared" si="2"/>
        <v>1.267488423</v>
      </c>
      <c r="S542" s="7">
        <f t="shared" si="3"/>
        <v>0.8605230967</v>
      </c>
      <c r="T542" s="7">
        <f t="shared" si="4"/>
        <v>1</v>
      </c>
      <c r="U542" s="7">
        <f t="shared" si="5"/>
        <v>1</v>
      </c>
      <c r="V542" s="7">
        <f t="shared" ref="V542:W542" si="1027">IF(AVERAGE(T482:T541) &gt; 0.25, 1, 0)</f>
        <v>1</v>
      </c>
      <c r="W542" s="7">
        <f t="shared" si="1027"/>
        <v>1</v>
      </c>
      <c r="X542" s="8">
        <v>1.0</v>
      </c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ht="22.5" customHeight="1">
      <c r="A543" s="6">
        <v>542.0</v>
      </c>
      <c r="B543" s="6">
        <v>119579.0</v>
      </c>
      <c r="C543" s="6">
        <v>1.02</v>
      </c>
      <c r="D543" s="6">
        <v>1.53</v>
      </c>
      <c r="E543" s="6">
        <v>10.47</v>
      </c>
      <c r="F543" s="6">
        <v>-0.16</v>
      </c>
      <c r="G543" s="6">
        <v>0.03</v>
      </c>
      <c r="H543" s="6">
        <v>-0.25</v>
      </c>
      <c r="I543" s="6">
        <v>33.4</v>
      </c>
      <c r="J543" s="7">
        <f t="shared" ref="J543:O543" si="1028">abs(C543-C542)/200</f>
        <v>0.0071</v>
      </c>
      <c r="K543" s="7">
        <f t="shared" si="1028"/>
        <v>0.001</v>
      </c>
      <c r="L543" s="7">
        <f t="shared" si="1028"/>
        <v>0.00255</v>
      </c>
      <c r="M543" s="7">
        <f t="shared" si="1028"/>
        <v>0.0004</v>
      </c>
      <c r="N543" s="7">
        <f t="shared" si="1028"/>
        <v>0.00165</v>
      </c>
      <c r="O543" s="7">
        <f t="shared" si="1028"/>
        <v>0.0026</v>
      </c>
      <c r="P543" s="7">
        <f t="shared" si="7"/>
        <v>0.5621944189</v>
      </c>
      <c r="Q543" s="7">
        <f t="shared" si="8"/>
        <v>0.4372391318</v>
      </c>
      <c r="R543" s="7">
        <f t="shared" si="2"/>
        <v>0.8302492915</v>
      </c>
      <c r="S543" s="7">
        <f t="shared" si="3"/>
        <v>0.2983286778</v>
      </c>
      <c r="T543" s="7">
        <f t="shared" si="4"/>
        <v>1</v>
      </c>
      <c r="U543" s="7">
        <f t="shared" si="5"/>
        <v>1</v>
      </c>
      <c r="V543" s="7">
        <f t="shared" ref="V543:W543" si="1029">IF(AVERAGE(T483:T542) &gt; 0.25, 1, 0)</f>
        <v>1</v>
      </c>
      <c r="W543" s="7">
        <f t="shared" si="1029"/>
        <v>1</v>
      </c>
      <c r="X543" s="8">
        <v>1.0</v>
      </c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ht="22.5" customHeight="1">
      <c r="A544" s="6">
        <v>543.0</v>
      </c>
      <c r="B544" s="6">
        <v>119783.0</v>
      </c>
      <c r="C544" s="6">
        <v>1.1</v>
      </c>
      <c r="D544" s="6">
        <v>0.77</v>
      </c>
      <c r="E544" s="6">
        <v>10.57</v>
      </c>
      <c r="F544" s="6">
        <v>-0.09</v>
      </c>
      <c r="G544" s="6">
        <v>0.21</v>
      </c>
      <c r="H544" s="6">
        <v>0.0</v>
      </c>
      <c r="I544" s="6">
        <v>33.4</v>
      </c>
      <c r="J544" s="7">
        <f t="shared" ref="J544:O544" si="1030">abs(C544-C543)/200</f>
        <v>0.0004</v>
      </c>
      <c r="K544" s="7">
        <f t="shared" si="1030"/>
        <v>0.0038</v>
      </c>
      <c r="L544" s="7">
        <f t="shared" si="1030"/>
        <v>0.0005</v>
      </c>
      <c r="M544" s="7">
        <f t="shared" si="1030"/>
        <v>0.00035</v>
      </c>
      <c r="N544" s="7">
        <f t="shared" si="1030"/>
        <v>0.0009</v>
      </c>
      <c r="O544" s="7">
        <f t="shared" si="1030"/>
        <v>0.00125</v>
      </c>
      <c r="P544" s="7">
        <f t="shared" si="7"/>
        <v>0.06985548463</v>
      </c>
      <c r="Q544" s="7">
        <f t="shared" si="8"/>
        <v>0.02469322357</v>
      </c>
      <c r="R544" s="7">
        <f t="shared" si="2"/>
        <v>0.8549425151</v>
      </c>
      <c r="S544" s="7">
        <f t="shared" si="3"/>
        <v>0.2284731932</v>
      </c>
      <c r="T544" s="7">
        <f t="shared" si="4"/>
        <v>1</v>
      </c>
      <c r="U544" s="7">
        <f t="shared" si="5"/>
        <v>1</v>
      </c>
      <c r="V544" s="7">
        <f t="shared" ref="V544:W544" si="1031">IF(AVERAGE(T484:T543) &gt; 0.25, 1, 0)</f>
        <v>1</v>
      </c>
      <c r="W544" s="7">
        <f t="shared" si="1031"/>
        <v>1</v>
      </c>
      <c r="X544" s="8">
        <v>1.0</v>
      </c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ht="22.5" customHeight="1">
      <c r="A545" s="6">
        <v>544.0</v>
      </c>
      <c r="B545" s="6">
        <v>119987.0</v>
      </c>
      <c r="C545" s="6">
        <v>2.11</v>
      </c>
      <c r="D545" s="6">
        <v>-2.27</v>
      </c>
      <c r="E545" s="6">
        <v>10.87</v>
      </c>
      <c r="F545" s="6">
        <v>0.13</v>
      </c>
      <c r="G545" s="6">
        <v>0.25</v>
      </c>
      <c r="H545" s="6">
        <v>-0.15</v>
      </c>
      <c r="I545" s="6">
        <v>33.39</v>
      </c>
      <c r="J545" s="7">
        <f t="shared" ref="J545:O545" si="1032">abs(C545-C544)/200</f>
        <v>0.00505</v>
      </c>
      <c r="K545" s="7">
        <f t="shared" si="1032"/>
        <v>0.0152</v>
      </c>
      <c r="L545" s="7">
        <f t="shared" si="1032"/>
        <v>0.0015</v>
      </c>
      <c r="M545" s="7">
        <f t="shared" si="1032"/>
        <v>0.0011</v>
      </c>
      <c r="N545" s="7">
        <f t="shared" si="1032"/>
        <v>0.0002</v>
      </c>
      <c r="O545" s="7">
        <f t="shared" si="1032"/>
        <v>0.00075</v>
      </c>
      <c r="P545" s="7">
        <f t="shared" si="7"/>
        <v>0.09074460081</v>
      </c>
      <c r="Q545" s="7">
        <f t="shared" si="8"/>
        <v>0.6482384531</v>
      </c>
      <c r="R545" s="7">
        <f t="shared" si="2"/>
        <v>1.503180968</v>
      </c>
      <c r="S545" s="7">
        <f t="shared" si="3"/>
        <v>0.319217794</v>
      </c>
      <c r="T545" s="7">
        <f t="shared" si="4"/>
        <v>1</v>
      </c>
      <c r="U545" s="7">
        <f t="shared" si="5"/>
        <v>1</v>
      </c>
      <c r="V545" s="7">
        <f t="shared" ref="V545:W545" si="1033">IF(AVERAGE(T485:T544) &gt; 0.25, 1, 0)</f>
        <v>1</v>
      </c>
      <c r="W545" s="7">
        <f t="shared" si="1033"/>
        <v>1</v>
      </c>
      <c r="X545" s="8">
        <v>1.0</v>
      </c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ht="22.5" customHeight="1">
      <c r="A546" s="6">
        <v>545.0</v>
      </c>
      <c r="B546" s="6">
        <v>120191.0</v>
      </c>
      <c r="C546" s="6">
        <v>2.83</v>
      </c>
      <c r="D546" s="6">
        <v>-2.04</v>
      </c>
      <c r="E546" s="6">
        <v>10.71</v>
      </c>
      <c r="F546" s="6">
        <v>-0.18</v>
      </c>
      <c r="G546" s="6">
        <v>-0.13</v>
      </c>
      <c r="H546" s="6">
        <v>0.17</v>
      </c>
      <c r="I546" s="6">
        <v>33.39</v>
      </c>
      <c r="J546" s="7">
        <f t="shared" ref="J546:O546" si="1034">abs(C546-C545)/200</f>
        <v>0.0036</v>
      </c>
      <c r="K546" s="7">
        <f t="shared" si="1034"/>
        <v>0.00115</v>
      </c>
      <c r="L546" s="7">
        <f t="shared" si="1034"/>
        <v>0.0008</v>
      </c>
      <c r="M546" s="7">
        <f t="shared" si="1034"/>
        <v>0.00155</v>
      </c>
      <c r="N546" s="7">
        <f t="shared" si="1034"/>
        <v>0.0019</v>
      </c>
      <c r="O546" s="7">
        <f t="shared" si="1034"/>
        <v>0.0016</v>
      </c>
      <c r="P546" s="7">
        <f t="shared" si="7"/>
        <v>0.03957516491</v>
      </c>
      <c r="Q546" s="7">
        <f t="shared" si="8"/>
        <v>0.03931839802</v>
      </c>
      <c r="R546" s="7">
        <f t="shared" si="2"/>
        <v>1.46386257</v>
      </c>
      <c r="S546" s="7">
        <f t="shared" si="3"/>
        <v>0.2796426291</v>
      </c>
      <c r="T546" s="7">
        <f t="shared" si="4"/>
        <v>1</v>
      </c>
      <c r="U546" s="7">
        <f t="shared" si="5"/>
        <v>1</v>
      </c>
      <c r="V546" s="7">
        <f t="shared" ref="V546:W546" si="1035">IF(AVERAGE(T486:T545) &gt; 0.25, 1, 0)</f>
        <v>1</v>
      </c>
      <c r="W546" s="7">
        <f t="shared" si="1035"/>
        <v>1</v>
      </c>
      <c r="X546" s="8">
        <v>1.0</v>
      </c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ht="22.5" customHeight="1">
      <c r="A547" s="6">
        <v>546.0</v>
      </c>
      <c r="B547" s="6">
        <v>120395.0</v>
      </c>
      <c r="C547" s="6">
        <v>1.97</v>
      </c>
      <c r="D547" s="6">
        <v>-1.09</v>
      </c>
      <c r="E547" s="6">
        <v>10.5</v>
      </c>
      <c r="F547" s="6">
        <v>-0.28</v>
      </c>
      <c r="G547" s="6">
        <v>-0.27</v>
      </c>
      <c r="H547" s="6">
        <v>-0.15</v>
      </c>
      <c r="I547" s="6">
        <v>33.39</v>
      </c>
      <c r="J547" s="7">
        <f t="shared" ref="J547:O547" si="1036">abs(C547-C546)/200</f>
        <v>0.0043</v>
      </c>
      <c r="K547" s="7">
        <f t="shared" si="1036"/>
        <v>0.00475</v>
      </c>
      <c r="L547" s="7">
        <f t="shared" si="1036"/>
        <v>0.00105</v>
      </c>
      <c r="M547" s="7">
        <f t="shared" si="1036"/>
        <v>0.0005</v>
      </c>
      <c r="N547" s="7">
        <f t="shared" si="1036"/>
        <v>0.0007</v>
      </c>
      <c r="O547" s="7">
        <f t="shared" si="1036"/>
        <v>0.0016</v>
      </c>
      <c r="P547" s="7">
        <f t="shared" si="7"/>
        <v>0.1372506426</v>
      </c>
      <c r="Q547" s="7">
        <f t="shared" si="8"/>
        <v>0.5251941239</v>
      </c>
      <c r="R547" s="7">
        <f t="shared" si="2"/>
        <v>0.9386684463</v>
      </c>
      <c r="S547" s="7">
        <f t="shared" si="3"/>
        <v>0.4168932717</v>
      </c>
      <c r="T547" s="7">
        <f t="shared" si="4"/>
        <v>1</v>
      </c>
      <c r="U547" s="7">
        <f t="shared" si="5"/>
        <v>1</v>
      </c>
      <c r="V547" s="7">
        <f t="shared" ref="V547:W547" si="1037">IF(AVERAGE(T487:T546) &gt; 0.25, 1, 0)</f>
        <v>1</v>
      </c>
      <c r="W547" s="7">
        <f t="shared" si="1037"/>
        <v>1</v>
      </c>
      <c r="X547" s="8">
        <v>1.0</v>
      </c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ht="22.5" customHeight="1">
      <c r="A548" s="6">
        <v>547.0</v>
      </c>
      <c r="B548" s="6">
        <v>120599.0</v>
      </c>
      <c r="C548" s="6">
        <v>-0.74</v>
      </c>
      <c r="D548" s="6">
        <v>2.63</v>
      </c>
      <c r="E548" s="6">
        <v>10.82</v>
      </c>
      <c r="F548" s="6">
        <v>-0.17</v>
      </c>
      <c r="G548" s="6">
        <v>-0.03</v>
      </c>
      <c r="H548" s="6">
        <v>-0.59</v>
      </c>
      <c r="I548" s="6">
        <v>33.39</v>
      </c>
      <c r="J548" s="7">
        <f t="shared" ref="J548:O548" si="1038">abs(C548-C547)/200</f>
        <v>0.01355</v>
      </c>
      <c r="K548" s="7">
        <f t="shared" si="1038"/>
        <v>0.0186</v>
      </c>
      <c r="L548" s="7">
        <f t="shared" si="1038"/>
        <v>0.0016</v>
      </c>
      <c r="M548" s="7">
        <f t="shared" si="1038"/>
        <v>0.00055</v>
      </c>
      <c r="N548" s="7">
        <f t="shared" si="1038"/>
        <v>0.0012</v>
      </c>
      <c r="O548" s="7">
        <f t="shared" si="1038"/>
        <v>0.0022</v>
      </c>
      <c r="P548" s="7">
        <f t="shared" si="7"/>
        <v>0.1978424439</v>
      </c>
      <c r="Q548" s="7">
        <f t="shared" si="8"/>
        <v>0.4209417619</v>
      </c>
      <c r="R548" s="7">
        <f t="shared" si="2"/>
        <v>1.359610208</v>
      </c>
      <c r="S548" s="7">
        <f t="shared" si="3"/>
        <v>0.6147357156</v>
      </c>
      <c r="T548" s="7">
        <f t="shared" si="4"/>
        <v>1</v>
      </c>
      <c r="U548" s="7">
        <f t="shared" si="5"/>
        <v>1</v>
      </c>
      <c r="V548" s="7">
        <f t="shared" ref="V548:W548" si="1039">IF(AVERAGE(T488:T547) &gt; 0.25, 1, 0)</f>
        <v>1</v>
      </c>
      <c r="W548" s="7">
        <f t="shared" si="1039"/>
        <v>1</v>
      </c>
      <c r="X548" s="8">
        <v>1.0</v>
      </c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ht="22.5" customHeight="1">
      <c r="A549" s="6">
        <v>548.0</v>
      </c>
      <c r="B549" s="6">
        <v>120803.0</v>
      </c>
      <c r="C549" s="6">
        <v>0.09</v>
      </c>
      <c r="D549" s="6">
        <v>1.64</v>
      </c>
      <c r="E549" s="6">
        <v>10.77</v>
      </c>
      <c r="F549" s="6">
        <v>-0.11</v>
      </c>
      <c r="G549" s="6">
        <v>0.04</v>
      </c>
      <c r="H549" s="6">
        <v>-0.01</v>
      </c>
      <c r="I549" s="6">
        <v>33.39</v>
      </c>
      <c r="J549" s="7">
        <f t="shared" ref="J549:O549" si="1040">abs(C549-C548)/200</f>
        <v>0.00415</v>
      </c>
      <c r="K549" s="7">
        <f t="shared" si="1040"/>
        <v>0.00495</v>
      </c>
      <c r="L549" s="7">
        <f t="shared" si="1040"/>
        <v>0.00025</v>
      </c>
      <c r="M549" s="7">
        <f t="shared" si="1040"/>
        <v>0.0003</v>
      </c>
      <c r="N549" s="7">
        <f t="shared" si="1040"/>
        <v>0.00035</v>
      </c>
      <c r="O549" s="7">
        <f t="shared" si="1040"/>
        <v>0.0029</v>
      </c>
      <c r="P549" s="7">
        <f t="shared" si="7"/>
        <v>0.4972623143</v>
      </c>
      <c r="Q549" s="7">
        <f t="shared" si="8"/>
        <v>0.2650886492</v>
      </c>
      <c r="R549" s="7">
        <f t="shared" si="2"/>
        <v>1.094521559</v>
      </c>
      <c r="S549" s="7">
        <f t="shared" si="3"/>
        <v>0.1174734012</v>
      </c>
      <c r="T549" s="7">
        <f t="shared" si="4"/>
        <v>1</v>
      </c>
      <c r="U549" s="7">
        <f t="shared" si="5"/>
        <v>1</v>
      </c>
      <c r="V549" s="7">
        <f t="shared" ref="V549:W549" si="1041">IF(AVERAGE(T489:T548) &gt; 0.25, 1, 0)</f>
        <v>1</v>
      </c>
      <c r="W549" s="7">
        <f t="shared" si="1041"/>
        <v>1</v>
      </c>
      <c r="X549" s="8">
        <v>1.0</v>
      </c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ht="22.5" customHeight="1">
      <c r="A550" s="6">
        <v>549.0</v>
      </c>
      <c r="B550" s="6">
        <v>121007.0</v>
      </c>
      <c r="C550" s="6">
        <v>1.53</v>
      </c>
      <c r="D550" s="6">
        <v>-0.79</v>
      </c>
      <c r="E550" s="6">
        <v>10.72</v>
      </c>
      <c r="F550" s="6">
        <v>0.05</v>
      </c>
      <c r="G550" s="6">
        <v>0.33</v>
      </c>
      <c r="H550" s="6">
        <v>-0.52</v>
      </c>
      <c r="I550" s="6">
        <v>33.39</v>
      </c>
      <c r="J550" s="7">
        <f t="shared" ref="J550:O550" si="1042">abs(C550-C549)/200</f>
        <v>0.0072</v>
      </c>
      <c r="K550" s="7">
        <f t="shared" si="1042"/>
        <v>0.01215</v>
      </c>
      <c r="L550" s="7">
        <f t="shared" si="1042"/>
        <v>0.00025</v>
      </c>
      <c r="M550" s="7">
        <f t="shared" si="1042"/>
        <v>0.0008</v>
      </c>
      <c r="N550" s="7">
        <f t="shared" si="1042"/>
        <v>0.00145</v>
      </c>
      <c r="O550" s="7">
        <f t="shared" si="1042"/>
        <v>0.00255</v>
      </c>
      <c r="P550" s="7">
        <f t="shared" si="7"/>
        <v>0.500426267</v>
      </c>
      <c r="Q550" s="7">
        <f t="shared" si="8"/>
        <v>0.03710934432</v>
      </c>
      <c r="R550" s="7">
        <f t="shared" si="2"/>
        <v>1.057412215</v>
      </c>
      <c r="S550" s="7">
        <f t="shared" si="3"/>
        <v>0.6178996682</v>
      </c>
      <c r="T550" s="7">
        <f t="shared" si="4"/>
        <v>1</v>
      </c>
      <c r="U550" s="7">
        <f t="shared" si="5"/>
        <v>1</v>
      </c>
      <c r="V550" s="7">
        <f t="shared" ref="V550:W550" si="1043">IF(AVERAGE(T490:T549) &gt; 0.25, 1, 0)</f>
        <v>1</v>
      </c>
      <c r="W550" s="7">
        <f t="shared" si="1043"/>
        <v>1</v>
      </c>
      <c r="X550" s="8">
        <v>1.0</v>
      </c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ht="22.5" customHeight="1">
      <c r="A551" s="6">
        <v>550.0</v>
      </c>
      <c r="B551" s="6">
        <v>121211.0</v>
      </c>
      <c r="C551" s="6">
        <v>1.45</v>
      </c>
      <c r="D551" s="6">
        <v>-3.53</v>
      </c>
      <c r="E551" s="6">
        <v>10.75</v>
      </c>
      <c r="F551" s="6">
        <v>0.02</v>
      </c>
      <c r="G551" s="6">
        <v>0.28</v>
      </c>
      <c r="H551" s="6">
        <v>0.64</v>
      </c>
      <c r="I551" s="6">
        <v>33.39</v>
      </c>
      <c r="J551" s="7">
        <f t="shared" ref="J551:O551" si="1044">abs(C551-C550)/200</f>
        <v>0.0004</v>
      </c>
      <c r="K551" s="7">
        <f t="shared" si="1044"/>
        <v>0.0137</v>
      </c>
      <c r="L551" s="7">
        <f t="shared" si="1044"/>
        <v>0.00015</v>
      </c>
      <c r="M551" s="7">
        <f t="shared" si="1044"/>
        <v>0.00015</v>
      </c>
      <c r="N551" s="7">
        <f t="shared" si="1044"/>
        <v>0.00025</v>
      </c>
      <c r="O551" s="7">
        <f t="shared" si="1044"/>
        <v>0.0058</v>
      </c>
      <c r="P551" s="7">
        <f t="shared" si="7"/>
        <v>0.08095654016</v>
      </c>
      <c r="Q551" s="7">
        <f t="shared" si="8"/>
        <v>0.5498617804</v>
      </c>
      <c r="R551" s="7">
        <f t="shared" si="2"/>
        <v>1.607273995</v>
      </c>
      <c r="S551" s="7">
        <f t="shared" si="3"/>
        <v>0.6988562084</v>
      </c>
      <c r="T551" s="7">
        <f t="shared" si="4"/>
        <v>1</v>
      </c>
      <c r="U551" s="7">
        <f t="shared" si="5"/>
        <v>1</v>
      </c>
      <c r="V551" s="7">
        <f t="shared" ref="V551:W551" si="1045">IF(AVERAGE(T491:T550) &gt; 0.25, 1, 0)</f>
        <v>1</v>
      </c>
      <c r="W551" s="7">
        <f t="shared" si="1045"/>
        <v>1</v>
      </c>
      <c r="X551" s="8">
        <v>1.0</v>
      </c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ht="22.5" customHeight="1">
      <c r="A552" s="6">
        <v>551.0</v>
      </c>
      <c r="B552" s="6">
        <v>121415.0</v>
      </c>
      <c r="C552" s="6">
        <v>1.66</v>
      </c>
      <c r="D552" s="6">
        <v>-1.94</v>
      </c>
      <c r="E552" s="6">
        <v>10.74</v>
      </c>
      <c r="F552" s="6">
        <v>0.1</v>
      </c>
      <c r="G552" s="6">
        <v>-0.08</v>
      </c>
      <c r="H552" s="6">
        <v>1.99</v>
      </c>
      <c r="I552" s="6">
        <v>33.4</v>
      </c>
      <c r="J552" s="7">
        <f t="shared" ref="J552:O552" si="1046">abs(C552-C551)/200</f>
        <v>0.00105</v>
      </c>
      <c r="K552" s="7">
        <f t="shared" si="1046"/>
        <v>0.00795</v>
      </c>
      <c r="L552" s="7">
        <f t="shared" si="1046"/>
        <v>0.00005</v>
      </c>
      <c r="M552" s="7">
        <f t="shared" si="1046"/>
        <v>0.0004</v>
      </c>
      <c r="N552" s="7">
        <f t="shared" si="1046"/>
        <v>0.0018</v>
      </c>
      <c r="O552" s="7">
        <f t="shared" si="1046"/>
        <v>0.00675</v>
      </c>
      <c r="P552" s="7">
        <f t="shared" si="7"/>
        <v>1.295260137</v>
      </c>
      <c r="Q552" s="7">
        <f t="shared" si="8"/>
        <v>0.3679443053</v>
      </c>
      <c r="R552" s="7">
        <f t="shared" si="2"/>
        <v>1.23932969</v>
      </c>
      <c r="S552" s="7">
        <f t="shared" si="3"/>
        <v>1.994116346</v>
      </c>
      <c r="T552" s="7">
        <f t="shared" si="4"/>
        <v>1</v>
      </c>
      <c r="U552" s="7">
        <f t="shared" si="5"/>
        <v>1</v>
      </c>
      <c r="V552" s="7">
        <f t="shared" ref="V552:W552" si="1047">IF(AVERAGE(T492:T551) &gt; 0.25, 1, 0)</f>
        <v>1</v>
      </c>
      <c r="W552" s="7">
        <f t="shared" si="1047"/>
        <v>1</v>
      </c>
      <c r="X552" s="8">
        <v>1.0</v>
      </c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ht="22.5" customHeight="1">
      <c r="A553" s="6">
        <v>552.0</v>
      </c>
      <c r="B553" s="6">
        <v>121619.0</v>
      </c>
      <c r="C553" s="6">
        <v>2.26</v>
      </c>
      <c r="D553" s="6">
        <v>-0.97</v>
      </c>
      <c r="E553" s="6">
        <v>10.28</v>
      </c>
      <c r="F553" s="6">
        <v>0.19</v>
      </c>
      <c r="G553" s="6">
        <v>-0.33</v>
      </c>
      <c r="H553" s="6">
        <v>1.74</v>
      </c>
      <c r="I553" s="6">
        <v>33.41</v>
      </c>
      <c r="J553" s="7">
        <f t="shared" ref="J553:O553" si="1048">abs(C553-C552)/200</f>
        <v>0.003</v>
      </c>
      <c r="K553" s="7">
        <f t="shared" si="1048"/>
        <v>0.00485</v>
      </c>
      <c r="L553" s="7">
        <f t="shared" si="1048"/>
        <v>0.0023</v>
      </c>
      <c r="M553" s="7">
        <f t="shared" si="1048"/>
        <v>0.00045</v>
      </c>
      <c r="N553" s="7">
        <f t="shared" si="1048"/>
        <v>0.00125</v>
      </c>
      <c r="O553" s="7">
        <f t="shared" si="1048"/>
        <v>0.00125</v>
      </c>
      <c r="P553" s="7">
        <f t="shared" si="7"/>
        <v>0.2129369611</v>
      </c>
      <c r="Q553" s="7">
        <f t="shared" si="8"/>
        <v>0.4692350828</v>
      </c>
      <c r="R553" s="7">
        <f t="shared" si="2"/>
        <v>0.770094607</v>
      </c>
      <c r="S553" s="7">
        <f t="shared" si="3"/>
        <v>1.781179385</v>
      </c>
      <c r="T553" s="7">
        <f t="shared" si="4"/>
        <v>1</v>
      </c>
      <c r="U553" s="7">
        <f t="shared" si="5"/>
        <v>1</v>
      </c>
      <c r="V553" s="7">
        <f t="shared" ref="V553:W553" si="1049">IF(AVERAGE(T493:T552) &gt; 0.25, 1, 0)</f>
        <v>1</v>
      </c>
      <c r="W553" s="7">
        <f t="shared" si="1049"/>
        <v>1</v>
      </c>
      <c r="X553" s="8">
        <v>1.0</v>
      </c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ht="22.5" customHeight="1">
      <c r="A554" s="6">
        <v>553.0</v>
      </c>
      <c r="B554" s="6">
        <v>121823.0</v>
      </c>
      <c r="C554" s="6">
        <v>4.6</v>
      </c>
      <c r="D554" s="6">
        <v>1.57</v>
      </c>
      <c r="E554" s="6">
        <v>10.26</v>
      </c>
      <c r="F554" s="6">
        <v>0.04</v>
      </c>
      <c r="G554" s="6">
        <v>0.16</v>
      </c>
      <c r="H554" s="6">
        <v>1.59</v>
      </c>
      <c r="I554" s="6">
        <v>33.4</v>
      </c>
      <c r="J554" s="7">
        <f t="shared" ref="J554:O554" si="1050">abs(C554-C553)/200</f>
        <v>0.0117</v>
      </c>
      <c r="K554" s="7">
        <f t="shared" si="1050"/>
        <v>0.0127</v>
      </c>
      <c r="L554" s="7">
        <f t="shared" si="1050"/>
        <v>0.0001</v>
      </c>
      <c r="M554" s="7">
        <f t="shared" si="1050"/>
        <v>0.00075</v>
      </c>
      <c r="N554" s="7">
        <f t="shared" si="1050"/>
        <v>0.00245</v>
      </c>
      <c r="O554" s="7">
        <f t="shared" si="1050"/>
        <v>0.00075</v>
      </c>
      <c r="P554" s="7">
        <f t="shared" si="7"/>
        <v>0.1826488093</v>
      </c>
      <c r="Q554" s="7">
        <f t="shared" si="8"/>
        <v>0.7829886747</v>
      </c>
      <c r="R554" s="7">
        <f t="shared" si="2"/>
        <v>1.553083282</v>
      </c>
      <c r="S554" s="7">
        <f t="shared" si="3"/>
        <v>1.598530575</v>
      </c>
      <c r="T554" s="7">
        <f t="shared" si="4"/>
        <v>1</v>
      </c>
      <c r="U554" s="7">
        <f t="shared" si="5"/>
        <v>1</v>
      </c>
      <c r="V554" s="7">
        <f t="shared" ref="V554:W554" si="1051">IF(AVERAGE(T494:T553) &gt; 0.25, 1, 0)</f>
        <v>1</v>
      </c>
      <c r="W554" s="7">
        <f t="shared" si="1051"/>
        <v>1</v>
      </c>
      <c r="X554" s="8">
        <v>1.0</v>
      </c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ht="22.5" customHeight="1">
      <c r="A555" s="6">
        <v>554.0</v>
      </c>
      <c r="B555" s="6">
        <v>122027.0</v>
      </c>
      <c r="C555" s="6">
        <v>3.88</v>
      </c>
      <c r="D555" s="6">
        <v>1.38</v>
      </c>
      <c r="E555" s="6">
        <v>10.29</v>
      </c>
      <c r="F555" s="6">
        <v>0.03</v>
      </c>
      <c r="G555" s="6">
        <v>-0.13</v>
      </c>
      <c r="H555" s="6">
        <v>0.94</v>
      </c>
      <c r="I555" s="6">
        <v>33.4</v>
      </c>
      <c r="J555" s="7">
        <f t="shared" ref="J555:O555" si="1052">abs(C555-C554)/200</f>
        <v>0.0036</v>
      </c>
      <c r="K555" s="7">
        <f t="shared" si="1052"/>
        <v>0.00095</v>
      </c>
      <c r="L555" s="7">
        <f t="shared" si="1052"/>
        <v>0.00015</v>
      </c>
      <c r="M555" s="7">
        <f t="shared" si="1052"/>
        <v>0.00005</v>
      </c>
      <c r="N555" s="7">
        <f t="shared" si="1052"/>
        <v>0.00145</v>
      </c>
      <c r="O555" s="7">
        <f t="shared" si="1052"/>
        <v>0.00325</v>
      </c>
      <c r="P555" s="7">
        <f t="shared" si="7"/>
        <v>0.6491096991</v>
      </c>
      <c r="Q555" s="7">
        <f t="shared" si="8"/>
        <v>0.2696316532</v>
      </c>
      <c r="R555" s="7">
        <f t="shared" si="2"/>
        <v>1.283451628</v>
      </c>
      <c r="S555" s="7">
        <f t="shared" si="3"/>
        <v>0.9494208761</v>
      </c>
      <c r="T555" s="7">
        <f t="shared" si="4"/>
        <v>1</v>
      </c>
      <c r="U555" s="7">
        <f t="shared" si="5"/>
        <v>1</v>
      </c>
      <c r="V555" s="7">
        <f t="shared" ref="V555:W555" si="1053">IF(AVERAGE(T495:T554) &gt; 0.25, 1, 0)</f>
        <v>1</v>
      </c>
      <c r="W555" s="7">
        <f t="shared" si="1053"/>
        <v>1</v>
      </c>
      <c r="X555" s="8">
        <v>1.0</v>
      </c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ht="22.5" customHeight="1">
      <c r="A556" s="6">
        <v>555.0</v>
      </c>
      <c r="B556" s="6">
        <v>122231.0</v>
      </c>
      <c r="C556" s="6">
        <v>5.11</v>
      </c>
      <c r="D556" s="6">
        <v>-0.41</v>
      </c>
      <c r="E556" s="6">
        <v>9.79</v>
      </c>
      <c r="F556" s="6">
        <v>-0.22</v>
      </c>
      <c r="G556" s="6">
        <v>0.04</v>
      </c>
      <c r="H556" s="6">
        <v>-1.25</v>
      </c>
      <c r="I556" s="6">
        <v>33.41</v>
      </c>
      <c r="J556" s="7">
        <f t="shared" ref="J556:O556" si="1054">abs(C556-C555)/200</f>
        <v>0.00615</v>
      </c>
      <c r="K556" s="7">
        <f t="shared" si="1054"/>
        <v>0.00895</v>
      </c>
      <c r="L556" s="7">
        <f t="shared" si="1054"/>
        <v>0.0025</v>
      </c>
      <c r="M556" s="7">
        <f t="shared" si="1054"/>
        <v>0.00125</v>
      </c>
      <c r="N556" s="7">
        <f t="shared" si="1054"/>
        <v>0.00085</v>
      </c>
      <c r="O556" s="7">
        <f t="shared" si="1054"/>
        <v>0.01095</v>
      </c>
      <c r="P556" s="7">
        <f t="shared" si="7"/>
        <v>0.3204216338</v>
      </c>
      <c r="Q556" s="7">
        <f t="shared" si="8"/>
        <v>0.03246524713</v>
      </c>
      <c r="R556" s="7">
        <f t="shared" si="2"/>
        <v>1.250986381</v>
      </c>
      <c r="S556" s="7">
        <f t="shared" si="3"/>
        <v>1.26984251</v>
      </c>
      <c r="T556" s="7">
        <f t="shared" si="4"/>
        <v>1</v>
      </c>
      <c r="U556" s="7">
        <f t="shared" si="5"/>
        <v>1</v>
      </c>
      <c r="V556" s="7">
        <f t="shared" ref="V556:W556" si="1055">IF(AVERAGE(T496:T555) &gt; 0.25, 1, 0)</f>
        <v>1</v>
      </c>
      <c r="W556" s="7">
        <f t="shared" si="1055"/>
        <v>1</v>
      </c>
      <c r="X556" s="8">
        <v>1.0</v>
      </c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ht="22.5" customHeight="1">
      <c r="A557" s="6">
        <v>556.0</v>
      </c>
      <c r="B557" s="6">
        <v>122435.0</v>
      </c>
      <c r="C557" s="6">
        <v>3.09</v>
      </c>
      <c r="D557" s="6">
        <v>-4.23</v>
      </c>
      <c r="E557" s="6">
        <v>10.43</v>
      </c>
      <c r="F557" s="6">
        <v>-0.62</v>
      </c>
      <c r="G557" s="6">
        <v>0.14</v>
      </c>
      <c r="H557" s="6">
        <v>-3.71</v>
      </c>
      <c r="I557" s="6">
        <v>33.41</v>
      </c>
      <c r="J557" s="7">
        <f t="shared" ref="J557:O557" si="1056">abs(C557-C556)/200</f>
        <v>0.0101</v>
      </c>
      <c r="K557" s="7">
        <f t="shared" si="1056"/>
        <v>0.0191</v>
      </c>
      <c r="L557" s="7">
        <f t="shared" si="1056"/>
        <v>0.0032</v>
      </c>
      <c r="M557" s="7">
        <f t="shared" si="1056"/>
        <v>0.002</v>
      </c>
      <c r="N557" s="7">
        <f t="shared" si="1056"/>
        <v>0.0005</v>
      </c>
      <c r="O557" s="7">
        <f t="shared" si="1056"/>
        <v>0.0123</v>
      </c>
      <c r="P557" s="7">
        <f t="shared" si="7"/>
        <v>2.494211156</v>
      </c>
      <c r="Q557" s="7">
        <f t="shared" si="8"/>
        <v>0.6205987724</v>
      </c>
      <c r="R557" s="7">
        <f t="shared" si="2"/>
        <v>1.871585154</v>
      </c>
      <c r="S557" s="7">
        <f t="shared" si="3"/>
        <v>3.764053666</v>
      </c>
      <c r="T557" s="7">
        <f t="shared" si="4"/>
        <v>1</v>
      </c>
      <c r="U557" s="7">
        <f t="shared" si="5"/>
        <v>1</v>
      </c>
      <c r="V557" s="7">
        <f t="shared" ref="V557:W557" si="1057">IF(AVERAGE(T497:T556) &gt; 0.25, 1, 0)</f>
        <v>1</v>
      </c>
      <c r="W557" s="7">
        <f t="shared" si="1057"/>
        <v>1</v>
      </c>
      <c r="X557" s="8">
        <v>1.0</v>
      </c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ht="22.5" customHeight="1">
      <c r="A558" s="6">
        <v>557.0</v>
      </c>
      <c r="B558" s="6">
        <v>122639.0</v>
      </c>
      <c r="C558" s="6">
        <v>-0.26</v>
      </c>
      <c r="D558" s="6">
        <v>-3.43</v>
      </c>
      <c r="E558" s="6">
        <v>11.07</v>
      </c>
      <c r="F558" s="6">
        <v>-0.41</v>
      </c>
      <c r="G558" s="6">
        <v>-0.38</v>
      </c>
      <c r="H558" s="6">
        <v>-2.46</v>
      </c>
      <c r="I558" s="6">
        <v>33.41</v>
      </c>
      <c r="J558" s="7">
        <f t="shared" ref="J558:O558" si="1058">abs(C558-C557)/200</f>
        <v>0.01675</v>
      </c>
      <c r="K558" s="7">
        <f t="shared" si="1058"/>
        <v>0.004</v>
      </c>
      <c r="L558" s="7">
        <f t="shared" si="1058"/>
        <v>0.0032</v>
      </c>
      <c r="M558" s="7">
        <f t="shared" si="1058"/>
        <v>0.00105</v>
      </c>
      <c r="N558" s="7">
        <f t="shared" si="1058"/>
        <v>0.0026</v>
      </c>
      <c r="O558" s="7">
        <f t="shared" si="1058"/>
        <v>0.00625</v>
      </c>
      <c r="P558" s="7">
        <f t="shared" si="7"/>
        <v>1.241336876</v>
      </c>
      <c r="Q558" s="7">
        <f t="shared" si="8"/>
        <v>0.07945851533</v>
      </c>
      <c r="R558" s="7">
        <f t="shared" si="2"/>
        <v>1.792126638</v>
      </c>
      <c r="S558" s="7">
        <f t="shared" si="3"/>
        <v>2.522716789</v>
      </c>
      <c r="T558" s="7">
        <f t="shared" si="4"/>
        <v>1</v>
      </c>
      <c r="U558" s="7">
        <f t="shared" si="5"/>
        <v>1</v>
      </c>
      <c r="V558" s="7">
        <f t="shared" ref="V558:W558" si="1059">IF(AVERAGE(T498:T557) &gt; 0.25, 1, 0)</f>
        <v>1</v>
      </c>
      <c r="W558" s="7">
        <f t="shared" si="1059"/>
        <v>1</v>
      </c>
      <c r="X558" s="8">
        <v>1.0</v>
      </c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ht="22.5" customHeight="1">
      <c r="A559" s="6">
        <v>558.0</v>
      </c>
      <c r="B559" s="6">
        <v>122843.0</v>
      </c>
      <c r="C559" s="6">
        <v>-0.47</v>
      </c>
      <c r="D559" s="6">
        <v>-0.07</v>
      </c>
      <c r="E559" s="6">
        <v>10.84</v>
      </c>
      <c r="F559" s="6">
        <v>-0.16</v>
      </c>
      <c r="G559" s="6">
        <v>0.11</v>
      </c>
      <c r="H559" s="6">
        <v>-0.38</v>
      </c>
      <c r="I559" s="6">
        <v>33.41</v>
      </c>
      <c r="J559" s="7">
        <f t="shared" ref="J559:O559" si="1060">abs(C559-C558)/200</f>
        <v>0.00105</v>
      </c>
      <c r="K559" s="7">
        <f t="shared" si="1060"/>
        <v>0.0168</v>
      </c>
      <c r="L559" s="7">
        <f t="shared" si="1060"/>
        <v>0.00115</v>
      </c>
      <c r="M559" s="7">
        <f t="shared" si="1060"/>
        <v>0.00125</v>
      </c>
      <c r="N559" s="7">
        <f t="shared" si="1060"/>
        <v>0.00245</v>
      </c>
      <c r="O559" s="7">
        <f t="shared" si="1060"/>
        <v>0.0104</v>
      </c>
      <c r="P559" s="7">
        <f t="shared" si="7"/>
        <v>2.095985024</v>
      </c>
      <c r="Q559" s="7">
        <f t="shared" si="8"/>
        <v>0.7417165079</v>
      </c>
      <c r="R559" s="7">
        <f t="shared" si="2"/>
        <v>1.05041013</v>
      </c>
      <c r="S559" s="7">
        <f t="shared" si="3"/>
        <v>0.4267317659</v>
      </c>
      <c r="T559" s="7">
        <f t="shared" si="4"/>
        <v>1</v>
      </c>
      <c r="U559" s="7">
        <f t="shared" si="5"/>
        <v>1</v>
      </c>
      <c r="V559" s="7">
        <f t="shared" ref="V559:W559" si="1061">IF(AVERAGE(T499:T558) &gt; 0.25, 1, 0)</f>
        <v>1</v>
      </c>
      <c r="W559" s="7">
        <f t="shared" si="1061"/>
        <v>1</v>
      </c>
      <c r="X559" s="8">
        <v>1.0</v>
      </c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ht="22.5" customHeight="1">
      <c r="A560" s="6">
        <v>559.0</v>
      </c>
      <c r="B560" s="6">
        <v>123047.0</v>
      </c>
      <c r="C560" s="6">
        <v>1.15</v>
      </c>
      <c r="D560" s="6">
        <v>-2.51</v>
      </c>
      <c r="E560" s="6">
        <v>10.65</v>
      </c>
      <c r="F560" s="6">
        <v>0.05</v>
      </c>
      <c r="G560" s="6">
        <v>0.39</v>
      </c>
      <c r="H560" s="6">
        <v>2.05</v>
      </c>
      <c r="I560" s="6">
        <v>33.41</v>
      </c>
      <c r="J560" s="7">
        <f t="shared" ref="J560:O560" si="1062">abs(C560-C559)/200</f>
        <v>0.0081</v>
      </c>
      <c r="K560" s="7">
        <f t="shared" si="1062"/>
        <v>0.0122</v>
      </c>
      <c r="L560" s="7">
        <f t="shared" si="1062"/>
        <v>0.00095</v>
      </c>
      <c r="M560" s="7">
        <f t="shared" si="1062"/>
        <v>0.00105</v>
      </c>
      <c r="N560" s="7">
        <f t="shared" si="1062"/>
        <v>0.0014</v>
      </c>
      <c r="O560" s="7">
        <f t="shared" si="1062"/>
        <v>0.01215</v>
      </c>
      <c r="P560" s="7">
        <f t="shared" si="7"/>
        <v>1.660634996</v>
      </c>
      <c r="Q560" s="7">
        <f t="shared" si="8"/>
        <v>0.1516396785</v>
      </c>
      <c r="R560" s="7">
        <f t="shared" si="2"/>
        <v>1.202049809</v>
      </c>
      <c r="S560" s="7">
        <f t="shared" si="3"/>
        <v>2.087366762</v>
      </c>
      <c r="T560" s="7">
        <f t="shared" si="4"/>
        <v>1</v>
      </c>
      <c r="U560" s="7">
        <f t="shared" si="5"/>
        <v>1</v>
      </c>
      <c r="V560" s="7">
        <f t="shared" ref="V560:W560" si="1063">IF(AVERAGE(T500:T559) &gt; 0.25, 1, 0)</f>
        <v>1</v>
      </c>
      <c r="W560" s="7">
        <f t="shared" si="1063"/>
        <v>1</v>
      </c>
      <c r="X560" s="8">
        <v>1.0</v>
      </c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ht="22.5" customHeight="1">
      <c r="A561" s="6">
        <v>560.0</v>
      </c>
      <c r="B561" s="6">
        <v>123251.0</v>
      </c>
      <c r="C561" s="6">
        <v>0.91</v>
      </c>
      <c r="D561" s="6">
        <v>-1.78</v>
      </c>
      <c r="E561" s="6">
        <v>10.89</v>
      </c>
      <c r="F561" s="6">
        <v>0.28</v>
      </c>
      <c r="G561" s="6">
        <v>0.09</v>
      </c>
      <c r="H561" s="6">
        <v>2.16</v>
      </c>
      <c r="I561" s="6">
        <v>33.41</v>
      </c>
      <c r="J561" s="7">
        <f t="shared" ref="J561:O561" si="1064">abs(C561-C560)/200</f>
        <v>0.0012</v>
      </c>
      <c r="K561" s="7">
        <f t="shared" si="1064"/>
        <v>0.00365</v>
      </c>
      <c r="L561" s="7">
        <f t="shared" si="1064"/>
        <v>0.0012</v>
      </c>
      <c r="M561" s="7">
        <f t="shared" si="1064"/>
        <v>0.00115</v>
      </c>
      <c r="N561" s="7">
        <f t="shared" si="1064"/>
        <v>0.0015</v>
      </c>
      <c r="O561" s="7">
        <f t="shared" si="1064"/>
        <v>0.00055</v>
      </c>
      <c r="P561" s="7">
        <f t="shared" si="7"/>
        <v>0.09256442936</v>
      </c>
      <c r="Q561" s="7">
        <f t="shared" si="8"/>
        <v>0.06992381812</v>
      </c>
      <c r="R561" s="7">
        <f t="shared" si="2"/>
        <v>1.271973627</v>
      </c>
      <c r="S561" s="7">
        <f t="shared" si="3"/>
        <v>2.179931192</v>
      </c>
      <c r="T561" s="7">
        <f t="shared" si="4"/>
        <v>1</v>
      </c>
      <c r="U561" s="7">
        <f t="shared" si="5"/>
        <v>1</v>
      </c>
      <c r="V561" s="7">
        <f t="shared" ref="V561:W561" si="1065">IF(AVERAGE(T501:T560) &gt; 0.25, 1, 0)</f>
        <v>1</v>
      </c>
      <c r="W561" s="7">
        <f t="shared" si="1065"/>
        <v>1</v>
      </c>
      <c r="X561" s="8">
        <v>1.0</v>
      </c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ht="22.5" customHeight="1">
      <c r="A562" s="6">
        <v>561.0</v>
      </c>
      <c r="B562" s="6">
        <v>123455.0</v>
      </c>
      <c r="C562" s="6">
        <v>3.01</v>
      </c>
      <c r="D562" s="6">
        <v>-1.83</v>
      </c>
      <c r="E562" s="6">
        <v>10.04</v>
      </c>
      <c r="F562" s="6">
        <v>0.36</v>
      </c>
      <c r="G562" s="6">
        <v>-0.62</v>
      </c>
      <c r="H562" s="6">
        <v>2.48</v>
      </c>
      <c r="I562" s="6">
        <v>33.41</v>
      </c>
      <c r="J562" s="7">
        <f t="shared" ref="J562:O562" si="1066">abs(C562-C561)/200</f>
        <v>0.0105</v>
      </c>
      <c r="K562" s="7">
        <f t="shared" si="1066"/>
        <v>0.00025</v>
      </c>
      <c r="L562" s="7">
        <f t="shared" si="1066"/>
        <v>0.00425</v>
      </c>
      <c r="M562" s="7">
        <f t="shared" si="1066"/>
        <v>0.0004</v>
      </c>
      <c r="N562" s="7">
        <f t="shared" si="1066"/>
        <v>0.00355</v>
      </c>
      <c r="O562" s="7">
        <f t="shared" si="1066"/>
        <v>0.0016</v>
      </c>
      <c r="P562" s="7">
        <f t="shared" si="7"/>
        <v>0.4016187305</v>
      </c>
      <c r="Q562" s="7">
        <f t="shared" si="8"/>
        <v>0.4319266348</v>
      </c>
      <c r="R562" s="7">
        <f t="shared" si="2"/>
        <v>0.8400469924</v>
      </c>
      <c r="S562" s="7">
        <f t="shared" si="3"/>
        <v>2.581549922</v>
      </c>
      <c r="T562" s="7">
        <f t="shared" si="4"/>
        <v>1</v>
      </c>
      <c r="U562" s="7">
        <f t="shared" si="5"/>
        <v>1</v>
      </c>
      <c r="V562" s="7">
        <f t="shared" ref="V562:W562" si="1067">IF(AVERAGE(T502:T561) &gt; 0.25, 1, 0)</f>
        <v>1</v>
      </c>
      <c r="W562" s="7">
        <f t="shared" si="1067"/>
        <v>1</v>
      </c>
      <c r="X562" s="8">
        <v>1.0</v>
      </c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ht="22.5" customHeight="1">
      <c r="A563" s="6">
        <v>562.0</v>
      </c>
      <c r="B563" s="6">
        <v>123659.0</v>
      </c>
      <c r="C563" s="6">
        <v>5.85</v>
      </c>
      <c r="D563" s="6">
        <v>-0.54</v>
      </c>
      <c r="E563" s="6">
        <v>10.09</v>
      </c>
      <c r="F563" s="6">
        <v>-0.07</v>
      </c>
      <c r="G563" s="6">
        <v>0.11</v>
      </c>
      <c r="H563" s="6">
        <v>0.69</v>
      </c>
      <c r="I563" s="6">
        <v>33.41</v>
      </c>
      <c r="J563" s="7">
        <f t="shared" ref="J563:O563" si="1068">abs(C563-C562)/200</f>
        <v>0.0142</v>
      </c>
      <c r="K563" s="7">
        <f t="shared" si="1068"/>
        <v>0.00645</v>
      </c>
      <c r="L563" s="7">
        <f t="shared" si="1068"/>
        <v>0.00025</v>
      </c>
      <c r="M563" s="7">
        <f t="shared" si="1068"/>
        <v>0.00215</v>
      </c>
      <c r="N563" s="7">
        <f t="shared" si="1068"/>
        <v>0.00365</v>
      </c>
      <c r="O563" s="7">
        <f t="shared" si="1068"/>
        <v>0.00895</v>
      </c>
      <c r="P563" s="7">
        <f t="shared" si="7"/>
        <v>1.879339127</v>
      </c>
      <c r="Q563" s="7">
        <f t="shared" si="8"/>
        <v>1.035662836</v>
      </c>
      <c r="R563" s="7">
        <f t="shared" si="2"/>
        <v>1.875709829</v>
      </c>
      <c r="S563" s="7">
        <f t="shared" si="3"/>
        <v>0.7022107946</v>
      </c>
      <c r="T563" s="7">
        <f t="shared" si="4"/>
        <v>1</v>
      </c>
      <c r="U563" s="7">
        <f t="shared" si="5"/>
        <v>1</v>
      </c>
      <c r="V563" s="7">
        <f t="shared" ref="V563:W563" si="1069">IF(AVERAGE(T503:T562) &gt; 0.25, 1, 0)</f>
        <v>1</v>
      </c>
      <c r="W563" s="7">
        <f t="shared" si="1069"/>
        <v>1</v>
      </c>
      <c r="X563" s="8">
        <v>1.0</v>
      </c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ht="22.5" customHeight="1">
      <c r="A564" s="6">
        <v>563.0</v>
      </c>
      <c r="B564" s="6">
        <v>123863.0</v>
      </c>
      <c r="C564" s="6">
        <v>3.44</v>
      </c>
      <c r="D564" s="6">
        <v>0.08</v>
      </c>
      <c r="E564" s="6">
        <v>10.48</v>
      </c>
      <c r="F564" s="6">
        <v>-0.31</v>
      </c>
      <c r="G564" s="6">
        <v>-0.12</v>
      </c>
      <c r="H564" s="6">
        <v>-0.89</v>
      </c>
      <c r="I564" s="6">
        <v>33.41</v>
      </c>
      <c r="J564" s="7">
        <f t="shared" ref="J564:O564" si="1070">abs(C564-C563)/200</f>
        <v>0.01205</v>
      </c>
      <c r="K564" s="7">
        <f t="shared" si="1070"/>
        <v>0.0031</v>
      </c>
      <c r="L564" s="7">
        <f t="shared" si="1070"/>
        <v>0.00195</v>
      </c>
      <c r="M564" s="7">
        <f t="shared" si="1070"/>
        <v>0.0012</v>
      </c>
      <c r="N564" s="7">
        <f t="shared" si="1070"/>
        <v>0.00115</v>
      </c>
      <c r="O564" s="7">
        <f t="shared" si="1070"/>
        <v>0.0079</v>
      </c>
      <c r="P564" s="7">
        <f t="shared" si="7"/>
        <v>0.2478418356</v>
      </c>
      <c r="Q564" s="7">
        <f t="shared" si="8"/>
        <v>0.6452791932</v>
      </c>
      <c r="R564" s="7">
        <f t="shared" si="2"/>
        <v>1.230430635</v>
      </c>
      <c r="S564" s="7">
        <f t="shared" si="3"/>
        <v>0.9500526301</v>
      </c>
      <c r="T564" s="7">
        <f t="shared" si="4"/>
        <v>1</v>
      </c>
      <c r="U564" s="7">
        <f t="shared" si="5"/>
        <v>1</v>
      </c>
      <c r="V564" s="7">
        <f t="shared" ref="V564:W564" si="1071">IF(AVERAGE(T504:T563) &gt; 0.25, 1, 0)</f>
        <v>1</v>
      </c>
      <c r="W564" s="7">
        <f t="shared" si="1071"/>
        <v>1</v>
      </c>
      <c r="X564" s="8">
        <v>1.0</v>
      </c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ht="22.5" customHeight="1">
      <c r="A565" s="6">
        <v>564.0</v>
      </c>
      <c r="B565" s="6">
        <v>124067.0</v>
      </c>
      <c r="C565" s="6">
        <v>2.71</v>
      </c>
      <c r="D565" s="6">
        <v>1.33</v>
      </c>
      <c r="E565" s="6">
        <v>10.45</v>
      </c>
      <c r="F565" s="6">
        <v>-0.2</v>
      </c>
      <c r="G565" s="6">
        <v>0.03</v>
      </c>
      <c r="H565" s="6">
        <v>-0.58</v>
      </c>
      <c r="I565" s="6">
        <v>33.41</v>
      </c>
      <c r="J565" s="7">
        <f t="shared" ref="J565:O565" si="1072">abs(C565-C564)/200</f>
        <v>0.00365</v>
      </c>
      <c r="K565" s="7">
        <f t="shared" si="1072"/>
        <v>0.00625</v>
      </c>
      <c r="L565" s="7">
        <f t="shared" si="1072"/>
        <v>0.00015</v>
      </c>
      <c r="M565" s="7">
        <f t="shared" si="1072"/>
        <v>0.00055</v>
      </c>
      <c r="N565" s="7">
        <f t="shared" si="1072"/>
        <v>0.00075</v>
      </c>
      <c r="O565" s="7">
        <f t="shared" si="1072"/>
        <v>0.00155</v>
      </c>
      <c r="P565" s="7">
        <f t="shared" si="7"/>
        <v>0.335805123</v>
      </c>
      <c r="Q565" s="7">
        <f t="shared" si="8"/>
        <v>0.1531377736</v>
      </c>
      <c r="R565" s="7">
        <f t="shared" si="2"/>
        <v>1.077292862</v>
      </c>
      <c r="S565" s="7">
        <f t="shared" si="3"/>
        <v>0.6142475071</v>
      </c>
      <c r="T565" s="7">
        <f t="shared" si="4"/>
        <v>1</v>
      </c>
      <c r="U565" s="7">
        <f t="shared" si="5"/>
        <v>1</v>
      </c>
      <c r="V565" s="7">
        <f t="shared" ref="V565:W565" si="1073">IF(AVERAGE(T505:T564) &gt; 0.25, 1, 0)</f>
        <v>1</v>
      </c>
      <c r="W565" s="7">
        <f t="shared" si="1073"/>
        <v>1</v>
      </c>
      <c r="X565" s="8">
        <v>1.0</v>
      </c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ht="22.5" customHeight="1">
      <c r="A566" s="6">
        <v>565.0</v>
      </c>
      <c r="B566" s="6">
        <v>124271.0</v>
      </c>
      <c r="C566" s="6">
        <v>2.2</v>
      </c>
      <c r="D566" s="6">
        <v>0.89</v>
      </c>
      <c r="E566" s="6">
        <v>9.91</v>
      </c>
      <c r="F566" s="6">
        <v>-0.68</v>
      </c>
      <c r="G566" s="6">
        <v>0.15</v>
      </c>
      <c r="H566" s="6">
        <v>-2.46</v>
      </c>
      <c r="I566" s="6">
        <v>33.41</v>
      </c>
      <c r="J566" s="7">
        <f t="shared" ref="J566:O566" si="1074">abs(C566-C565)/200</f>
        <v>0.00255</v>
      </c>
      <c r="K566" s="7">
        <f t="shared" si="1074"/>
        <v>0.0022</v>
      </c>
      <c r="L566" s="7">
        <f t="shared" si="1074"/>
        <v>0.0027</v>
      </c>
      <c r="M566" s="7">
        <f t="shared" si="1074"/>
        <v>0.0024</v>
      </c>
      <c r="N566" s="7">
        <f t="shared" si="1074"/>
        <v>0.0006</v>
      </c>
      <c r="O566" s="7">
        <f t="shared" si="1074"/>
        <v>0.0094</v>
      </c>
      <c r="P566" s="7">
        <f t="shared" si="7"/>
        <v>1.942410468</v>
      </c>
      <c r="Q566" s="7">
        <f t="shared" si="8"/>
        <v>0.6870916861</v>
      </c>
      <c r="R566" s="7">
        <f t="shared" si="2"/>
        <v>0.3902011756</v>
      </c>
      <c r="S566" s="7">
        <f t="shared" si="3"/>
        <v>2.556657975</v>
      </c>
      <c r="T566" s="7">
        <f t="shared" si="4"/>
        <v>1</v>
      </c>
      <c r="U566" s="7">
        <f t="shared" si="5"/>
        <v>1</v>
      </c>
      <c r="V566" s="7">
        <f t="shared" ref="V566:W566" si="1075">IF(AVERAGE(T506:T565) &gt; 0.25, 1, 0)</f>
        <v>1</v>
      </c>
      <c r="W566" s="7">
        <f t="shared" si="1075"/>
        <v>1</v>
      </c>
      <c r="X566" s="8">
        <v>1.0</v>
      </c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ht="22.5" customHeight="1">
      <c r="A567" s="6">
        <v>566.0</v>
      </c>
      <c r="B567" s="6">
        <v>124475.0</v>
      </c>
      <c r="C567" s="6">
        <v>-1.4</v>
      </c>
      <c r="D567" s="6">
        <v>-1.51</v>
      </c>
      <c r="E567" s="6">
        <v>11.12</v>
      </c>
      <c r="F567" s="6">
        <v>-0.16</v>
      </c>
      <c r="G567" s="6">
        <v>0.19</v>
      </c>
      <c r="H567" s="6">
        <v>-1.07</v>
      </c>
      <c r="I567" s="6">
        <v>33.42</v>
      </c>
      <c r="J567" s="7">
        <f t="shared" ref="J567:O567" si="1076">abs(C567-C566)/200</f>
        <v>0.018</v>
      </c>
      <c r="K567" s="7">
        <f t="shared" si="1076"/>
        <v>0.012</v>
      </c>
      <c r="L567" s="7">
        <f t="shared" si="1076"/>
        <v>0.00605</v>
      </c>
      <c r="M567" s="7">
        <f t="shared" si="1076"/>
        <v>0.0026</v>
      </c>
      <c r="N567" s="7">
        <f t="shared" si="1076"/>
        <v>0.0002</v>
      </c>
      <c r="O567" s="7">
        <f t="shared" si="1076"/>
        <v>0.00695</v>
      </c>
      <c r="P567" s="7">
        <f t="shared" si="7"/>
        <v>1.458204517</v>
      </c>
      <c r="Q567" s="7">
        <f t="shared" si="8"/>
        <v>1.118843877</v>
      </c>
      <c r="R567" s="7">
        <f t="shared" si="2"/>
        <v>1.509045053</v>
      </c>
      <c r="S567" s="7">
        <f t="shared" si="3"/>
        <v>1.098453458</v>
      </c>
      <c r="T567" s="7">
        <f t="shared" si="4"/>
        <v>1</v>
      </c>
      <c r="U567" s="7">
        <f t="shared" si="5"/>
        <v>1</v>
      </c>
      <c r="V567" s="7">
        <f t="shared" ref="V567:W567" si="1077">IF(AVERAGE(T507:T566) &gt; 0.25, 1, 0)</f>
        <v>1</v>
      </c>
      <c r="W567" s="7">
        <f t="shared" si="1077"/>
        <v>1</v>
      </c>
      <c r="X567" s="8">
        <v>1.0</v>
      </c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ht="22.5" customHeight="1">
      <c r="A568" s="6">
        <v>567.0</v>
      </c>
      <c r="B568" s="6">
        <v>124679.0</v>
      </c>
      <c r="C568" s="6">
        <v>0.4</v>
      </c>
      <c r="D568" s="6">
        <v>-4.39</v>
      </c>
      <c r="E568" s="6">
        <v>11.01</v>
      </c>
      <c r="F568" s="6">
        <v>0.33</v>
      </c>
      <c r="G568" s="6">
        <v>0.0</v>
      </c>
      <c r="H568" s="6">
        <v>1.64</v>
      </c>
      <c r="I568" s="6">
        <v>33.41</v>
      </c>
      <c r="J568" s="7">
        <f t="shared" ref="J568:O568" si="1078">abs(C568-C567)/200</f>
        <v>0.009</v>
      </c>
      <c r="K568" s="7">
        <f t="shared" si="1078"/>
        <v>0.0144</v>
      </c>
      <c r="L568" s="7">
        <f t="shared" si="1078"/>
        <v>0.00055</v>
      </c>
      <c r="M568" s="7">
        <f t="shared" si="1078"/>
        <v>0.00245</v>
      </c>
      <c r="N568" s="7">
        <f t="shared" si="1078"/>
        <v>0.00095</v>
      </c>
      <c r="O568" s="7">
        <f t="shared" si="1078"/>
        <v>0.01355</v>
      </c>
      <c r="P568" s="7">
        <f t="shared" si="7"/>
        <v>0.574418324</v>
      </c>
      <c r="Q568" s="7">
        <f t="shared" si="8"/>
        <v>0.5506429704</v>
      </c>
      <c r="R568" s="7">
        <f t="shared" si="2"/>
        <v>2.059688023</v>
      </c>
      <c r="S568" s="7">
        <f t="shared" si="3"/>
        <v>1.672871782</v>
      </c>
      <c r="T568" s="7">
        <f t="shared" si="4"/>
        <v>1</v>
      </c>
      <c r="U568" s="7">
        <f t="shared" si="5"/>
        <v>1</v>
      </c>
      <c r="V568" s="7">
        <f t="shared" ref="V568:W568" si="1079">IF(AVERAGE(T508:T567) &gt; 0.25, 1, 0)</f>
        <v>1</v>
      </c>
      <c r="W568" s="7">
        <f t="shared" si="1079"/>
        <v>1</v>
      </c>
      <c r="X568" s="8">
        <v>1.0</v>
      </c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ht="22.5" customHeight="1">
      <c r="A569" s="6">
        <v>568.0</v>
      </c>
      <c r="B569" s="6">
        <v>124883.0</v>
      </c>
      <c r="C569" s="6">
        <v>3.57</v>
      </c>
      <c r="D569" s="6">
        <v>-2.56</v>
      </c>
      <c r="E569" s="6">
        <v>10.11</v>
      </c>
      <c r="F569" s="6">
        <v>0.24</v>
      </c>
      <c r="G569" s="6">
        <v>-0.35</v>
      </c>
      <c r="H569" s="6">
        <v>2.01</v>
      </c>
      <c r="I569" s="6">
        <v>33.4</v>
      </c>
      <c r="J569" s="7">
        <f t="shared" ref="J569:O569" si="1080">abs(C569-C568)/200</f>
        <v>0.01585</v>
      </c>
      <c r="K569" s="7">
        <f t="shared" si="1080"/>
        <v>0.00915</v>
      </c>
      <c r="L569" s="7">
        <f t="shared" si="1080"/>
        <v>0.0045</v>
      </c>
      <c r="M569" s="7">
        <f t="shared" si="1080"/>
        <v>0.00045</v>
      </c>
      <c r="N569" s="7">
        <f t="shared" si="1080"/>
        <v>0.00175</v>
      </c>
      <c r="O569" s="7">
        <f t="shared" si="1080"/>
        <v>0.00185</v>
      </c>
      <c r="P569" s="7">
        <f t="shared" si="7"/>
        <v>0.3814407548</v>
      </c>
      <c r="Q569" s="7">
        <f t="shared" si="8"/>
        <v>0.8365033651</v>
      </c>
      <c r="R569" s="7">
        <f t="shared" si="2"/>
        <v>1.223184658</v>
      </c>
      <c r="S569" s="7">
        <f t="shared" si="3"/>
        <v>2.054312537</v>
      </c>
      <c r="T569" s="7">
        <f t="shared" si="4"/>
        <v>1</v>
      </c>
      <c r="U569" s="7">
        <f t="shared" si="5"/>
        <v>1</v>
      </c>
      <c r="V569" s="7">
        <f t="shared" ref="V569:W569" si="1081">IF(AVERAGE(T509:T568) &gt; 0.25, 1, 0)</f>
        <v>1</v>
      </c>
      <c r="W569" s="7">
        <f t="shared" si="1081"/>
        <v>1</v>
      </c>
      <c r="X569" s="8">
        <v>1.0</v>
      </c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ht="22.5" customHeight="1">
      <c r="A570" s="6">
        <v>569.0</v>
      </c>
      <c r="B570" s="6">
        <v>126311.0</v>
      </c>
      <c r="C570" s="6">
        <v>0.49</v>
      </c>
      <c r="D570" s="6">
        <v>-1.56</v>
      </c>
      <c r="E570" s="6">
        <v>10.9</v>
      </c>
      <c r="F570" s="6">
        <v>0.19</v>
      </c>
      <c r="G570" s="6">
        <v>0.24</v>
      </c>
      <c r="H570" s="6">
        <v>0.95</v>
      </c>
      <c r="I570" s="6">
        <v>33.42</v>
      </c>
      <c r="J570" s="7">
        <f t="shared" ref="J570:O570" si="1082">abs(C570-C569)/200</f>
        <v>0.0154</v>
      </c>
      <c r="K570" s="7">
        <f t="shared" si="1082"/>
        <v>0.005</v>
      </c>
      <c r="L570" s="7">
        <f t="shared" si="1082"/>
        <v>0.00395</v>
      </c>
      <c r="M570" s="7">
        <f t="shared" si="1082"/>
        <v>0.00025</v>
      </c>
      <c r="N570" s="7">
        <f t="shared" si="1082"/>
        <v>0.00295</v>
      </c>
      <c r="O570" s="7">
        <f t="shared" si="1082"/>
        <v>0.0053</v>
      </c>
      <c r="P570" s="7">
        <f t="shared" si="7"/>
        <v>1.056214346</v>
      </c>
      <c r="Q570" s="7">
        <f t="shared" si="8"/>
        <v>0.001220223092</v>
      </c>
      <c r="R570" s="7">
        <f t="shared" si="2"/>
        <v>1.221964435</v>
      </c>
      <c r="S570" s="7">
        <f t="shared" si="3"/>
        <v>0.9980981916</v>
      </c>
      <c r="T570" s="7">
        <f t="shared" si="4"/>
        <v>1</v>
      </c>
      <c r="U570" s="7">
        <f t="shared" si="5"/>
        <v>1</v>
      </c>
      <c r="V570" s="7">
        <f t="shared" ref="V570:W570" si="1083">IF(AVERAGE(T510:T569) &gt; 0.25, 1, 0)</f>
        <v>1</v>
      </c>
      <c r="W570" s="7">
        <f t="shared" si="1083"/>
        <v>1</v>
      </c>
      <c r="X570" s="8">
        <v>1.0</v>
      </c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ht="22.5" customHeight="1">
      <c r="A571" s="6">
        <v>570.0</v>
      </c>
      <c r="B571" s="6">
        <v>126515.0</v>
      </c>
      <c r="C571" s="6">
        <v>6.05</v>
      </c>
      <c r="D571" s="6">
        <v>-0.62</v>
      </c>
      <c r="E571" s="6">
        <v>9.65</v>
      </c>
      <c r="F571" s="6">
        <v>-0.05</v>
      </c>
      <c r="G571" s="6">
        <v>-0.14</v>
      </c>
      <c r="H571" s="6">
        <v>-0.01</v>
      </c>
      <c r="I571" s="6">
        <v>33.42</v>
      </c>
      <c r="J571" s="7">
        <f t="shared" ref="J571:O571" si="1084">abs(C571-C570)/200</f>
        <v>0.0278</v>
      </c>
      <c r="K571" s="7">
        <f t="shared" si="1084"/>
        <v>0.0047</v>
      </c>
      <c r="L571" s="7">
        <f t="shared" si="1084"/>
        <v>0.00625</v>
      </c>
      <c r="M571" s="7">
        <f t="shared" si="1084"/>
        <v>0.0012</v>
      </c>
      <c r="N571" s="7">
        <f t="shared" si="1084"/>
        <v>0.0019</v>
      </c>
      <c r="O571" s="7">
        <f t="shared" si="1084"/>
        <v>0.0048</v>
      </c>
      <c r="P571" s="7">
        <f t="shared" si="7"/>
        <v>0.8491015473</v>
      </c>
      <c r="Q571" s="7">
        <f t="shared" si="8"/>
        <v>0.3845863148</v>
      </c>
      <c r="R571" s="7">
        <f t="shared" si="2"/>
        <v>1.606550749</v>
      </c>
      <c r="S571" s="7">
        <f t="shared" si="3"/>
        <v>0.1489966443</v>
      </c>
      <c r="T571" s="7">
        <f t="shared" si="4"/>
        <v>1</v>
      </c>
      <c r="U571" s="7">
        <f t="shared" si="5"/>
        <v>1</v>
      </c>
      <c r="V571" s="7">
        <f t="shared" ref="V571:W571" si="1085">IF(AVERAGE(T511:T570) &gt; 0.25, 1, 0)</f>
        <v>1</v>
      </c>
      <c r="W571" s="7">
        <f t="shared" si="1085"/>
        <v>1</v>
      </c>
      <c r="X571" s="8">
        <v>1.0</v>
      </c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ht="22.5" customHeight="1">
      <c r="A572" s="6">
        <v>571.0</v>
      </c>
      <c r="B572" s="6">
        <v>126719.0</v>
      </c>
      <c r="C572" s="6">
        <v>2.83</v>
      </c>
      <c r="D572" s="6">
        <v>-1.7</v>
      </c>
      <c r="E572" s="6">
        <v>10.3</v>
      </c>
      <c r="F572" s="6">
        <v>-0.37</v>
      </c>
      <c r="G572" s="6">
        <v>-0.04</v>
      </c>
      <c r="H572" s="6">
        <v>-0.87</v>
      </c>
      <c r="I572" s="6">
        <v>33.42</v>
      </c>
      <c r="J572" s="7">
        <f t="shared" ref="J572:O572" si="1086">abs(C572-C571)/200</f>
        <v>0.0161</v>
      </c>
      <c r="K572" s="7">
        <f t="shared" si="1086"/>
        <v>0.0054</v>
      </c>
      <c r="L572" s="7">
        <f t="shared" si="1086"/>
        <v>0.00325</v>
      </c>
      <c r="M572" s="7">
        <f t="shared" si="1086"/>
        <v>0.0016</v>
      </c>
      <c r="N572" s="7">
        <f t="shared" si="1086"/>
        <v>0.0005</v>
      </c>
      <c r="O572" s="7">
        <f t="shared" si="1086"/>
        <v>0.0043</v>
      </c>
      <c r="P572" s="7">
        <f t="shared" si="7"/>
        <v>0.7972591351</v>
      </c>
      <c r="Q572" s="7">
        <f t="shared" si="8"/>
        <v>0.5904100329</v>
      </c>
      <c r="R572" s="7">
        <f t="shared" si="2"/>
        <v>1.016140717</v>
      </c>
      <c r="S572" s="7">
        <f t="shared" si="3"/>
        <v>0.9462557794</v>
      </c>
      <c r="T572" s="7">
        <f t="shared" si="4"/>
        <v>1</v>
      </c>
      <c r="U572" s="7">
        <f t="shared" si="5"/>
        <v>1</v>
      </c>
      <c r="V572" s="7">
        <f t="shared" ref="V572:W572" si="1087">IF(AVERAGE(T512:T571) &gt; 0.25, 1, 0)</f>
        <v>1</v>
      </c>
      <c r="W572" s="7">
        <f t="shared" si="1087"/>
        <v>1</v>
      </c>
      <c r="X572" s="8">
        <v>1.0</v>
      </c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ht="22.5" customHeight="1">
      <c r="A573" s="6">
        <v>572.0</v>
      </c>
      <c r="B573" s="6">
        <v>126923.0</v>
      </c>
      <c r="C573" s="6">
        <v>-1.02</v>
      </c>
      <c r="D573" s="6">
        <v>2.11</v>
      </c>
      <c r="E573" s="6">
        <v>10.91</v>
      </c>
      <c r="F573" s="6">
        <v>-0.15</v>
      </c>
      <c r="G573" s="6">
        <v>-0.1</v>
      </c>
      <c r="H573" s="6">
        <v>-0.04</v>
      </c>
      <c r="I573" s="6">
        <v>33.42</v>
      </c>
      <c r="J573" s="7">
        <f t="shared" ref="J573:O573" si="1088">abs(C573-C572)/200</f>
        <v>0.01925</v>
      </c>
      <c r="K573" s="7">
        <f t="shared" si="1088"/>
        <v>0.01905</v>
      </c>
      <c r="L573" s="7">
        <f t="shared" si="1088"/>
        <v>0.00305</v>
      </c>
      <c r="M573" s="7">
        <f t="shared" si="1088"/>
        <v>0.0011</v>
      </c>
      <c r="N573" s="7">
        <f t="shared" si="1088"/>
        <v>0.0003</v>
      </c>
      <c r="O573" s="7">
        <f t="shared" si="1088"/>
        <v>0.00415</v>
      </c>
      <c r="P573" s="7">
        <f t="shared" si="7"/>
        <v>0.7615939262</v>
      </c>
      <c r="Q573" s="7">
        <f t="shared" si="8"/>
        <v>0.3427391556</v>
      </c>
      <c r="R573" s="7">
        <f t="shared" si="2"/>
        <v>1.358879872</v>
      </c>
      <c r="S573" s="7">
        <f t="shared" si="3"/>
        <v>0.1846618531</v>
      </c>
      <c r="T573" s="7">
        <f t="shared" si="4"/>
        <v>1</v>
      </c>
      <c r="U573" s="7">
        <f t="shared" si="5"/>
        <v>1</v>
      </c>
      <c r="V573" s="7">
        <f t="shared" ref="V573:W573" si="1089">IF(AVERAGE(T513:T572) &gt; 0.25, 1, 0)</f>
        <v>1</v>
      </c>
      <c r="W573" s="7">
        <f t="shared" si="1089"/>
        <v>1</v>
      </c>
      <c r="X573" s="8">
        <v>1.0</v>
      </c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ht="22.5" customHeight="1">
      <c r="A574" s="6">
        <v>573.0</v>
      </c>
      <c r="B574" s="6">
        <v>127127.0</v>
      </c>
      <c r="C574" s="6">
        <v>-0.01</v>
      </c>
      <c r="D574" s="6">
        <v>1.52</v>
      </c>
      <c r="E574" s="6">
        <v>10.82</v>
      </c>
      <c r="F574" s="6">
        <v>-0.08</v>
      </c>
      <c r="G574" s="6">
        <v>0.06</v>
      </c>
      <c r="H574" s="6">
        <v>0.04</v>
      </c>
      <c r="I574" s="6">
        <v>33.41</v>
      </c>
      <c r="J574" s="7">
        <f t="shared" ref="J574:O574" si="1090">abs(C574-C573)/200</f>
        <v>0.00505</v>
      </c>
      <c r="K574" s="7">
        <f t="shared" si="1090"/>
        <v>0.00295</v>
      </c>
      <c r="L574" s="7">
        <f t="shared" si="1090"/>
        <v>0.00045</v>
      </c>
      <c r="M574" s="7">
        <f t="shared" si="1090"/>
        <v>0.00035</v>
      </c>
      <c r="N574" s="7">
        <f t="shared" si="1090"/>
        <v>0.0008</v>
      </c>
      <c r="O574" s="7">
        <f t="shared" si="1090"/>
        <v>0.0004</v>
      </c>
      <c r="P574" s="7">
        <f t="shared" si="7"/>
        <v>0.07695855698</v>
      </c>
      <c r="Q574" s="7">
        <f t="shared" si="8"/>
        <v>0.2326316597</v>
      </c>
      <c r="R574" s="7">
        <f t="shared" si="2"/>
        <v>1.126248212</v>
      </c>
      <c r="S574" s="7">
        <f t="shared" si="3"/>
        <v>0.1077032961</v>
      </c>
      <c r="T574" s="7">
        <f t="shared" si="4"/>
        <v>1</v>
      </c>
      <c r="U574" s="7">
        <f t="shared" si="5"/>
        <v>1</v>
      </c>
      <c r="V574" s="7">
        <f t="shared" ref="V574:W574" si="1091">IF(AVERAGE(T514:T573) &gt; 0.25, 1, 0)</f>
        <v>1</v>
      </c>
      <c r="W574" s="7">
        <f t="shared" si="1091"/>
        <v>1</v>
      </c>
      <c r="X574" s="8">
        <v>1.0</v>
      </c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ht="22.5" customHeight="1">
      <c r="A575" s="6">
        <v>574.0</v>
      </c>
      <c r="B575" s="6">
        <v>127331.0</v>
      </c>
      <c r="C575" s="6">
        <v>2.41</v>
      </c>
      <c r="D575" s="6">
        <v>-1.53</v>
      </c>
      <c r="E575" s="6">
        <v>10.71</v>
      </c>
      <c r="F575" s="6">
        <v>0.05</v>
      </c>
      <c r="G575" s="6">
        <v>0.17</v>
      </c>
      <c r="H575" s="6">
        <v>0.18</v>
      </c>
      <c r="I575" s="6">
        <v>33.42</v>
      </c>
      <c r="J575" s="7">
        <f t="shared" ref="J575:O575" si="1092">abs(C575-C574)/200</f>
        <v>0.0121</v>
      </c>
      <c r="K575" s="7">
        <f t="shared" si="1092"/>
        <v>0.01525</v>
      </c>
      <c r="L575" s="7">
        <f t="shared" si="1092"/>
        <v>0.00055</v>
      </c>
      <c r="M575" s="7">
        <f t="shared" si="1092"/>
        <v>0.00065</v>
      </c>
      <c r="N575" s="7">
        <f t="shared" si="1092"/>
        <v>0.00055</v>
      </c>
      <c r="O575" s="7">
        <f t="shared" si="1092"/>
        <v>0.0007</v>
      </c>
      <c r="P575" s="7">
        <f t="shared" si="7"/>
        <v>0.1448833227</v>
      </c>
      <c r="Q575" s="7">
        <f t="shared" si="8"/>
        <v>0.1576635519</v>
      </c>
      <c r="R575" s="7">
        <f t="shared" si="2"/>
        <v>1.283911764</v>
      </c>
      <c r="S575" s="7">
        <f t="shared" si="3"/>
        <v>0.2525866188</v>
      </c>
      <c r="T575" s="7">
        <f t="shared" si="4"/>
        <v>1</v>
      </c>
      <c r="U575" s="7">
        <f t="shared" si="5"/>
        <v>1</v>
      </c>
      <c r="V575" s="7">
        <f t="shared" ref="V575:W575" si="1093">IF(AVERAGE(T515:T574) &gt; 0.25, 1, 0)</f>
        <v>1</v>
      </c>
      <c r="W575" s="7">
        <f t="shared" si="1093"/>
        <v>1</v>
      </c>
      <c r="X575" s="8">
        <v>1.0</v>
      </c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ht="22.5" customHeight="1">
      <c r="A576" s="6">
        <v>575.0</v>
      </c>
      <c r="B576" s="6">
        <v>127535.0</v>
      </c>
      <c r="C576" s="6">
        <v>1.25</v>
      </c>
      <c r="D576" s="6">
        <v>-0.31</v>
      </c>
      <c r="E576" s="6">
        <v>10.97</v>
      </c>
      <c r="F576" s="6">
        <v>-0.13</v>
      </c>
      <c r="G576" s="6">
        <v>0.06</v>
      </c>
      <c r="H576" s="6">
        <v>-0.01</v>
      </c>
      <c r="I576" s="6">
        <v>33.42</v>
      </c>
      <c r="J576" s="7">
        <f t="shared" ref="J576:O576" si="1094">abs(C576-C575)/200</f>
        <v>0.0058</v>
      </c>
      <c r="K576" s="7">
        <f t="shared" si="1094"/>
        <v>0.0061</v>
      </c>
      <c r="L576" s="7">
        <f t="shared" si="1094"/>
        <v>0.0013</v>
      </c>
      <c r="M576" s="7">
        <f t="shared" si="1094"/>
        <v>0.0009</v>
      </c>
      <c r="N576" s="7">
        <f t="shared" si="1094"/>
        <v>0.00055</v>
      </c>
      <c r="O576" s="7">
        <f t="shared" si="1094"/>
        <v>0.00095</v>
      </c>
      <c r="P576" s="7">
        <f t="shared" si="7"/>
        <v>0.1090596179</v>
      </c>
      <c r="Q576" s="7">
        <f t="shared" si="8"/>
        <v>0.03857338113</v>
      </c>
      <c r="R576" s="7">
        <f t="shared" si="2"/>
        <v>1.245338383</v>
      </c>
      <c r="S576" s="7">
        <f t="shared" si="3"/>
        <v>0.1435270009</v>
      </c>
      <c r="T576" s="7">
        <f t="shared" si="4"/>
        <v>1</v>
      </c>
      <c r="U576" s="7">
        <f t="shared" si="5"/>
        <v>1</v>
      </c>
      <c r="V576" s="7">
        <f t="shared" ref="V576:W576" si="1095">IF(AVERAGE(T516:T575) &gt; 0.25, 1, 0)</f>
        <v>1</v>
      </c>
      <c r="W576" s="7">
        <f t="shared" si="1095"/>
        <v>1</v>
      </c>
      <c r="X576" s="8">
        <v>1.0</v>
      </c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ht="22.5" customHeight="1">
      <c r="A577" s="6">
        <v>576.0</v>
      </c>
      <c r="B577" s="6">
        <v>127739.0</v>
      </c>
      <c r="C577" s="6">
        <v>1.21</v>
      </c>
      <c r="D577" s="6">
        <v>-0.21</v>
      </c>
      <c r="E577" s="6">
        <v>10.67</v>
      </c>
      <c r="F577" s="6">
        <v>-0.1</v>
      </c>
      <c r="G577" s="6">
        <v>0.0</v>
      </c>
      <c r="H577" s="6">
        <v>-0.01</v>
      </c>
      <c r="I577" s="6">
        <v>33.41</v>
      </c>
      <c r="J577" s="7">
        <f t="shared" ref="J577:O577" si="1096">abs(C577-C576)/200</f>
        <v>0.0002</v>
      </c>
      <c r="K577" s="7">
        <f t="shared" si="1096"/>
        <v>0.0005</v>
      </c>
      <c r="L577" s="7">
        <f t="shared" si="1096"/>
        <v>0.0015</v>
      </c>
      <c r="M577" s="7">
        <f t="shared" si="1096"/>
        <v>0.00015</v>
      </c>
      <c r="N577" s="7">
        <f t="shared" si="1096"/>
        <v>0.0003</v>
      </c>
      <c r="O577" s="7">
        <f t="shared" si="1096"/>
        <v>0</v>
      </c>
      <c r="P577" s="7">
        <f t="shared" si="7"/>
        <v>0.04302824473</v>
      </c>
      <c r="Q577" s="7">
        <f t="shared" si="8"/>
        <v>0.3048961205</v>
      </c>
      <c r="R577" s="7">
        <f t="shared" si="2"/>
        <v>0.9404422628</v>
      </c>
      <c r="S577" s="7">
        <f t="shared" si="3"/>
        <v>0.1004987562</v>
      </c>
      <c r="T577" s="7">
        <f t="shared" si="4"/>
        <v>1</v>
      </c>
      <c r="U577" s="7">
        <f t="shared" si="5"/>
        <v>0</v>
      </c>
      <c r="V577" s="7">
        <f t="shared" ref="V577:W577" si="1097">IF(AVERAGE(T517:T576) &gt; 0.25, 1, 0)</f>
        <v>1</v>
      </c>
      <c r="W577" s="7">
        <f t="shared" si="1097"/>
        <v>1</v>
      </c>
      <c r="X577" s="8">
        <v>1.0</v>
      </c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ht="22.5" customHeight="1">
      <c r="A578" s="6">
        <v>577.0</v>
      </c>
      <c r="B578" s="6">
        <v>127943.0</v>
      </c>
      <c r="C578" s="6">
        <v>1.22</v>
      </c>
      <c r="D578" s="6">
        <v>-0.2</v>
      </c>
      <c r="E578" s="6">
        <v>10.68</v>
      </c>
      <c r="F578" s="6">
        <v>-0.1</v>
      </c>
      <c r="G578" s="6">
        <v>0.0</v>
      </c>
      <c r="H578" s="6">
        <v>-0.01</v>
      </c>
      <c r="I578" s="6">
        <v>33.41</v>
      </c>
      <c r="J578" s="7">
        <f t="shared" ref="J578:O578" si="1098">abs(C578-C577)/200</f>
        <v>0.00005</v>
      </c>
      <c r="K578" s="7">
        <f t="shared" si="1098"/>
        <v>0.00005</v>
      </c>
      <c r="L578" s="7">
        <f t="shared" si="1098"/>
        <v>0.00005</v>
      </c>
      <c r="M578" s="7">
        <f t="shared" si="1098"/>
        <v>0</v>
      </c>
      <c r="N578" s="7">
        <f t="shared" si="1098"/>
        <v>0</v>
      </c>
      <c r="O578" s="7">
        <f t="shared" si="1098"/>
        <v>0</v>
      </c>
      <c r="P578" s="7">
        <f t="shared" si="7"/>
        <v>0</v>
      </c>
      <c r="Q578" s="7">
        <f t="shared" si="8"/>
        <v>0.01087393572</v>
      </c>
      <c r="R578" s="7">
        <f t="shared" si="2"/>
        <v>0.9513161985</v>
      </c>
      <c r="S578" s="7">
        <f t="shared" si="3"/>
        <v>0.1004987562</v>
      </c>
      <c r="T578" s="7">
        <f t="shared" si="4"/>
        <v>0</v>
      </c>
      <c r="U578" s="7">
        <f t="shared" si="5"/>
        <v>0</v>
      </c>
      <c r="V578" s="7">
        <f t="shared" ref="V578:W578" si="1099">IF(AVERAGE(T518:T577) &gt; 0.25, 1, 0)</f>
        <v>1</v>
      </c>
      <c r="W578" s="7">
        <f t="shared" si="1099"/>
        <v>1</v>
      </c>
      <c r="X578" s="8">
        <v>1.0</v>
      </c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ht="22.5" customHeight="1">
      <c r="A579" s="6">
        <v>578.0</v>
      </c>
      <c r="B579" s="6">
        <v>128147.0</v>
      </c>
      <c r="C579" s="6">
        <v>1.23</v>
      </c>
      <c r="D579" s="6">
        <v>-0.2</v>
      </c>
      <c r="E579" s="6">
        <v>10.68</v>
      </c>
      <c r="F579" s="6">
        <v>-0.1</v>
      </c>
      <c r="G579" s="6">
        <v>0.0</v>
      </c>
      <c r="H579" s="6">
        <v>-0.01</v>
      </c>
      <c r="I579" s="6">
        <v>33.41</v>
      </c>
      <c r="J579" s="7">
        <f t="shared" ref="J579:O579" si="1100">abs(C579-C578)/200</f>
        <v>0.00005</v>
      </c>
      <c r="K579" s="7">
        <f t="shared" si="1100"/>
        <v>0</v>
      </c>
      <c r="L579" s="7">
        <f t="shared" si="1100"/>
        <v>0</v>
      </c>
      <c r="M579" s="7">
        <f t="shared" si="1100"/>
        <v>0</v>
      </c>
      <c r="N579" s="7">
        <f t="shared" si="1100"/>
        <v>0</v>
      </c>
      <c r="O579" s="7">
        <f t="shared" si="1100"/>
        <v>0</v>
      </c>
      <c r="P579" s="7">
        <f t="shared" si="7"/>
        <v>0</v>
      </c>
      <c r="Q579" s="7">
        <f t="shared" si="8"/>
        <v>0.001139335011</v>
      </c>
      <c r="R579" s="7">
        <f t="shared" si="2"/>
        <v>0.9524555335</v>
      </c>
      <c r="S579" s="7">
        <f t="shared" si="3"/>
        <v>0.1004987562</v>
      </c>
      <c r="T579" s="7">
        <f t="shared" si="4"/>
        <v>0</v>
      </c>
      <c r="U579" s="7">
        <f t="shared" si="5"/>
        <v>0</v>
      </c>
      <c r="V579" s="7">
        <f t="shared" ref="V579:W579" si="1101">IF(AVERAGE(T519:T578) &gt; 0.25, 1, 0)</f>
        <v>1</v>
      </c>
      <c r="W579" s="7">
        <f t="shared" si="1101"/>
        <v>1</v>
      </c>
      <c r="X579" s="8">
        <v>1.0</v>
      </c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ht="22.5" customHeight="1">
      <c r="A580" s="6">
        <v>579.0</v>
      </c>
      <c r="B580" s="6">
        <v>128351.0</v>
      </c>
      <c r="C580" s="6">
        <v>1.22</v>
      </c>
      <c r="D580" s="6">
        <v>-0.2</v>
      </c>
      <c r="E580" s="6">
        <v>10.67</v>
      </c>
      <c r="F580" s="6">
        <v>-0.1</v>
      </c>
      <c r="G580" s="6">
        <v>0.0</v>
      </c>
      <c r="H580" s="6">
        <v>-0.01</v>
      </c>
      <c r="I580" s="6">
        <v>33.41</v>
      </c>
      <c r="J580" s="7">
        <f t="shared" ref="J580:O580" si="1102">abs(C580-C579)/200</f>
        <v>0.00005</v>
      </c>
      <c r="K580" s="7">
        <f t="shared" si="1102"/>
        <v>0</v>
      </c>
      <c r="L580" s="7">
        <f t="shared" si="1102"/>
        <v>0.00005</v>
      </c>
      <c r="M580" s="7">
        <f t="shared" si="1102"/>
        <v>0</v>
      </c>
      <c r="N580" s="7">
        <f t="shared" si="1102"/>
        <v>0</v>
      </c>
      <c r="O580" s="7">
        <f t="shared" si="1102"/>
        <v>0</v>
      </c>
      <c r="P580" s="7">
        <f t="shared" si="7"/>
        <v>0</v>
      </c>
      <c r="Q580" s="7">
        <f t="shared" si="8"/>
        <v>0.01107294093</v>
      </c>
      <c r="R580" s="7">
        <f t="shared" si="2"/>
        <v>0.9413825926</v>
      </c>
      <c r="S580" s="7">
        <f t="shared" si="3"/>
        <v>0.1004987562</v>
      </c>
      <c r="T580" s="7">
        <f t="shared" si="4"/>
        <v>0</v>
      </c>
      <c r="U580" s="7">
        <f t="shared" si="5"/>
        <v>0</v>
      </c>
      <c r="V580" s="7">
        <f t="shared" ref="V580:W580" si="1103">IF(AVERAGE(T520:T579) &gt; 0.25, 1, 0)</f>
        <v>1</v>
      </c>
      <c r="W580" s="7">
        <f t="shared" si="1103"/>
        <v>1</v>
      </c>
      <c r="X580" s="8">
        <v>1.0</v>
      </c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ht="22.5" customHeight="1">
      <c r="A581" s="6">
        <v>580.0</v>
      </c>
      <c r="B581" s="6">
        <v>128555.0</v>
      </c>
      <c r="C581" s="6">
        <v>1.22</v>
      </c>
      <c r="D581" s="6">
        <v>-0.2</v>
      </c>
      <c r="E581" s="6">
        <v>10.68</v>
      </c>
      <c r="F581" s="6">
        <v>-0.1</v>
      </c>
      <c r="G581" s="6">
        <v>0.0</v>
      </c>
      <c r="H581" s="6">
        <v>-0.01</v>
      </c>
      <c r="I581" s="6">
        <v>33.41</v>
      </c>
      <c r="J581" s="7">
        <f t="shared" ref="J581:O581" si="1104">abs(C581-C580)/200</f>
        <v>0</v>
      </c>
      <c r="K581" s="7">
        <f t="shared" si="1104"/>
        <v>0</v>
      </c>
      <c r="L581" s="7">
        <f t="shared" si="1104"/>
        <v>0.00005</v>
      </c>
      <c r="M581" s="7">
        <f t="shared" si="1104"/>
        <v>0</v>
      </c>
      <c r="N581" s="7">
        <f t="shared" si="1104"/>
        <v>0</v>
      </c>
      <c r="O581" s="7">
        <f t="shared" si="1104"/>
        <v>0</v>
      </c>
      <c r="P581" s="7">
        <f t="shared" si="7"/>
        <v>0</v>
      </c>
      <c r="Q581" s="7">
        <f t="shared" si="8"/>
        <v>0.009933605922</v>
      </c>
      <c r="R581" s="7">
        <f t="shared" si="2"/>
        <v>0.9513161985</v>
      </c>
      <c r="S581" s="7">
        <f t="shared" si="3"/>
        <v>0.1004987562</v>
      </c>
      <c r="T581" s="7">
        <f t="shared" si="4"/>
        <v>0</v>
      </c>
      <c r="U581" s="7">
        <f t="shared" si="5"/>
        <v>0</v>
      </c>
      <c r="V581" s="7">
        <f t="shared" ref="V581:W581" si="1105">IF(AVERAGE(T521:T580) &gt; 0.25, 1, 0)</f>
        <v>1</v>
      </c>
      <c r="W581" s="7">
        <f t="shared" si="1105"/>
        <v>1</v>
      </c>
      <c r="X581" s="8">
        <v>1.0</v>
      </c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ht="22.5" customHeight="1">
      <c r="A582" s="6">
        <v>581.0</v>
      </c>
      <c r="B582" s="6">
        <v>128759.0</v>
      </c>
      <c r="C582" s="6">
        <v>1.23</v>
      </c>
      <c r="D582" s="6">
        <v>-0.19</v>
      </c>
      <c r="E582" s="6">
        <v>10.68</v>
      </c>
      <c r="F582" s="6">
        <v>-0.1</v>
      </c>
      <c r="G582" s="6">
        <v>0.0</v>
      </c>
      <c r="H582" s="6">
        <v>-0.01</v>
      </c>
      <c r="I582" s="6">
        <v>33.42</v>
      </c>
      <c r="J582" s="7">
        <f t="shared" ref="J582:O582" si="1106">abs(C582-C581)/200</f>
        <v>0.00005</v>
      </c>
      <c r="K582" s="7">
        <f t="shared" si="1106"/>
        <v>0.00005</v>
      </c>
      <c r="L582" s="7">
        <f t="shared" si="1106"/>
        <v>0</v>
      </c>
      <c r="M582" s="7">
        <f t="shared" si="1106"/>
        <v>0</v>
      </c>
      <c r="N582" s="7">
        <f t="shared" si="1106"/>
        <v>0</v>
      </c>
      <c r="O582" s="7">
        <f t="shared" si="1106"/>
        <v>0</v>
      </c>
      <c r="P582" s="7">
        <f t="shared" si="7"/>
        <v>0</v>
      </c>
      <c r="Q582" s="7">
        <f t="shared" si="8"/>
        <v>0.0009579795578</v>
      </c>
      <c r="R582" s="7">
        <f t="shared" si="2"/>
        <v>0.9522741781</v>
      </c>
      <c r="S582" s="7">
        <f t="shared" si="3"/>
        <v>0.1004987562</v>
      </c>
      <c r="T582" s="7">
        <f t="shared" si="4"/>
        <v>0</v>
      </c>
      <c r="U582" s="7">
        <f t="shared" si="5"/>
        <v>0</v>
      </c>
      <c r="V582" s="7">
        <f t="shared" ref="V582:W582" si="1107">IF(AVERAGE(T522:T581) &gt; 0.25, 1, 0)</f>
        <v>1</v>
      </c>
      <c r="W582" s="7">
        <f t="shared" si="1107"/>
        <v>1</v>
      </c>
      <c r="X582" s="8">
        <v>1.0</v>
      </c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ht="22.5" customHeight="1">
      <c r="A583" s="6">
        <v>582.0</v>
      </c>
      <c r="B583" s="6">
        <v>128963.0</v>
      </c>
      <c r="C583" s="6">
        <v>1.22</v>
      </c>
      <c r="D583" s="6">
        <v>-0.2</v>
      </c>
      <c r="E583" s="6">
        <v>10.68</v>
      </c>
      <c r="F583" s="6">
        <v>-0.1</v>
      </c>
      <c r="G583" s="6">
        <v>0.0</v>
      </c>
      <c r="H583" s="6">
        <v>-0.01</v>
      </c>
      <c r="I583" s="6">
        <v>33.41</v>
      </c>
      <c r="J583" s="7">
        <f t="shared" ref="J583:O583" si="1108">abs(C583-C582)/200</f>
        <v>0.00005</v>
      </c>
      <c r="K583" s="7">
        <f t="shared" si="1108"/>
        <v>0.00005</v>
      </c>
      <c r="L583" s="7">
        <f t="shared" si="1108"/>
        <v>0</v>
      </c>
      <c r="M583" s="7">
        <f t="shared" si="1108"/>
        <v>0</v>
      </c>
      <c r="N583" s="7">
        <f t="shared" si="1108"/>
        <v>0</v>
      </c>
      <c r="O583" s="7">
        <f t="shared" si="1108"/>
        <v>0</v>
      </c>
      <c r="P583" s="7">
        <f t="shared" si="7"/>
        <v>0</v>
      </c>
      <c r="Q583" s="7">
        <f t="shared" si="8"/>
        <v>0.0009579795578</v>
      </c>
      <c r="R583" s="7">
        <f t="shared" si="2"/>
        <v>0.9513161985</v>
      </c>
      <c r="S583" s="7">
        <f t="shared" si="3"/>
        <v>0.1004987562</v>
      </c>
      <c r="T583" s="7">
        <f t="shared" si="4"/>
        <v>0</v>
      </c>
      <c r="U583" s="7">
        <f t="shared" si="5"/>
        <v>0</v>
      </c>
      <c r="V583" s="7">
        <f t="shared" ref="V583:W583" si="1109">IF(AVERAGE(T523:T582) &gt; 0.25, 1, 0)</f>
        <v>1</v>
      </c>
      <c r="W583" s="7">
        <f t="shared" si="1109"/>
        <v>1</v>
      </c>
      <c r="X583" s="8">
        <v>1.0</v>
      </c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ht="22.5" customHeight="1">
      <c r="A584" s="6">
        <v>583.0</v>
      </c>
      <c r="B584" s="6">
        <v>129167.0</v>
      </c>
      <c r="C584" s="6">
        <v>1.23</v>
      </c>
      <c r="D584" s="6">
        <v>-0.2</v>
      </c>
      <c r="E584" s="6">
        <v>10.68</v>
      </c>
      <c r="F584" s="6">
        <v>-0.1</v>
      </c>
      <c r="G584" s="6">
        <v>0.0</v>
      </c>
      <c r="H584" s="6">
        <v>-0.01</v>
      </c>
      <c r="I584" s="6">
        <v>33.41</v>
      </c>
      <c r="J584" s="7">
        <f t="shared" ref="J584:O584" si="1110">abs(C584-C583)/200</f>
        <v>0.00005</v>
      </c>
      <c r="K584" s="7">
        <f t="shared" si="1110"/>
        <v>0</v>
      </c>
      <c r="L584" s="7">
        <f t="shared" si="1110"/>
        <v>0</v>
      </c>
      <c r="M584" s="7">
        <f t="shared" si="1110"/>
        <v>0</v>
      </c>
      <c r="N584" s="7">
        <f t="shared" si="1110"/>
        <v>0</v>
      </c>
      <c r="O584" s="7">
        <f t="shared" si="1110"/>
        <v>0</v>
      </c>
      <c r="P584" s="7">
        <f t="shared" si="7"/>
        <v>0</v>
      </c>
      <c r="Q584" s="7">
        <f t="shared" si="8"/>
        <v>0.001139335011</v>
      </c>
      <c r="R584" s="7">
        <f t="shared" si="2"/>
        <v>0.9524555335</v>
      </c>
      <c r="S584" s="7">
        <f t="shared" si="3"/>
        <v>0.1004987562</v>
      </c>
      <c r="T584" s="7">
        <f t="shared" si="4"/>
        <v>0</v>
      </c>
      <c r="U584" s="7">
        <f t="shared" si="5"/>
        <v>0</v>
      </c>
      <c r="V584" s="7">
        <f t="shared" ref="V584:W584" si="1111">IF(AVERAGE(T524:T583) &gt; 0.25, 1, 0)</f>
        <v>1</v>
      </c>
      <c r="W584" s="7">
        <f t="shared" si="1111"/>
        <v>1</v>
      </c>
      <c r="X584" s="8">
        <v>1.0</v>
      </c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ht="22.5" customHeight="1">
      <c r="A585" s="6">
        <v>584.0</v>
      </c>
      <c r="B585" s="6">
        <v>129371.0</v>
      </c>
      <c r="C585" s="6">
        <v>1.23</v>
      </c>
      <c r="D585" s="6">
        <v>-0.21</v>
      </c>
      <c r="E585" s="6">
        <v>10.69</v>
      </c>
      <c r="F585" s="6">
        <v>-0.1</v>
      </c>
      <c r="G585" s="6">
        <v>0.0</v>
      </c>
      <c r="H585" s="6">
        <v>-0.01</v>
      </c>
      <c r="I585" s="6">
        <v>33.42</v>
      </c>
      <c r="J585" s="7">
        <f t="shared" ref="J585:O585" si="1112">abs(C585-C584)/200</f>
        <v>0</v>
      </c>
      <c r="K585" s="7">
        <f t="shared" si="1112"/>
        <v>0.00005</v>
      </c>
      <c r="L585" s="7">
        <f t="shared" si="1112"/>
        <v>0.00005</v>
      </c>
      <c r="M585" s="7">
        <f t="shared" si="1112"/>
        <v>0</v>
      </c>
      <c r="N585" s="7">
        <f t="shared" si="1112"/>
        <v>0</v>
      </c>
      <c r="O585" s="7">
        <f t="shared" si="1112"/>
        <v>0</v>
      </c>
      <c r="P585" s="7">
        <f t="shared" si="7"/>
        <v>0</v>
      </c>
      <c r="Q585" s="7">
        <f t="shared" si="8"/>
        <v>0.01012315378</v>
      </c>
      <c r="R585" s="7">
        <f t="shared" si="2"/>
        <v>0.9625786873</v>
      </c>
      <c r="S585" s="7">
        <f t="shared" si="3"/>
        <v>0.1004987562</v>
      </c>
      <c r="T585" s="7">
        <f t="shared" si="4"/>
        <v>0</v>
      </c>
      <c r="U585" s="7">
        <f t="shared" si="5"/>
        <v>0</v>
      </c>
      <c r="V585" s="7">
        <f t="shared" ref="V585:W585" si="1113">IF(AVERAGE(T525:T584) &gt; 0.25, 1, 0)</f>
        <v>1</v>
      </c>
      <c r="W585" s="7">
        <f t="shared" si="1113"/>
        <v>1</v>
      </c>
      <c r="X585" s="8">
        <v>1.0</v>
      </c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ht="22.5" customHeight="1">
      <c r="A586" s="6">
        <v>585.0</v>
      </c>
      <c r="B586" s="6">
        <v>129575.0</v>
      </c>
      <c r="C586" s="6">
        <v>1.23</v>
      </c>
      <c r="D586" s="6">
        <v>-0.2</v>
      </c>
      <c r="E586" s="6">
        <v>10.68</v>
      </c>
      <c r="F586" s="6">
        <v>-0.1</v>
      </c>
      <c r="G586" s="6">
        <v>0.0</v>
      </c>
      <c r="H586" s="6">
        <v>-0.01</v>
      </c>
      <c r="I586" s="6">
        <v>33.42</v>
      </c>
      <c r="J586" s="7">
        <f t="shared" ref="J586:O586" si="1114">abs(C586-C585)/200</f>
        <v>0</v>
      </c>
      <c r="K586" s="7">
        <f t="shared" si="1114"/>
        <v>0.00005</v>
      </c>
      <c r="L586" s="7">
        <f t="shared" si="1114"/>
        <v>0.00005</v>
      </c>
      <c r="M586" s="7">
        <f t="shared" si="1114"/>
        <v>0</v>
      </c>
      <c r="N586" s="7">
        <f t="shared" si="1114"/>
        <v>0</v>
      </c>
      <c r="O586" s="7">
        <f t="shared" si="1114"/>
        <v>0</v>
      </c>
      <c r="P586" s="7">
        <f t="shared" si="7"/>
        <v>0</v>
      </c>
      <c r="Q586" s="7">
        <f t="shared" si="8"/>
        <v>0.01012315378</v>
      </c>
      <c r="R586" s="7">
        <f t="shared" si="2"/>
        <v>0.9524555335</v>
      </c>
      <c r="S586" s="7">
        <f t="shared" si="3"/>
        <v>0.1004987562</v>
      </c>
      <c r="T586" s="7">
        <f t="shared" si="4"/>
        <v>0</v>
      </c>
      <c r="U586" s="7">
        <f t="shared" si="5"/>
        <v>0</v>
      </c>
      <c r="V586" s="7">
        <f t="shared" ref="V586:W586" si="1115">IF(AVERAGE(T526:T585) &gt; 0.25, 1, 0)</f>
        <v>1</v>
      </c>
      <c r="W586" s="7">
        <f t="shared" si="1115"/>
        <v>1</v>
      </c>
      <c r="X586" s="8">
        <v>1.0</v>
      </c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ht="22.5" customHeight="1">
      <c r="A587" s="6">
        <v>586.0</v>
      </c>
      <c r="B587" s="6">
        <v>129779.0</v>
      </c>
      <c r="C587" s="6">
        <v>1.23</v>
      </c>
      <c r="D587" s="6">
        <v>-0.21</v>
      </c>
      <c r="E587" s="6">
        <v>10.68</v>
      </c>
      <c r="F587" s="6">
        <v>-0.1</v>
      </c>
      <c r="G587" s="6">
        <v>0.0</v>
      </c>
      <c r="H587" s="6">
        <v>-0.01</v>
      </c>
      <c r="I587" s="6">
        <v>33.41</v>
      </c>
      <c r="J587" s="7">
        <f t="shared" ref="J587:O587" si="1116">abs(C587-C586)/200</f>
        <v>0</v>
      </c>
      <c r="K587" s="7">
        <f t="shared" si="1116"/>
        <v>0.00005</v>
      </c>
      <c r="L587" s="7">
        <f t="shared" si="1116"/>
        <v>0</v>
      </c>
      <c r="M587" s="7">
        <f t="shared" si="1116"/>
        <v>0</v>
      </c>
      <c r="N587" s="7">
        <f t="shared" si="1116"/>
        <v>0</v>
      </c>
      <c r="O587" s="7">
        <f t="shared" si="1116"/>
        <v>0</v>
      </c>
      <c r="P587" s="7">
        <f t="shared" si="7"/>
        <v>0</v>
      </c>
      <c r="Q587" s="7">
        <f t="shared" si="8"/>
        <v>0.0001906524346</v>
      </c>
      <c r="R587" s="7">
        <f t="shared" si="2"/>
        <v>0.9526461859</v>
      </c>
      <c r="S587" s="7">
        <f t="shared" si="3"/>
        <v>0.1004987562</v>
      </c>
      <c r="T587" s="7">
        <f t="shared" si="4"/>
        <v>0</v>
      </c>
      <c r="U587" s="7">
        <f t="shared" si="5"/>
        <v>0</v>
      </c>
      <c r="V587" s="7">
        <f t="shared" ref="V587:W587" si="1117">IF(AVERAGE(T527:T586) &gt; 0.25, 1, 0)</f>
        <v>1</v>
      </c>
      <c r="W587" s="7">
        <f t="shared" si="1117"/>
        <v>1</v>
      </c>
      <c r="X587" s="8">
        <v>1.0</v>
      </c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ht="22.5" customHeight="1">
      <c r="A588" s="6">
        <v>587.0</v>
      </c>
      <c r="B588" s="6">
        <v>129983.0</v>
      </c>
      <c r="C588" s="6">
        <v>1.22</v>
      </c>
      <c r="D588" s="6">
        <v>-0.2</v>
      </c>
      <c r="E588" s="6">
        <v>10.67</v>
      </c>
      <c r="F588" s="6">
        <v>-0.1</v>
      </c>
      <c r="G588" s="6">
        <v>0.0</v>
      </c>
      <c r="H588" s="6">
        <v>-0.01</v>
      </c>
      <c r="I588" s="6">
        <v>33.42</v>
      </c>
      <c r="J588" s="7">
        <f t="shared" ref="J588:O588" si="1118">abs(C588-C587)/200</f>
        <v>0.00005</v>
      </c>
      <c r="K588" s="7">
        <f t="shared" si="1118"/>
        <v>0.00005</v>
      </c>
      <c r="L588" s="7">
        <f t="shared" si="1118"/>
        <v>0.00005</v>
      </c>
      <c r="M588" s="7">
        <f t="shared" si="1118"/>
        <v>0</v>
      </c>
      <c r="N588" s="7">
        <f t="shared" si="1118"/>
        <v>0</v>
      </c>
      <c r="O588" s="7">
        <f t="shared" si="1118"/>
        <v>0</v>
      </c>
      <c r="P588" s="7">
        <f t="shared" si="7"/>
        <v>0</v>
      </c>
      <c r="Q588" s="7">
        <f t="shared" si="8"/>
        <v>0.01126359337</v>
      </c>
      <c r="R588" s="7">
        <f t="shared" si="2"/>
        <v>0.9413825926</v>
      </c>
      <c r="S588" s="7">
        <f t="shared" si="3"/>
        <v>0.1004987562</v>
      </c>
      <c r="T588" s="7">
        <f t="shared" si="4"/>
        <v>0</v>
      </c>
      <c r="U588" s="7">
        <f t="shared" si="5"/>
        <v>0</v>
      </c>
      <c r="V588" s="7">
        <f t="shared" ref="V588:W588" si="1119">IF(AVERAGE(T528:T587) &gt; 0.25, 1, 0)</f>
        <v>1</v>
      </c>
      <c r="W588" s="7">
        <f t="shared" si="1119"/>
        <v>1</v>
      </c>
      <c r="X588" s="8">
        <v>1.0</v>
      </c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ht="22.5" customHeight="1">
      <c r="A589" s="6">
        <v>588.0</v>
      </c>
      <c r="B589" s="6">
        <v>130187.0</v>
      </c>
      <c r="C589" s="6">
        <v>1.23</v>
      </c>
      <c r="D589" s="6">
        <v>-0.2</v>
      </c>
      <c r="E589" s="6">
        <v>10.67</v>
      </c>
      <c r="F589" s="6">
        <v>-0.1</v>
      </c>
      <c r="G589" s="6">
        <v>0.0</v>
      </c>
      <c r="H589" s="6">
        <v>-0.01</v>
      </c>
      <c r="I589" s="6">
        <v>33.42</v>
      </c>
      <c r="J589" s="7">
        <f t="shared" ref="J589:O589" si="1120">abs(C589-C588)/200</f>
        <v>0.00005</v>
      </c>
      <c r="K589" s="7">
        <f t="shared" si="1120"/>
        <v>0</v>
      </c>
      <c r="L589" s="7">
        <f t="shared" si="1120"/>
        <v>0</v>
      </c>
      <c r="M589" s="7">
        <f t="shared" si="1120"/>
        <v>0</v>
      </c>
      <c r="N589" s="7">
        <f t="shared" si="1120"/>
        <v>0</v>
      </c>
      <c r="O589" s="7">
        <f t="shared" si="1120"/>
        <v>0</v>
      </c>
      <c r="P589" s="7">
        <f t="shared" si="7"/>
        <v>0</v>
      </c>
      <c r="Q589" s="7">
        <f t="shared" si="8"/>
        <v>0.001140388553</v>
      </c>
      <c r="R589" s="7">
        <f t="shared" si="2"/>
        <v>0.9425229811</v>
      </c>
      <c r="S589" s="7">
        <f t="shared" si="3"/>
        <v>0.1004987562</v>
      </c>
      <c r="T589" s="7">
        <f t="shared" si="4"/>
        <v>0</v>
      </c>
      <c r="U589" s="7">
        <f t="shared" si="5"/>
        <v>0</v>
      </c>
      <c r="V589" s="7">
        <f t="shared" ref="V589:W589" si="1121">IF(AVERAGE(T529:T588) &gt; 0.25, 1, 0)</f>
        <v>1</v>
      </c>
      <c r="W589" s="7">
        <f t="shared" si="1121"/>
        <v>1</v>
      </c>
      <c r="X589" s="8">
        <v>1.0</v>
      </c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ht="22.5" customHeight="1">
      <c r="A590" s="6">
        <v>589.0</v>
      </c>
      <c r="B590" s="6">
        <v>130391.0</v>
      </c>
      <c r="C590" s="6">
        <v>1.22</v>
      </c>
      <c r="D590" s="6">
        <v>-0.2</v>
      </c>
      <c r="E590" s="6">
        <v>10.69</v>
      </c>
      <c r="F590" s="6">
        <v>-0.1</v>
      </c>
      <c r="G590" s="6">
        <v>0.0</v>
      </c>
      <c r="H590" s="6">
        <v>-0.01</v>
      </c>
      <c r="I590" s="6">
        <v>33.42</v>
      </c>
      <c r="J590" s="7">
        <f t="shared" ref="J590:O590" si="1122">abs(C590-C589)/200</f>
        <v>0.00005</v>
      </c>
      <c r="K590" s="7">
        <f t="shared" si="1122"/>
        <v>0</v>
      </c>
      <c r="L590" s="7">
        <f t="shared" si="1122"/>
        <v>0.0001</v>
      </c>
      <c r="M590" s="7">
        <f t="shared" si="1122"/>
        <v>0</v>
      </c>
      <c r="N590" s="7">
        <f t="shared" si="1122"/>
        <v>0</v>
      </c>
      <c r="O590" s="7">
        <f t="shared" si="1122"/>
        <v>0</v>
      </c>
      <c r="P590" s="7">
        <f t="shared" si="7"/>
        <v>0</v>
      </c>
      <c r="Q590" s="7">
        <f t="shared" si="8"/>
        <v>0.01872694628</v>
      </c>
      <c r="R590" s="7">
        <f t="shared" si="2"/>
        <v>0.9612499274</v>
      </c>
      <c r="S590" s="7">
        <f t="shared" si="3"/>
        <v>0.1004987562</v>
      </c>
      <c r="T590" s="7">
        <f t="shared" si="4"/>
        <v>0</v>
      </c>
      <c r="U590" s="7">
        <f t="shared" si="5"/>
        <v>0</v>
      </c>
      <c r="V590" s="7">
        <f t="shared" ref="V590:W590" si="1123">IF(AVERAGE(T530:T589) &gt; 0.25, 1, 0)</f>
        <v>1</v>
      </c>
      <c r="W590" s="7">
        <f t="shared" si="1123"/>
        <v>1</v>
      </c>
      <c r="X590" s="8">
        <v>1.0</v>
      </c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ht="22.5" customHeight="1">
      <c r="A591" s="6">
        <v>590.0</v>
      </c>
      <c r="B591" s="6">
        <v>130595.0</v>
      </c>
      <c r="C591" s="6">
        <v>1.22</v>
      </c>
      <c r="D591" s="6">
        <v>-0.21</v>
      </c>
      <c r="E591" s="6">
        <v>10.68</v>
      </c>
      <c r="F591" s="6">
        <v>-0.1</v>
      </c>
      <c r="G591" s="6">
        <v>0.0</v>
      </c>
      <c r="H591" s="6">
        <v>-0.01</v>
      </c>
      <c r="I591" s="6">
        <v>33.41</v>
      </c>
      <c r="J591" s="7">
        <f t="shared" ref="J591:O591" si="1124">abs(C591-C590)/200</f>
        <v>0</v>
      </c>
      <c r="K591" s="7">
        <f t="shared" si="1124"/>
        <v>0.00005</v>
      </c>
      <c r="L591" s="7">
        <f t="shared" si="1124"/>
        <v>0.00005</v>
      </c>
      <c r="M591" s="7">
        <f t="shared" si="1124"/>
        <v>0</v>
      </c>
      <c r="N591" s="7">
        <f t="shared" si="1124"/>
        <v>0</v>
      </c>
      <c r="O591" s="7">
        <f t="shared" si="1124"/>
        <v>0</v>
      </c>
      <c r="P591" s="7">
        <f t="shared" si="7"/>
        <v>0</v>
      </c>
      <c r="Q591" s="7">
        <f t="shared" si="8"/>
        <v>0.009743056269</v>
      </c>
      <c r="R591" s="7">
        <f t="shared" si="2"/>
        <v>0.9515068711</v>
      </c>
      <c r="S591" s="7">
        <f t="shared" si="3"/>
        <v>0.1004987562</v>
      </c>
      <c r="T591" s="7">
        <f t="shared" si="4"/>
        <v>0</v>
      </c>
      <c r="U591" s="7">
        <f t="shared" si="5"/>
        <v>0</v>
      </c>
      <c r="V591" s="7">
        <f t="shared" ref="V591:W591" si="1125">IF(AVERAGE(T531:T590) &gt; 0.25, 1, 0)</f>
        <v>1</v>
      </c>
      <c r="W591" s="7">
        <f t="shared" si="1125"/>
        <v>1</v>
      </c>
      <c r="X591" s="8">
        <v>1.0</v>
      </c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ht="22.5" customHeight="1">
      <c r="A592" s="6">
        <v>591.0</v>
      </c>
      <c r="B592" s="6">
        <v>130799.0</v>
      </c>
      <c r="C592" s="6">
        <v>1.22</v>
      </c>
      <c r="D592" s="6">
        <v>-0.2</v>
      </c>
      <c r="E592" s="6">
        <v>10.66</v>
      </c>
      <c r="F592" s="6">
        <v>-0.1</v>
      </c>
      <c r="G592" s="6">
        <v>0.0</v>
      </c>
      <c r="H592" s="6">
        <v>-0.01</v>
      </c>
      <c r="I592" s="6">
        <v>33.41</v>
      </c>
      <c r="J592" s="7">
        <f t="shared" ref="J592:O592" si="1126">abs(C592-C591)/200</f>
        <v>0</v>
      </c>
      <c r="K592" s="7">
        <f t="shared" si="1126"/>
        <v>0.00005</v>
      </c>
      <c r="L592" s="7">
        <f t="shared" si="1126"/>
        <v>0.0001</v>
      </c>
      <c r="M592" s="7">
        <f t="shared" si="1126"/>
        <v>0</v>
      </c>
      <c r="N592" s="7">
        <f t="shared" si="1126"/>
        <v>0</v>
      </c>
      <c r="O592" s="7">
        <f t="shared" si="1126"/>
        <v>0</v>
      </c>
      <c r="P592" s="7">
        <f t="shared" si="7"/>
        <v>0</v>
      </c>
      <c r="Q592" s="7">
        <f t="shared" si="8"/>
        <v>0.02005776116</v>
      </c>
      <c r="R592" s="7">
        <f t="shared" si="2"/>
        <v>0.93144911</v>
      </c>
      <c r="S592" s="7">
        <f t="shared" si="3"/>
        <v>0.1004987562</v>
      </c>
      <c r="T592" s="7">
        <f t="shared" si="4"/>
        <v>0</v>
      </c>
      <c r="U592" s="7">
        <f t="shared" si="5"/>
        <v>0</v>
      </c>
      <c r="V592" s="7">
        <f t="shared" ref="V592:W592" si="1127">IF(AVERAGE(T532:T591) &gt; 0.25, 1, 0)</f>
        <v>1</v>
      </c>
      <c r="W592" s="7">
        <f t="shared" si="1127"/>
        <v>1</v>
      </c>
      <c r="X592" s="8">
        <v>1.0</v>
      </c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ht="22.5" customHeight="1">
      <c r="A593" s="6">
        <v>592.0</v>
      </c>
      <c r="B593" s="6">
        <v>131003.0</v>
      </c>
      <c r="C593" s="6">
        <v>1.23</v>
      </c>
      <c r="D593" s="6">
        <v>-0.2</v>
      </c>
      <c r="E593" s="6">
        <v>10.67</v>
      </c>
      <c r="F593" s="6">
        <v>-0.1</v>
      </c>
      <c r="G593" s="6">
        <v>0.0</v>
      </c>
      <c r="H593" s="6">
        <v>-0.01</v>
      </c>
      <c r="I593" s="6">
        <v>33.42</v>
      </c>
      <c r="J593" s="7">
        <f t="shared" ref="J593:O593" si="1128">abs(C593-C592)/200</f>
        <v>0.00005</v>
      </c>
      <c r="K593" s="7">
        <f t="shared" si="1128"/>
        <v>0</v>
      </c>
      <c r="L593" s="7">
        <f t="shared" si="1128"/>
        <v>0.00005</v>
      </c>
      <c r="M593" s="7">
        <f t="shared" si="1128"/>
        <v>0</v>
      </c>
      <c r="N593" s="7">
        <f t="shared" si="1128"/>
        <v>0</v>
      </c>
      <c r="O593" s="7">
        <f t="shared" si="1128"/>
        <v>0</v>
      </c>
      <c r="P593" s="7">
        <f t="shared" si="7"/>
        <v>0</v>
      </c>
      <c r="Q593" s="7">
        <f t="shared" si="8"/>
        <v>0.01107387115</v>
      </c>
      <c r="R593" s="7">
        <f t="shared" si="2"/>
        <v>0.9425229811</v>
      </c>
      <c r="S593" s="7">
        <f t="shared" si="3"/>
        <v>0.1004987562</v>
      </c>
      <c r="T593" s="7">
        <f t="shared" si="4"/>
        <v>0</v>
      </c>
      <c r="U593" s="7">
        <f t="shared" si="5"/>
        <v>0</v>
      </c>
      <c r="V593" s="7">
        <f t="shared" ref="V593:W593" si="1129">IF(AVERAGE(T533:T592) &gt; 0.25, 1, 0)</f>
        <v>1</v>
      </c>
      <c r="W593" s="7">
        <f t="shared" si="1129"/>
        <v>1</v>
      </c>
      <c r="X593" s="8">
        <v>1.0</v>
      </c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ht="22.5" customHeight="1">
      <c r="A594" s="6">
        <v>593.0</v>
      </c>
      <c r="B594" s="6">
        <v>131207.0</v>
      </c>
      <c r="C594" s="6">
        <v>1.23</v>
      </c>
      <c r="D594" s="6">
        <v>-0.2</v>
      </c>
      <c r="E594" s="6">
        <v>10.66</v>
      </c>
      <c r="F594" s="6">
        <v>-0.1</v>
      </c>
      <c r="G594" s="6">
        <v>0.0</v>
      </c>
      <c r="H594" s="6">
        <v>-0.01</v>
      </c>
      <c r="I594" s="6">
        <v>33.42</v>
      </c>
      <c r="J594" s="7">
        <f t="shared" ref="J594:O594" si="1130">abs(C594-C593)/200</f>
        <v>0</v>
      </c>
      <c r="K594" s="7">
        <f t="shared" si="1130"/>
        <v>0</v>
      </c>
      <c r="L594" s="7">
        <f t="shared" si="1130"/>
        <v>0.00005</v>
      </c>
      <c r="M594" s="7">
        <f t="shared" si="1130"/>
        <v>0</v>
      </c>
      <c r="N594" s="7">
        <f t="shared" si="1130"/>
        <v>0</v>
      </c>
      <c r="O594" s="7">
        <f t="shared" si="1130"/>
        <v>0</v>
      </c>
      <c r="P594" s="7">
        <f t="shared" si="7"/>
        <v>0</v>
      </c>
      <c r="Q594" s="7">
        <f t="shared" si="8"/>
        <v>0.009932427116</v>
      </c>
      <c r="R594" s="7">
        <f t="shared" si="2"/>
        <v>0.932590554</v>
      </c>
      <c r="S594" s="7">
        <f t="shared" si="3"/>
        <v>0.1004987562</v>
      </c>
      <c r="T594" s="7">
        <f t="shared" si="4"/>
        <v>0</v>
      </c>
      <c r="U594" s="7">
        <f t="shared" si="5"/>
        <v>0</v>
      </c>
      <c r="V594" s="7">
        <f t="shared" ref="V594:W594" si="1131">IF(AVERAGE(T534:T593) &gt; 0.25, 1, 0)</f>
        <v>1</v>
      </c>
      <c r="W594" s="7">
        <f t="shared" si="1131"/>
        <v>1</v>
      </c>
      <c r="X594" s="8">
        <v>1.0</v>
      </c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ht="22.5" customHeight="1">
      <c r="A595" s="6">
        <v>594.0</v>
      </c>
      <c r="B595" s="6">
        <v>131411.0</v>
      </c>
      <c r="C595" s="6">
        <v>1.22</v>
      </c>
      <c r="D595" s="6">
        <v>-0.2</v>
      </c>
      <c r="E595" s="6">
        <v>10.67</v>
      </c>
      <c r="F595" s="6">
        <v>-0.1</v>
      </c>
      <c r="G595" s="6">
        <v>0.0</v>
      </c>
      <c r="H595" s="6">
        <v>-0.01</v>
      </c>
      <c r="I595" s="6">
        <v>33.41</v>
      </c>
      <c r="J595" s="7">
        <f t="shared" ref="J595:O595" si="1132">abs(C595-C594)/200</f>
        <v>0.00005</v>
      </c>
      <c r="K595" s="7">
        <f t="shared" si="1132"/>
        <v>0</v>
      </c>
      <c r="L595" s="7">
        <f t="shared" si="1132"/>
        <v>0.00005</v>
      </c>
      <c r="M595" s="7">
        <f t="shared" si="1132"/>
        <v>0</v>
      </c>
      <c r="N595" s="7">
        <f t="shared" si="1132"/>
        <v>0</v>
      </c>
      <c r="O595" s="7">
        <f t="shared" si="1132"/>
        <v>0</v>
      </c>
      <c r="P595" s="7">
        <f t="shared" si="7"/>
        <v>0</v>
      </c>
      <c r="Q595" s="7">
        <f t="shared" si="8"/>
        <v>0.008792038563</v>
      </c>
      <c r="R595" s="7">
        <f t="shared" si="2"/>
        <v>0.9413825926</v>
      </c>
      <c r="S595" s="7">
        <f t="shared" si="3"/>
        <v>0.1004987562</v>
      </c>
      <c r="T595" s="7">
        <f t="shared" si="4"/>
        <v>0</v>
      </c>
      <c r="U595" s="7">
        <f t="shared" si="5"/>
        <v>0</v>
      </c>
      <c r="V595" s="7">
        <f t="shared" ref="V595:W595" si="1133">IF(AVERAGE(T535:T594) &gt; 0.25, 1, 0)</f>
        <v>1</v>
      </c>
      <c r="W595" s="7">
        <f t="shared" si="1133"/>
        <v>1</v>
      </c>
      <c r="X595" s="8">
        <v>1.0</v>
      </c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ht="22.5" customHeight="1">
      <c r="A596" s="6">
        <v>595.0</v>
      </c>
      <c r="B596" s="6">
        <v>131615.0</v>
      </c>
      <c r="C596" s="6">
        <v>1.22</v>
      </c>
      <c r="D596" s="6">
        <v>-0.21</v>
      </c>
      <c r="E596" s="6">
        <v>10.68</v>
      </c>
      <c r="F596" s="6">
        <v>-0.1</v>
      </c>
      <c r="G596" s="6">
        <v>0.0</v>
      </c>
      <c r="H596" s="6">
        <v>-0.01</v>
      </c>
      <c r="I596" s="6">
        <v>33.42</v>
      </c>
      <c r="J596" s="7">
        <f t="shared" ref="J596:O596" si="1134">abs(C596-C595)/200</f>
        <v>0</v>
      </c>
      <c r="K596" s="7">
        <f t="shared" si="1134"/>
        <v>0.00005</v>
      </c>
      <c r="L596" s="7">
        <f t="shared" si="1134"/>
        <v>0.00005</v>
      </c>
      <c r="M596" s="7">
        <f t="shared" si="1134"/>
        <v>0</v>
      </c>
      <c r="N596" s="7">
        <f t="shared" si="1134"/>
        <v>0</v>
      </c>
      <c r="O596" s="7">
        <f t="shared" si="1134"/>
        <v>0</v>
      </c>
      <c r="P596" s="7">
        <f t="shared" si="7"/>
        <v>0</v>
      </c>
      <c r="Q596" s="7">
        <f t="shared" si="8"/>
        <v>0.01012427856</v>
      </c>
      <c r="R596" s="7">
        <f t="shared" si="2"/>
        <v>0.9515068711</v>
      </c>
      <c r="S596" s="7">
        <f t="shared" si="3"/>
        <v>0.1004987562</v>
      </c>
      <c r="T596" s="7">
        <f t="shared" si="4"/>
        <v>0</v>
      </c>
      <c r="U596" s="7">
        <f t="shared" si="5"/>
        <v>0</v>
      </c>
      <c r="V596" s="7">
        <f t="shared" ref="V596:W596" si="1135">IF(AVERAGE(T536:T595) &gt; 0.25, 1, 0)</f>
        <v>1</v>
      </c>
      <c r="W596" s="7">
        <f t="shared" si="1135"/>
        <v>1</v>
      </c>
      <c r="X596" s="8">
        <v>1.0</v>
      </c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ht="22.5" customHeight="1">
      <c r="A597" s="6">
        <v>596.0</v>
      </c>
      <c r="B597" s="6">
        <v>131819.0</v>
      </c>
      <c r="C597" s="6">
        <v>1.22</v>
      </c>
      <c r="D597" s="6">
        <v>-0.2</v>
      </c>
      <c r="E597" s="6">
        <v>10.69</v>
      </c>
      <c r="F597" s="6">
        <v>-0.1</v>
      </c>
      <c r="G597" s="6">
        <v>0.0</v>
      </c>
      <c r="H597" s="6">
        <v>-0.01</v>
      </c>
      <c r="I597" s="6">
        <v>33.4</v>
      </c>
      <c r="J597" s="7">
        <f t="shared" ref="J597:O597" si="1136">abs(C597-C596)/200</f>
        <v>0</v>
      </c>
      <c r="K597" s="7">
        <f t="shared" si="1136"/>
        <v>0.00005</v>
      </c>
      <c r="L597" s="7">
        <f t="shared" si="1136"/>
        <v>0.00005</v>
      </c>
      <c r="M597" s="7">
        <f t="shared" si="1136"/>
        <v>0</v>
      </c>
      <c r="N597" s="7">
        <f t="shared" si="1136"/>
        <v>0</v>
      </c>
      <c r="O597" s="7">
        <f t="shared" si="1136"/>
        <v>0</v>
      </c>
      <c r="P597" s="7">
        <f t="shared" si="7"/>
        <v>0</v>
      </c>
      <c r="Q597" s="7">
        <f t="shared" si="8"/>
        <v>0.009743056269</v>
      </c>
      <c r="R597" s="7">
        <f t="shared" si="2"/>
        <v>0.9612499274</v>
      </c>
      <c r="S597" s="7">
        <f t="shared" si="3"/>
        <v>0.1004987562</v>
      </c>
      <c r="T597" s="7">
        <f t="shared" si="4"/>
        <v>0</v>
      </c>
      <c r="U597" s="7">
        <f t="shared" si="5"/>
        <v>0</v>
      </c>
      <c r="V597" s="7">
        <f t="shared" ref="V597:W597" si="1137">IF(AVERAGE(T537:T596) &gt; 0.25, 1, 0)</f>
        <v>1</v>
      </c>
      <c r="W597" s="7">
        <f t="shared" si="1137"/>
        <v>1</v>
      </c>
      <c r="X597" s="8">
        <v>1.0</v>
      </c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ht="22.5" customHeight="1">
      <c r="A598" s="6">
        <v>597.0</v>
      </c>
      <c r="B598" s="6">
        <v>132023.0</v>
      </c>
      <c r="C598" s="6">
        <v>1.23</v>
      </c>
      <c r="D598" s="6">
        <v>-0.19</v>
      </c>
      <c r="E598" s="6">
        <v>10.69</v>
      </c>
      <c r="F598" s="6">
        <v>-0.1</v>
      </c>
      <c r="G598" s="6">
        <v>0.0</v>
      </c>
      <c r="H598" s="6">
        <v>-0.01</v>
      </c>
      <c r="I598" s="6">
        <v>33.4</v>
      </c>
      <c r="J598" s="7">
        <f t="shared" ref="J598:O598" si="1138">abs(C598-C597)/200</f>
        <v>0.00005</v>
      </c>
      <c r="K598" s="7">
        <f t="shared" si="1138"/>
        <v>0.00005</v>
      </c>
      <c r="L598" s="7">
        <f t="shared" si="1138"/>
        <v>0</v>
      </c>
      <c r="M598" s="7">
        <f t="shared" si="1138"/>
        <v>0</v>
      </c>
      <c r="N598" s="7">
        <f t="shared" si="1138"/>
        <v>0</v>
      </c>
      <c r="O598" s="7">
        <f t="shared" si="1138"/>
        <v>0</v>
      </c>
      <c r="P598" s="7">
        <f t="shared" si="7"/>
        <v>0</v>
      </c>
      <c r="Q598" s="7">
        <f t="shared" si="8"/>
        <v>0.0009570953238</v>
      </c>
      <c r="R598" s="7">
        <f t="shared" si="2"/>
        <v>0.9622070227</v>
      </c>
      <c r="S598" s="7">
        <f t="shared" si="3"/>
        <v>0.1004987562</v>
      </c>
      <c r="T598" s="7">
        <f t="shared" si="4"/>
        <v>0</v>
      </c>
      <c r="U598" s="7">
        <f t="shared" si="5"/>
        <v>0</v>
      </c>
      <c r="V598" s="7">
        <f t="shared" ref="V598:W598" si="1139">IF(AVERAGE(T538:T597) &gt; 0.25, 1, 0)</f>
        <v>1</v>
      </c>
      <c r="W598" s="7">
        <f t="shared" si="1139"/>
        <v>1</v>
      </c>
      <c r="X598" s="8">
        <v>1.0</v>
      </c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ht="22.5" customHeight="1">
      <c r="A599" s="6">
        <v>598.0</v>
      </c>
      <c r="B599" s="6">
        <v>132227.0</v>
      </c>
      <c r="C599" s="6">
        <v>1.23</v>
      </c>
      <c r="D599" s="6">
        <v>-0.2</v>
      </c>
      <c r="E599" s="6">
        <v>10.69</v>
      </c>
      <c r="F599" s="6">
        <v>-0.1</v>
      </c>
      <c r="G599" s="6">
        <v>0.0</v>
      </c>
      <c r="H599" s="6">
        <v>-0.01</v>
      </c>
      <c r="I599" s="6">
        <v>33.39</v>
      </c>
      <c r="J599" s="7">
        <f t="shared" ref="J599:O599" si="1140">abs(C599-C598)/200</f>
        <v>0</v>
      </c>
      <c r="K599" s="7">
        <f t="shared" si="1140"/>
        <v>0.00005</v>
      </c>
      <c r="L599" s="7">
        <f t="shared" si="1140"/>
        <v>0</v>
      </c>
      <c r="M599" s="7">
        <f t="shared" si="1140"/>
        <v>0</v>
      </c>
      <c r="N599" s="7">
        <f t="shared" si="1140"/>
        <v>0</v>
      </c>
      <c r="O599" s="7">
        <f t="shared" si="1140"/>
        <v>0</v>
      </c>
      <c r="P599" s="7">
        <f t="shared" si="7"/>
        <v>0</v>
      </c>
      <c r="Q599" s="7">
        <f t="shared" si="8"/>
        <v>0.0001811880761</v>
      </c>
      <c r="R599" s="7">
        <f t="shared" si="2"/>
        <v>0.9623882108</v>
      </c>
      <c r="S599" s="7">
        <f t="shared" si="3"/>
        <v>0.1004987562</v>
      </c>
      <c r="T599" s="7">
        <f t="shared" si="4"/>
        <v>0</v>
      </c>
      <c r="U599" s="7">
        <f t="shared" si="5"/>
        <v>0</v>
      </c>
      <c r="V599" s="7">
        <f t="shared" ref="V599:W599" si="1141">IF(AVERAGE(T539:T598) &gt; 0.25, 1, 0)</f>
        <v>1</v>
      </c>
      <c r="W599" s="7">
        <f t="shared" si="1141"/>
        <v>1</v>
      </c>
      <c r="X599" s="8">
        <v>1.0</v>
      </c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ht="22.5" customHeight="1">
      <c r="A600" s="6">
        <v>599.0</v>
      </c>
      <c r="B600" s="6">
        <v>132431.0</v>
      </c>
      <c r="C600" s="6">
        <v>1.22</v>
      </c>
      <c r="D600" s="6">
        <v>-0.21</v>
      </c>
      <c r="E600" s="6">
        <v>10.68</v>
      </c>
      <c r="F600" s="6">
        <v>-0.1</v>
      </c>
      <c r="G600" s="6">
        <v>0.0</v>
      </c>
      <c r="H600" s="6">
        <v>-0.01</v>
      </c>
      <c r="I600" s="6">
        <v>33.39</v>
      </c>
      <c r="J600" s="7">
        <f t="shared" ref="J600:O600" si="1142">abs(C600-C599)/200</f>
        <v>0.00005</v>
      </c>
      <c r="K600" s="7">
        <f t="shared" si="1142"/>
        <v>0.00005</v>
      </c>
      <c r="L600" s="7">
        <f t="shared" si="1142"/>
        <v>0.00005</v>
      </c>
      <c r="M600" s="7">
        <f t="shared" si="1142"/>
        <v>0</v>
      </c>
      <c r="N600" s="7">
        <f t="shared" si="1142"/>
        <v>0</v>
      </c>
      <c r="O600" s="7">
        <f t="shared" si="1142"/>
        <v>0</v>
      </c>
      <c r="P600" s="7">
        <f t="shared" si="7"/>
        <v>0</v>
      </c>
      <c r="Q600" s="7">
        <f t="shared" si="8"/>
        <v>0.01088133967</v>
      </c>
      <c r="R600" s="7">
        <f t="shared" si="2"/>
        <v>0.9515068711</v>
      </c>
      <c r="S600" s="7">
        <f t="shared" si="3"/>
        <v>0.1004987562</v>
      </c>
      <c r="T600" s="7">
        <f t="shared" si="4"/>
        <v>0</v>
      </c>
      <c r="U600" s="7">
        <f t="shared" si="5"/>
        <v>0</v>
      </c>
      <c r="V600" s="7">
        <f t="shared" ref="V600:W600" si="1143">IF(AVERAGE(T540:T599) &gt; 0.25, 1, 0)</f>
        <v>1</v>
      </c>
      <c r="W600" s="7">
        <f t="shared" si="1143"/>
        <v>1</v>
      </c>
      <c r="X600" s="8">
        <v>1.0</v>
      </c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ht="22.5" customHeight="1">
      <c r="A601" s="6">
        <v>600.0</v>
      </c>
      <c r="B601" s="6">
        <v>132635.0</v>
      </c>
      <c r="C601" s="6">
        <v>1.23</v>
      </c>
      <c r="D601" s="6">
        <v>-0.21</v>
      </c>
      <c r="E601" s="6">
        <v>10.69</v>
      </c>
      <c r="F601" s="6">
        <v>-0.1</v>
      </c>
      <c r="G601" s="6">
        <v>0.0</v>
      </c>
      <c r="H601" s="6">
        <v>-0.01</v>
      </c>
      <c r="I601" s="6">
        <v>33.39</v>
      </c>
      <c r="J601" s="7">
        <f t="shared" ref="J601:O601" si="1144">abs(C601-C600)/200</f>
        <v>0.00005</v>
      </c>
      <c r="K601" s="7">
        <f t="shared" si="1144"/>
        <v>0</v>
      </c>
      <c r="L601" s="7">
        <f t="shared" si="1144"/>
        <v>0.00005</v>
      </c>
      <c r="M601" s="7">
        <f t="shared" si="1144"/>
        <v>0</v>
      </c>
      <c r="N601" s="7">
        <f t="shared" si="1144"/>
        <v>0</v>
      </c>
      <c r="O601" s="7">
        <f t="shared" si="1144"/>
        <v>0</v>
      </c>
      <c r="P601" s="7">
        <f t="shared" si="7"/>
        <v>0</v>
      </c>
      <c r="Q601" s="7">
        <f t="shared" si="8"/>
        <v>0.01107181615</v>
      </c>
      <c r="R601" s="7">
        <f t="shared" si="2"/>
        <v>0.9625786873</v>
      </c>
      <c r="S601" s="7">
        <f t="shared" si="3"/>
        <v>0.1004987562</v>
      </c>
      <c r="T601" s="7">
        <f t="shared" si="4"/>
        <v>0</v>
      </c>
      <c r="U601" s="7">
        <f t="shared" si="5"/>
        <v>0</v>
      </c>
      <c r="V601" s="7">
        <f t="shared" ref="V601:W601" si="1145">IF(AVERAGE(T541:T600) &gt; 0.25, 1, 0)</f>
        <v>1</v>
      </c>
      <c r="W601" s="7">
        <f t="shared" si="1145"/>
        <v>1</v>
      </c>
      <c r="X601" s="8">
        <v>1.0</v>
      </c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ht="22.5" customHeight="1">
      <c r="A602" s="6"/>
      <c r="B602" s="6" t="s">
        <v>41</v>
      </c>
      <c r="C602" s="6">
        <f t="shared" ref="C602:S602" si="1146">AVERAGE(C2:C601)</f>
        <v>1.221933333</v>
      </c>
      <c r="D602" s="6">
        <f t="shared" si="1146"/>
        <v>-0.4377333333</v>
      </c>
      <c r="E602" s="6">
        <f t="shared" si="1146"/>
        <v>10.69545</v>
      </c>
      <c r="F602" s="6">
        <f t="shared" si="1146"/>
        <v>-0.10875</v>
      </c>
      <c r="G602" s="6">
        <f t="shared" si="1146"/>
        <v>-0.001283333333</v>
      </c>
      <c r="H602" s="6">
        <f t="shared" si="1146"/>
        <v>-0.007166666667</v>
      </c>
      <c r="I602" s="6">
        <f t="shared" si="1146"/>
        <v>33.34318333</v>
      </c>
      <c r="J602" s="6">
        <f t="shared" si="1146"/>
        <v>0.01000350584</v>
      </c>
      <c r="K602" s="6">
        <f t="shared" si="1146"/>
        <v>0.00791836394</v>
      </c>
      <c r="L602" s="6">
        <f t="shared" si="1146"/>
        <v>0.001521452421</v>
      </c>
      <c r="M602" s="6">
        <f t="shared" si="1146"/>
        <v>0.0008671118531</v>
      </c>
      <c r="N602" s="6">
        <f t="shared" si="1146"/>
        <v>0.0008896494157</v>
      </c>
      <c r="O602" s="6">
        <f t="shared" si="1146"/>
        <v>0.005936894825</v>
      </c>
      <c r="P602" s="6">
        <f t="shared" si="1146"/>
        <v>0.8211359608</v>
      </c>
      <c r="Q602" s="6">
        <f t="shared" si="1146"/>
        <v>0.4026830481</v>
      </c>
      <c r="R602" s="6">
        <f t="shared" si="1146"/>
        <v>1.326448104</v>
      </c>
      <c r="S602" s="6">
        <f t="shared" si="1146"/>
        <v>1.099658658</v>
      </c>
      <c r="T602" s="7"/>
      <c r="U602" s="7">
        <f t="shared" si="5"/>
        <v>1</v>
      </c>
      <c r="V602" s="7">
        <f t="shared" ref="V602:W602" si="1147">IF(AVERAGE(T542:T601) &gt; 0.25, 1, 0)</f>
        <v>1</v>
      </c>
      <c r="W602" s="7">
        <f t="shared" si="1147"/>
        <v>1</v>
      </c>
      <c r="X602" s="8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ht="22.5" customHeight="1">
      <c r="A603" s="6"/>
      <c r="B603" s="6" t="s">
        <v>42</v>
      </c>
      <c r="C603" s="6">
        <f t="shared" ref="C603:S603" si="1148">STDEV(C2:C601)</f>
        <v>2.198057861</v>
      </c>
      <c r="D603" s="6">
        <f t="shared" si="1148"/>
        <v>1.74923781</v>
      </c>
      <c r="E603" s="6">
        <f t="shared" si="1148"/>
        <v>0.3201295608</v>
      </c>
      <c r="F603" s="6">
        <f t="shared" si="1148"/>
        <v>0.1831023802</v>
      </c>
      <c r="G603" s="6">
        <f t="shared" si="1148"/>
        <v>0.1790361499</v>
      </c>
      <c r="H603" s="6">
        <f t="shared" si="1148"/>
        <v>1.508836733</v>
      </c>
      <c r="I603" s="6">
        <f t="shared" si="1148"/>
        <v>0.05161207287</v>
      </c>
      <c r="J603" s="6">
        <f t="shared" si="1148"/>
        <v>0.01050691185</v>
      </c>
      <c r="K603" s="6">
        <f t="shared" si="1148"/>
        <v>0.007148873546</v>
      </c>
      <c r="L603" s="6">
        <f t="shared" si="1148"/>
        <v>0.001607953079</v>
      </c>
      <c r="M603" s="6">
        <f t="shared" si="1148"/>
        <v>0.0007431426799</v>
      </c>
      <c r="N603" s="6">
        <f t="shared" si="1148"/>
        <v>0.0007647117042</v>
      </c>
      <c r="O603" s="6">
        <f t="shared" si="1148"/>
        <v>0.006067924417</v>
      </c>
      <c r="P603" s="6">
        <f t="shared" si="1148"/>
        <v>0.8275346914</v>
      </c>
      <c r="Q603" s="6">
        <f t="shared" si="1148"/>
        <v>0.4435548761</v>
      </c>
      <c r="R603" s="6">
        <f t="shared" si="1148"/>
        <v>0.5103137464</v>
      </c>
      <c r="S603" s="6">
        <f t="shared" si="1148"/>
        <v>1.069018321</v>
      </c>
      <c r="T603" s="7"/>
      <c r="U603" s="7">
        <f t="shared" si="5"/>
        <v>1</v>
      </c>
      <c r="V603" s="7">
        <f t="shared" ref="V603:W603" si="1149">IF(AVERAGE(T543:T602) &gt; 0.25, 1, 0)</f>
        <v>1</v>
      </c>
      <c r="W603" s="7">
        <f t="shared" si="1149"/>
        <v>1</v>
      </c>
      <c r="X603" s="8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ht="22.5" customHeight="1">
      <c r="A604" s="6"/>
      <c r="B604" s="6" t="s">
        <v>43</v>
      </c>
      <c r="C604" s="6">
        <f t="shared" ref="C604:S604" si="1150">COUNT(C2:C601)</f>
        <v>600</v>
      </c>
      <c r="D604" s="6">
        <f t="shared" si="1150"/>
        <v>600</v>
      </c>
      <c r="E604" s="6">
        <f t="shared" si="1150"/>
        <v>600</v>
      </c>
      <c r="F604" s="6">
        <f t="shared" si="1150"/>
        <v>600</v>
      </c>
      <c r="G604" s="6">
        <f t="shared" si="1150"/>
        <v>600</v>
      </c>
      <c r="H604" s="6">
        <f t="shared" si="1150"/>
        <v>600</v>
      </c>
      <c r="I604" s="6">
        <f t="shared" si="1150"/>
        <v>600</v>
      </c>
      <c r="J604" s="6">
        <f t="shared" si="1150"/>
        <v>599</v>
      </c>
      <c r="K604" s="6">
        <f t="shared" si="1150"/>
        <v>599</v>
      </c>
      <c r="L604" s="6">
        <f t="shared" si="1150"/>
        <v>599</v>
      </c>
      <c r="M604" s="6">
        <f t="shared" si="1150"/>
        <v>599</v>
      </c>
      <c r="N604" s="6">
        <f t="shared" si="1150"/>
        <v>599</v>
      </c>
      <c r="O604" s="6">
        <f t="shared" si="1150"/>
        <v>599</v>
      </c>
      <c r="P604" s="6">
        <f t="shared" si="1150"/>
        <v>599</v>
      </c>
      <c r="Q604" s="6">
        <f t="shared" si="1150"/>
        <v>599</v>
      </c>
      <c r="R604" s="6">
        <f t="shared" si="1150"/>
        <v>600</v>
      </c>
      <c r="S604" s="6">
        <f t="shared" si="1150"/>
        <v>600</v>
      </c>
      <c r="T604" s="6"/>
      <c r="U604" s="6"/>
      <c r="V604" s="7">
        <f t="shared" ref="V604:W604" si="1151">IF(AVERAGE(T544:T603) &gt; 0.25, 1, 0)</f>
        <v>1</v>
      </c>
      <c r="W604" s="7">
        <f t="shared" si="1151"/>
        <v>1</v>
      </c>
      <c r="X604" s="8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ht="22.5" customHeight="1">
      <c r="A605" s="6"/>
      <c r="B605" s="6" t="s">
        <v>44</v>
      </c>
      <c r="C605" s="6">
        <f t="shared" ref="C605:T605" si="1152">MIN(C2:C601)</f>
        <v>-8.54</v>
      </c>
      <c r="D605" s="6">
        <f t="shared" si="1152"/>
        <v>-5.57</v>
      </c>
      <c r="E605" s="6">
        <f t="shared" si="1152"/>
        <v>9.23</v>
      </c>
      <c r="F605" s="6">
        <f t="shared" si="1152"/>
        <v>-0.68</v>
      </c>
      <c r="G605" s="6">
        <f t="shared" si="1152"/>
        <v>-0.62</v>
      </c>
      <c r="H605" s="6">
        <f t="shared" si="1152"/>
        <v>-5.24</v>
      </c>
      <c r="I605" s="6">
        <f t="shared" si="1152"/>
        <v>33.15</v>
      </c>
      <c r="J605" s="6">
        <f t="shared" si="1152"/>
        <v>0</v>
      </c>
      <c r="K605" s="6">
        <f t="shared" si="1152"/>
        <v>0</v>
      </c>
      <c r="L605" s="6">
        <f t="shared" si="1152"/>
        <v>0</v>
      </c>
      <c r="M605" s="6">
        <f t="shared" si="1152"/>
        <v>0</v>
      </c>
      <c r="N605" s="6">
        <f t="shared" si="1152"/>
        <v>0</v>
      </c>
      <c r="O605" s="6">
        <f t="shared" si="1152"/>
        <v>0</v>
      </c>
      <c r="P605" s="6">
        <f t="shared" si="1152"/>
        <v>0</v>
      </c>
      <c r="Q605" s="6">
        <f t="shared" si="1152"/>
        <v>0</v>
      </c>
      <c r="R605" s="6">
        <f t="shared" si="1152"/>
        <v>-0.1461665645</v>
      </c>
      <c r="S605" s="6">
        <f t="shared" si="1152"/>
        <v>0.05099019514</v>
      </c>
      <c r="T605" s="6">
        <f t="shared" si="1152"/>
        <v>0</v>
      </c>
      <c r="U605" s="7">
        <f t="shared" ref="U605:U609" si="1155">IF(OR(M605&gt;0.0003, N605&gt;0.0003, O605&gt;0.0003), 1, 0)</f>
        <v>0</v>
      </c>
      <c r="V605" s="7">
        <f t="shared" ref="V605:W605" si="1153">IF(AVERAGE(T545:T604) &gt; 0.25, 1, 0)</f>
        <v>1</v>
      </c>
      <c r="W605" s="7">
        <f t="shared" si="1153"/>
        <v>1</v>
      </c>
      <c r="X605" s="8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ht="22.5" customHeight="1">
      <c r="A606" s="6"/>
      <c r="B606" s="6" t="s">
        <v>45</v>
      </c>
      <c r="C606" s="6">
        <f t="shared" ref="C606:S606" si="1154">MAX(C2:C602)</f>
        <v>8.62</v>
      </c>
      <c r="D606" s="6">
        <f t="shared" si="1154"/>
        <v>4.67</v>
      </c>
      <c r="E606" s="6">
        <f t="shared" si="1154"/>
        <v>12.23</v>
      </c>
      <c r="F606" s="6">
        <f t="shared" si="1154"/>
        <v>0.42</v>
      </c>
      <c r="G606" s="6">
        <f t="shared" si="1154"/>
        <v>0.58</v>
      </c>
      <c r="H606" s="6">
        <f t="shared" si="1154"/>
        <v>5.17</v>
      </c>
      <c r="I606" s="6">
        <f t="shared" si="1154"/>
        <v>33.42</v>
      </c>
      <c r="J606" s="6">
        <f t="shared" si="1154"/>
        <v>0.0776</v>
      </c>
      <c r="K606" s="6">
        <f t="shared" si="1154"/>
        <v>0.0443</v>
      </c>
      <c r="L606" s="6">
        <f t="shared" si="1154"/>
        <v>0.01105</v>
      </c>
      <c r="M606" s="6">
        <f t="shared" si="1154"/>
        <v>0.0042</v>
      </c>
      <c r="N606" s="6">
        <f t="shared" si="1154"/>
        <v>0.00365</v>
      </c>
      <c r="O606" s="6">
        <f t="shared" si="1154"/>
        <v>0.0354</v>
      </c>
      <c r="P606" s="6">
        <f t="shared" si="1154"/>
        <v>5.085463497</v>
      </c>
      <c r="Q606" s="6">
        <f t="shared" si="1154"/>
        <v>3.715370508</v>
      </c>
      <c r="R606" s="6">
        <f t="shared" si="1154"/>
        <v>5.233342942</v>
      </c>
      <c r="S606" s="6">
        <f t="shared" si="1154"/>
        <v>5.305139018</v>
      </c>
      <c r="T606" s="7"/>
      <c r="U606" s="7">
        <f t="shared" si="1155"/>
        <v>1</v>
      </c>
      <c r="V606" s="7">
        <f t="shared" ref="V606:W606" si="1156">IF(AVERAGE(T546:T605) &gt; 0.25, 1, 0)</f>
        <v>1</v>
      </c>
      <c r="W606" s="7">
        <f t="shared" si="1156"/>
        <v>1</v>
      </c>
      <c r="X606" s="8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ht="22.5" customHeight="1">
      <c r="A607" s="6"/>
      <c r="B607" s="9">
        <v>0.25</v>
      </c>
      <c r="C607" s="6">
        <f t="shared" ref="C607:S607" si="1157">_xlfn.QUARTILE.INC(C2:C601,1)</f>
        <v>-0.01</v>
      </c>
      <c r="D607" s="6">
        <f t="shared" si="1157"/>
        <v>-1.7</v>
      </c>
      <c r="E607" s="6">
        <f t="shared" si="1157"/>
        <v>10.55</v>
      </c>
      <c r="F607" s="6">
        <f t="shared" si="1157"/>
        <v>-0.2125</v>
      </c>
      <c r="G607" s="6">
        <f t="shared" si="1157"/>
        <v>-0.0925</v>
      </c>
      <c r="H607" s="6">
        <f t="shared" si="1157"/>
        <v>-0.6425</v>
      </c>
      <c r="I607" s="6">
        <f t="shared" si="1157"/>
        <v>33.33</v>
      </c>
      <c r="J607" s="6">
        <f t="shared" si="1157"/>
        <v>0.002375</v>
      </c>
      <c r="K607" s="6">
        <f t="shared" si="1157"/>
        <v>0.002525</v>
      </c>
      <c r="L607" s="6">
        <f t="shared" si="1157"/>
        <v>0.0003</v>
      </c>
      <c r="M607" s="6">
        <f t="shared" si="1157"/>
        <v>0.0003</v>
      </c>
      <c r="N607" s="6">
        <f t="shared" si="1157"/>
        <v>0.0003</v>
      </c>
      <c r="O607" s="6">
        <f t="shared" si="1157"/>
        <v>0.0013</v>
      </c>
      <c r="P607" s="6">
        <f t="shared" si="1157"/>
        <v>0.1509705815</v>
      </c>
      <c r="Q607" s="6">
        <f t="shared" si="1157"/>
        <v>0.09291102255</v>
      </c>
      <c r="R607" s="6">
        <f t="shared" si="1157"/>
        <v>0.9814945475</v>
      </c>
      <c r="S607" s="6">
        <f t="shared" si="1157"/>
        <v>0.2694407874</v>
      </c>
      <c r="T607" s="7"/>
      <c r="U607" s="7">
        <f t="shared" si="1155"/>
        <v>1</v>
      </c>
      <c r="V607" s="7">
        <f t="shared" ref="V607:W607" si="1158">IF(AVERAGE(T547:T606) &gt; 0.25, 1, 0)</f>
        <v>1</v>
      </c>
      <c r="W607" s="7">
        <f t="shared" si="1158"/>
        <v>1</v>
      </c>
      <c r="X607" s="8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ht="22.5" customHeight="1">
      <c r="A608" s="6"/>
      <c r="B608" s="9">
        <v>0.5</v>
      </c>
      <c r="C608" s="6">
        <f t="shared" ref="C608:S608" si="1159">_xlfn.QUARTILE.INC(C2:C601,2)</f>
        <v>1.23</v>
      </c>
      <c r="D608" s="6">
        <f t="shared" si="1159"/>
        <v>-0.24</v>
      </c>
      <c r="E608" s="6">
        <f t="shared" si="1159"/>
        <v>10.68</v>
      </c>
      <c r="F608" s="6">
        <f t="shared" si="1159"/>
        <v>-0.1</v>
      </c>
      <c r="G608" s="6">
        <f t="shared" si="1159"/>
        <v>0</v>
      </c>
      <c r="H608" s="6">
        <f t="shared" si="1159"/>
        <v>-0.01</v>
      </c>
      <c r="I608" s="6">
        <f t="shared" si="1159"/>
        <v>33.35</v>
      </c>
      <c r="J608" s="6">
        <f t="shared" si="1159"/>
        <v>0.00685</v>
      </c>
      <c r="K608" s="6">
        <f t="shared" si="1159"/>
        <v>0.00615</v>
      </c>
      <c r="L608" s="6">
        <f t="shared" si="1159"/>
        <v>0.00095</v>
      </c>
      <c r="M608" s="6">
        <f t="shared" si="1159"/>
        <v>0.0007</v>
      </c>
      <c r="N608" s="6">
        <f t="shared" si="1159"/>
        <v>0.0007</v>
      </c>
      <c r="O608" s="6">
        <f t="shared" si="1159"/>
        <v>0.00405</v>
      </c>
      <c r="P608" s="6">
        <f t="shared" si="1159"/>
        <v>0.5243144671</v>
      </c>
      <c r="Q608" s="6">
        <f t="shared" si="1159"/>
        <v>0.2637532206</v>
      </c>
      <c r="R608" s="6">
        <f t="shared" si="1159"/>
        <v>1.204401141</v>
      </c>
      <c r="S608" s="6">
        <f t="shared" si="1159"/>
        <v>0.7262879555</v>
      </c>
      <c r="T608" s="7"/>
      <c r="U608" s="7">
        <f t="shared" si="1155"/>
        <v>1</v>
      </c>
      <c r="V608" s="7">
        <f t="shared" ref="V608:W608" si="1160">IF(AVERAGE(T548:T607) &gt; 0.25, 1, 0)</f>
        <v>1</v>
      </c>
      <c r="W608" s="7">
        <f t="shared" si="1160"/>
        <v>1</v>
      </c>
      <c r="X608" s="8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ht="22.5" customHeight="1">
      <c r="A609" s="6"/>
      <c r="B609" s="9">
        <v>0.75</v>
      </c>
      <c r="C609" s="6">
        <f t="shared" ref="C609:S609" si="1161">_xlfn.QUARTILE.INC(C2:C601,3)</f>
        <v>2.635</v>
      </c>
      <c r="D609" s="6">
        <f t="shared" si="1161"/>
        <v>0.69</v>
      </c>
      <c r="E609" s="6">
        <f t="shared" si="1161"/>
        <v>10.86</v>
      </c>
      <c r="F609" s="6">
        <f t="shared" si="1161"/>
        <v>0</v>
      </c>
      <c r="G609" s="6">
        <f t="shared" si="1161"/>
        <v>0.09</v>
      </c>
      <c r="H609" s="6">
        <f t="shared" si="1161"/>
        <v>0.725</v>
      </c>
      <c r="I609" s="6">
        <f t="shared" si="1161"/>
        <v>33.37</v>
      </c>
      <c r="J609" s="6">
        <f t="shared" si="1161"/>
        <v>0.014025</v>
      </c>
      <c r="K609" s="6">
        <f t="shared" si="1161"/>
        <v>0.01145</v>
      </c>
      <c r="L609" s="6">
        <f t="shared" si="1161"/>
        <v>0.00215</v>
      </c>
      <c r="M609" s="6">
        <f t="shared" si="1161"/>
        <v>0.00125</v>
      </c>
      <c r="N609" s="6">
        <f t="shared" si="1161"/>
        <v>0.00135</v>
      </c>
      <c r="O609" s="6">
        <f t="shared" si="1161"/>
        <v>0.0087</v>
      </c>
      <c r="P609" s="6">
        <f t="shared" si="1161"/>
        <v>1.287952816</v>
      </c>
      <c r="Q609" s="6">
        <f t="shared" si="1161"/>
        <v>0.5607214318</v>
      </c>
      <c r="R609" s="6">
        <f t="shared" si="1161"/>
        <v>1.552782697</v>
      </c>
      <c r="S609" s="6">
        <f t="shared" si="1161"/>
        <v>1.636751181</v>
      </c>
      <c r="T609" s="7"/>
      <c r="U609" s="7">
        <f t="shared" si="1155"/>
        <v>1</v>
      </c>
      <c r="V609" s="7">
        <f t="shared" ref="V609:W609" si="1162">IF(AVERAGE(T549:T608) &gt; 0.25, 1, 0)</f>
        <v>1</v>
      </c>
      <c r="W609" s="7">
        <f t="shared" si="1162"/>
        <v>1</v>
      </c>
      <c r="X609" s="8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</sheetData>
  <drawing r:id="rId1"/>
  <tableParts count="1">
    <tablePart r:id="rId3"/>
  </tableParts>
</worksheet>
</file>